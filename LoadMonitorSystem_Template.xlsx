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BD_Carga" sheetId="2" state="visible" r:id="rId2"/>
    <sheet xmlns:r="http://schemas.openxmlformats.org/officeDocument/2006/relationships" name="Testes_Neuromusculares" sheetId="3" state="visible" r:id="rId3"/>
    <sheet xmlns:r="http://schemas.openxmlformats.org/officeDocument/2006/relationships" name="Carga_Plane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E63946"/>
      <sz val="28"/>
    </font>
    <font>
      <name val="Calibri"/>
      <color rgb="008899AA"/>
      <sz val="11"/>
    </font>
    <font>
      <name val="Calibri"/>
      <b val="1"/>
      <color rgb="00EEF4FB"/>
      <sz val="13"/>
    </font>
    <font>
      <name val="Calibri"/>
      <color rgb="00EEF4FB"/>
      <sz val="10"/>
    </font>
    <font>
      <name val="Calibri"/>
      <b val="1"/>
      <color rgb="00EEF4FB"/>
      <sz val="10"/>
    </font>
    <font>
      <name val="Calibri"/>
      <b val="1"/>
      <color rgb="00E63946"/>
      <sz val="9"/>
    </font>
    <font>
      <name val="Calibri"/>
      <color rgb="008899AA"/>
      <sz val="9"/>
    </font>
    <font>
      <name val="Calibri"/>
      <color rgb="00EEF4FB"/>
      <sz val="9"/>
    </font>
    <font>
      <name val="Calibri"/>
      <b val="1"/>
      <color rgb="002ECC71"/>
      <sz val="9"/>
    </font>
    <font>
      <name val="Calibri"/>
      <b val="1"/>
      <color rgb="00EEF4FB"/>
      <sz val="9"/>
    </font>
    <font>
      <name val="Calibri"/>
      <b val="1"/>
      <color rgb="00E63946"/>
      <sz val="14"/>
    </font>
    <font>
      <name val="Calibri"/>
      <i val="1"/>
      <color rgb="008899AA"/>
      <sz val="10"/>
    </font>
    <font>
      <name val="Calibri"/>
      <color rgb="000D1421"/>
      <sz val="9"/>
    </font>
  </fonts>
  <fills count="8">
    <fill>
      <patternFill/>
    </fill>
    <fill>
      <patternFill patternType="gray125"/>
    </fill>
    <fill>
      <patternFill patternType="solid">
        <fgColor rgb="0006090F"/>
      </patternFill>
    </fill>
    <fill>
      <patternFill patternType="solid">
        <fgColor rgb="00E63946"/>
      </patternFill>
    </fill>
    <fill>
      <patternFill patternType="solid">
        <fgColor rgb="00131D2E"/>
      </patternFill>
    </fill>
    <fill>
      <patternFill patternType="solid">
        <fgColor rgb="000F1922"/>
      </patternFill>
    </fill>
    <fill>
      <patternFill patternType="solid">
        <fgColor rgb="000D1421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>
        <color rgb="001E2B3C"/>
      </left>
      <right style="thin">
        <color rgb="001E2B3C"/>
      </right>
      <top style="thin">
        <color rgb="001E2B3C"/>
      </top>
      <bottom style="thin">
        <color rgb="001E2B3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3946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2" customWidth="1" min="3" max="3"/>
    <col width="16" customWidth="1" min="4" max="4"/>
  </cols>
  <sheetData>
    <row r="1" ht="40" customHeight="1">
      <c r="A1" s="1" t="inlineStr">
        <is>
          <t>LoadMonitorSystem</t>
        </is>
      </c>
    </row>
    <row r="2" ht="22" customHeight="1">
      <c r="A2" s="2" t="inlineStr">
        <is>
          <t>Template Oficial  ·  Monitorização de Carga e Tomada de Decisão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 ht="28" customHeight="1">
      <c r="A5" s="5" t="inlineStr">
        <is>
          <t>COMO USAR ESTE FICHEIRO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2" customHeight="1">
      <c r="A7" s="6" t="inlineStr">
        <is>
          <t>1.  Preenche a folha  BD_Carga  com os dados de cada sessão de treino ou jogo.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2" customHeight="1">
      <c r="A9" s="6" t="inlineStr">
        <is>
          <t>2.  Cada linha = uma sessão de um jogador. 18 jogadores num treino = 18 linhas.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 ht="22" customHeight="1">
      <c r="A11" s="6" t="inlineStr">
        <is>
          <t>3.  Preenche a folha  Testes_Neuromusculares  após cada bateria de testes (CMJ, etc).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 ht="22" customHeight="1">
      <c r="A13" s="6" t="inlineStr">
        <is>
          <t>4.  Guarda o ficheiro e faz upload na app LoadMonitorSystem.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 ht="22" customHeight="1">
      <c r="A15" s="6" t="inlineStr">
        <is>
          <t>5.  A app calcula ACWR, Wellness, Vmáx e gera os alertas automaticamente.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1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 ht="28" customHeight="1">
      <c r="A19" s="5" t="inlineStr">
        <is>
          <t>COLUNAS OBRIGATÓRIAS — BD_Carga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24" customHeight="1">
      <c r="A21" s="7" t="inlineStr">
        <is>
          <t>Coluna</t>
        </is>
      </c>
      <c r="B21" s="7" t="inlineStr">
        <is>
          <t>Descrição</t>
        </is>
      </c>
      <c r="C21" s="7" t="inlineStr">
        <is>
          <t>Valores Aceites</t>
        </is>
      </c>
      <c r="D21" s="7" t="inlineStr">
        <is>
          <t>Exemplo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18" customHeight="1">
      <c r="A22" s="8" t="inlineStr">
        <is>
          <t>Data</t>
        </is>
      </c>
      <c r="B22" s="9" t="inlineStr">
        <is>
          <t>Data da sessão</t>
        </is>
      </c>
      <c r="C22" s="10" t="inlineStr">
        <is>
          <t>DD/MM/AAAA</t>
        </is>
      </c>
      <c r="D22" s="11" t="inlineStr">
        <is>
          <t>15/01/2025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 ht="18" customHeight="1">
      <c r="A23" s="12" t="inlineStr">
        <is>
          <t>Jogador</t>
        </is>
      </c>
      <c r="B23" s="13" t="inlineStr">
        <is>
          <t>Nome do jogador</t>
        </is>
      </c>
      <c r="C23" s="14" t="inlineStr">
        <is>
          <t>Texto livre</t>
        </is>
      </c>
      <c r="D23" s="15" t="inlineStr">
        <is>
          <t>Martins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18" customHeight="1">
      <c r="A24" s="16" t="inlineStr">
        <is>
          <t>Posição</t>
        </is>
      </c>
      <c r="B24" s="9" t="inlineStr">
        <is>
          <t>Posição de jogo</t>
        </is>
      </c>
      <c r="C24" s="10" t="inlineStr">
        <is>
          <t>GR, DC, DD, DE, MC, MD, AV</t>
        </is>
      </c>
      <c r="D24" s="11" t="inlineStr">
        <is>
          <t>MC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 ht="18" customHeight="1">
      <c r="A25" s="12" t="inlineStr">
        <is>
          <t>Tipo</t>
        </is>
      </c>
      <c r="B25" s="13" t="inlineStr">
        <is>
          <t>Tipo de sessão</t>
        </is>
      </c>
      <c r="C25" s="14" t="inlineStr">
        <is>
          <t>Treino ou Jogo</t>
        </is>
      </c>
      <c r="D25" s="15" t="inlineStr">
        <is>
          <t>Treino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18" customHeight="1">
      <c r="A26" s="16" t="inlineStr">
        <is>
          <t>Dia MD</t>
        </is>
      </c>
      <c r="B26" s="9" t="inlineStr">
        <is>
          <t>Relação com dia de jogo</t>
        </is>
      </c>
      <c r="C26" s="10" t="inlineStr">
        <is>
          <t>MD-5 a MD+2</t>
        </is>
      </c>
      <c r="D26" s="11" t="inlineStr">
        <is>
          <t>MD-2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18" customHeight="1">
      <c r="A27" s="17" t="inlineStr">
        <is>
          <t>Microciclo (Nr)</t>
        </is>
      </c>
      <c r="B27" s="13" t="inlineStr">
        <is>
          <t>Número da semana</t>
        </is>
      </c>
      <c r="C27" s="14" t="inlineStr">
        <is>
          <t>Número inteiro</t>
        </is>
      </c>
      <c r="D27" s="15" t="inlineStr">
        <is>
          <t>8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18" customHeight="1">
      <c r="A28" s="16" t="inlineStr">
        <is>
          <t>Duração (min)</t>
        </is>
      </c>
      <c r="B28" s="9" t="inlineStr">
        <is>
          <t>Duração em minutos</t>
        </is>
      </c>
      <c r="C28" s="10" t="inlineStr">
        <is>
          <t>Número positivo</t>
        </is>
      </c>
      <c r="D28" s="11" t="inlineStr">
        <is>
          <t>90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18" customHeight="1">
      <c r="A29" s="12" t="inlineStr">
        <is>
          <t>PSE Sessão</t>
        </is>
      </c>
      <c r="B29" s="13" t="inlineStr">
        <is>
          <t>Perceção Subjetiva de Esforço</t>
        </is>
      </c>
      <c r="C29" s="14" t="inlineStr">
        <is>
          <t>1 a 10</t>
        </is>
      </c>
      <c r="D29" s="15" t="inlineStr">
        <is>
          <t>7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18" customHeight="1">
      <c r="A30" s="16" t="inlineStr">
        <is>
          <t>Carga Interna</t>
        </is>
      </c>
      <c r="B30" s="9" t="inlineStr">
        <is>
          <t>PSE × Duração (automático)</t>
        </is>
      </c>
      <c r="C30" s="10" t="inlineStr">
        <is>
          <t>Calculado pela app</t>
        </is>
      </c>
      <c r="D30" s="11" t="inlineStr">
        <is>
          <t>630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18" customHeight="1">
      <c r="A31" s="17" t="inlineStr">
        <is>
          <t>Distância Total (m)</t>
        </is>
      </c>
      <c r="B31" s="13" t="inlineStr">
        <is>
          <t>Distância total percorrida</t>
        </is>
      </c>
      <c r="C31" s="14" t="inlineStr">
        <is>
          <t>Metros</t>
        </is>
      </c>
      <c r="D31" s="15" t="inlineStr">
        <is>
          <t>9847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18" customHeight="1">
      <c r="A32" s="16" t="inlineStr">
        <is>
          <t>HSR (m)</t>
        </is>
      </c>
      <c r="B32" s="9" t="inlineStr">
        <is>
          <t>Alta Velocidade (&gt;19.8 km/h)</t>
        </is>
      </c>
      <c r="C32" s="10" t="inlineStr">
        <is>
          <t>Metros</t>
        </is>
      </c>
      <c r="D32" s="11" t="inlineStr">
        <is>
          <t>412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18" customHeight="1">
      <c r="A33" s="17" t="inlineStr">
        <is>
          <t>Sprint (m)</t>
        </is>
      </c>
      <c r="B33" s="13" t="inlineStr">
        <is>
          <t>Sprint (&gt;25 km/h)</t>
        </is>
      </c>
      <c r="C33" s="14" t="inlineStr">
        <is>
          <t>Metros</t>
        </is>
      </c>
      <c r="D33" s="15" t="inlineStr">
        <is>
          <t>89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18" customHeight="1">
      <c r="A34" s="16" t="inlineStr">
        <is>
          <t>Acc (n)</t>
        </is>
      </c>
      <c r="B34" s="9" t="inlineStr">
        <is>
          <t>Número de acelerações</t>
        </is>
      </c>
      <c r="C34" s="10" t="inlineStr">
        <is>
          <t>Inteiro</t>
        </is>
      </c>
      <c r="D34" s="11" t="inlineStr">
        <is>
          <t>22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18" customHeight="1">
      <c r="A35" s="17" t="inlineStr">
        <is>
          <t>Dcc (n)</t>
        </is>
      </c>
      <c r="B35" s="13" t="inlineStr">
        <is>
          <t>Número de desacelerações</t>
        </is>
      </c>
      <c r="C35" s="14" t="inlineStr">
        <is>
          <t>Inteiro</t>
        </is>
      </c>
      <c r="D35" s="15" t="inlineStr">
        <is>
          <t>19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18" customHeight="1">
      <c r="A36" s="16" t="inlineStr">
        <is>
          <t>Vel. Máx (km/h)</t>
        </is>
      </c>
      <c r="B36" s="9" t="inlineStr">
        <is>
          <t>Velocidade máxima</t>
        </is>
      </c>
      <c r="C36" s="10" t="inlineStr">
        <is>
          <t>km/h</t>
        </is>
      </c>
      <c r="D36" s="11" t="inlineStr">
        <is>
          <t>28.4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18" customHeight="1">
      <c r="A37" s="17" t="inlineStr">
        <is>
          <t>Sono (1-5)</t>
        </is>
      </c>
      <c r="B37" s="13" t="inlineStr">
        <is>
          <t>Qualidade do sono (Hooper Index)</t>
        </is>
      </c>
      <c r="C37" s="14" t="inlineStr">
        <is>
          <t>1 = Muito mau  →  5 = Excelente</t>
        </is>
      </c>
      <c r="D37" s="33" t="inlineStr">
        <is>
          <t>4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18" customHeight="1">
      <c r="A38" s="16" t="inlineStr">
        <is>
          <t>Dor Musc. (1-5)</t>
        </is>
      </c>
      <c r="B38" s="9" t="inlineStr">
        <is>
          <t>Dor muscular percebida (Hooper Index)</t>
        </is>
      </c>
      <c r="C38" s="10" t="inlineStr">
        <is>
          <t>1 = Muito alta  →  5 = Nenhuma</t>
        </is>
      </c>
      <c r="D38" s="34" t="inlineStr">
        <is>
          <t>3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18" customHeight="1">
      <c r="A39" s="17" t="inlineStr">
        <is>
          <t>Stress (1-5)</t>
        </is>
      </c>
      <c r="B39" s="13" t="inlineStr">
        <is>
          <t>Nível de stress percebido (Hooper Index)</t>
        </is>
      </c>
      <c r="C39" s="14" t="inlineStr">
        <is>
          <t>1 = Muito alto  →  5 = Nenhum</t>
        </is>
      </c>
      <c r="D39" s="33" t="inlineStr">
        <is>
          <t>4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18" customHeight="1">
      <c r="A40" s="16" t="inlineStr">
        <is>
          <t>Humor (1-5)</t>
        </is>
      </c>
      <c r="B40" s="9" t="inlineStr">
        <is>
          <t>Estado de humor geral (Hooper Index)</t>
        </is>
      </c>
      <c r="C40" s="10" t="inlineStr">
        <is>
          <t>1 = Muito mau  →  5 = Excelente</t>
        </is>
      </c>
      <c r="D40" s="34" t="inlineStr">
        <is>
          <t>4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18" customHeight="1">
      <c r="A41" s="17" t="inlineStr">
        <is>
          <t>Hooper Index</t>
        </is>
      </c>
      <c r="B41" s="13" t="inlineStr">
        <is>
          <t>Soma invertida: (5-Sono)+(5-Dor)+(5-Stress)+(5-Humor)
0 = Recuperação total · 16 = Exaustão máxima</t>
        </is>
      </c>
      <c r="C41" s="14" t="inlineStr">
        <is>
          <t>0 a 16  —  calculado automaticamente
⚠️ Alerta ativo quando ≥ 14</t>
        </is>
      </c>
      <c r="D41" s="33" t="inlineStr">
        <is>
          <t>5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16" customHeight="1">
      <c r="A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80" customHeight="1">
      <c r="A44" s="35" t="inlineStr">
        <is>
          <t>⚠️  LÓGICA DO HOOPER INDEX
Valores baixos (1-2) nas componentes = MÁ recuperação = Hooper ALTO
Valores altos (4-5) nas componentes = BOA recuperação = Hooper BAIXO
Fórmula: Hooper = (5-Sono) + (5-Dor Muscular) + (5-Stress) + (5-Humor)
Alertas na app: Hooper ≥ 14 = zona de risco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</sheetData>
  <mergeCells count="11">
    <mergeCell ref="A9:N9"/>
    <mergeCell ref="A44:D47"/>
    <mergeCell ref="A2:N2"/>
    <mergeCell ref="A15:N15"/>
    <mergeCell ref="A7:N7"/>
    <mergeCell ref="A19:N19"/>
    <mergeCell ref="A11:N11"/>
    <mergeCell ref="A43:D43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V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0" customWidth="1" min="5" max="5"/>
    <col width="15" customWidth="1" min="6" max="6"/>
    <col width="13" customWidth="1" min="7" max="7"/>
    <col width="11" customWidth="1" min="8" max="8"/>
    <col width="13" customWidth="1" min="9" max="9"/>
    <col width="18" customWidth="1" min="10" max="10"/>
    <col width="10" customWidth="1" min="11" max="11"/>
    <col width="10" customWidth="1" min="12" max="12"/>
    <col width="9" customWidth="1" min="13" max="13"/>
    <col width="9" customWidth="1" min="14" max="14"/>
    <col width="14" customWidth="1" min="15" max="15"/>
    <col width="10" customWidth="1" min="16" max="16"/>
    <col width="13" customWidth="1" min="17" max="17"/>
    <col width="11" customWidth="1" min="18" max="18"/>
    <col width="10" customWidth="1" min="19" max="19"/>
    <col width="13" customWidth="1" min="20" max="20"/>
    <col width="25" customWidth="1" min="21" max="21"/>
  </cols>
  <sheetData>
    <row r="1" ht="32" customHeight="1">
      <c r="A1" s="18" t="inlineStr">
        <is>
          <t>LoadMonitorSystem · Base de Dados de Carga</t>
        </is>
      </c>
      <c r="V1" s="4" t="n"/>
    </row>
    <row r="2" ht="36" customHeight="1">
      <c r="A2" s="19" t="inlineStr">
        <is>
          <t>Data</t>
        </is>
      </c>
      <c r="B2" s="19" t="inlineStr">
        <is>
          <t>Jogador</t>
        </is>
      </c>
      <c r="C2" s="19" t="inlineStr">
        <is>
          <t>Posição</t>
        </is>
      </c>
      <c r="D2" s="19" t="inlineStr">
        <is>
          <t>Tipo</t>
        </is>
      </c>
      <c r="E2" s="19" t="inlineStr">
        <is>
          <t>Dia MD</t>
        </is>
      </c>
      <c r="F2" s="19" t="inlineStr">
        <is>
          <t>Microciclo (Nr)</t>
        </is>
      </c>
      <c r="G2" s="19" t="inlineStr">
        <is>
          <t>Duração (min)</t>
        </is>
      </c>
      <c r="H2" s="19" t="inlineStr">
        <is>
          <t>PSE Sessão</t>
        </is>
      </c>
      <c r="I2" s="19" t="inlineStr">
        <is>
          <t>Carga Interna</t>
        </is>
      </c>
      <c r="J2" s="19" t="inlineStr">
        <is>
          <t>Distância Total (m)</t>
        </is>
      </c>
      <c r="K2" s="19" t="inlineStr">
        <is>
          <t>HSR (m)</t>
        </is>
      </c>
      <c r="L2" s="19" t="inlineStr">
        <is>
          <t>Sprint (m)</t>
        </is>
      </c>
      <c r="M2" s="19" t="inlineStr">
        <is>
          <t>Acc (n)</t>
        </is>
      </c>
      <c r="N2" s="19" t="inlineStr">
        <is>
          <t>Dcc (n)</t>
        </is>
      </c>
      <c r="O2" s="19" t="inlineStr">
        <is>
          <t>Vel. Máx (km/h)</t>
        </is>
      </c>
      <c r="P2" s="19" t="inlineStr">
        <is>
          <t>Sono (1-5)</t>
        </is>
      </c>
      <c r="Q2" s="19" t="inlineStr">
        <is>
          <t>Dor Musc. (1-5)</t>
        </is>
      </c>
      <c r="R2" s="19" t="inlineStr">
        <is>
          <t>Stress (1-5)</t>
        </is>
      </c>
      <c r="S2" s="19" t="inlineStr">
        <is>
          <t>Humor (1-5)</t>
        </is>
      </c>
      <c r="T2" s="19" t="inlineStr">
        <is>
          <t>Hooper Index
(0=Ótimo · 16=Mau)</t>
        </is>
      </c>
      <c r="U2" s="19" t="inlineStr">
        <is>
          <t>Observações</t>
        </is>
      </c>
      <c r="V2" s="4" t="n"/>
    </row>
    <row r="3" ht="18" customHeight="1">
      <c r="A3" s="20" t="inlineStr">
        <is>
          <t>15/01/2025</t>
        </is>
      </c>
      <c r="B3" s="10" t="inlineStr">
        <is>
          <t>Martins</t>
        </is>
      </c>
      <c r="C3" s="21" t="inlineStr">
        <is>
          <t>MC</t>
        </is>
      </c>
      <c r="D3" s="21" t="inlineStr">
        <is>
          <t>Treino</t>
        </is>
      </c>
      <c r="E3" s="21" t="inlineStr">
        <is>
          <t>MD-3</t>
        </is>
      </c>
      <c r="F3" s="22" t="n">
        <v>8</v>
      </c>
      <c r="G3" s="22" t="n">
        <v>85</v>
      </c>
      <c r="H3" s="23" t="n">
        <v>7</v>
      </c>
      <c r="I3" s="22">
        <f>G3*H3</f>
        <v/>
      </c>
      <c r="J3" s="24" t="n">
        <v>9200</v>
      </c>
      <c r="K3" s="24" t="n">
        <v>380</v>
      </c>
      <c r="L3" s="24" t="n">
        <v>72</v>
      </c>
      <c r="M3" s="22" t="n">
        <v>21</v>
      </c>
      <c r="N3" s="22" t="n">
        <v>18</v>
      </c>
      <c r="O3" s="23" t="n">
        <v>28.1</v>
      </c>
      <c r="P3" s="22" t="n">
        <v>4</v>
      </c>
      <c r="Q3" s="22" t="n">
        <v>3</v>
      </c>
      <c r="R3" s="22" t="n">
        <v>4</v>
      </c>
      <c r="S3" s="22" t="n">
        <v>4</v>
      </c>
      <c r="T3" s="23">
        <f>(5-P3)+(5-Q3)+(5-R3)+(5-S3)</f>
        <v/>
      </c>
      <c r="U3" s="21" t="inlineStr"/>
      <c r="V3" s="4" t="n"/>
    </row>
    <row r="4" ht="18" customHeight="1">
      <c r="A4" s="25" t="inlineStr">
        <is>
          <t>15/01/2025</t>
        </is>
      </c>
      <c r="B4" s="14" t="inlineStr">
        <is>
          <t>Silva</t>
        </is>
      </c>
      <c r="C4" s="26" t="inlineStr">
        <is>
          <t>DC</t>
        </is>
      </c>
      <c r="D4" s="26" t="inlineStr">
        <is>
          <t>Treino</t>
        </is>
      </c>
      <c r="E4" s="26" t="inlineStr">
        <is>
          <t>MD-3</t>
        </is>
      </c>
      <c r="F4" s="27" t="n">
        <v>8</v>
      </c>
      <c r="G4" s="27" t="n">
        <v>85</v>
      </c>
      <c r="H4" s="28" t="n">
        <v>7</v>
      </c>
      <c r="I4" s="27">
        <f>G4*H4</f>
        <v/>
      </c>
      <c r="J4" s="29" t="n">
        <v>9300</v>
      </c>
      <c r="K4" s="29" t="n">
        <v>405</v>
      </c>
      <c r="L4" s="29" t="n">
        <v>80</v>
      </c>
      <c r="M4" s="27" t="n">
        <v>22</v>
      </c>
      <c r="N4" s="27" t="n">
        <v>19</v>
      </c>
      <c r="O4" s="28" t="n">
        <v>27.8</v>
      </c>
      <c r="P4" s="27" t="n">
        <v>4</v>
      </c>
      <c r="Q4" s="27" t="n">
        <v>3</v>
      </c>
      <c r="R4" s="27" t="n">
        <v>4</v>
      </c>
      <c r="S4" s="27" t="n">
        <v>4</v>
      </c>
      <c r="T4" s="28">
        <f>(5-P4)+(5-Q4)+(5-R4)+(5-S4)</f>
        <v/>
      </c>
      <c r="U4" s="26" t="inlineStr"/>
      <c r="V4" s="4" t="n"/>
    </row>
    <row r="5" ht="18" customHeight="1">
      <c r="A5" s="20" t="inlineStr">
        <is>
          <t>15/01/2025</t>
        </is>
      </c>
      <c r="B5" s="10" t="inlineStr">
        <is>
          <t>Costa</t>
        </is>
      </c>
      <c r="C5" s="21" t="inlineStr">
        <is>
          <t>AV</t>
        </is>
      </c>
      <c r="D5" s="21" t="inlineStr">
        <is>
          <t>Treino</t>
        </is>
      </c>
      <c r="E5" s="21" t="inlineStr">
        <is>
          <t>MD-3</t>
        </is>
      </c>
      <c r="F5" s="22" t="n">
        <v>8</v>
      </c>
      <c r="G5" s="22" t="n">
        <v>85</v>
      </c>
      <c r="H5" s="23" t="n">
        <v>7</v>
      </c>
      <c r="I5" s="22">
        <f>G5*H5</f>
        <v/>
      </c>
      <c r="J5" s="24" t="n">
        <v>9400</v>
      </c>
      <c r="K5" s="24" t="n">
        <v>430</v>
      </c>
      <c r="L5" s="24" t="n">
        <v>88</v>
      </c>
      <c r="M5" s="22" t="n">
        <v>23</v>
      </c>
      <c r="N5" s="22" t="n">
        <v>20</v>
      </c>
      <c r="O5" s="23" t="n">
        <v>27.5</v>
      </c>
      <c r="P5" s="22" t="n">
        <v>4</v>
      </c>
      <c r="Q5" s="22" t="n">
        <v>3</v>
      </c>
      <c r="R5" s="22" t="n">
        <v>4</v>
      </c>
      <c r="S5" s="22" t="n">
        <v>4</v>
      </c>
      <c r="T5" s="23">
        <f>(5-P5)+(5-Q5)+(5-R5)+(5-S5)</f>
        <v/>
      </c>
      <c r="U5" s="21" t="inlineStr"/>
      <c r="V5" s="4" t="n"/>
    </row>
    <row r="6" ht="18" customHeight="1">
      <c r="A6" s="25" t="inlineStr">
        <is>
          <t>15/01/2025</t>
        </is>
      </c>
      <c r="B6" s="14" t="inlineStr">
        <is>
          <t>Ferreira</t>
        </is>
      </c>
      <c r="C6" s="26" t="inlineStr">
        <is>
          <t>GR</t>
        </is>
      </c>
      <c r="D6" s="26" t="inlineStr">
        <is>
          <t>Treino</t>
        </is>
      </c>
      <c r="E6" s="26" t="inlineStr">
        <is>
          <t>MD-3</t>
        </is>
      </c>
      <c r="F6" s="27" t="n">
        <v>8</v>
      </c>
      <c r="G6" s="27" t="n">
        <v>85</v>
      </c>
      <c r="H6" s="28" t="n">
        <v>7</v>
      </c>
      <c r="I6" s="27">
        <f>G6*H6</f>
        <v/>
      </c>
      <c r="J6" s="29" t="n">
        <v>9500</v>
      </c>
      <c r="K6" s="29" t="n">
        <v>455</v>
      </c>
      <c r="L6" s="29" t="n">
        <v>96</v>
      </c>
      <c r="M6" s="27" t="n">
        <v>24</v>
      </c>
      <c r="N6" s="27" t="n">
        <v>21</v>
      </c>
      <c r="O6" s="28" t="n">
        <v>27.2</v>
      </c>
      <c r="P6" s="27" t="n">
        <v>4</v>
      </c>
      <c r="Q6" s="27" t="n">
        <v>3</v>
      </c>
      <c r="R6" s="27" t="n">
        <v>4</v>
      </c>
      <c r="S6" s="27" t="n">
        <v>4</v>
      </c>
      <c r="T6" s="28">
        <f>(5-P6)+(5-Q6)+(5-R6)+(5-S6)</f>
        <v/>
      </c>
      <c r="U6" s="26" t="inlineStr"/>
      <c r="V6" s="4" t="n"/>
    </row>
    <row r="7" ht="18" customHeight="1">
      <c r="A7" s="20" t="inlineStr">
        <is>
          <t>15/01/2025</t>
        </is>
      </c>
      <c r="B7" s="10" t="inlineStr">
        <is>
          <t>Rodrigues</t>
        </is>
      </c>
      <c r="C7" s="21" t="inlineStr">
        <is>
          <t>MD</t>
        </is>
      </c>
      <c r="D7" s="21" t="inlineStr">
        <is>
          <t>Treino</t>
        </is>
      </c>
      <c r="E7" s="21" t="inlineStr">
        <is>
          <t>MD-3</t>
        </is>
      </c>
      <c r="F7" s="22" t="n">
        <v>8</v>
      </c>
      <c r="G7" s="22" t="n">
        <v>85</v>
      </c>
      <c r="H7" s="23" t="n">
        <v>7</v>
      </c>
      <c r="I7" s="22">
        <f>G7*H7</f>
        <v/>
      </c>
      <c r="J7" s="24" t="n">
        <v>9600</v>
      </c>
      <c r="K7" s="24" t="n">
        <v>480</v>
      </c>
      <c r="L7" s="24" t="n">
        <v>104</v>
      </c>
      <c r="M7" s="22" t="n">
        <v>25</v>
      </c>
      <c r="N7" s="22" t="n">
        <v>22</v>
      </c>
      <c r="O7" s="23" t="n">
        <v>26.9</v>
      </c>
      <c r="P7" s="22" t="n">
        <v>4</v>
      </c>
      <c r="Q7" s="22" t="n">
        <v>3</v>
      </c>
      <c r="R7" s="22" t="n">
        <v>4</v>
      </c>
      <c r="S7" s="22" t="n">
        <v>4</v>
      </c>
      <c r="T7" s="23">
        <f>(5-P7)+(5-Q7)+(5-R7)+(5-S7)</f>
        <v/>
      </c>
      <c r="U7" s="21" t="inlineStr"/>
      <c r="V7" s="4" t="n"/>
    </row>
    <row r="8" ht="18" customHeight="1">
      <c r="A8" s="20" t="inlineStr">
        <is>
          <t>16/01/2025</t>
        </is>
      </c>
      <c r="B8" s="10" t="inlineStr">
        <is>
          <t>Martins</t>
        </is>
      </c>
      <c r="C8" s="21" t="inlineStr">
        <is>
          <t>MC</t>
        </is>
      </c>
      <c r="D8" s="21" t="inlineStr">
        <is>
          <t>Treino</t>
        </is>
      </c>
      <c r="E8" s="21" t="inlineStr">
        <is>
          <t>MD-2</t>
        </is>
      </c>
      <c r="F8" s="22" t="n">
        <v>8</v>
      </c>
      <c r="G8" s="22" t="n">
        <v>75</v>
      </c>
      <c r="H8" s="23" t="n">
        <v>6</v>
      </c>
      <c r="I8" s="22">
        <f>G8*H8</f>
        <v/>
      </c>
      <c r="J8" s="24" t="n">
        <v>8100</v>
      </c>
      <c r="K8" s="24" t="n">
        <v>290</v>
      </c>
      <c r="L8" s="24" t="n">
        <v>45</v>
      </c>
      <c r="M8" s="22" t="n">
        <v>17</v>
      </c>
      <c r="N8" s="22" t="n">
        <v>14</v>
      </c>
      <c r="O8" s="23" t="n">
        <v>26.8</v>
      </c>
      <c r="P8" s="22" t="n">
        <v>3</v>
      </c>
      <c r="Q8" s="22" t="n">
        <v>3</v>
      </c>
      <c r="R8" s="22" t="n">
        <v>3</v>
      </c>
      <c r="S8" s="22" t="n">
        <v>4</v>
      </c>
      <c r="T8" s="23">
        <f>(5-P8)+(5-Q8)+(5-R8)+(5-S8)</f>
        <v/>
      </c>
      <c r="U8" s="21" t="inlineStr"/>
      <c r="V8" s="4" t="n"/>
    </row>
    <row r="9" ht="18" customHeight="1">
      <c r="A9" s="25" t="inlineStr">
        <is>
          <t>16/01/2025</t>
        </is>
      </c>
      <c r="B9" s="14" t="inlineStr">
        <is>
          <t>Silva</t>
        </is>
      </c>
      <c r="C9" s="26" t="inlineStr">
        <is>
          <t>DC</t>
        </is>
      </c>
      <c r="D9" s="26" t="inlineStr">
        <is>
          <t>Treino</t>
        </is>
      </c>
      <c r="E9" s="26" t="inlineStr">
        <is>
          <t>MD-2</t>
        </is>
      </c>
      <c r="F9" s="27" t="n">
        <v>8</v>
      </c>
      <c r="G9" s="27" t="n">
        <v>75</v>
      </c>
      <c r="H9" s="28" t="n">
        <v>6</v>
      </c>
      <c r="I9" s="27">
        <f>G9*H9</f>
        <v/>
      </c>
      <c r="J9" s="29" t="n">
        <v>8200</v>
      </c>
      <c r="K9" s="29" t="n">
        <v>315</v>
      </c>
      <c r="L9" s="29" t="n">
        <v>53</v>
      </c>
      <c r="M9" s="27" t="n">
        <v>18</v>
      </c>
      <c r="N9" s="27" t="n">
        <v>15</v>
      </c>
      <c r="O9" s="28" t="n">
        <v>26.5</v>
      </c>
      <c r="P9" s="27" t="n">
        <v>3</v>
      </c>
      <c r="Q9" s="27" t="n">
        <v>3</v>
      </c>
      <c r="R9" s="27" t="n">
        <v>3</v>
      </c>
      <c r="S9" s="27" t="n">
        <v>4</v>
      </c>
      <c r="T9" s="28">
        <f>(5-P9)+(5-Q9)+(5-R9)+(5-S9)</f>
        <v/>
      </c>
      <c r="U9" s="26" t="inlineStr"/>
      <c r="V9" s="4" t="n"/>
    </row>
    <row r="10" ht="18" customHeight="1">
      <c r="A10" s="20" t="inlineStr">
        <is>
          <t>16/01/2025</t>
        </is>
      </c>
      <c r="B10" s="10" t="inlineStr">
        <is>
          <t>Costa</t>
        </is>
      </c>
      <c r="C10" s="21" t="inlineStr">
        <is>
          <t>AV</t>
        </is>
      </c>
      <c r="D10" s="21" t="inlineStr">
        <is>
          <t>Treino</t>
        </is>
      </c>
      <c r="E10" s="21" t="inlineStr">
        <is>
          <t>MD-2</t>
        </is>
      </c>
      <c r="F10" s="22" t="n">
        <v>8</v>
      </c>
      <c r="G10" s="22" t="n">
        <v>75</v>
      </c>
      <c r="H10" s="23" t="n">
        <v>6</v>
      </c>
      <c r="I10" s="22">
        <f>G10*H10</f>
        <v/>
      </c>
      <c r="J10" s="24" t="n">
        <v>8300</v>
      </c>
      <c r="K10" s="24" t="n">
        <v>340</v>
      </c>
      <c r="L10" s="24" t="n">
        <v>61</v>
      </c>
      <c r="M10" s="22" t="n">
        <v>19</v>
      </c>
      <c r="N10" s="22" t="n">
        <v>16</v>
      </c>
      <c r="O10" s="23" t="n">
        <v>26.2</v>
      </c>
      <c r="P10" s="22" t="n">
        <v>3</v>
      </c>
      <c r="Q10" s="22" t="n">
        <v>3</v>
      </c>
      <c r="R10" s="22" t="n">
        <v>3</v>
      </c>
      <c r="S10" s="22" t="n">
        <v>4</v>
      </c>
      <c r="T10" s="23">
        <f>(5-P10)+(5-Q10)+(5-R10)+(5-S10)</f>
        <v/>
      </c>
      <c r="U10" s="21" t="inlineStr"/>
      <c r="V10" s="4" t="n"/>
    </row>
    <row r="11" ht="18" customHeight="1">
      <c r="A11" s="25" t="inlineStr">
        <is>
          <t>16/01/2025</t>
        </is>
      </c>
      <c r="B11" s="14" t="inlineStr">
        <is>
          <t>Ferreira</t>
        </is>
      </c>
      <c r="C11" s="26" t="inlineStr">
        <is>
          <t>GR</t>
        </is>
      </c>
      <c r="D11" s="26" t="inlineStr">
        <is>
          <t>Treino</t>
        </is>
      </c>
      <c r="E11" s="26" t="inlineStr">
        <is>
          <t>MD-2</t>
        </is>
      </c>
      <c r="F11" s="27" t="n">
        <v>8</v>
      </c>
      <c r="G11" s="27" t="n">
        <v>75</v>
      </c>
      <c r="H11" s="28" t="n">
        <v>6</v>
      </c>
      <c r="I11" s="27">
        <f>G11*H11</f>
        <v/>
      </c>
      <c r="J11" s="29" t="n">
        <v>8400</v>
      </c>
      <c r="K11" s="29" t="n">
        <v>365</v>
      </c>
      <c r="L11" s="29" t="n">
        <v>69</v>
      </c>
      <c r="M11" s="27" t="n">
        <v>20</v>
      </c>
      <c r="N11" s="27" t="n">
        <v>17</v>
      </c>
      <c r="O11" s="28" t="n">
        <v>25.9</v>
      </c>
      <c r="P11" s="27" t="n">
        <v>3</v>
      </c>
      <c r="Q11" s="27" t="n">
        <v>3</v>
      </c>
      <c r="R11" s="27" t="n">
        <v>3</v>
      </c>
      <c r="S11" s="27" t="n">
        <v>4</v>
      </c>
      <c r="T11" s="28">
        <f>(5-P11)+(5-Q11)+(5-R11)+(5-S11)</f>
        <v/>
      </c>
      <c r="U11" s="26" t="inlineStr"/>
      <c r="V11" s="4" t="n"/>
    </row>
    <row r="12" ht="18" customHeight="1">
      <c r="A12" s="20" t="inlineStr">
        <is>
          <t>16/01/2025</t>
        </is>
      </c>
      <c r="B12" s="10" t="inlineStr">
        <is>
          <t>Rodrigues</t>
        </is>
      </c>
      <c r="C12" s="21" t="inlineStr">
        <is>
          <t>MD</t>
        </is>
      </c>
      <c r="D12" s="21" t="inlineStr">
        <is>
          <t>Treino</t>
        </is>
      </c>
      <c r="E12" s="21" t="inlineStr">
        <is>
          <t>MD-2</t>
        </is>
      </c>
      <c r="F12" s="22" t="n">
        <v>8</v>
      </c>
      <c r="G12" s="22" t="n">
        <v>75</v>
      </c>
      <c r="H12" s="23" t="n">
        <v>6</v>
      </c>
      <c r="I12" s="22">
        <f>G12*H12</f>
        <v/>
      </c>
      <c r="J12" s="24" t="n">
        <v>8500</v>
      </c>
      <c r="K12" s="24" t="n">
        <v>390</v>
      </c>
      <c r="L12" s="24" t="n">
        <v>77</v>
      </c>
      <c r="M12" s="22" t="n">
        <v>21</v>
      </c>
      <c r="N12" s="22" t="n">
        <v>18</v>
      </c>
      <c r="O12" s="23" t="n">
        <v>25.6</v>
      </c>
      <c r="P12" s="22" t="n">
        <v>3</v>
      </c>
      <c r="Q12" s="22" t="n">
        <v>3</v>
      </c>
      <c r="R12" s="22" t="n">
        <v>3</v>
      </c>
      <c r="S12" s="22" t="n">
        <v>4</v>
      </c>
      <c r="T12" s="23">
        <f>(5-P12)+(5-Q12)+(5-R12)+(5-S12)</f>
        <v/>
      </c>
      <c r="U12" s="21" t="inlineStr"/>
      <c r="V12" s="4" t="n"/>
    </row>
    <row r="13" ht="18" customHeight="1">
      <c r="A13" s="20" t="inlineStr">
        <is>
          <t>18/01/2025</t>
        </is>
      </c>
      <c r="B13" s="10" t="inlineStr">
        <is>
          <t>Martins</t>
        </is>
      </c>
      <c r="C13" s="21" t="inlineStr">
        <is>
          <t>MC</t>
        </is>
      </c>
      <c r="D13" s="21" t="inlineStr">
        <is>
          <t>Jogo</t>
        </is>
      </c>
      <c r="E13" s="21" t="inlineStr">
        <is>
          <t>MD</t>
        </is>
      </c>
      <c r="F13" s="22" t="n">
        <v>8</v>
      </c>
      <c r="G13" s="22" t="n">
        <v>90</v>
      </c>
      <c r="H13" s="23" t="n">
        <v>8</v>
      </c>
      <c r="I13" s="22">
        <f>G13*H13</f>
        <v/>
      </c>
      <c r="J13" s="24" t="n">
        <v>10800</v>
      </c>
      <c r="K13" s="24" t="n">
        <v>520</v>
      </c>
      <c r="L13" s="24" t="n">
        <v>95</v>
      </c>
      <c r="M13" s="22" t="n">
        <v>25</v>
      </c>
      <c r="N13" s="22" t="n">
        <v>22</v>
      </c>
      <c r="O13" s="23" t="n">
        <v>31.2</v>
      </c>
      <c r="P13" s="22" t="n">
        <v>2</v>
      </c>
      <c r="Q13" s="22" t="n">
        <v>1</v>
      </c>
      <c r="R13" s="22" t="n">
        <v>2</v>
      </c>
      <c r="S13" s="22" t="n">
        <v>2</v>
      </c>
      <c r="T13" s="23">
        <f>(5-P13)+(5-Q13)+(5-R13)+(5-S13)</f>
        <v/>
      </c>
      <c r="U13" s="21" t="inlineStr"/>
      <c r="V13" s="4" t="n"/>
    </row>
    <row r="14" ht="18" customHeight="1">
      <c r="A14" s="25" t="inlineStr">
        <is>
          <t>18/01/2025</t>
        </is>
      </c>
      <c r="B14" s="14" t="inlineStr">
        <is>
          <t>Silva</t>
        </is>
      </c>
      <c r="C14" s="26" t="inlineStr">
        <is>
          <t>DC</t>
        </is>
      </c>
      <c r="D14" s="26" t="inlineStr">
        <is>
          <t>Jogo</t>
        </is>
      </c>
      <c r="E14" s="26" t="inlineStr">
        <is>
          <t>MD</t>
        </is>
      </c>
      <c r="F14" s="27" t="n">
        <v>8</v>
      </c>
      <c r="G14" s="27" t="n">
        <v>90</v>
      </c>
      <c r="H14" s="28" t="n">
        <v>8</v>
      </c>
      <c r="I14" s="27">
        <f>G14*H14</f>
        <v/>
      </c>
      <c r="J14" s="29" t="n">
        <v>10900</v>
      </c>
      <c r="K14" s="29" t="n">
        <v>545</v>
      </c>
      <c r="L14" s="29" t="n">
        <v>103</v>
      </c>
      <c r="M14" s="27" t="n">
        <v>26</v>
      </c>
      <c r="N14" s="27" t="n">
        <v>23</v>
      </c>
      <c r="O14" s="28" t="n">
        <v>30.9</v>
      </c>
      <c r="P14" s="27" t="n">
        <v>2</v>
      </c>
      <c r="Q14" s="27" t="n">
        <v>1</v>
      </c>
      <c r="R14" s="27" t="n">
        <v>2</v>
      </c>
      <c r="S14" s="27" t="n">
        <v>2</v>
      </c>
      <c r="T14" s="28">
        <f>(5-P14)+(5-Q14)+(5-R14)+(5-S14)</f>
        <v/>
      </c>
      <c r="U14" s="26" t="inlineStr"/>
      <c r="V14" s="4" t="n"/>
    </row>
    <row r="15" ht="18" customHeight="1">
      <c r="A15" s="20" t="inlineStr">
        <is>
          <t>18/01/2025</t>
        </is>
      </c>
      <c r="B15" s="10" t="inlineStr">
        <is>
          <t>Costa</t>
        </is>
      </c>
      <c r="C15" s="21" t="inlineStr">
        <is>
          <t>AV</t>
        </is>
      </c>
      <c r="D15" s="21" t="inlineStr">
        <is>
          <t>Jogo</t>
        </is>
      </c>
      <c r="E15" s="21" t="inlineStr">
        <is>
          <t>MD</t>
        </is>
      </c>
      <c r="F15" s="22" t="n">
        <v>8</v>
      </c>
      <c r="G15" s="22" t="n">
        <v>90</v>
      </c>
      <c r="H15" s="23" t="n">
        <v>8</v>
      </c>
      <c r="I15" s="22">
        <f>G15*H15</f>
        <v/>
      </c>
      <c r="J15" s="24" t="n">
        <v>11000</v>
      </c>
      <c r="K15" s="24" t="n">
        <v>570</v>
      </c>
      <c r="L15" s="24" t="n">
        <v>111</v>
      </c>
      <c r="M15" s="22" t="n">
        <v>27</v>
      </c>
      <c r="N15" s="22" t="n">
        <v>24</v>
      </c>
      <c r="O15" s="23" t="n">
        <v>30.6</v>
      </c>
      <c r="P15" s="22" t="n">
        <v>2</v>
      </c>
      <c r="Q15" s="22" t="n">
        <v>1</v>
      </c>
      <c r="R15" s="22" t="n">
        <v>2</v>
      </c>
      <c r="S15" s="22" t="n">
        <v>2</v>
      </c>
      <c r="T15" s="23">
        <f>(5-P15)+(5-Q15)+(5-R15)+(5-S15)</f>
        <v/>
      </c>
      <c r="U15" s="21" t="inlineStr"/>
      <c r="V15" s="4" t="n"/>
    </row>
    <row r="16" ht="18" customHeight="1">
      <c r="A16" s="25" t="inlineStr">
        <is>
          <t>18/01/2025</t>
        </is>
      </c>
      <c r="B16" s="14" t="inlineStr">
        <is>
          <t>Ferreira</t>
        </is>
      </c>
      <c r="C16" s="26" t="inlineStr">
        <is>
          <t>GR</t>
        </is>
      </c>
      <c r="D16" s="26" t="inlineStr">
        <is>
          <t>Jogo</t>
        </is>
      </c>
      <c r="E16" s="26" t="inlineStr">
        <is>
          <t>MD</t>
        </is>
      </c>
      <c r="F16" s="27" t="n">
        <v>8</v>
      </c>
      <c r="G16" s="27" t="n">
        <v>90</v>
      </c>
      <c r="H16" s="28" t="n">
        <v>8</v>
      </c>
      <c r="I16" s="27">
        <f>G16*H16</f>
        <v/>
      </c>
      <c r="J16" s="29" t="n">
        <v>11100</v>
      </c>
      <c r="K16" s="29" t="n">
        <v>595</v>
      </c>
      <c r="L16" s="29" t="n">
        <v>119</v>
      </c>
      <c r="M16" s="27" t="n">
        <v>28</v>
      </c>
      <c r="N16" s="27" t="n">
        <v>25</v>
      </c>
      <c r="O16" s="28" t="n">
        <v>30.3</v>
      </c>
      <c r="P16" s="27" t="n">
        <v>2</v>
      </c>
      <c r="Q16" s="27" t="n">
        <v>1</v>
      </c>
      <c r="R16" s="27" t="n">
        <v>2</v>
      </c>
      <c r="S16" s="27" t="n">
        <v>2</v>
      </c>
      <c r="T16" s="28">
        <f>(5-P16)+(5-Q16)+(5-R16)+(5-S16)</f>
        <v/>
      </c>
      <c r="U16" s="26" t="inlineStr"/>
      <c r="V16" s="4" t="n"/>
    </row>
    <row r="17" ht="18" customHeight="1">
      <c r="A17" s="20" t="inlineStr">
        <is>
          <t>18/01/2025</t>
        </is>
      </c>
      <c r="B17" s="10" t="inlineStr">
        <is>
          <t>Rodrigues</t>
        </is>
      </c>
      <c r="C17" s="21" t="inlineStr">
        <is>
          <t>MD</t>
        </is>
      </c>
      <c r="D17" s="21" t="inlineStr">
        <is>
          <t>Jogo</t>
        </is>
      </c>
      <c r="E17" s="21" t="inlineStr">
        <is>
          <t>MD</t>
        </is>
      </c>
      <c r="F17" s="22" t="n">
        <v>8</v>
      </c>
      <c r="G17" s="22" t="n">
        <v>90</v>
      </c>
      <c r="H17" s="23" t="n">
        <v>8</v>
      </c>
      <c r="I17" s="22">
        <f>G17*H17</f>
        <v/>
      </c>
      <c r="J17" s="24" t="n">
        <v>11200</v>
      </c>
      <c r="K17" s="24" t="n">
        <v>620</v>
      </c>
      <c r="L17" s="24" t="n">
        <v>127</v>
      </c>
      <c r="M17" s="22" t="n">
        <v>29</v>
      </c>
      <c r="N17" s="22" t="n">
        <v>26</v>
      </c>
      <c r="O17" s="23" t="n">
        <v>30</v>
      </c>
      <c r="P17" s="22" t="n">
        <v>2</v>
      </c>
      <c r="Q17" s="22" t="n">
        <v>1</v>
      </c>
      <c r="R17" s="22" t="n">
        <v>2</v>
      </c>
      <c r="S17" s="22" t="n">
        <v>2</v>
      </c>
      <c r="T17" s="23">
        <f>(5-P17)+(5-Q17)+(5-R17)+(5-S17)</f>
        <v/>
      </c>
      <c r="U17" s="21" t="inlineStr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</row>
  </sheetData>
  <mergeCells count="1">
    <mergeCell ref="A1:U1"/>
  </mergeCells>
  <dataValidations count="4">
    <dataValidation sqref="D3:D500" showDropDown="0" showInputMessage="0" showErrorMessage="0" allowBlank="1" type="list">
      <formula1>"Treino,Jogo"</formula1>
    </dataValidation>
    <dataValidation sqref="E3:E500" showDropDown="0" showInputMessage="0" showErrorMessage="0" allowBlank="1" type="list">
      <formula1>"MD-5,MD-4,MD-3,MD-2,MD-1,MD,MD+1,MD+2"</formula1>
    </dataValidation>
    <dataValidation sqref="H3:H500" showDropDown="0" showInputMessage="0" showErrorMessage="0" allowBlank="1" error="PSE entre 1 e 10" type="whole" operator="between">
      <formula1>1</formula1>
      <formula2>10</formula2>
    </dataValidation>
    <dataValidation sqref="P3:S500" showDropDown="0" showInputMessage="0" showErrorMessage="0" allowBlank="1" error="Valor entre 1 e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A1:P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6" customWidth="1" min="5" max="5"/>
    <col width="18" customWidth="1" min="6" max="6"/>
    <col width="11" customWidth="1" min="7" max="7"/>
    <col width="15" customWidth="1" min="8" max="8"/>
    <col width="14" customWidth="1" min="9" max="9"/>
    <col width="16" customWidth="1" min="10" max="10"/>
    <col width="17" customWidth="1" min="11" max="11"/>
    <col width="11" customWidth="1" min="12" max="12"/>
    <col width="14" customWidth="1" min="13" max="13"/>
    <col width="25" customWidth="1" min="14" max="14"/>
  </cols>
  <sheetData>
    <row r="1" ht="32" customHeight="1">
      <c r="A1" s="18" t="inlineStr">
        <is>
          <t>LoadMonitorSystem · Testes Neuromusculares (CMJ / SJ / Drop Jump)</t>
        </is>
      </c>
      <c r="O1" s="4" t="n"/>
      <c r="P1" s="4" t="n"/>
    </row>
    <row r="2" ht="30" customHeight="1">
      <c r="A2" s="19" t="inlineStr">
        <is>
          <t>Data</t>
        </is>
      </c>
      <c r="B2" s="19" t="inlineStr">
        <is>
          <t>Jogador</t>
        </is>
      </c>
      <c r="C2" s="19" t="inlineStr">
        <is>
          <t>Posição</t>
        </is>
      </c>
      <c r="D2" s="19" t="inlineStr">
        <is>
          <t>Tipo Teste</t>
        </is>
      </c>
      <c r="E2" s="19" t="inlineStr">
        <is>
          <t>Altura Salto (cm)</t>
        </is>
      </c>
      <c r="F2" s="19" t="inlineStr">
        <is>
          <t>Potência Rel. (W/kg)</t>
        </is>
      </c>
      <c r="G2" s="19" t="inlineStr">
        <is>
          <t>RSI (m/s)</t>
        </is>
      </c>
      <c r="H2" s="19" t="inlineStr">
        <is>
          <t>T. Contacto (ms)</t>
        </is>
      </c>
      <c r="I2" s="19" t="inlineStr">
        <is>
          <t>Assimetria (%)</t>
        </is>
      </c>
      <c r="J2" s="19" t="inlineStr">
        <is>
          <t>Fase Excêntrica (s)</t>
        </is>
      </c>
      <c r="K2" s="19" t="inlineStr">
        <is>
          <t>Fase Concêntrica (s)</t>
        </is>
      </c>
      <c r="L2" s="19" t="inlineStr">
        <is>
          <t>RFD (N/s)</t>
        </is>
      </c>
      <c r="M2" s="19" t="inlineStr">
        <is>
          <t>Microciclo (Nr)</t>
        </is>
      </c>
      <c r="N2" s="19" t="inlineStr">
        <is>
          <t>Observações</t>
        </is>
      </c>
      <c r="O2" s="4" t="n"/>
      <c r="P2" s="4" t="n"/>
    </row>
    <row r="3" ht="18" customHeight="1">
      <c r="A3" s="20" t="inlineStr">
        <is>
          <t>15/01/2025</t>
        </is>
      </c>
      <c r="B3" s="10" t="inlineStr">
        <is>
          <t>Martins</t>
        </is>
      </c>
      <c r="C3" s="21" t="inlineStr">
        <is>
          <t>MC</t>
        </is>
      </c>
      <c r="D3" s="21" t="inlineStr">
        <is>
          <t>CMJ</t>
        </is>
      </c>
      <c r="E3" s="23" t="n">
        <v>36.2</v>
      </c>
      <c r="F3" s="23" t="n">
        <v>40.1</v>
      </c>
      <c r="G3" s="30" t="n">
        <v>1.82</v>
      </c>
      <c r="H3" s="22" t="n">
        <v>195</v>
      </c>
      <c r="I3" s="23" t="n">
        <v>3.2</v>
      </c>
      <c r="J3" s="30" t="n">
        <v>0.71</v>
      </c>
      <c r="K3" s="30" t="n">
        <v>0.32</v>
      </c>
      <c r="L3" s="24" t="n">
        <v>3450</v>
      </c>
      <c r="M3" s="22" t="n">
        <v>8</v>
      </c>
      <c r="N3" s="21" t="inlineStr"/>
      <c r="O3" s="4" t="n"/>
      <c r="P3" s="4" t="n"/>
    </row>
    <row r="4" ht="18" customHeight="1">
      <c r="A4" s="25" t="inlineStr">
        <is>
          <t>15/01/2025</t>
        </is>
      </c>
      <c r="B4" s="14" t="inlineStr">
        <is>
          <t>Silva</t>
        </is>
      </c>
      <c r="C4" s="26" t="inlineStr">
        <is>
          <t>DC</t>
        </is>
      </c>
      <c r="D4" s="26" t="inlineStr">
        <is>
          <t>CMJ</t>
        </is>
      </c>
      <c r="E4" s="28" t="n">
        <v>32.8</v>
      </c>
      <c r="F4" s="28" t="n">
        <v>37.4</v>
      </c>
      <c r="G4" s="31" t="n">
        <v>1.65</v>
      </c>
      <c r="H4" s="27" t="n">
        <v>210</v>
      </c>
      <c r="I4" s="28" t="n">
        <v>5.1</v>
      </c>
      <c r="J4" s="31" t="n">
        <v>0.68</v>
      </c>
      <c r="K4" s="31" t="n">
        <v>0.35</v>
      </c>
      <c r="L4" s="29" t="n">
        <v>3120</v>
      </c>
      <c r="M4" s="27" t="n">
        <v>8</v>
      </c>
      <c r="N4" s="26" t="inlineStr"/>
      <c r="O4" s="4" t="n"/>
      <c r="P4" s="4" t="n"/>
    </row>
    <row r="5" ht="18" customHeight="1">
      <c r="A5" s="20" t="inlineStr">
        <is>
          <t>15/01/2025</t>
        </is>
      </c>
      <c r="B5" s="10" t="inlineStr">
        <is>
          <t>Costa</t>
        </is>
      </c>
      <c r="C5" s="21" t="inlineStr">
        <is>
          <t>AV</t>
        </is>
      </c>
      <c r="D5" s="21" t="inlineStr">
        <is>
          <t>CMJ</t>
        </is>
      </c>
      <c r="E5" s="23" t="n">
        <v>39.1</v>
      </c>
      <c r="F5" s="23" t="n">
        <v>44.2</v>
      </c>
      <c r="G5" s="30" t="n">
        <v>1.95</v>
      </c>
      <c r="H5" s="22" t="n">
        <v>188</v>
      </c>
      <c r="I5" s="23" t="n">
        <v>2.8</v>
      </c>
      <c r="J5" s="30" t="n">
        <v>0.74</v>
      </c>
      <c r="K5" s="30" t="n">
        <v>0.29</v>
      </c>
      <c r="L5" s="24" t="n">
        <v>3780</v>
      </c>
      <c r="M5" s="22" t="n">
        <v>8</v>
      </c>
      <c r="N5" s="21" t="inlineStr"/>
      <c r="O5" s="4" t="n"/>
      <c r="P5" s="4" t="n"/>
    </row>
    <row r="6" ht="18" customHeight="1">
      <c r="A6" s="25" t="inlineStr">
        <is>
          <t>15/01/2025</t>
        </is>
      </c>
      <c r="B6" s="14" t="inlineStr">
        <is>
          <t>Ferreira</t>
        </is>
      </c>
      <c r="C6" s="26" t="inlineStr">
        <is>
          <t>GR</t>
        </is>
      </c>
      <c r="D6" s="26" t="inlineStr">
        <is>
          <t>CMJ</t>
        </is>
      </c>
      <c r="E6" s="28" t="n">
        <v>29.4</v>
      </c>
      <c r="F6" s="28" t="n">
        <v>34.1</v>
      </c>
      <c r="G6" s="31" t="n">
        <v>1.48</v>
      </c>
      <c r="H6" s="27" t="n">
        <v>225</v>
      </c>
      <c r="I6" s="28" t="n">
        <v>4.4</v>
      </c>
      <c r="J6" s="31" t="n">
        <v>0.82</v>
      </c>
      <c r="K6" s="31" t="n">
        <v>0.38</v>
      </c>
      <c r="L6" s="29" t="n">
        <v>2890</v>
      </c>
      <c r="M6" s="27" t="n">
        <v>8</v>
      </c>
      <c r="N6" s="26" t="inlineStr"/>
      <c r="O6" s="4" t="n"/>
      <c r="P6" s="4" t="n"/>
    </row>
    <row r="7" ht="18" customHeight="1">
      <c r="A7" s="20" t="inlineStr">
        <is>
          <t>15/01/2025</t>
        </is>
      </c>
      <c r="B7" s="10" t="inlineStr">
        <is>
          <t>Rodrigues</t>
        </is>
      </c>
      <c r="C7" s="21" t="inlineStr">
        <is>
          <t>MD</t>
        </is>
      </c>
      <c r="D7" s="21" t="inlineStr">
        <is>
          <t>CMJ</t>
        </is>
      </c>
      <c r="E7" s="23" t="n">
        <v>34.7</v>
      </c>
      <c r="F7" s="23" t="n">
        <v>39</v>
      </c>
      <c r="G7" s="30" t="n">
        <v>1.74</v>
      </c>
      <c r="H7" s="22" t="n">
        <v>202</v>
      </c>
      <c r="I7" s="23" t="n">
        <v>3.9</v>
      </c>
      <c r="J7" s="30" t="n">
        <v>0.7</v>
      </c>
      <c r="K7" s="30" t="n">
        <v>0.33</v>
      </c>
      <c r="L7" s="24" t="n">
        <v>3240</v>
      </c>
      <c r="M7" s="22" t="n">
        <v>8</v>
      </c>
      <c r="N7" s="21" t="inlineStr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</sheetData>
  <mergeCells count="1">
    <mergeCell ref="A1:N1"/>
  </mergeCells>
  <dataValidations count="1">
    <dataValidation sqref="D3:D200" showDropDown="0" showInputMessage="0" showErrorMessage="0" allowBlank="1" type="list">
      <formula1>"CMJ,SJ,Drop Jump"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L1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9" customWidth="1" min="7" max="7"/>
    <col width="9" customWidth="1" min="8" max="8"/>
    <col width="11" customWidth="1" min="9" max="9"/>
    <col width="14" customWidth="1" min="10" max="10"/>
  </cols>
  <sheetData>
    <row r="1" ht="32" customHeight="1">
      <c r="A1" s="18" t="inlineStr">
        <is>
          <t>LoadMonitorSystem · Carga Planeada por Microciclo e Dia MD</t>
        </is>
      </c>
      <c r="K1" s="4" t="n"/>
      <c r="L1" s="4" t="n"/>
    </row>
    <row r="2" ht="22" customHeight="1">
      <c r="A2" s="32" t="inlineStr">
        <is>
          <t>Define a carga planeada para cada Dia MD — a app compara com o realizado automaticamente</t>
        </is>
      </c>
      <c r="K2" s="4" t="n"/>
      <c r="L2" s="4" t="n"/>
    </row>
    <row r="3" ht="28" customHeight="1">
      <c r="A3" s="19" t="inlineStr">
        <is>
          <t>Microciclo (Nr)</t>
        </is>
      </c>
      <c r="B3" s="19" t="inlineStr">
        <is>
          <t>Dia MD</t>
        </is>
      </c>
      <c r="C3" s="19" t="inlineStr">
        <is>
          <t>Duração (min)</t>
        </is>
      </c>
      <c r="D3" s="19" t="inlineStr">
        <is>
          <t>Distância (m)</t>
        </is>
      </c>
      <c r="E3" s="19" t="inlineStr">
        <is>
          <t>HSR (m)</t>
        </is>
      </c>
      <c r="F3" s="19" t="inlineStr">
        <is>
          <t>Sprint (m)</t>
        </is>
      </c>
      <c r="G3" s="19" t="inlineStr">
        <is>
          <t>Acc (n)</t>
        </is>
      </c>
      <c r="H3" s="19" t="inlineStr">
        <is>
          <t>Dcc (n)</t>
        </is>
      </c>
      <c r="I3" s="19" t="inlineStr">
        <is>
          <t>PSE Sessão</t>
        </is>
      </c>
      <c r="J3" s="19" t="inlineStr">
        <is>
          <t>Carga Interna</t>
        </is>
      </c>
      <c r="K3" s="4" t="n"/>
      <c r="L3" s="4" t="n"/>
    </row>
    <row r="4" ht="18" customHeight="1">
      <c r="A4" s="21" t="n">
        <v>8</v>
      </c>
      <c r="B4" s="21" t="inlineStr">
        <is>
          <t>MD-5</t>
        </is>
      </c>
      <c r="C4" s="21" t="n">
        <v>75</v>
      </c>
      <c r="D4" s="21" t="n">
        <v>7200</v>
      </c>
      <c r="E4" s="21" t="n">
        <v>280</v>
      </c>
      <c r="F4" s="21" t="n">
        <v>40</v>
      </c>
      <c r="G4" s="21" t="n">
        <v>18</v>
      </c>
      <c r="H4" s="21" t="n">
        <v>15</v>
      </c>
      <c r="I4" s="21" t="n">
        <v>6</v>
      </c>
      <c r="J4" s="21" t="n">
        <v>480</v>
      </c>
      <c r="K4" s="4" t="n"/>
      <c r="L4" s="4" t="n"/>
    </row>
    <row r="5" ht="18" customHeight="1">
      <c r="A5" s="26" t="n">
        <v>8</v>
      </c>
      <c r="B5" s="26" t="inlineStr">
        <is>
          <t>MD-4</t>
        </is>
      </c>
      <c r="C5" s="26" t="n">
        <v>90</v>
      </c>
      <c r="D5" s="26" t="n">
        <v>8500</v>
      </c>
      <c r="E5" s="26" t="n">
        <v>350</v>
      </c>
      <c r="F5" s="26" t="n">
        <v>60</v>
      </c>
      <c r="G5" s="26" t="n">
        <v>22</v>
      </c>
      <c r="H5" s="26" t="n">
        <v>18</v>
      </c>
      <c r="I5" s="26" t="n">
        <v>7</v>
      </c>
      <c r="J5" s="26" t="n">
        <v>560</v>
      </c>
      <c r="K5" s="4" t="n"/>
      <c r="L5" s="4" t="n"/>
    </row>
    <row r="6" ht="18" customHeight="1">
      <c r="A6" s="21" t="n">
        <v>8</v>
      </c>
      <c r="B6" s="21" t="inlineStr">
        <is>
          <t>MD-3</t>
        </is>
      </c>
      <c r="C6" s="21" t="n">
        <v>85</v>
      </c>
      <c r="D6" s="21" t="n">
        <v>9000</v>
      </c>
      <c r="E6" s="21" t="n">
        <v>400</v>
      </c>
      <c r="F6" s="21" t="n">
        <v>70</v>
      </c>
      <c r="G6" s="21" t="n">
        <v>24</v>
      </c>
      <c r="H6" s="21" t="n">
        <v>20</v>
      </c>
      <c r="I6" s="21" t="n">
        <v>7</v>
      </c>
      <c r="J6" s="21" t="n">
        <v>595</v>
      </c>
      <c r="K6" s="4" t="n"/>
      <c r="L6" s="4" t="n"/>
    </row>
    <row r="7" ht="18" customHeight="1">
      <c r="A7" s="26" t="n">
        <v>8</v>
      </c>
      <c r="B7" s="26" t="inlineStr">
        <is>
          <t>MD-2</t>
        </is>
      </c>
      <c r="C7" s="26" t="n">
        <v>70</v>
      </c>
      <c r="D7" s="26" t="n">
        <v>7500</v>
      </c>
      <c r="E7" s="26" t="n">
        <v>300</v>
      </c>
      <c r="F7" s="26" t="n">
        <v>50</v>
      </c>
      <c r="G7" s="26" t="n">
        <v>19</v>
      </c>
      <c r="H7" s="26" t="n">
        <v>16</v>
      </c>
      <c r="I7" s="26" t="n">
        <v>6</v>
      </c>
      <c r="J7" s="26" t="n">
        <v>490</v>
      </c>
      <c r="K7" s="4" t="n"/>
      <c r="L7" s="4" t="n"/>
    </row>
    <row r="8" ht="18" customHeight="1">
      <c r="A8" s="21" t="n">
        <v>8</v>
      </c>
      <c r="B8" s="21" t="inlineStr">
        <is>
          <t>MD-1</t>
        </is>
      </c>
      <c r="C8" s="21" t="n">
        <v>55</v>
      </c>
      <c r="D8" s="21" t="n">
        <v>5000</v>
      </c>
      <c r="E8" s="21" t="n">
        <v>150</v>
      </c>
      <c r="F8" s="21" t="n">
        <v>20</v>
      </c>
      <c r="G8" s="21" t="n">
        <v>12</v>
      </c>
      <c r="H8" s="21" t="n">
        <v>10</v>
      </c>
      <c r="I8" s="21" t="n">
        <v>5</v>
      </c>
      <c r="J8" s="21" t="n">
        <v>330</v>
      </c>
      <c r="K8" s="4" t="n"/>
      <c r="L8" s="4" t="n"/>
    </row>
    <row r="9" ht="18" customHeight="1">
      <c r="A9" s="26" t="n">
        <v>8</v>
      </c>
      <c r="B9" s="26" t="inlineStr">
        <is>
          <t>MD</t>
        </is>
      </c>
      <c r="C9" s="26" t="n">
        <v>95</v>
      </c>
      <c r="D9" s="26" t="n">
        <v>11000</v>
      </c>
      <c r="E9" s="26" t="n">
        <v>550</v>
      </c>
      <c r="F9" s="26" t="n">
        <v>100</v>
      </c>
      <c r="G9" s="26" t="n">
        <v>28</v>
      </c>
      <c r="H9" s="26" t="n">
        <v>24</v>
      </c>
      <c r="I9" s="26" t="n">
        <v>8</v>
      </c>
      <c r="J9" s="26" t="n">
        <v>760</v>
      </c>
      <c r="K9" s="4" t="n"/>
      <c r="L9" s="4" t="n"/>
    </row>
    <row r="10" ht="18" customHeight="1">
      <c r="A10" s="21" t="n">
        <v>8</v>
      </c>
      <c r="B10" s="21" t="inlineStr">
        <is>
          <t>MD+1</t>
        </is>
      </c>
      <c r="C10" s="21" t="n">
        <v>50</v>
      </c>
      <c r="D10" s="21" t="n">
        <v>3000</v>
      </c>
      <c r="E10" s="21" t="n">
        <v>80</v>
      </c>
      <c r="F10" s="21" t="n">
        <v>10</v>
      </c>
      <c r="G10" s="21" t="n">
        <v>8</v>
      </c>
      <c r="H10" s="21" t="n">
        <v>7</v>
      </c>
      <c r="I10" s="21" t="n">
        <v>4</v>
      </c>
      <c r="J10" s="21" t="n">
        <v>300</v>
      </c>
      <c r="K10" s="4" t="n"/>
      <c r="L10" s="4" t="n"/>
    </row>
    <row r="11" ht="18" customHeight="1">
      <c r="A11" s="26" t="n">
        <v>8</v>
      </c>
      <c r="B11" s="26" t="inlineStr">
        <is>
          <t>MD+2</t>
        </is>
      </c>
      <c r="C11" s="26" t="n">
        <v>60</v>
      </c>
      <c r="D11" s="26" t="n">
        <v>4000</v>
      </c>
      <c r="E11" s="26" t="n">
        <v>120</v>
      </c>
      <c r="F11" s="26" t="n">
        <v>15</v>
      </c>
      <c r="G11" s="26" t="n">
        <v>10</v>
      </c>
      <c r="H11" s="26" t="n">
        <v>9</v>
      </c>
      <c r="I11" s="26" t="n">
        <v>5</v>
      </c>
      <c r="J11" s="26" t="n">
        <v>360</v>
      </c>
      <c r="K11" s="4" t="n"/>
      <c r="L11" s="4" t="n"/>
    </row>
    <row r="12" ht="18" customHeight="1">
      <c r="A12" s="21" t="n">
        <v>9</v>
      </c>
      <c r="B12" s="21" t="inlineStr">
        <is>
          <t>MD-5</t>
        </is>
      </c>
      <c r="C12" s="21" t="n">
        <v>75</v>
      </c>
      <c r="D12" s="21" t="n">
        <v>7200</v>
      </c>
      <c r="E12" s="21" t="n">
        <v>280</v>
      </c>
      <c r="F12" s="21" t="n">
        <v>40</v>
      </c>
      <c r="G12" s="21" t="n">
        <v>18</v>
      </c>
      <c r="H12" s="21" t="n">
        <v>15</v>
      </c>
      <c r="I12" s="21" t="n">
        <v>6</v>
      </c>
      <c r="J12" s="21" t="n">
        <v>480</v>
      </c>
      <c r="K12" s="4" t="n"/>
      <c r="L12" s="4" t="n"/>
    </row>
    <row r="13" ht="18" customHeight="1">
      <c r="A13" s="26" t="n">
        <v>9</v>
      </c>
      <c r="B13" s="26" t="inlineStr">
        <is>
          <t>MD-4</t>
        </is>
      </c>
      <c r="C13" s="26" t="n">
        <v>90</v>
      </c>
      <c r="D13" s="26" t="n">
        <v>8500</v>
      </c>
      <c r="E13" s="26" t="n">
        <v>350</v>
      </c>
      <c r="F13" s="26" t="n">
        <v>60</v>
      </c>
      <c r="G13" s="26" t="n">
        <v>22</v>
      </c>
      <c r="H13" s="26" t="n">
        <v>18</v>
      </c>
      <c r="I13" s="26" t="n">
        <v>7</v>
      </c>
      <c r="J13" s="26" t="n">
        <v>560</v>
      </c>
      <c r="K13" s="4" t="n"/>
      <c r="L13" s="4" t="n"/>
    </row>
    <row r="14" ht="18" customHeight="1">
      <c r="A14" s="21" t="n">
        <v>9</v>
      </c>
      <c r="B14" s="21" t="inlineStr">
        <is>
          <t>MD-3</t>
        </is>
      </c>
      <c r="C14" s="21" t="n">
        <v>85</v>
      </c>
      <c r="D14" s="21" t="n">
        <v>9000</v>
      </c>
      <c r="E14" s="21" t="n">
        <v>400</v>
      </c>
      <c r="F14" s="21" t="n">
        <v>70</v>
      </c>
      <c r="G14" s="21" t="n">
        <v>24</v>
      </c>
      <c r="H14" s="21" t="n">
        <v>20</v>
      </c>
      <c r="I14" s="21" t="n">
        <v>7</v>
      </c>
      <c r="J14" s="21" t="n">
        <v>595</v>
      </c>
      <c r="K14" s="4" t="n"/>
      <c r="L14" s="4" t="n"/>
    </row>
    <row r="15" ht="18" customHeight="1">
      <c r="A15" s="26" t="n">
        <v>9</v>
      </c>
      <c r="B15" s="26" t="inlineStr">
        <is>
          <t>MD-2</t>
        </is>
      </c>
      <c r="C15" s="26" t="n">
        <v>70</v>
      </c>
      <c r="D15" s="26" t="n">
        <v>7500</v>
      </c>
      <c r="E15" s="26" t="n">
        <v>300</v>
      </c>
      <c r="F15" s="26" t="n">
        <v>50</v>
      </c>
      <c r="G15" s="26" t="n">
        <v>19</v>
      </c>
      <c r="H15" s="26" t="n">
        <v>16</v>
      </c>
      <c r="I15" s="26" t="n">
        <v>6</v>
      </c>
      <c r="J15" s="26" t="n">
        <v>490</v>
      </c>
      <c r="K15" s="4" t="n"/>
      <c r="L15" s="4" t="n"/>
    </row>
    <row r="16" ht="18" customHeight="1">
      <c r="A16" s="21" t="n">
        <v>9</v>
      </c>
      <c r="B16" s="21" t="inlineStr">
        <is>
          <t>MD-1</t>
        </is>
      </c>
      <c r="C16" s="21" t="n">
        <v>55</v>
      </c>
      <c r="D16" s="21" t="n">
        <v>5000</v>
      </c>
      <c r="E16" s="21" t="n">
        <v>150</v>
      </c>
      <c r="F16" s="21" t="n">
        <v>20</v>
      </c>
      <c r="G16" s="21" t="n">
        <v>12</v>
      </c>
      <c r="H16" s="21" t="n">
        <v>10</v>
      </c>
      <c r="I16" s="21" t="n">
        <v>5</v>
      </c>
      <c r="J16" s="21" t="n">
        <v>330</v>
      </c>
      <c r="K16" s="4" t="n"/>
      <c r="L16" s="4" t="n"/>
    </row>
    <row r="17" ht="18" customHeight="1">
      <c r="A17" s="26" t="n">
        <v>9</v>
      </c>
      <c r="B17" s="26" t="inlineStr">
        <is>
          <t>MD</t>
        </is>
      </c>
      <c r="C17" s="26" t="n">
        <v>95</v>
      </c>
      <c r="D17" s="26" t="n">
        <v>11000</v>
      </c>
      <c r="E17" s="26" t="n">
        <v>550</v>
      </c>
      <c r="F17" s="26" t="n">
        <v>100</v>
      </c>
      <c r="G17" s="26" t="n">
        <v>28</v>
      </c>
      <c r="H17" s="26" t="n">
        <v>24</v>
      </c>
      <c r="I17" s="26" t="n">
        <v>8</v>
      </c>
      <c r="J17" s="26" t="n">
        <v>760</v>
      </c>
      <c r="K17" s="4" t="n"/>
      <c r="L17" s="4" t="n"/>
    </row>
    <row r="18" ht="18" customHeight="1">
      <c r="A18" s="21" t="n">
        <v>9</v>
      </c>
      <c r="B18" s="21" t="inlineStr">
        <is>
          <t>MD+1</t>
        </is>
      </c>
      <c r="C18" s="21" t="n">
        <v>50</v>
      </c>
      <c r="D18" s="21" t="n">
        <v>3000</v>
      </c>
      <c r="E18" s="21" t="n">
        <v>80</v>
      </c>
      <c r="F18" s="21" t="n">
        <v>10</v>
      </c>
      <c r="G18" s="21" t="n">
        <v>8</v>
      </c>
      <c r="H18" s="21" t="n">
        <v>7</v>
      </c>
      <c r="I18" s="21" t="n">
        <v>4</v>
      </c>
      <c r="J18" s="21" t="n">
        <v>300</v>
      </c>
      <c r="K18" s="4" t="n"/>
      <c r="L18" s="4" t="n"/>
    </row>
    <row r="19" ht="18" customHeight="1">
      <c r="A19" s="26" t="n">
        <v>9</v>
      </c>
      <c r="B19" s="26" t="inlineStr">
        <is>
          <t>MD+2</t>
        </is>
      </c>
      <c r="C19" s="26" t="n">
        <v>60</v>
      </c>
      <c r="D19" s="26" t="n">
        <v>4000</v>
      </c>
      <c r="E19" s="26" t="n">
        <v>120</v>
      </c>
      <c r="F19" s="26" t="n">
        <v>15</v>
      </c>
      <c r="G19" s="26" t="n">
        <v>10</v>
      </c>
      <c r="H19" s="26" t="n">
        <v>9</v>
      </c>
      <c r="I19" s="26" t="n">
        <v>5</v>
      </c>
      <c r="J19" s="26" t="n">
        <v>360</v>
      </c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2026-05-01T14:28:41Z</dcterms:created>
  <dcterms:modified xmlns:dcterms="http://purl.org/dc/terms/" xmlns:xsi="http://www.w3.org/2001/XMLSchema-instance" xsi:type="dcterms:W3CDTF">2026-05-01T15:26:59Z</dcterms:modified>
</cp:coreProperties>
</file>