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2.xml" ContentType="application/vnd.openxmlformats-officedocument.spreadsheetml.table+xml"/>
  <Override PartName="/xl/worksheets/sheet18.xml" ContentType="application/vnd.openxmlformats-officedocument.spreadsheetml.worksheet+xml"/>
  <Override PartName="/xl/tables/table3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14" activeTab="15" autoFilterDateGrouping="1"/>
  </bookViews>
  <sheets>
    <sheet xmlns:r="http://schemas.openxmlformats.org/officeDocument/2006/relationships" name="Guia_Utilização" sheetId="1" state="visible" r:id="rId1"/>
    <sheet xmlns:r="http://schemas.openxmlformats.org/officeDocument/2006/relationships" name="Plantel" sheetId="2" state="visible" r:id="rId2"/>
    <sheet xmlns:r="http://schemas.openxmlformats.org/officeDocument/2006/relationships" name="BD_Carga" sheetId="3" state="visible" r:id="rId3"/>
    <sheet xmlns:r="http://schemas.openxmlformats.org/officeDocument/2006/relationships" name="Painel_Central" sheetId="4" state="visible" r:id="rId4"/>
    <sheet xmlns:r="http://schemas.openxmlformats.org/officeDocument/2006/relationships" name="ACWR_EWMA" sheetId="5" state="visible" r:id="rId5"/>
    <sheet xmlns:r="http://schemas.openxmlformats.org/officeDocument/2006/relationships" name="Monot_Strain" sheetId="6" state="visible" r:id="rId6"/>
    <sheet xmlns:r="http://schemas.openxmlformats.org/officeDocument/2006/relationships" name="Vmáx_Monitor" sheetId="7" state="visible" r:id="rId7"/>
    <sheet xmlns:r="http://schemas.openxmlformats.org/officeDocument/2006/relationships" name="Carga_Planeada" sheetId="8" state="visible" r:id="rId8"/>
    <sheet xmlns:r="http://schemas.openxmlformats.org/officeDocument/2006/relationships" name="Dash_Resumo" sheetId="9" state="visible" r:id="rId9"/>
    <sheet xmlns:r="http://schemas.openxmlformats.org/officeDocument/2006/relationships" name="Dash_Gráficos" sheetId="10" state="visible" r:id="rId10"/>
    <sheet xmlns:r="http://schemas.openxmlformats.org/officeDocument/2006/relationships" name="Dash_Treino" sheetId="11" state="visible" r:id="rId11"/>
    <sheet xmlns:r="http://schemas.openxmlformats.org/officeDocument/2006/relationships" name="Dash_Microciclos" sheetId="12" state="visible" r:id="rId12"/>
    <sheet xmlns:r="http://schemas.openxmlformats.org/officeDocument/2006/relationships" name="Dash_Posição" sheetId="13" state="visible" r:id="rId13"/>
    <sheet xmlns:r="http://schemas.openxmlformats.org/officeDocument/2006/relationships" name="Dash_Jogos" sheetId="14" state="visible" r:id="rId14"/>
    <sheet xmlns:r="http://schemas.openxmlformats.org/officeDocument/2006/relationships" name="Dash_Wellness" sheetId="15" state="visible" r:id="rId15"/>
    <sheet xmlns:r="http://schemas.openxmlformats.org/officeDocument/2006/relationships" name="Exercícios" sheetId="16" state="visible" r:id="rId16"/>
    <sheet xmlns:r="http://schemas.openxmlformats.org/officeDocument/2006/relationships" name="PBI_BD_Carga" sheetId="17" state="visible" r:id="rId17"/>
    <sheet xmlns:r="http://schemas.openxmlformats.org/officeDocument/2006/relationships" name="PBI_Plantel" sheetId="18" state="visible" r:id="rId18"/>
    <sheet xmlns:r="http://schemas.openxmlformats.org/officeDocument/2006/relationships" name="PBI_Vmax" sheetId="19" state="visible" r:id="rId19"/>
    <sheet xmlns:r="http://schemas.openxmlformats.org/officeDocument/2006/relationships" name="PBI_Monotonia_Strain" sheetId="20" state="visible" r:id="rId20"/>
    <sheet xmlns:r="http://schemas.openxmlformats.org/officeDocument/2006/relationships" name="PBI_Microciclos" sheetId="21" state="visible" r:id="rId21"/>
    <sheet xmlns:r="http://schemas.openxmlformats.org/officeDocument/2006/relationships" name="Dash_ZScore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"/>
    <numFmt numFmtId="166" formatCode="0.0%"/>
    <numFmt numFmtId="167" formatCode="\+0.0%;\-0.0%;0.0%"/>
    <numFmt numFmtId="168" formatCode="#,##0.0"/>
    <numFmt numFmtId="169" formatCode="#,##0;\-#,##0;&quot;-&quot;"/>
    <numFmt numFmtId="170" formatCode="0.000"/>
  </numFmts>
  <fonts count="106"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i val="1"/>
      <color rgb="FF666666"/>
      <sz val="9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D9D9D9"/>
      <sz val="11"/>
      <scheme val="minor"/>
    </font>
    <font>
      <name val="Aptos Narrow"/>
      <family val="2"/>
      <b val="1"/>
      <color rgb="FF1F4E79"/>
      <sz val="14"/>
      <scheme val="minor"/>
    </font>
    <font>
      <name val="Aptos Narrow"/>
      <family val="2"/>
      <b val="1"/>
      <color rgb="FF1F4E79"/>
      <sz val="11"/>
      <scheme val="minor"/>
    </font>
    <font>
      <name val="Aptos Narrow"/>
      <family val="2"/>
      <b val="1"/>
      <color rgb="FF0000FF"/>
      <sz val="11"/>
      <scheme val="minor"/>
    </font>
    <font>
      <name val="Aptos Narrow"/>
      <b val="1"/>
      <color rgb="FFFFFFFF"/>
      <sz val="14"/>
      <scheme val="minor"/>
    </font>
    <font>
      <name val="Aptos Narrow"/>
      <color theme="1"/>
      <sz val="11"/>
      <scheme val="minor"/>
    </font>
    <font>
      <name val="Aptos Narrow"/>
      <b val="1"/>
      <color rgb="FFFFFFFF"/>
      <sz val="11"/>
      <scheme val="minor"/>
    </font>
    <font>
      <name val="Aptos Narrow"/>
      <b val="1"/>
      <color theme="1"/>
      <sz val="11"/>
      <scheme val="minor"/>
    </font>
    <font>
      <name val="Aptos Narrow"/>
      <b val="1"/>
      <color rgb="FF0000FF"/>
      <sz val="11"/>
      <scheme val="minor"/>
    </font>
    <font>
      <name val="Aptos Narrow"/>
      <i val="1"/>
      <color rgb="FF666666"/>
      <sz val="11"/>
      <scheme val="minor"/>
    </font>
    <font>
      <name val="Aptos Narrow"/>
      <b val="1"/>
      <color rgb="FF1F4E79"/>
      <sz val="11"/>
      <scheme val="minor"/>
    </font>
    <font>
      <name val="Aptos Narrow"/>
      <b val="1"/>
      <color rgb="FFFFFFFF"/>
      <sz val="12"/>
      <scheme val="minor"/>
    </font>
    <font>
      <name val="Aptos Narrow"/>
      <color rgb="FF333333"/>
      <sz val="10"/>
      <scheme val="minor"/>
    </font>
    <font>
      <name val="Aptos Narrow"/>
      <color rgb="FF548235"/>
      <sz val="11"/>
      <scheme val="minor"/>
    </font>
    <font>
      <name val="Aptos Narrow"/>
      <color rgb="FFC00000"/>
      <sz val="11"/>
      <scheme val="minor"/>
    </font>
    <font>
      <name val="Aptos Narrow"/>
      <color rgb="FF7030A0"/>
      <sz val="11"/>
      <scheme val="minor"/>
    </font>
    <font>
      <name val="Aptos Narrow"/>
      <color rgb="FFED7D31"/>
      <sz val="11"/>
      <scheme val="minor"/>
    </font>
    <font>
      <name val="Aptos Narrow"/>
      <color rgb="FF1F4E79"/>
      <sz val="11"/>
      <scheme val="minor"/>
    </font>
    <font>
      <name val="Aptos Narrow"/>
      <family val="2"/>
      <color rgb="FF808080"/>
      <sz val="9"/>
      <scheme val="minor"/>
    </font>
    <font>
      <name val="Aptos Narrow"/>
      <family val="2"/>
      <b val="1"/>
      <color rgb="FF1F3864"/>
      <sz val="11"/>
      <scheme val="minor"/>
    </font>
    <font>
      <name val="Aptos Narrow"/>
      <family val="2"/>
      <b val="1"/>
      <color rgb="FF808080"/>
      <sz val="9"/>
      <scheme val="minor"/>
    </font>
    <font>
      <name val="Aptos Narrow"/>
      <family val="2"/>
      <color rgb="FF008000"/>
      <sz val="9"/>
      <scheme val="minor"/>
    </font>
    <font>
      <name val="Aptos Narrow"/>
      <family val="2"/>
      <color rgb="FFFF8C00"/>
      <sz val="9"/>
      <scheme val="minor"/>
    </font>
    <font>
      <name val="Aptos Narrow"/>
      <family val="2"/>
      <color rgb="FFFF0000"/>
      <sz val="9"/>
      <scheme val="minor"/>
    </font>
    <font>
      <name val="Aptos Narrow"/>
      <family val="2"/>
      <b val="1"/>
      <color rgb="FFFFFFFF"/>
      <sz val="10"/>
      <scheme val="minor"/>
    </font>
    <font>
      <name val="Aptos Narrow"/>
      <family val="2"/>
      <b val="1"/>
      <color rgb="FF1F3864"/>
      <sz val="10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rgb="FF9C0006"/>
      <sz val="11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rgb="FF9C6500"/>
      <sz val="11"/>
      <scheme val="minor"/>
    </font>
    <font>
      <name val="Aptos Narrow"/>
      <family val="2"/>
      <i val="1"/>
      <color rgb="FF808080"/>
      <sz val="11"/>
      <scheme val="minor"/>
    </font>
    <font>
      <name val="Aptos Narrow"/>
      <family val="2"/>
      <b val="1"/>
      <color rgb="FF006100"/>
      <sz val="11"/>
      <scheme val="minor"/>
    </font>
    <font>
      <name val="Aptos Narrow"/>
      <b val="1"/>
      <color rgb="FF1F3864"/>
      <sz val="12"/>
      <scheme val="minor"/>
    </font>
    <font>
      <name val="Aptos Narrow"/>
      <b val="1"/>
      <color rgb="FFFFFFFF"/>
      <sz val="10"/>
      <scheme val="minor"/>
    </font>
    <font>
      <name val="Aptos Narrow"/>
      <b val="1"/>
      <color rgb="FFFFFFFF"/>
      <sz val="9"/>
      <scheme val="minor"/>
    </font>
    <font>
      <name val="Aptos Narrow"/>
      <color rgb="FF808080"/>
      <sz val="8"/>
      <scheme val="minor"/>
    </font>
    <font>
      <name val="Aptos Narrow"/>
      <color theme="1"/>
      <sz val="9"/>
      <scheme val="minor"/>
    </font>
    <font>
      <name val="Aptos Narrow"/>
      <b val="1"/>
      <color rgb="FF006100"/>
      <sz val="11"/>
      <scheme val="minor"/>
    </font>
    <font>
      <name val="Aptos Narrow"/>
      <i val="1"/>
      <color rgb="FF808080"/>
      <sz val="11"/>
      <scheme val="minor"/>
    </font>
    <font>
      <name val="Aptos Narrow"/>
      <color rgb="FF808080"/>
      <sz val="9"/>
      <scheme val="minor"/>
    </font>
    <font>
      <name val="Aptos Narrow"/>
      <b val="1"/>
      <color rgb="FF1F3864"/>
      <sz val="11"/>
      <scheme val="minor"/>
    </font>
    <font>
      <name val="Aptos Narrow"/>
      <color rgb="FFFFFFFF"/>
      <sz val="9"/>
      <scheme val="minor"/>
    </font>
    <font>
      <name val="Aptos Narrow"/>
      <b val="1"/>
      <color theme="1"/>
      <sz val="14"/>
      <scheme val="minor"/>
    </font>
    <font>
      <name val="Aptos Narrow"/>
      <color theme="1"/>
      <sz val="10"/>
      <scheme val="minor"/>
    </font>
    <font>
      <name val="Aptos Narrow"/>
      <b val="1"/>
      <color theme="1"/>
      <sz val="10"/>
      <scheme val="minor"/>
    </font>
    <font>
      <name val="Aptos Narrow"/>
      <color theme="1"/>
      <sz val="14"/>
      <scheme val="minor"/>
    </font>
    <font>
      <name val="Aptos Narrow"/>
      <b val="1"/>
      <color rgb="FF0000FF"/>
      <sz val="12"/>
      <scheme val="minor"/>
    </font>
    <font>
      <name val="Aptos Narrow"/>
      <b val="1"/>
      <color theme="1"/>
      <sz val="9"/>
      <scheme val="minor"/>
    </font>
    <font>
      <name val="Aptos Narrow"/>
      <b val="1"/>
      <color rgb="FFFFFFFF"/>
      <sz val="16"/>
      <scheme val="minor"/>
    </font>
    <font>
      <name val="Aptos Narrow"/>
      <b val="1"/>
      <color rgb="FFFFFFFF"/>
      <sz val="13"/>
      <scheme val="minor"/>
    </font>
    <font>
      <name val="Aptos Narrow"/>
      <b val="1"/>
      <color rgb="FF1B2A4A"/>
      <sz val="10"/>
      <scheme val="minor"/>
    </font>
    <font>
      <name val="Aptos Narrow"/>
      <color rgb="FF1B2A4A"/>
      <sz val="10"/>
      <scheme val="minor"/>
    </font>
    <font>
      <name val="Aptos Narrow"/>
      <b val="1"/>
      <color rgb="FF2F5496"/>
      <sz val="10"/>
      <scheme val="minor"/>
    </font>
    <font>
      <name val="Aptos Narrow"/>
      <color rgb="FF1B2A4A"/>
      <sz val="11"/>
      <scheme val="minor"/>
    </font>
    <font>
      <name val="Aptos Narrow"/>
      <b val="1"/>
      <color rgb="FF1B2A4A"/>
      <sz val="11"/>
      <scheme val="minor"/>
    </font>
    <font>
      <name val="Aptos Narrow"/>
      <i val="1"/>
      <color rgb="FF718096"/>
      <sz val="10"/>
      <scheme val="minor"/>
    </font>
    <font>
      <name val="Aptos Narrow"/>
      <b val="1"/>
      <color rgb="FFA0AEC0"/>
      <sz val="12"/>
      <scheme val="minor"/>
    </font>
    <font>
      <name val="Aptos Narrow"/>
      <b val="1"/>
      <color rgb="FF63B3ED"/>
      <sz val="18"/>
      <scheme val="minor"/>
    </font>
    <font>
      <name val="Aptos Narrow"/>
      <color rgb="FFFFFFFF"/>
      <sz val="18"/>
      <scheme val="minor"/>
    </font>
    <font>
      <name val="Aptos Narrow"/>
      <b val="1"/>
      <color rgb="FFFFFFFF"/>
      <sz val="28"/>
      <scheme val="minor"/>
    </font>
    <font>
      <name val="Aptos Narrow"/>
      <color rgb="FFFFD6D6"/>
      <sz val="10"/>
      <scheme val="minor"/>
    </font>
    <font>
      <name val="Aptos Narrow"/>
      <color rgb="FFFFF3D6"/>
      <sz val="10"/>
      <scheme val="minor"/>
    </font>
    <font>
      <name val="Aptos Narrow"/>
      <color rgb="FFD6FFD6"/>
      <sz val="10"/>
      <scheme val="minor"/>
    </font>
    <font>
      <name val="Aptos Narrow"/>
      <family val="2"/>
      <color rgb="FFA0AEC0"/>
      <sz val="10"/>
      <scheme val="minor"/>
    </font>
    <font>
      <name val="Aptos Narrow"/>
      <family val="2"/>
      <b val="1"/>
      <color rgb="FF63B3ED"/>
      <sz val="9"/>
      <scheme val="minor"/>
    </font>
    <font>
      <name val="Aptos Narrow"/>
      <b val="1"/>
      <color rgb="FFFFFFFF"/>
      <sz val="8"/>
      <scheme val="minor"/>
    </font>
    <font>
      <name val="Aptos Narrow"/>
      <color theme="1"/>
      <sz val="16"/>
      <scheme val="minor"/>
    </font>
    <font>
      <name val="Aptos Narrow"/>
      <color rgb="FF718096"/>
      <sz val="8"/>
      <scheme val="minor"/>
    </font>
    <font>
      <name val="Aptos Narrow"/>
      <b val="1"/>
      <color rgb="FF63B3ED"/>
      <sz val="12"/>
      <scheme val="minor"/>
    </font>
    <font>
      <name val="Aptos Narrow"/>
      <b val="1"/>
      <color rgb="FF52C41A"/>
      <sz val="11"/>
      <scheme val="minor"/>
    </font>
    <font>
      <name val="Aptos Narrow"/>
      <b val="1"/>
      <color rgb="FFFAAD14"/>
      <sz val="11"/>
      <scheme val="minor"/>
    </font>
    <font>
      <name val="Aptos Narrow"/>
      <b val="1"/>
      <color rgb="FFFF4D4F"/>
      <sz val="11"/>
      <scheme val="minor"/>
    </font>
    <font>
      <name val="Aptos Narrow"/>
      <b val="1"/>
      <color rgb="FF2E75B6"/>
      <sz val="13"/>
      <scheme val="minor"/>
    </font>
    <font>
      <name val="Aptos Narrow"/>
      <color rgb="FF63B3ED"/>
      <sz val="9"/>
      <scheme val="minor"/>
    </font>
    <font>
      <name val="Aptos Narrow"/>
      <color rgb="FF1B2A4A"/>
      <sz val="9"/>
      <scheme val="minor"/>
    </font>
    <font>
      <name val="Aptos Narrow"/>
      <family val="2"/>
      <i val="1"/>
      <color rgb="FF63B3ED"/>
      <sz val="9"/>
      <scheme val="minor"/>
    </font>
    <font>
      <name val="Aptos Narrow"/>
      <b val="1"/>
      <color rgb="FF1F4E79"/>
      <sz val="10"/>
      <scheme val="minor"/>
    </font>
    <font>
      <name val="Aptos Narrow"/>
      <color rgb="FF0000FF"/>
      <sz val="10"/>
      <scheme val="minor"/>
    </font>
    <font>
      <name val="Aptos Narrow"/>
      <b val="1"/>
      <color rgb="FF9C0006"/>
      <sz val="10"/>
      <scheme val="minor"/>
    </font>
    <font>
      <name val="Aptos Narrow"/>
      <i val="1"/>
      <color rgb="FF808080"/>
      <sz val="10"/>
      <scheme val="minor"/>
    </font>
    <font>
      <name val="Aptos Narrow"/>
      <family val="2"/>
      <b val="1"/>
      <color rgb="FF1F3864"/>
      <sz val="12"/>
      <scheme val="minor"/>
    </font>
    <font>
      <name val="Aptos Narrow"/>
      <b val="1"/>
      <color rgb="FF1B2A4A"/>
      <sz val="9"/>
      <scheme val="minor"/>
    </font>
    <font>
      <name val="Aptos Narrow"/>
      <color rgb="FF1B2A4A"/>
      <sz val="9"/>
    </font>
    <font>
      <name val="Aptos Narrow"/>
      <b val="1"/>
      <color rgb="FF0000FF"/>
      <sz val="10"/>
      <scheme val="minor"/>
    </font>
    <font>
      <name val="Aptos Narrow"/>
      <i val="1"/>
      <color rgb="FF63B3ED"/>
      <sz val="9"/>
      <scheme val="minor"/>
    </font>
    <font>
      <name val="Aptos Narrow"/>
      <b val="1"/>
      <color rgb="FF000000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b val="1"/>
      <color rgb="FFA0AEC0"/>
      <sz val="11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i val="1"/>
      <color rgb="FF595959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7F8C8D"/>
      <sz val="10"/>
    </font>
    <font>
      <name val="Arial"/>
      <b val="1"/>
      <color rgb="00E74C3C"/>
      <sz val="10"/>
    </font>
    <font>
      <name val="Arial"/>
      <sz val="10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7FD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4D4F"/>
        <bgColor indexed="64"/>
      </patternFill>
    </fill>
    <fill>
      <patternFill patternType="solid">
        <fgColor rgb="FFFAAD14"/>
        <bgColor indexed="64"/>
      </patternFill>
    </fill>
    <fill>
      <patternFill patternType="solid">
        <fgColor rgb="FF52C41A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000D2137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FDFEFE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2E75B6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medium">
        <color rgb="FF1B2A4A"/>
      </bottom>
      <diagonal/>
    </border>
    <border>
      <left/>
      <right/>
      <top style="medium">
        <color rgb="FF1B2A4A"/>
      </top>
      <bottom/>
      <diagonal/>
    </border>
    <border>
      <left/>
      <right/>
      <top style="medium">
        <color rgb="FF1B2A4A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47">
    <xf numFmtId="0" fontId="0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0" fontId="12" fillId="2" borderId="0" pivotButton="0" quotePrefix="0" xfId="0"/>
    <xf numFmtId="0" fontId="0" fillId="9" borderId="0" pivotButton="0" quotePrefix="0" xfId="0"/>
    <xf numFmtId="165" fontId="0" fillId="9" borderId="0" pivotButton="0" quotePrefix="0" xfId="0"/>
    <xf numFmtId="166" fontId="0" fillId="0" borderId="0" pivotButton="0" quotePrefix="0" xfId="0"/>
    <xf numFmtId="0" fontId="0" fillId="10" borderId="0" pivotButton="0" quotePrefix="0" xfId="0"/>
    <xf numFmtId="166" fontId="0" fillId="9" borderId="0" pivotButton="0" quotePrefix="0" xfId="0"/>
    <xf numFmtId="0" fontId="2" fillId="9" borderId="0" pivotButton="0" quotePrefix="0" xfId="0"/>
    <xf numFmtId="3" fontId="0" fillId="9" borderId="0" pivotButton="0" quotePrefix="0" xfId="0"/>
    <xf numFmtId="1" fontId="0" fillId="9" borderId="0" pivotButton="0" quotePrefix="0" xfId="0"/>
    <xf numFmtId="167" fontId="0" fillId="9" borderId="0" pivotButton="0" quotePrefix="0" xfId="0"/>
    <xf numFmtId="0" fontId="14" fillId="0" borderId="0" pivotButton="0" quotePrefix="0" xfId="0"/>
    <xf numFmtId="0" fontId="16" fillId="0" borderId="0" pivotButton="0" quotePrefix="0" xfId="0"/>
    <xf numFmtId="0" fontId="14" fillId="10" borderId="0" pivotButton="0" quotePrefix="0" xfId="0"/>
    <xf numFmtId="0" fontId="15" fillId="3" borderId="0" applyAlignment="1" pivotButton="0" quotePrefix="0" xfId="0">
      <alignment horizontal="center"/>
    </xf>
    <xf numFmtId="0" fontId="14" fillId="12" borderId="0" pivotButton="0" quotePrefix="0" xfId="0"/>
    <xf numFmtId="3" fontId="14" fillId="12" borderId="0" pivotButton="0" quotePrefix="0" xfId="0"/>
    <xf numFmtId="1" fontId="14" fillId="12" borderId="0" pivotButton="0" quotePrefix="0" xfId="0"/>
    <xf numFmtId="165" fontId="14" fillId="12" borderId="0" pivotButton="0" quotePrefix="0" xfId="0"/>
    <xf numFmtId="0" fontId="14" fillId="9" borderId="0" pivotButton="0" quotePrefix="0" xfId="0"/>
    <xf numFmtId="3" fontId="14" fillId="9" borderId="0" pivotButton="0" quotePrefix="0" xfId="0"/>
    <xf numFmtId="1" fontId="14" fillId="9" borderId="0" pivotButton="0" quotePrefix="0" xfId="0"/>
    <xf numFmtId="165" fontId="14" fillId="9" borderId="0" pivotButton="0" quotePrefix="0" xfId="0"/>
    <xf numFmtId="0" fontId="22" fillId="4" borderId="0" pivotButton="0" quotePrefix="0" xfId="0"/>
    <xf numFmtId="0" fontId="23" fillId="6" borderId="0" pivotButton="0" quotePrefix="0" xfId="0"/>
    <xf numFmtId="0" fontId="24" fillId="5" borderId="0" pivotButton="0" quotePrefix="0" xfId="0"/>
    <xf numFmtId="0" fontId="25" fillId="13" borderId="0" pivotButton="0" quotePrefix="0" xfId="0"/>
    <xf numFmtId="0" fontId="26" fillId="3" borderId="0" pivotButton="0" quotePrefix="0" xfId="0"/>
    <xf numFmtId="0" fontId="15" fillId="9" borderId="0" pivotButton="0" quotePrefix="0" xfId="0"/>
    <xf numFmtId="3" fontId="15" fillId="9" borderId="0" pivotButton="0" quotePrefix="0" xfId="0"/>
    <xf numFmtId="1" fontId="15" fillId="9" borderId="0" pivotButton="0" quotePrefix="0" xfId="0"/>
    <xf numFmtId="165" fontId="15" fillId="9" borderId="0" pivotButton="0" quotePrefix="0" xfId="0"/>
    <xf numFmtId="0" fontId="19" fillId="9" borderId="0" pivotButton="0" quotePrefix="0" xfId="0"/>
    <xf numFmtId="0" fontId="16" fillId="12" borderId="0" pivotButton="0" quotePrefix="0" xfId="0"/>
    <xf numFmtId="3" fontId="16" fillId="12" borderId="0" pivotButton="0" quotePrefix="0" xfId="0"/>
    <xf numFmtId="0" fontId="16" fillId="9" borderId="0" pivotButton="0" quotePrefix="0" xfId="0"/>
    <xf numFmtId="3" fontId="16" fillId="9" borderId="0" pivotButton="0" quotePrefix="0" xfId="0"/>
    <xf numFmtId="0" fontId="0" fillId="7" borderId="0" pivotButton="0" quotePrefix="0" xfId="0"/>
    <xf numFmtId="0" fontId="6" fillId="10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11" borderId="0" pivotButton="0" quotePrefix="0" xfId="0"/>
    <xf numFmtId="1" fontId="0" fillId="11" borderId="0" applyAlignment="1" pivotButton="0" quotePrefix="0" xfId="0">
      <alignment horizontal="center"/>
    </xf>
    <xf numFmtId="3" fontId="0" fillId="11" borderId="0" applyAlignment="1" pivotButton="0" quotePrefix="0" xfId="0">
      <alignment horizontal="center"/>
    </xf>
    <xf numFmtId="168" fontId="0" fillId="11" borderId="0" applyAlignment="1" pivotButton="0" quotePrefix="0" xfId="0">
      <alignment horizontal="center"/>
    </xf>
    <xf numFmtId="2" fontId="0" fillId="11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28" fillId="10" borderId="0" pivotButton="0" quotePrefix="0" xfId="0"/>
    <xf numFmtId="0" fontId="2" fillId="0" borderId="0" applyAlignment="1" pivotButton="0" quotePrefix="0" xfId="0">
      <alignment horizontal="center"/>
    </xf>
    <xf numFmtId="0" fontId="39" fillId="0" borderId="0" pivotButton="0" quotePrefix="0" xfId="0"/>
    <xf numFmtId="166" fontId="0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2" fillId="2" borderId="0" applyAlignment="1" applyProtection="1" pivotButton="0" quotePrefix="0" xfId="0">
      <alignment horizontal="center"/>
      <protection locked="0" hidden="0"/>
    </xf>
    <xf numFmtId="0" fontId="5" fillId="2" borderId="0" applyProtection="1" pivotButton="0" quotePrefix="0" xfId="0">
      <protection locked="0" hidden="0"/>
    </xf>
    <xf numFmtId="0" fontId="12" fillId="2" borderId="0" applyProtection="1" pivotButton="0" quotePrefix="0" xfId="0">
      <protection locked="0" hidden="0"/>
    </xf>
    <xf numFmtId="0" fontId="17" fillId="2" borderId="0" applyProtection="1" pivotButton="0" quotePrefix="0" xfId="0">
      <protection locked="0" hidden="0"/>
    </xf>
    <xf numFmtId="2" fontId="0" fillId="9" borderId="0" pivotButton="0" quotePrefix="0" xfId="0"/>
    <xf numFmtId="0" fontId="16" fillId="0" borderId="0" applyAlignment="1" pivotButton="0" quotePrefix="0" xfId="0">
      <alignment horizontal="center"/>
    </xf>
    <xf numFmtId="0" fontId="14" fillId="0" borderId="0" applyProtection="1" pivotButton="0" quotePrefix="0" xfId="0">
      <protection locked="0" hidden="0"/>
    </xf>
    <xf numFmtId="3" fontId="14" fillId="0" borderId="0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0" fontId="46" fillId="0" borderId="0" applyAlignment="1" pivotButton="0" quotePrefix="0" xfId="0">
      <alignment horizontal="center"/>
    </xf>
    <xf numFmtId="0" fontId="47" fillId="0" borderId="0" pivotButton="0" quotePrefix="0" xfId="0"/>
    <xf numFmtId="14" fontId="14" fillId="0" borderId="0" applyProtection="1" pivotButton="0" quotePrefix="0" xfId="0">
      <protection locked="0" hidden="0"/>
    </xf>
    <xf numFmtId="14" fontId="14" fillId="0" borderId="0" pivotButton="0" quotePrefix="0" xfId="0"/>
    <xf numFmtId="0" fontId="48" fillId="9" borderId="0" applyAlignment="1" pivotButton="0" quotePrefix="0" xfId="0">
      <alignment horizontal="center"/>
    </xf>
    <xf numFmtId="0" fontId="35" fillId="9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7" fillId="9" borderId="0" pivotButton="0" quotePrefix="0" xfId="0"/>
    <xf numFmtId="0" fontId="45" fillId="9" borderId="0" applyAlignment="1" pivotButton="0" quotePrefix="0" xfId="0">
      <alignment horizontal="center"/>
    </xf>
    <xf numFmtId="1" fontId="14" fillId="9" borderId="0" applyAlignment="1" pivotButton="0" quotePrefix="0" xfId="0">
      <alignment horizontal="center"/>
    </xf>
    <xf numFmtId="3" fontId="44" fillId="9" borderId="0" applyAlignment="1" pivotButton="0" quotePrefix="0" xfId="0">
      <alignment horizontal="center"/>
    </xf>
    <xf numFmtId="1" fontId="45" fillId="9" borderId="0" applyAlignment="1" pivotButton="0" quotePrefix="0" xfId="0">
      <alignment horizontal="center"/>
    </xf>
    <xf numFmtId="0" fontId="53" fillId="9" borderId="0" pivotButton="0" quotePrefix="0" xfId="0"/>
    <xf numFmtId="0" fontId="54" fillId="9" borderId="0" applyAlignment="1" pivotButton="0" quotePrefix="0" xfId="0">
      <alignment horizontal="center"/>
    </xf>
    <xf numFmtId="2" fontId="14" fillId="9" borderId="0" applyAlignment="1" pivotButton="0" quotePrefix="0" xfId="0">
      <alignment horizontal="center"/>
    </xf>
    <xf numFmtId="165" fontId="14" fillId="9" borderId="0" applyAlignment="1" pivotButton="0" quotePrefix="0" xfId="0">
      <alignment horizontal="center"/>
    </xf>
    <xf numFmtId="3" fontId="14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14" fillId="9" borderId="0" applyAlignment="1" pivotButton="0" quotePrefix="0" xfId="0">
      <alignment horizontal="center"/>
    </xf>
    <xf numFmtId="166" fontId="14" fillId="9" borderId="0" pivotButton="0" quotePrefix="0" xfId="0"/>
    <xf numFmtId="14" fontId="14" fillId="12" borderId="0" pivotButton="0" quotePrefix="0" xfId="0"/>
    <xf numFmtId="166" fontId="14" fillId="12" borderId="0" pivotButton="0" quotePrefix="0" xfId="0"/>
    <xf numFmtId="0" fontId="19" fillId="0" borderId="0" pivotButton="0" quotePrefix="0" xfId="0"/>
    <xf numFmtId="0" fontId="17" fillId="2" borderId="0" pivotButton="0" quotePrefix="0" xfId="0"/>
    <xf numFmtId="1" fontId="14" fillId="12" borderId="0" applyAlignment="1" pivotButton="0" quotePrefix="0" xfId="0">
      <alignment horizontal="center"/>
    </xf>
    <xf numFmtId="3" fontId="14" fillId="12" borderId="0" applyAlignment="1" pivotButton="0" quotePrefix="0" xfId="0">
      <alignment horizontal="center"/>
    </xf>
    <xf numFmtId="168" fontId="14" fillId="12" borderId="0" applyAlignment="1" pivotButton="0" quotePrefix="0" xfId="0">
      <alignment horizontal="center"/>
    </xf>
    <xf numFmtId="2" fontId="14" fillId="12" borderId="0" applyAlignment="1" pivotButton="0" quotePrefix="0" xfId="0">
      <alignment horizontal="center"/>
    </xf>
    <xf numFmtId="0" fontId="14" fillId="12" borderId="0" applyAlignment="1" pivotButton="0" quotePrefix="0" xfId="0">
      <alignment horizontal="center"/>
    </xf>
    <xf numFmtId="168" fontId="14" fillId="9" borderId="0" applyAlignment="1" pivotButton="0" quotePrefix="0" xfId="0">
      <alignment horizontal="center"/>
    </xf>
    <xf numFmtId="2" fontId="14" fillId="9" borderId="0" pivotButton="0" quotePrefix="0" xfId="0"/>
    <xf numFmtId="2" fontId="14" fillId="12" borderId="0" pivotButton="0" quotePrefix="0" xfId="0"/>
    <xf numFmtId="165" fontId="16" fillId="9" borderId="0" pivotButton="0" quotePrefix="0" xfId="0"/>
    <xf numFmtId="0" fontId="15" fillId="9" borderId="0" applyAlignment="1" pivotButton="0" quotePrefix="0" xfId="0">
      <alignment horizontal="center"/>
    </xf>
    <xf numFmtId="166" fontId="15" fillId="9" borderId="0" applyAlignment="1" pivotButton="0" quotePrefix="0" xfId="0">
      <alignment horizontal="center"/>
    </xf>
    <xf numFmtId="0" fontId="16" fillId="15" borderId="0" applyAlignment="1" pivotButton="0" quotePrefix="0" xfId="0">
      <alignment horizontal="center"/>
    </xf>
    <xf numFmtId="3" fontId="16" fillId="15" borderId="0" applyAlignment="1" pivotButton="0" quotePrefix="0" xfId="0">
      <alignment horizontal="center"/>
    </xf>
    <xf numFmtId="166" fontId="16" fillId="15" borderId="0" applyAlignment="1" pivotButton="0" quotePrefix="0" xfId="0">
      <alignment horizontal="center"/>
    </xf>
    <xf numFmtId="166" fontId="16" fillId="0" borderId="0" applyAlignment="1" pivotButton="0" quotePrefix="0" xfId="0">
      <alignment horizontal="center"/>
    </xf>
    <xf numFmtId="0" fontId="53" fillId="9" borderId="0" applyAlignment="1" pivotButton="0" quotePrefix="0" xfId="0">
      <alignment horizontal="center"/>
    </xf>
    <xf numFmtId="0" fontId="45" fillId="9" borderId="0" pivotButton="0" quotePrefix="0" xfId="0"/>
    <xf numFmtId="0" fontId="52" fillId="9" borderId="0" pivotButton="0" quotePrefix="0" xfId="0"/>
    <xf numFmtId="0" fontId="49" fillId="9" borderId="0" pivotButton="0" quotePrefix="0" xfId="0"/>
    <xf numFmtId="0" fontId="0" fillId="16" borderId="0" pivotButton="0" quotePrefix="0" xfId="0"/>
    <xf numFmtId="0" fontId="57" fillId="16" borderId="0" pivotButton="0" quotePrefix="0" xfId="0"/>
    <xf numFmtId="0" fontId="0" fillId="14" borderId="0" pivotButton="0" quotePrefix="0" xfId="0"/>
    <xf numFmtId="0" fontId="58" fillId="14" borderId="2" pivotButton="0" quotePrefix="0" xfId="0"/>
    <xf numFmtId="0" fontId="4" fillId="14" borderId="0" pivotButton="0" quotePrefix="0" xfId="0"/>
    <xf numFmtId="0" fontId="58" fillId="14" borderId="2" applyAlignment="1" pivotButton="0" quotePrefix="0" xfId="0">
      <alignment horizontal="center"/>
    </xf>
    <xf numFmtId="0" fontId="42" fillId="8" borderId="0" applyAlignment="1" pivotButton="0" quotePrefix="0" xfId="0">
      <alignment horizontal="center"/>
    </xf>
    <xf numFmtId="0" fontId="42" fillId="17" borderId="0" applyAlignment="1" pivotButton="0" quotePrefix="0" xfId="0">
      <alignment horizontal="center"/>
    </xf>
    <xf numFmtId="0" fontId="59" fillId="17" borderId="0" pivotButton="0" quotePrefix="0" xfId="0"/>
    <xf numFmtId="0" fontId="52" fillId="9" borderId="0" applyAlignment="1" pivotButton="0" quotePrefix="0" xfId="0">
      <alignment horizontal="center"/>
    </xf>
    <xf numFmtId="0" fontId="59" fillId="9" borderId="0" pivotButton="0" quotePrefix="0" xfId="0"/>
    <xf numFmtId="0" fontId="60" fillId="9" borderId="0" applyAlignment="1" pivotButton="0" quotePrefix="0" xfId="0">
      <alignment horizontal="center"/>
    </xf>
    <xf numFmtId="0" fontId="60" fillId="9" borderId="0" pivotButton="0" quotePrefix="0" xfId="0"/>
    <xf numFmtId="0" fontId="59" fillId="17" borderId="0" applyAlignment="1" pivotButton="0" quotePrefix="0" xfId="0">
      <alignment horizontal="center"/>
    </xf>
    <xf numFmtId="0" fontId="59" fillId="9" borderId="3" pivotButton="0" quotePrefix="0" xfId="0"/>
    <xf numFmtId="0" fontId="60" fillId="9" borderId="3" applyAlignment="1" pivotButton="0" quotePrefix="0" xfId="0">
      <alignment horizontal="center"/>
    </xf>
    <xf numFmtId="0" fontId="60" fillId="9" borderId="3" pivotButton="0" quotePrefix="0" xfId="0"/>
    <xf numFmtId="0" fontId="2" fillId="17" borderId="0" pivotButton="0" quotePrefix="0" xfId="0"/>
    <xf numFmtId="0" fontId="0" fillId="17" borderId="0" pivotButton="0" quotePrefix="0" xfId="0"/>
    <xf numFmtId="0" fontId="6" fillId="17" borderId="0" pivotButton="0" quotePrefix="0" xfId="0"/>
    <xf numFmtId="0" fontId="53" fillId="17" borderId="0" pivotButton="0" quotePrefix="0" xfId="0"/>
    <xf numFmtId="0" fontId="52" fillId="17" borderId="0" applyAlignment="1" pivotButton="0" quotePrefix="0" xfId="0">
      <alignment horizontal="center"/>
    </xf>
    <xf numFmtId="0" fontId="52" fillId="17" borderId="0" pivotButton="0" quotePrefix="0" xfId="0"/>
    <xf numFmtId="0" fontId="60" fillId="17" borderId="0" applyAlignment="1" pivotButton="0" quotePrefix="0" xfId="0">
      <alignment horizontal="center"/>
    </xf>
    <xf numFmtId="0" fontId="60" fillId="17" borderId="0" pivotButton="0" quotePrefix="0" xfId="0"/>
    <xf numFmtId="0" fontId="59" fillId="9" borderId="4" pivotButton="0" quotePrefix="0" xfId="0"/>
    <xf numFmtId="0" fontId="60" fillId="9" borderId="4" applyAlignment="1" pivotButton="0" quotePrefix="0" xfId="0">
      <alignment horizontal="center"/>
    </xf>
    <xf numFmtId="0" fontId="60" fillId="9" borderId="4" pivotButton="0" quotePrefix="0" xfId="0"/>
    <xf numFmtId="0" fontId="59" fillId="17" borderId="3" pivotButton="0" quotePrefix="0" xfId="0"/>
    <xf numFmtId="0" fontId="60" fillId="17" borderId="3" applyAlignment="1" pivotButton="0" quotePrefix="0" xfId="0">
      <alignment horizontal="center"/>
    </xf>
    <xf numFmtId="0" fontId="59" fillId="17" borderId="4" pivotButton="0" quotePrefix="0" xfId="0"/>
    <xf numFmtId="0" fontId="60" fillId="17" borderId="4" applyAlignment="1" pivotButton="0" quotePrefix="0" xfId="0">
      <alignment horizontal="center"/>
    </xf>
    <xf numFmtId="0" fontId="60" fillId="17" borderId="4" pivotButton="0" quotePrefix="0" xfId="0"/>
    <xf numFmtId="0" fontId="59" fillId="18" borderId="0" pivotButton="0" quotePrefix="0" xfId="0"/>
    <xf numFmtId="0" fontId="59" fillId="19" borderId="0" pivotButton="0" quotePrefix="0" xfId="0"/>
    <xf numFmtId="0" fontId="59" fillId="20" borderId="0" applyAlignment="1" pivotButton="0" quotePrefix="0" xfId="0">
      <alignment horizontal="center"/>
    </xf>
    <xf numFmtId="0" fontId="59" fillId="21" borderId="0" applyAlignment="1" pivotButton="0" quotePrefix="0" xfId="0">
      <alignment horizontal="center"/>
    </xf>
    <xf numFmtId="0" fontId="42" fillId="9" borderId="0" pivotButton="0" quotePrefix="0" xfId="0"/>
    <xf numFmtId="0" fontId="36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4" fillId="17" borderId="0" pivotButton="0" quotePrefix="0" xfId="0"/>
    <xf numFmtId="0" fontId="15" fillId="8" borderId="0" applyAlignment="1" pivotButton="0" quotePrefix="0" xfId="0">
      <alignment horizontal="center"/>
    </xf>
    <xf numFmtId="0" fontId="63" fillId="17" borderId="6" applyProtection="1" pivotButton="0" quotePrefix="0" xfId="0">
      <protection locked="0" hidden="0"/>
    </xf>
    <xf numFmtId="0" fontId="62" fillId="17" borderId="6" applyProtection="1" pivotButton="0" quotePrefix="0" xfId="0">
      <protection locked="0" hidden="0"/>
    </xf>
    <xf numFmtId="14" fontId="62" fillId="17" borderId="6" applyProtection="1" pivotButton="0" quotePrefix="0" xfId="0">
      <protection locked="0" hidden="0"/>
    </xf>
    <xf numFmtId="0" fontId="62" fillId="17" borderId="6" pivotButton="0" quotePrefix="0" xfId="0"/>
    <xf numFmtId="0" fontId="62" fillId="9" borderId="3" applyProtection="1" pivotButton="0" quotePrefix="0" xfId="0">
      <protection locked="0" hidden="0"/>
    </xf>
    <xf numFmtId="14" fontId="62" fillId="9" borderId="3" applyProtection="1" pivotButton="0" quotePrefix="0" xfId="0">
      <protection locked="0" hidden="0"/>
    </xf>
    <xf numFmtId="0" fontId="62" fillId="9" borderId="3" pivotButton="0" quotePrefix="0" xfId="0"/>
    <xf numFmtId="0" fontId="63" fillId="9" borderId="3" applyProtection="1" pivotButton="0" quotePrefix="0" xfId="0">
      <protection locked="0" hidden="0"/>
    </xf>
    <xf numFmtId="0" fontId="63" fillId="9" borderId="4" applyProtection="1" pivotButton="0" quotePrefix="0" xfId="0">
      <protection locked="0" hidden="0"/>
    </xf>
    <xf numFmtId="0" fontId="62" fillId="9" borderId="4" applyProtection="1" pivotButton="0" quotePrefix="0" xfId="0">
      <protection locked="0" hidden="0"/>
    </xf>
    <xf numFmtId="14" fontId="62" fillId="9" borderId="4" applyProtection="1" pivotButton="0" quotePrefix="0" xfId="0">
      <protection locked="0" hidden="0"/>
    </xf>
    <xf numFmtId="0" fontId="62" fillId="9" borderId="4" pivotButton="0" quotePrefix="0" xfId="0"/>
    <xf numFmtId="0" fontId="62" fillId="17" borderId="3" pivotButton="0" quotePrefix="0" xfId="0"/>
    <xf numFmtId="0" fontId="63" fillId="17" borderId="4" applyProtection="1" pivotButton="0" quotePrefix="0" xfId="0">
      <protection locked="0" hidden="0"/>
    </xf>
    <xf numFmtId="0" fontId="62" fillId="17" borderId="4" applyProtection="1" pivotButton="0" quotePrefix="0" xfId="0">
      <protection locked="0" hidden="0"/>
    </xf>
    <xf numFmtId="14" fontId="62" fillId="17" borderId="4" applyProtection="1" pivotButton="0" quotePrefix="0" xfId="0">
      <protection locked="0" hidden="0"/>
    </xf>
    <xf numFmtId="0" fontId="62" fillId="17" borderId="4" pivotButton="0" quotePrefix="0" xfId="0"/>
    <xf numFmtId="0" fontId="64" fillId="17" borderId="6" pivotButton="0" quotePrefix="0" xfId="0"/>
    <xf numFmtId="0" fontId="64" fillId="9" borderId="4" pivotButton="0" quotePrefix="0" xfId="0"/>
    <xf numFmtId="0" fontId="64" fillId="17" borderId="4" pivotButton="0" quotePrefix="0" xfId="0"/>
    <xf numFmtId="0" fontId="65" fillId="16" borderId="0" applyAlignment="1" pivotButton="0" quotePrefix="0" xfId="0">
      <alignment horizontal="right"/>
    </xf>
    <xf numFmtId="0" fontId="66" fillId="16" borderId="0" applyAlignment="1" pivotButton="0" quotePrefix="0" xfId="0">
      <alignment horizontal="left"/>
    </xf>
    <xf numFmtId="0" fontId="67" fillId="22" borderId="0" applyAlignment="1" pivotButton="0" quotePrefix="0" xfId="0">
      <alignment horizontal="center"/>
    </xf>
    <xf numFmtId="0" fontId="68" fillId="22" borderId="0" applyAlignment="1" pivotButton="0" quotePrefix="0" xfId="0">
      <alignment horizontal="center"/>
    </xf>
    <xf numFmtId="0" fontId="69" fillId="22" borderId="0" applyAlignment="1" pivotButton="0" quotePrefix="0" xfId="0">
      <alignment horizontal="left"/>
    </xf>
    <xf numFmtId="0" fontId="67" fillId="23" borderId="0" applyAlignment="1" pivotButton="0" quotePrefix="0" xfId="0">
      <alignment horizontal="center"/>
    </xf>
    <xf numFmtId="0" fontId="68" fillId="23" borderId="0" applyAlignment="1" pivotButton="0" quotePrefix="0" xfId="0">
      <alignment horizontal="center"/>
    </xf>
    <xf numFmtId="0" fontId="70" fillId="23" borderId="0" applyAlignment="1" pivotButton="0" quotePrefix="0" xfId="0">
      <alignment horizontal="left"/>
    </xf>
    <xf numFmtId="0" fontId="67" fillId="24" borderId="0" applyAlignment="1" pivotButton="0" quotePrefix="0" xfId="0">
      <alignment horizontal="center"/>
    </xf>
    <xf numFmtId="0" fontId="68" fillId="24" borderId="0" applyAlignment="1" pivotButton="0" quotePrefix="0" xfId="0">
      <alignment horizontal="center"/>
    </xf>
    <xf numFmtId="0" fontId="71" fillId="24" borderId="0" applyAlignment="1" pivotButton="0" quotePrefix="0" xfId="0">
      <alignment horizontal="left"/>
    </xf>
    <xf numFmtId="0" fontId="72" fillId="14" borderId="0" applyAlignment="1" pivotButton="0" quotePrefix="0" xfId="0">
      <alignment horizontal="right"/>
    </xf>
    <xf numFmtId="0" fontId="73" fillId="14" borderId="0" pivotButton="0" quotePrefix="0" xfId="0"/>
    <xf numFmtId="0" fontId="43" fillId="8" borderId="0" applyAlignment="1" pivotButton="0" quotePrefix="0" xfId="0">
      <alignment horizontal="center" wrapText="1"/>
    </xf>
    <xf numFmtId="0" fontId="74" fillId="8" borderId="0" applyAlignment="1" pivotButton="0" quotePrefix="0" xfId="0">
      <alignment horizontal="center" wrapText="1"/>
    </xf>
    <xf numFmtId="0" fontId="43" fillId="8" borderId="0" applyAlignment="1" pivotButton="0" quotePrefix="0" xfId="0">
      <alignment horizontal="center"/>
    </xf>
    <xf numFmtId="0" fontId="45" fillId="17" borderId="0" applyAlignment="1" pivotButton="0" quotePrefix="0" xfId="0">
      <alignment horizontal="center"/>
    </xf>
    <xf numFmtId="0" fontId="43" fillId="8" borderId="0" applyAlignment="1" pivotButton="0" quotePrefix="0" xfId="0">
      <alignment horizontal="center" vertical="center" wrapText="1"/>
    </xf>
    <xf numFmtId="0" fontId="48" fillId="17" borderId="6" applyAlignment="1" pivotButton="0" quotePrefix="0" xfId="0">
      <alignment horizontal="center"/>
    </xf>
    <xf numFmtId="0" fontId="16" fillId="17" borderId="6" pivotButton="0" quotePrefix="0" xfId="0"/>
    <xf numFmtId="0" fontId="75" fillId="17" borderId="6" applyAlignment="1" pivotButton="0" quotePrefix="0" xfId="0">
      <alignment horizontal="center"/>
    </xf>
    <xf numFmtId="0" fontId="51" fillId="17" borderId="6" applyAlignment="1" pivotButton="0" quotePrefix="0" xfId="0">
      <alignment horizontal="center"/>
    </xf>
    <xf numFmtId="0" fontId="45" fillId="17" borderId="6" pivotButton="0" quotePrefix="0" xfId="0"/>
    <xf numFmtId="0" fontId="54" fillId="17" borderId="6" applyAlignment="1" pivotButton="0" quotePrefix="0" xfId="0">
      <alignment horizontal="center"/>
    </xf>
    <xf numFmtId="2" fontId="14" fillId="17" borderId="6" applyAlignment="1" pivotButton="0" quotePrefix="0" xfId="0">
      <alignment horizontal="center"/>
    </xf>
    <xf numFmtId="165" fontId="14" fillId="17" borderId="6" applyAlignment="1" pivotButton="0" quotePrefix="0" xfId="0">
      <alignment horizontal="center"/>
    </xf>
    <xf numFmtId="1" fontId="14" fillId="17" borderId="6" applyAlignment="1" pivotButton="0" quotePrefix="0" xfId="0">
      <alignment horizontal="center"/>
    </xf>
    <xf numFmtId="3" fontId="14" fillId="17" borderId="6" applyAlignment="1" pivotButton="0" quotePrefix="0" xfId="0">
      <alignment horizontal="center"/>
    </xf>
    <xf numFmtId="0" fontId="45" fillId="17" borderId="6" applyAlignment="1" pivotButton="0" quotePrefix="0" xfId="0">
      <alignment horizontal="center"/>
    </xf>
    <xf numFmtId="1" fontId="45" fillId="17" borderId="6" applyAlignment="1" pivotButton="0" quotePrefix="0" xfId="0">
      <alignment horizontal="center"/>
    </xf>
    <xf numFmtId="0" fontId="53" fillId="9" borderId="3" pivotButton="0" quotePrefix="0" xfId="0"/>
    <xf numFmtId="0" fontId="48" fillId="9" borderId="4" applyAlignment="1" pivotButton="0" quotePrefix="0" xfId="0">
      <alignment horizontal="center"/>
    </xf>
    <xf numFmtId="0" fontId="16" fillId="9" borderId="4" pivotButton="0" quotePrefix="0" xfId="0"/>
    <xf numFmtId="0" fontId="75" fillId="9" borderId="4" applyAlignment="1" pivotButton="0" quotePrefix="0" xfId="0">
      <alignment horizontal="center"/>
    </xf>
    <xf numFmtId="0" fontId="51" fillId="9" borderId="4" applyAlignment="1" pivotButton="0" quotePrefix="0" xfId="0">
      <alignment horizontal="center"/>
    </xf>
    <xf numFmtId="0" fontId="45" fillId="9" borderId="4" pivotButton="0" quotePrefix="0" xfId="0"/>
    <xf numFmtId="0" fontId="54" fillId="9" borderId="4" applyAlignment="1" pivotButton="0" quotePrefix="0" xfId="0">
      <alignment horizontal="center"/>
    </xf>
    <xf numFmtId="0" fontId="43" fillId="9" borderId="4" applyAlignment="1" pivotButton="0" quotePrefix="0" xfId="0">
      <alignment horizontal="center" wrapText="1"/>
    </xf>
    <xf numFmtId="165" fontId="14" fillId="9" borderId="4" applyAlignment="1" pivotButton="0" quotePrefix="0" xfId="0">
      <alignment horizontal="center"/>
    </xf>
    <xf numFmtId="1" fontId="14" fillId="9" borderId="4" applyAlignment="1" pivotButton="0" quotePrefix="0" xfId="0">
      <alignment horizontal="center"/>
    </xf>
    <xf numFmtId="3" fontId="14" fillId="9" borderId="4" applyAlignment="1" pivotButton="0" quotePrefix="0" xfId="0">
      <alignment horizontal="center"/>
    </xf>
    <xf numFmtId="0" fontId="45" fillId="9" borderId="4" applyAlignment="1" pivotButton="0" quotePrefix="0" xfId="0">
      <alignment horizontal="center"/>
    </xf>
    <xf numFmtId="1" fontId="45" fillId="9" borderId="4" applyAlignment="1" pivotButton="0" quotePrefix="0" xfId="0">
      <alignment horizontal="center"/>
    </xf>
    <xf numFmtId="0" fontId="48" fillId="17" borderId="3" applyAlignment="1" pivotButton="0" quotePrefix="0" xfId="0">
      <alignment horizontal="center"/>
    </xf>
    <xf numFmtId="0" fontId="53" fillId="17" borderId="3" pivotButton="0" quotePrefix="0" xfId="0"/>
    <xf numFmtId="0" fontId="75" fillId="17" borderId="3" applyAlignment="1" pivotButton="0" quotePrefix="0" xfId="0">
      <alignment horizontal="center"/>
    </xf>
    <xf numFmtId="0" fontId="45" fillId="17" borderId="3" pivotButton="0" quotePrefix="0" xfId="0"/>
    <xf numFmtId="0" fontId="54" fillId="17" borderId="3" applyAlignment="1" pivotButton="0" quotePrefix="0" xfId="0">
      <alignment horizontal="center"/>
    </xf>
    <xf numFmtId="2" fontId="14" fillId="17" borderId="3" applyAlignment="1" pivotButton="0" quotePrefix="0" xfId="0">
      <alignment horizontal="center"/>
    </xf>
    <xf numFmtId="165" fontId="14" fillId="17" borderId="3" applyAlignment="1" pivotButton="0" quotePrefix="0" xfId="0">
      <alignment horizontal="center"/>
    </xf>
    <xf numFmtId="1" fontId="14" fillId="17" borderId="3" applyAlignment="1" pivotButton="0" quotePrefix="0" xfId="0">
      <alignment horizontal="center"/>
    </xf>
    <xf numFmtId="3" fontId="14" fillId="17" borderId="3" applyAlignment="1" pivotButton="0" quotePrefix="0" xfId="0">
      <alignment horizontal="center"/>
    </xf>
    <xf numFmtId="0" fontId="45" fillId="17" borderId="3" applyAlignment="1" pivotButton="0" quotePrefix="0" xfId="0">
      <alignment horizontal="center"/>
    </xf>
    <xf numFmtId="1" fontId="45" fillId="17" borderId="3" applyAlignment="1" pivotButton="0" quotePrefix="0" xfId="0">
      <alignment horizontal="center"/>
    </xf>
    <xf numFmtId="0" fontId="16" fillId="17" borderId="3" pivotButton="0" quotePrefix="0" xfId="0"/>
    <xf numFmtId="0" fontId="51" fillId="17" borderId="3" applyAlignment="1" pivotButton="0" quotePrefix="0" xfId="0">
      <alignment horizontal="center"/>
    </xf>
    <xf numFmtId="0" fontId="48" fillId="17" borderId="4" applyAlignment="1" pivotButton="0" quotePrefix="0" xfId="0">
      <alignment horizontal="center"/>
    </xf>
    <xf numFmtId="0" fontId="16" fillId="17" borderId="4" pivotButton="0" quotePrefix="0" xfId="0"/>
    <xf numFmtId="0" fontId="75" fillId="17" borderId="4" applyAlignment="1" pivotButton="0" quotePrefix="0" xfId="0">
      <alignment horizontal="center"/>
    </xf>
    <xf numFmtId="0" fontId="51" fillId="17" borderId="4" applyAlignment="1" pivotButton="0" quotePrefix="0" xfId="0">
      <alignment horizontal="center"/>
    </xf>
    <xf numFmtId="0" fontId="45" fillId="17" borderId="4" pivotButton="0" quotePrefix="0" xfId="0"/>
    <xf numFmtId="0" fontId="54" fillId="17" borderId="4" applyAlignment="1" pivotButton="0" quotePrefix="0" xfId="0">
      <alignment horizontal="center"/>
    </xf>
    <xf numFmtId="2" fontId="14" fillId="17" borderId="4" applyAlignment="1" pivotButton="0" quotePrefix="0" xfId="0">
      <alignment horizontal="center"/>
    </xf>
    <xf numFmtId="165" fontId="14" fillId="17" borderId="4" applyAlignment="1" pivotButton="0" quotePrefix="0" xfId="0">
      <alignment horizontal="center"/>
    </xf>
    <xf numFmtId="1" fontId="14" fillId="17" borderId="4" applyAlignment="1" pivotButton="0" quotePrefix="0" xfId="0">
      <alignment horizontal="center"/>
    </xf>
    <xf numFmtId="3" fontId="14" fillId="17" borderId="4" applyAlignment="1" pivotButton="0" quotePrefix="0" xfId="0">
      <alignment horizontal="center"/>
    </xf>
    <xf numFmtId="0" fontId="45" fillId="17" borderId="4" applyAlignment="1" pivotButton="0" quotePrefix="0" xfId="0">
      <alignment horizontal="center"/>
    </xf>
    <xf numFmtId="1" fontId="45" fillId="17" borderId="4" applyAlignment="1" pivotButton="0" quotePrefix="0" xfId="0">
      <alignment horizontal="center"/>
    </xf>
    <xf numFmtId="2" fontId="14" fillId="9" borderId="4" applyAlignment="1" pivotButton="0" quotePrefix="0" xfId="0">
      <alignment horizontal="center"/>
    </xf>
    <xf numFmtId="3" fontId="76" fillId="17" borderId="6" applyAlignment="1" pivotButton="0" quotePrefix="0" xfId="0">
      <alignment horizontal="center"/>
    </xf>
    <xf numFmtId="3" fontId="76" fillId="9" borderId="4" applyAlignment="1" pivotButton="0" quotePrefix="0" xfId="0">
      <alignment horizontal="center"/>
    </xf>
    <xf numFmtId="3" fontId="76" fillId="17" borderId="4" applyAlignment="1" pivotButton="0" quotePrefix="0" xfId="0">
      <alignment horizontal="center"/>
    </xf>
    <xf numFmtId="3" fontId="76" fillId="17" borderId="3" applyAlignment="1" pivotButton="0" quotePrefix="0" xfId="0">
      <alignment horizontal="center"/>
    </xf>
    <xf numFmtId="0" fontId="77" fillId="14" borderId="0" pivotButton="0" quotePrefix="0" xfId="0"/>
    <xf numFmtId="0" fontId="42" fillId="9" borderId="0" applyAlignment="1" pivotButton="0" quotePrefix="0" xfId="0">
      <alignment horizontal="center"/>
    </xf>
    <xf numFmtId="0" fontId="62" fillId="17" borderId="0" applyAlignment="1" pivotButton="0" quotePrefix="0" xfId="0">
      <alignment horizontal="center"/>
    </xf>
    <xf numFmtId="0" fontId="63" fillId="9" borderId="4" pivotButton="0" quotePrefix="0" xfId="0"/>
    <xf numFmtId="0" fontId="63" fillId="9" borderId="4" applyAlignment="1" pivotButton="0" quotePrefix="0" xfId="0">
      <alignment horizontal="center"/>
    </xf>
    <xf numFmtId="0" fontId="62" fillId="9" borderId="4" applyAlignment="1" pivotButton="0" quotePrefix="0" xfId="0">
      <alignment horizontal="center"/>
    </xf>
    <xf numFmtId="0" fontId="63" fillId="17" borderId="3" pivotButton="0" quotePrefix="0" xfId="0"/>
    <xf numFmtId="0" fontId="63" fillId="17" borderId="4" pivotButton="0" quotePrefix="0" xfId="0"/>
    <xf numFmtId="0" fontId="16" fillId="17" borderId="0" pivotButton="0" quotePrefix="0" xfId="0"/>
    <xf numFmtId="0" fontId="78" fillId="17" borderId="0" pivotButton="0" quotePrefix="0" xfId="0"/>
    <xf numFmtId="0" fontId="79" fillId="9" borderId="4" pivotButton="0" quotePrefix="0" xfId="0"/>
    <xf numFmtId="0" fontId="80" fillId="17" borderId="4" pivotButton="0" quotePrefix="0" xfId="0"/>
    <xf numFmtId="0" fontId="78" fillId="17" borderId="0" applyAlignment="1" pivotButton="0" quotePrefix="0" xfId="0">
      <alignment horizontal="center"/>
    </xf>
    <xf numFmtId="0" fontId="79" fillId="9" borderId="4" applyAlignment="1" pivotButton="0" quotePrefix="0" xfId="0">
      <alignment horizontal="center"/>
    </xf>
    <xf numFmtId="0" fontId="80" fillId="17" borderId="4" applyAlignment="1" pivotButton="0" quotePrefix="0" xfId="0">
      <alignment horizontal="center"/>
    </xf>
    <xf numFmtId="2" fontId="81" fillId="17" borderId="4" applyAlignment="1" pivotButton="0" quotePrefix="0" xfId="0">
      <alignment horizontal="center"/>
    </xf>
    <xf numFmtId="3" fontId="81" fillId="9" borderId="4" applyAlignment="1" pivotButton="0" quotePrefix="0" xfId="0">
      <alignment horizontal="center"/>
    </xf>
    <xf numFmtId="165" fontId="81" fillId="17" borderId="3" applyAlignment="1" pivotButton="0" quotePrefix="0" xfId="0">
      <alignment horizontal="center"/>
    </xf>
    <xf numFmtId="0" fontId="43" fillId="8" borderId="5" applyAlignment="1" pivotButton="0" quotePrefix="0" xfId="0">
      <alignment horizontal="center" vertical="center" wrapText="1"/>
    </xf>
    <xf numFmtId="14" fontId="60" fillId="0" borderId="0" applyAlignment="1" applyProtection="1" pivotButton="0" quotePrefix="0" xfId="0">
      <alignment horizontal="center"/>
      <protection locked="0" hidden="0"/>
    </xf>
    <xf numFmtId="0" fontId="60" fillId="0" borderId="0" applyAlignment="1" applyProtection="1" pivotButton="0" quotePrefix="0" xfId="0">
      <alignment horizontal="center"/>
      <protection locked="0" hidden="0"/>
    </xf>
    <xf numFmtId="3" fontId="60" fillId="0" borderId="0" applyAlignment="1" applyProtection="1" pivotButton="0" quotePrefix="0" xfId="0">
      <alignment horizontal="center"/>
      <protection locked="0" hidden="0"/>
    </xf>
    <xf numFmtId="165" fontId="60" fillId="0" borderId="0" applyAlignment="1" applyProtection="1" pivotButton="0" quotePrefix="0" xfId="0">
      <alignment horizontal="center"/>
      <protection locked="0" hidden="0"/>
    </xf>
    <xf numFmtId="1" fontId="60" fillId="0" borderId="0" applyAlignment="1" applyProtection="1" pivotButton="0" quotePrefix="0" xfId="0">
      <alignment horizontal="center"/>
      <protection locked="0" hidden="0"/>
    </xf>
    <xf numFmtId="14" fontId="60" fillId="17" borderId="0" applyAlignment="1" applyProtection="1" pivotButton="0" quotePrefix="0" xfId="0">
      <alignment horizontal="center"/>
      <protection locked="0" hidden="0"/>
    </xf>
    <xf numFmtId="0" fontId="60" fillId="17" borderId="0" applyAlignment="1" applyProtection="1" pivotButton="0" quotePrefix="0" xfId="0">
      <alignment horizontal="center"/>
      <protection locked="0" hidden="0"/>
    </xf>
    <xf numFmtId="3" fontId="60" fillId="17" borderId="0" applyAlignment="1" applyProtection="1" pivotButton="0" quotePrefix="0" xfId="0">
      <alignment horizontal="center"/>
      <protection locked="0" hidden="0"/>
    </xf>
    <xf numFmtId="165" fontId="60" fillId="17" borderId="0" applyAlignment="1" applyProtection="1" pivotButton="0" quotePrefix="0" xfId="0">
      <alignment horizontal="center"/>
      <protection locked="0" hidden="0"/>
    </xf>
    <xf numFmtId="1" fontId="60" fillId="17" borderId="0" applyAlignment="1" applyProtection="1" pivotButton="0" quotePrefix="0" xfId="0">
      <alignment horizontal="center"/>
      <protection locked="0" hidden="0"/>
    </xf>
    <xf numFmtId="14" fontId="60" fillId="9" borderId="0" applyAlignment="1" applyProtection="1" pivotButton="0" quotePrefix="0" xfId="0">
      <alignment horizontal="center"/>
      <protection locked="0" hidden="0"/>
    </xf>
    <xf numFmtId="0" fontId="60" fillId="9" borderId="0" applyAlignment="1" applyProtection="1" pivotButton="0" quotePrefix="0" xfId="0">
      <alignment horizontal="center"/>
      <protection locked="0" hidden="0"/>
    </xf>
    <xf numFmtId="3" fontId="60" fillId="9" borderId="0" applyAlignment="1" applyProtection="1" pivotButton="0" quotePrefix="0" xfId="0">
      <alignment horizontal="center"/>
      <protection locked="0" hidden="0"/>
    </xf>
    <xf numFmtId="165" fontId="60" fillId="9" borderId="0" applyAlignment="1" applyProtection="1" pivotButton="0" quotePrefix="0" xfId="0">
      <alignment horizontal="center"/>
      <protection locked="0" hidden="0"/>
    </xf>
    <xf numFmtId="1" fontId="60" fillId="9" borderId="0" applyAlignment="1" applyProtection="1" pivotButton="0" quotePrefix="0" xfId="0">
      <alignment horizontal="center"/>
      <protection locked="0" hidden="0"/>
    </xf>
    <xf numFmtId="0" fontId="9" fillId="16" borderId="0" pivotButton="0" quotePrefix="0" xfId="0"/>
    <xf numFmtId="0" fontId="13" fillId="16" borderId="0" pivotButton="0" quotePrefix="0" xfId="0"/>
    <xf numFmtId="0" fontId="82" fillId="14" borderId="0" pivotButton="0" quotePrefix="0" xfId="0"/>
    <xf numFmtId="0" fontId="56" fillId="9" borderId="0" pivotButton="0" quotePrefix="0" xfId="0"/>
    <xf numFmtId="0" fontId="50" fillId="9" borderId="0" pivotButton="0" quotePrefix="0" xfId="0"/>
    <xf numFmtId="0" fontId="56" fillId="9" borderId="0" applyAlignment="1" pivotButton="0" quotePrefix="0" xfId="0">
      <alignment horizontal="center"/>
    </xf>
    <xf numFmtId="2" fontId="8" fillId="10" borderId="0" applyAlignment="1" pivotButton="0" quotePrefix="0" xfId="0">
      <alignment horizontal="center"/>
    </xf>
    <xf numFmtId="0" fontId="48" fillId="10" borderId="0" pivotButton="0" quotePrefix="0" xfId="0"/>
    <xf numFmtId="0" fontId="34" fillId="10" borderId="0" pivotButton="0" quotePrefix="0" xfId="0"/>
    <xf numFmtId="0" fontId="7" fillId="17" borderId="0" pivotButton="0" quotePrefix="0" xfId="0"/>
    <xf numFmtId="0" fontId="48" fillId="17" borderId="0" pivotButton="0" quotePrefix="0" xfId="0"/>
    <xf numFmtId="14" fontId="74" fillId="8" borderId="0" applyAlignment="1" pivotButton="0" quotePrefix="0" xfId="0">
      <alignment horizontal="center" vertical="center" wrapText="1"/>
    </xf>
    <xf numFmtId="0" fontId="74" fillId="8" borderId="0" applyAlignment="1" pivotButton="0" quotePrefix="0" xfId="0">
      <alignment horizontal="center" vertical="center" wrapText="1"/>
    </xf>
    <xf numFmtId="2" fontId="74" fillId="8" borderId="0" applyAlignment="1" pivotButton="0" quotePrefix="0" xfId="0">
      <alignment horizontal="center" vertical="center" wrapText="1"/>
    </xf>
    <xf numFmtId="14" fontId="83" fillId="17" borderId="6" pivotButton="0" quotePrefix="0" xfId="0"/>
    <xf numFmtId="0" fontId="83" fillId="17" borderId="6" pivotButton="0" quotePrefix="0" xfId="0"/>
    <xf numFmtId="3" fontId="83" fillId="17" borderId="6" pivotButton="0" quotePrefix="0" xfId="0"/>
    <xf numFmtId="2" fontId="83" fillId="17" borderId="6" pivotButton="0" quotePrefix="0" xfId="0"/>
    <xf numFmtId="14" fontId="83" fillId="9" borderId="3" pivotButton="0" quotePrefix="0" xfId="0"/>
    <xf numFmtId="0" fontId="83" fillId="9" borderId="3" pivotButton="0" quotePrefix="0" xfId="0"/>
    <xf numFmtId="3" fontId="83" fillId="9" borderId="3" pivotButton="0" quotePrefix="0" xfId="0"/>
    <xf numFmtId="2" fontId="83" fillId="9" borderId="3" pivotButton="0" quotePrefix="0" xfId="0"/>
    <xf numFmtId="14" fontId="83" fillId="9" borderId="4" pivotButton="0" quotePrefix="0" xfId="0"/>
    <xf numFmtId="0" fontId="83" fillId="9" borderId="4" pivotButton="0" quotePrefix="0" xfId="0"/>
    <xf numFmtId="3" fontId="83" fillId="9" borderId="4" pivotButton="0" quotePrefix="0" xfId="0"/>
    <xf numFmtId="2" fontId="83" fillId="9" borderId="4" pivotButton="0" quotePrefix="0" xfId="0"/>
    <xf numFmtId="14" fontId="83" fillId="17" borderId="4" pivotButton="0" quotePrefix="0" xfId="0"/>
    <xf numFmtId="0" fontId="83" fillId="17" borderId="4" pivotButton="0" quotePrefix="0" xfId="0"/>
    <xf numFmtId="3" fontId="83" fillId="17" borderId="4" pivotButton="0" quotePrefix="0" xfId="0"/>
    <xf numFmtId="2" fontId="83" fillId="17" borderId="4" pivotButton="0" quotePrefix="0" xfId="0"/>
    <xf numFmtId="0" fontId="84" fillId="14" borderId="0" pivotButton="0" quotePrefix="0" xfId="0"/>
    <xf numFmtId="0" fontId="29" fillId="10" borderId="0" pivotButton="0" quotePrefix="0" xfId="0"/>
    <xf numFmtId="0" fontId="30" fillId="10" borderId="0" pivotButton="0" quotePrefix="0" xfId="0"/>
    <xf numFmtId="0" fontId="31" fillId="10" borderId="0" pivotButton="0" quotePrefix="0" xfId="0"/>
    <xf numFmtId="0" fontId="32" fillId="10" borderId="0" pivotButton="0" quotePrefix="0" xfId="0"/>
    <xf numFmtId="0" fontId="27" fillId="17" borderId="0" pivotButton="0" quotePrefix="0" xfId="0"/>
    <xf numFmtId="0" fontId="30" fillId="17" borderId="0" pivotButton="0" quotePrefix="0" xfId="0"/>
    <xf numFmtId="0" fontId="31" fillId="17" borderId="0" pivotButton="0" quotePrefix="0" xfId="0"/>
    <xf numFmtId="0" fontId="32" fillId="17" borderId="0" pivotButton="0" quotePrefix="0" xfId="0"/>
    <xf numFmtId="3" fontId="52" fillId="9" borderId="0" applyAlignment="1" pivotButton="0" quotePrefix="0" xfId="0">
      <alignment horizontal="center"/>
    </xf>
    <xf numFmtId="0" fontId="59" fillId="17" borderId="6" pivotButton="0" quotePrefix="0" xfId="0"/>
    <xf numFmtId="1" fontId="60" fillId="17" borderId="6" applyAlignment="1" pivotButton="0" quotePrefix="0" xfId="0">
      <alignment horizontal="center"/>
    </xf>
    <xf numFmtId="3" fontId="60" fillId="17" borderId="6" applyAlignment="1" pivotButton="0" quotePrefix="0" xfId="0">
      <alignment horizontal="center"/>
    </xf>
    <xf numFmtId="168" fontId="60" fillId="17" borderId="6" applyAlignment="1" pivotButton="0" quotePrefix="0" xfId="0">
      <alignment horizontal="center"/>
    </xf>
    <xf numFmtId="2" fontId="60" fillId="17" borderId="6" applyAlignment="1" pivotButton="0" quotePrefix="0" xfId="0">
      <alignment horizontal="center"/>
    </xf>
    <xf numFmtId="0" fontId="60" fillId="17" borderId="6" applyAlignment="1" pivotButton="0" quotePrefix="0" xfId="0">
      <alignment horizontal="center"/>
    </xf>
    <xf numFmtId="3" fontId="60" fillId="9" borderId="3" applyAlignment="1" pivotButton="0" quotePrefix="0" xfId="0">
      <alignment horizontal="center"/>
    </xf>
    <xf numFmtId="1" fontId="60" fillId="9" borderId="4" applyAlignment="1" pivotButton="0" quotePrefix="0" xfId="0">
      <alignment horizontal="center"/>
    </xf>
    <xf numFmtId="3" fontId="60" fillId="9" borderId="4" applyAlignment="1" pivotButton="0" quotePrefix="0" xfId="0">
      <alignment horizontal="center"/>
    </xf>
    <xf numFmtId="168" fontId="60" fillId="9" borderId="4" applyAlignment="1" pivotButton="0" quotePrefix="0" xfId="0">
      <alignment horizontal="center"/>
    </xf>
    <xf numFmtId="2" fontId="60" fillId="9" borderId="4" applyAlignment="1" pivotButton="0" quotePrefix="0" xfId="0">
      <alignment horizontal="center"/>
    </xf>
    <xf numFmtId="1" fontId="60" fillId="17" borderId="3" applyAlignment="1" pivotButton="0" quotePrefix="0" xfId="0">
      <alignment horizontal="center"/>
    </xf>
    <xf numFmtId="3" fontId="60" fillId="17" borderId="3" applyAlignment="1" pivotButton="0" quotePrefix="0" xfId="0">
      <alignment horizontal="center"/>
    </xf>
    <xf numFmtId="168" fontId="60" fillId="17" borderId="3" applyAlignment="1" pivotButton="0" quotePrefix="0" xfId="0">
      <alignment horizontal="center"/>
    </xf>
    <xf numFmtId="2" fontId="60" fillId="17" borderId="3" applyAlignment="1" pivotButton="0" quotePrefix="0" xfId="0">
      <alignment horizontal="center"/>
    </xf>
    <xf numFmtId="1" fontId="60" fillId="17" borderId="4" applyAlignment="1" pivotButton="0" quotePrefix="0" xfId="0">
      <alignment horizontal="center"/>
    </xf>
    <xf numFmtId="3" fontId="60" fillId="17" borderId="4" applyAlignment="1" pivotButton="0" quotePrefix="0" xfId="0">
      <alignment horizontal="center"/>
    </xf>
    <xf numFmtId="168" fontId="60" fillId="17" borderId="4" applyAlignment="1" pivotButton="0" quotePrefix="0" xfId="0">
      <alignment horizontal="center"/>
    </xf>
    <xf numFmtId="2" fontId="60" fillId="17" borderId="4" applyAlignment="1" pivotButton="0" quotePrefix="0" xfId="0">
      <alignment horizontal="center"/>
    </xf>
    <xf numFmtId="1" fontId="14" fillId="10" borderId="0" applyAlignment="1" pivotButton="0" quotePrefix="0" xfId="0">
      <alignment horizontal="center"/>
    </xf>
    <xf numFmtId="3" fontId="14" fillId="10" borderId="0" applyAlignment="1" pivotButton="0" quotePrefix="0" xfId="0">
      <alignment horizontal="center"/>
    </xf>
    <xf numFmtId="168" fontId="14" fillId="10" borderId="0" applyAlignment="1" pivotButton="0" quotePrefix="0" xfId="0">
      <alignment horizontal="center"/>
    </xf>
    <xf numFmtId="2" fontId="14" fillId="10" borderId="0" applyAlignment="1" pivotButton="0" quotePrefix="0" xfId="0">
      <alignment horizontal="center"/>
    </xf>
    <xf numFmtId="0" fontId="14" fillId="10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9" fillId="10" borderId="0" pivotButton="0" quotePrefix="0" xfId="0"/>
    <xf numFmtId="3" fontId="43" fillId="8" borderId="0" applyAlignment="1" pivotButton="0" quotePrefix="0" xfId="0">
      <alignment horizontal="center"/>
    </xf>
    <xf numFmtId="2" fontId="43" fillId="8" borderId="0" applyAlignment="1" pivotButton="0" quotePrefix="0" xfId="0">
      <alignment horizontal="center"/>
    </xf>
    <xf numFmtId="1" fontId="43" fillId="8" borderId="0" applyAlignment="1" pivotButton="0" quotePrefix="0" xfId="0">
      <alignment horizontal="center" wrapText="1"/>
    </xf>
    <xf numFmtId="3" fontId="43" fillId="8" borderId="0" applyAlignment="1" pivotButton="0" quotePrefix="0" xfId="0">
      <alignment horizontal="center" wrapText="1"/>
    </xf>
    <xf numFmtId="168" fontId="43" fillId="8" borderId="0" applyAlignment="1" pivotButton="0" quotePrefix="0" xfId="0">
      <alignment horizontal="center" wrapText="1"/>
    </xf>
    <xf numFmtId="2" fontId="43" fillId="8" borderId="0" applyAlignment="1" pivotButton="0" quotePrefix="0" xfId="0">
      <alignment horizontal="center" wrapText="1"/>
    </xf>
    <xf numFmtId="1" fontId="52" fillId="17" borderId="0" applyAlignment="1" pivotButton="0" quotePrefix="0" xfId="0">
      <alignment horizontal="center"/>
    </xf>
    <xf numFmtId="3" fontId="52" fillId="17" borderId="0" applyAlignment="1" pivotButton="0" quotePrefix="0" xfId="0">
      <alignment horizontal="center"/>
    </xf>
    <xf numFmtId="168" fontId="52" fillId="17" borderId="0" applyAlignment="1" pivotButton="0" quotePrefix="0" xfId="0">
      <alignment horizontal="center"/>
    </xf>
    <xf numFmtId="2" fontId="52" fillId="17" borderId="0" applyAlignment="1" pivotButton="0" quotePrefix="0" xfId="0">
      <alignment horizontal="center"/>
    </xf>
    <xf numFmtId="0" fontId="52" fillId="9" borderId="3" pivotButton="0" quotePrefix="0" xfId="0"/>
    <xf numFmtId="0" fontId="52" fillId="9" borderId="3" applyAlignment="1" pivotButton="0" quotePrefix="0" xfId="0">
      <alignment horizontal="center"/>
    </xf>
    <xf numFmtId="0" fontId="52" fillId="9" borderId="4" pivotButton="0" quotePrefix="0" xfId="0"/>
    <xf numFmtId="0" fontId="52" fillId="9" borderId="4" applyAlignment="1" pivotButton="0" quotePrefix="0" xfId="0">
      <alignment horizontal="center"/>
    </xf>
    <xf numFmtId="0" fontId="52" fillId="17" borderId="3" pivotButton="0" quotePrefix="0" xfId="0"/>
    <xf numFmtId="0" fontId="52" fillId="17" borderId="3" applyAlignment="1" pivotButton="0" quotePrefix="0" xfId="0">
      <alignment horizontal="center"/>
    </xf>
    <xf numFmtId="0" fontId="42" fillId="9" borderId="0" applyAlignment="1" pivotButton="0" quotePrefix="0" xfId="0">
      <alignment horizontal="center" wrapText="1"/>
    </xf>
    <xf numFmtId="0" fontId="85" fillId="17" borderId="4" pivotButton="0" quotePrefix="0" xfId="0"/>
    <xf numFmtId="0" fontId="52" fillId="17" borderId="4" pivotButton="0" quotePrefix="0" xfId="0"/>
    <xf numFmtId="0" fontId="52" fillId="17" borderId="4" applyAlignment="1" pivotButton="0" quotePrefix="0" xfId="0">
      <alignment horizontal="center"/>
    </xf>
    <xf numFmtId="0" fontId="42" fillId="9" borderId="4" applyAlignment="1" pivotButton="0" quotePrefix="0" xfId="0">
      <alignment horizontal="center" wrapText="1"/>
    </xf>
    <xf numFmtId="3" fontId="52" fillId="17" borderId="3" pivotButton="0" quotePrefix="0" xfId="0"/>
    <xf numFmtId="2" fontId="52" fillId="17" borderId="4" pivotButton="0" quotePrefix="0" xfId="0"/>
    <xf numFmtId="3" fontId="52" fillId="17" borderId="4" pivotButton="0" quotePrefix="0" xfId="0"/>
    <xf numFmtId="2" fontId="52" fillId="9" borderId="3" pivotButton="0" quotePrefix="0" xfId="0"/>
    <xf numFmtId="3" fontId="52" fillId="9" borderId="3" pivotButton="0" quotePrefix="0" xfId="0"/>
    <xf numFmtId="2" fontId="52" fillId="9" borderId="4" pivotButton="0" quotePrefix="0" xfId="0"/>
    <xf numFmtId="3" fontId="52" fillId="9" borderId="4" pivotButton="0" quotePrefix="0" xfId="0"/>
    <xf numFmtId="0" fontId="60" fillId="17" borderId="6" pivotButton="0" quotePrefix="0" xfId="0"/>
    <xf numFmtId="165" fontId="60" fillId="17" borderId="6" pivotButton="0" quotePrefix="0" xfId="0"/>
    <xf numFmtId="14" fontId="60" fillId="17" borderId="6" pivotButton="0" quotePrefix="0" xfId="0"/>
    <xf numFmtId="1" fontId="60" fillId="17" borderId="6" pivotButton="0" quotePrefix="0" xfId="0"/>
    <xf numFmtId="166" fontId="60" fillId="17" borderId="6" pivotButton="0" quotePrefix="0" xfId="0"/>
    <xf numFmtId="165" fontId="60" fillId="9" borderId="3" pivotButton="0" quotePrefix="0" xfId="0"/>
    <xf numFmtId="14" fontId="60" fillId="9" borderId="3" pivotButton="0" quotePrefix="0" xfId="0"/>
    <xf numFmtId="1" fontId="60" fillId="9" borderId="3" pivotButton="0" quotePrefix="0" xfId="0"/>
    <xf numFmtId="166" fontId="60" fillId="9" borderId="3" pivotButton="0" quotePrefix="0" xfId="0"/>
    <xf numFmtId="165" fontId="60" fillId="9" borderId="4" pivotButton="0" quotePrefix="0" xfId="0"/>
    <xf numFmtId="14" fontId="60" fillId="9" borderId="4" pivotButton="0" quotePrefix="0" xfId="0"/>
    <xf numFmtId="1" fontId="60" fillId="9" borderId="4" pivotButton="0" quotePrefix="0" xfId="0"/>
    <xf numFmtId="166" fontId="60" fillId="9" borderId="4" pivotButton="0" quotePrefix="0" xfId="0"/>
    <xf numFmtId="165" fontId="60" fillId="17" borderId="4" pivotButton="0" quotePrefix="0" xfId="0"/>
    <xf numFmtId="14" fontId="60" fillId="17" borderId="4" pivotButton="0" quotePrefix="0" xfId="0"/>
    <xf numFmtId="1" fontId="60" fillId="17" borderId="4" pivotButton="0" quotePrefix="0" xfId="0"/>
    <xf numFmtId="166" fontId="60" fillId="17" borderId="4" pivotButton="0" quotePrefix="0" xfId="0"/>
    <xf numFmtId="0" fontId="2" fillId="17" borderId="0" applyAlignment="1" pivotButton="0" quotePrefix="0" xfId="0">
      <alignment horizontal="center"/>
    </xf>
    <xf numFmtId="0" fontId="53" fillId="17" borderId="0" applyAlignment="1" pivotButton="0" quotePrefix="0" xfId="0">
      <alignment horizontal="center"/>
    </xf>
    <xf numFmtId="165" fontId="52" fillId="17" borderId="0" applyAlignment="1" pivotButton="0" quotePrefix="0" xfId="0">
      <alignment horizontal="center"/>
    </xf>
    <xf numFmtId="165" fontId="52" fillId="9" borderId="0" applyAlignment="1" pivotButton="0" quotePrefix="0" xfId="0">
      <alignment horizontal="center"/>
    </xf>
    <xf numFmtId="3" fontId="86" fillId="17" borderId="0" applyAlignment="1" pivotButton="0" quotePrefix="0" xfId="0">
      <alignment horizontal="center"/>
    </xf>
    <xf numFmtId="0" fontId="53" fillId="9" borderId="4" applyAlignment="1" pivotButton="0" quotePrefix="0" xfId="0">
      <alignment horizontal="center"/>
    </xf>
    <xf numFmtId="1" fontId="52" fillId="9" borderId="4" applyAlignment="1" pivotButton="0" quotePrefix="0" xfId="0">
      <alignment horizontal="center"/>
    </xf>
    <xf numFmtId="3" fontId="52" fillId="9" borderId="4" applyAlignment="1" pivotButton="0" quotePrefix="0" xfId="0">
      <alignment horizontal="center"/>
    </xf>
    <xf numFmtId="165" fontId="52" fillId="9" borderId="4" applyAlignment="1" pivotButton="0" quotePrefix="0" xfId="0">
      <alignment horizontal="center"/>
    </xf>
    <xf numFmtId="3" fontId="86" fillId="9" borderId="4" applyAlignment="1" pivotButton="0" quotePrefix="0" xfId="0">
      <alignment horizontal="center"/>
    </xf>
    <xf numFmtId="0" fontId="53" fillId="17" borderId="3" applyAlignment="1" pivotButton="0" quotePrefix="0" xfId="0">
      <alignment horizontal="center"/>
    </xf>
    <xf numFmtId="1" fontId="52" fillId="17" borderId="3" applyAlignment="1" pivotButton="0" quotePrefix="0" xfId="0">
      <alignment horizontal="center"/>
    </xf>
    <xf numFmtId="3" fontId="52" fillId="17" borderId="3" applyAlignment="1" pivotButton="0" quotePrefix="0" xfId="0">
      <alignment horizontal="center"/>
    </xf>
    <xf numFmtId="165" fontId="52" fillId="17" borderId="3" applyAlignment="1" pivotButton="0" quotePrefix="0" xfId="0">
      <alignment horizontal="center"/>
    </xf>
    <xf numFmtId="3" fontId="86" fillId="17" borderId="3" applyAlignment="1" pivotButton="0" quotePrefix="0" xfId="0">
      <alignment horizontal="center"/>
    </xf>
    <xf numFmtId="0" fontId="53" fillId="17" borderId="4" applyAlignment="1" pivotButton="0" quotePrefix="0" xfId="0">
      <alignment horizontal="center"/>
    </xf>
    <xf numFmtId="1" fontId="52" fillId="17" borderId="4" applyAlignment="1" pivotButton="0" quotePrefix="0" xfId="0">
      <alignment horizontal="center"/>
    </xf>
    <xf numFmtId="3" fontId="52" fillId="17" borderId="4" applyAlignment="1" pivotButton="0" quotePrefix="0" xfId="0">
      <alignment horizontal="center"/>
    </xf>
    <xf numFmtId="165" fontId="52" fillId="17" borderId="4" applyAlignment="1" pivotButton="0" quotePrefix="0" xfId="0">
      <alignment horizontal="center"/>
    </xf>
    <xf numFmtId="3" fontId="86" fillId="17" borderId="4" applyAlignment="1" pivotButton="0" quotePrefix="0" xfId="0">
      <alignment horizontal="center"/>
    </xf>
    <xf numFmtId="0" fontId="28" fillId="10" borderId="0" applyAlignment="1" pivotButton="0" quotePrefix="0" xfId="0">
      <alignment horizontal="center"/>
    </xf>
    <xf numFmtId="0" fontId="39" fillId="17" borderId="0" pivotButton="0" quotePrefix="0" xfId="0"/>
    <xf numFmtId="166" fontId="52" fillId="17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52" fillId="9" borderId="0" applyAlignment="1" pivotButton="0" quotePrefix="0" xfId="0">
      <alignment horizontal="center"/>
    </xf>
    <xf numFmtId="0" fontId="53" fillId="9" borderId="4" pivotButton="0" quotePrefix="0" xfId="0"/>
    <xf numFmtId="166" fontId="52" fillId="9" borderId="4" applyAlignment="1" pivotButton="0" quotePrefix="0" xfId="0">
      <alignment horizontal="center"/>
    </xf>
    <xf numFmtId="166" fontId="52" fillId="17" borderId="3" applyAlignment="1" pivotButton="0" quotePrefix="0" xfId="0">
      <alignment horizontal="center"/>
    </xf>
    <xf numFmtId="0" fontId="53" fillId="17" borderId="4" pivotButton="0" quotePrefix="0" xfId="0"/>
    <xf numFmtId="166" fontId="52" fillId="17" borderId="4" applyAlignment="1" pivotButton="0" quotePrefix="0" xfId="0">
      <alignment horizontal="center"/>
    </xf>
    <xf numFmtId="166" fontId="0" fillId="10" borderId="0" applyAlignment="1" pivotButton="0" quotePrefix="0" xfId="0">
      <alignment horizontal="center"/>
    </xf>
    <xf numFmtId="166" fontId="43" fillId="8" borderId="0" applyAlignment="1" pivotButton="0" quotePrefix="0" xfId="0">
      <alignment horizontal="center" wrapText="1"/>
    </xf>
    <xf numFmtId="0" fontId="61" fillId="9" borderId="0" pivotButton="0" quotePrefix="0" xfId="0"/>
    <xf numFmtId="0" fontId="42" fillId="17" borderId="0" applyAlignment="1" pivotButton="0" quotePrefix="0" xfId="0">
      <alignment horizontal="center" wrapText="1"/>
    </xf>
    <xf numFmtId="0" fontId="87" fillId="9" borderId="0" applyAlignment="1" pivotButton="0" quotePrefix="0" xfId="0">
      <alignment horizontal="center"/>
    </xf>
    <xf numFmtId="0" fontId="88" fillId="9" borderId="0" pivotButton="0" quotePrefix="0" xfId="0"/>
    <xf numFmtId="0" fontId="41" fillId="17" borderId="0" applyAlignment="1" pivotButton="0" quotePrefix="0" xfId="0">
      <alignment horizontal="center"/>
    </xf>
    <xf numFmtId="3" fontId="41" fillId="17" borderId="0" applyAlignment="1" pivotButton="0" quotePrefix="0" xfId="0">
      <alignment horizontal="center"/>
    </xf>
    <xf numFmtId="165" fontId="41" fillId="17" borderId="0" applyAlignment="1" pivotButton="0" quotePrefix="0" xfId="0">
      <alignment horizontal="center"/>
    </xf>
    <xf numFmtId="3" fontId="52" fillId="17" borderId="0" pivotButton="0" quotePrefix="0" xfId="0"/>
    <xf numFmtId="166" fontId="52" fillId="17" borderId="0" pivotButton="0" quotePrefix="0" xfId="0"/>
    <xf numFmtId="165" fontId="52" fillId="17" borderId="0" pivotButton="0" quotePrefix="0" xfId="0"/>
    <xf numFmtId="1" fontId="52" fillId="17" borderId="0" pivotButton="0" quotePrefix="0" xfId="0"/>
    <xf numFmtId="166" fontId="52" fillId="9" borderId="4" pivotButton="0" quotePrefix="0" xfId="0"/>
    <xf numFmtId="165" fontId="52" fillId="9" borderId="4" pivotButton="0" quotePrefix="0" xfId="0"/>
    <xf numFmtId="1" fontId="52" fillId="9" borderId="4" pivotButton="0" quotePrefix="0" xfId="0"/>
    <xf numFmtId="166" fontId="52" fillId="17" borderId="3" pivotButton="0" quotePrefix="0" xfId="0"/>
    <xf numFmtId="165" fontId="52" fillId="17" borderId="3" pivotButton="0" quotePrefix="0" xfId="0"/>
    <xf numFmtId="1" fontId="52" fillId="17" borderId="3" pivotButton="0" quotePrefix="0" xfId="0"/>
    <xf numFmtId="166" fontId="52" fillId="17" borderId="4" pivotButton="0" quotePrefix="0" xfId="0"/>
    <xf numFmtId="165" fontId="52" fillId="17" borderId="4" pivotButton="0" quotePrefix="0" xfId="0"/>
    <xf numFmtId="1" fontId="52" fillId="17" borderId="4" pivotButton="0" quotePrefix="0" xfId="0"/>
    <xf numFmtId="166" fontId="15" fillId="9" borderId="0" pivotButton="0" quotePrefix="0" xfId="0"/>
    <xf numFmtId="3" fontId="43" fillId="9" borderId="0" applyAlignment="1" pivotButton="0" quotePrefix="0" xfId="0">
      <alignment horizontal="center"/>
    </xf>
    <xf numFmtId="166" fontId="43" fillId="9" borderId="0" applyAlignment="1" pivotButton="0" quotePrefix="0" xfId="0">
      <alignment horizontal="center"/>
    </xf>
    <xf numFmtId="3" fontId="14" fillId="10" borderId="0" pivotButton="0" quotePrefix="0" xfId="0"/>
    <xf numFmtId="3" fontId="16" fillId="10" borderId="0" pivotButton="0" quotePrefix="0" xfId="0"/>
    <xf numFmtId="3" fontId="53" fillId="17" borderId="0" pivotButton="0" quotePrefix="0" xfId="0"/>
    <xf numFmtId="3" fontId="53" fillId="9" borderId="3" pivotButton="0" quotePrefix="0" xfId="0"/>
    <xf numFmtId="3" fontId="53" fillId="9" borderId="4" pivotButton="0" quotePrefix="0" xfId="0"/>
    <xf numFmtId="3" fontId="53" fillId="17" borderId="4" pivotButton="0" quotePrefix="0" xfId="0"/>
    <xf numFmtId="0" fontId="42" fillId="14" borderId="0" pivotButton="0" quotePrefix="0" xfId="0"/>
    <xf numFmtId="3" fontId="42" fillId="14" borderId="0" pivotButton="0" quotePrefix="0" xfId="0"/>
    <xf numFmtId="0" fontId="33" fillId="14" borderId="0" pivotButton="0" quotePrefix="0" xfId="0"/>
    <xf numFmtId="0" fontId="18" fillId="17" borderId="0" pivotButton="0" quotePrefix="0" xfId="0"/>
    <xf numFmtId="0" fontId="59" fillId="17" borderId="0" applyAlignment="1" pivotButton="0" quotePrefix="0" xfId="0">
      <alignment horizontal="left"/>
    </xf>
    <xf numFmtId="3" fontId="60" fillId="17" borderId="0" applyAlignment="1" pivotButton="0" quotePrefix="0" xfId="0">
      <alignment horizontal="center"/>
    </xf>
    <xf numFmtId="1" fontId="60" fillId="17" borderId="0" applyAlignment="1" pivotButton="0" quotePrefix="0" xfId="0">
      <alignment horizontal="center"/>
    </xf>
    <xf numFmtId="165" fontId="60" fillId="17" borderId="0" applyAlignment="1" pivotButton="0" quotePrefix="0" xfId="0">
      <alignment horizontal="center"/>
    </xf>
    <xf numFmtId="165" fontId="60" fillId="9" borderId="3" applyAlignment="1" pivotButton="0" quotePrefix="0" xfId="0">
      <alignment horizontal="center"/>
    </xf>
    <xf numFmtId="0" fontId="59" fillId="9" borderId="4" applyAlignment="1" pivotButton="0" quotePrefix="0" xfId="0">
      <alignment horizontal="left"/>
    </xf>
    <xf numFmtId="165" fontId="60" fillId="9" borderId="4" applyAlignment="1" pivotButton="0" quotePrefix="0" xfId="0">
      <alignment horizontal="center"/>
    </xf>
    <xf numFmtId="165" fontId="60" fillId="17" borderId="3" applyAlignment="1" pivotButton="0" quotePrefix="0" xfId="0">
      <alignment horizontal="center"/>
    </xf>
    <xf numFmtId="0" fontId="59" fillId="17" borderId="3" applyAlignment="1" pivotButton="0" quotePrefix="0" xfId="0">
      <alignment horizontal="left"/>
    </xf>
    <xf numFmtId="0" fontId="59" fillId="17" borderId="4" applyAlignment="1" pivotButton="0" quotePrefix="0" xfId="0">
      <alignment horizontal="left"/>
    </xf>
    <xf numFmtId="165" fontId="60" fillId="17" borderId="4" applyAlignment="1" pivotButton="0" quotePrefix="0" xfId="0">
      <alignment horizontal="center"/>
    </xf>
    <xf numFmtId="0" fontId="12" fillId="17" borderId="0" pivotButton="0" quotePrefix="0" xfId="0"/>
    <xf numFmtId="0" fontId="74" fillId="8" borderId="0" applyAlignment="1" pivotButton="0" quotePrefix="0" xfId="0">
      <alignment horizontal="center"/>
    </xf>
    <xf numFmtId="1" fontId="89" fillId="17" borderId="0" applyAlignment="1" pivotButton="0" quotePrefix="0" xfId="0">
      <alignment horizontal="center"/>
    </xf>
    <xf numFmtId="165" fontId="89" fillId="17" borderId="0" applyAlignment="1" pivotButton="0" quotePrefix="0" xfId="0">
      <alignment horizontal="center"/>
    </xf>
    <xf numFmtId="166" fontId="74" fillId="8" borderId="0" applyAlignment="1" pivotButton="0" quotePrefix="0" xfId="0">
      <alignment horizontal="center" wrapText="1"/>
    </xf>
    <xf numFmtId="14" fontId="74" fillId="8" borderId="0" applyAlignment="1" pivotButton="0" quotePrefix="0" xfId="0">
      <alignment horizontal="center" wrapText="1"/>
    </xf>
    <xf numFmtId="14" fontId="83" fillId="17" borderId="0" applyAlignment="1" pivotButton="0" quotePrefix="0" xfId="0">
      <alignment horizontal="center"/>
    </xf>
    <xf numFmtId="0" fontId="83" fillId="17" borderId="0" applyAlignment="1" pivotButton="0" quotePrefix="0" xfId="0">
      <alignment horizontal="center"/>
    </xf>
    <xf numFmtId="165" fontId="83" fillId="17" borderId="0" applyAlignment="1" pivotButton="0" quotePrefix="0" xfId="0">
      <alignment horizontal="center"/>
    </xf>
    <xf numFmtId="166" fontId="83" fillId="17" borderId="0" applyAlignment="1" pivotButton="0" quotePrefix="0" xfId="0">
      <alignment horizontal="center"/>
    </xf>
    <xf numFmtId="14" fontId="83" fillId="9" borderId="0" applyAlignment="1" pivotButton="0" quotePrefix="0" xfId="0">
      <alignment horizontal="center"/>
    </xf>
    <xf numFmtId="0" fontId="83" fillId="9" borderId="0" applyAlignment="1" pivotButton="0" quotePrefix="0" xfId="0">
      <alignment horizontal="center"/>
    </xf>
    <xf numFmtId="165" fontId="83" fillId="9" borderId="0" applyAlignment="1" pivotButton="0" quotePrefix="0" xfId="0">
      <alignment horizontal="center"/>
    </xf>
    <xf numFmtId="166" fontId="83" fillId="9" borderId="0" applyAlignment="1" pivotButton="0" quotePrefix="0" xfId="0">
      <alignment horizontal="center"/>
    </xf>
    <xf numFmtId="14" fontId="90" fillId="17" borderId="0" applyAlignment="1" pivotButton="0" quotePrefix="0" xfId="0">
      <alignment horizontal="center"/>
    </xf>
    <xf numFmtId="14" fontId="90" fillId="9" borderId="1" applyAlignment="1" pivotButton="0" quotePrefix="0" xfId="0">
      <alignment horizontal="center"/>
    </xf>
    <xf numFmtId="0" fontId="90" fillId="9" borderId="1" applyAlignment="1" pivotButton="0" quotePrefix="0" xfId="0">
      <alignment horizontal="center"/>
    </xf>
    <xf numFmtId="0" fontId="90" fillId="9" borderId="1" applyAlignment="1" pivotButton="0" quotePrefix="0" xfId="0">
      <alignment horizontal="center" wrapText="1"/>
    </xf>
    <xf numFmtId="14" fontId="90" fillId="17" borderId="1" applyAlignment="1" pivotButton="0" quotePrefix="0" xfId="0">
      <alignment horizontal="center"/>
    </xf>
    <xf numFmtId="1" fontId="83" fillId="17" borderId="1" applyAlignment="1" pivotButton="0" quotePrefix="0" xfId="0">
      <alignment horizontal="center"/>
    </xf>
    <xf numFmtId="3" fontId="83" fillId="17" borderId="1" applyAlignment="1" pivotButton="0" quotePrefix="0" xfId="0">
      <alignment horizontal="center"/>
    </xf>
    <xf numFmtId="165" fontId="83" fillId="17" borderId="1" applyAlignment="1" pivotButton="0" quotePrefix="0" xfId="0">
      <alignment horizontal="center"/>
    </xf>
    <xf numFmtId="0" fontId="83" fillId="17" borderId="1" applyAlignment="1" pivotButton="0" quotePrefix="0" xfId="0">
      <alignment horizontal="center"/>
    </xf>
    <xf numFmtId="0" fontId="91" fillId="17" borderId="1" applyAlignment="1" pivotButton="0" quotePrefix="0" xfId="0">
      <alignment horizontal="center"/>
    </xf>
    <xf numFmtId="1" fontId="83" fillId="9" borderId="1" applyAlignment="1" pivotButton="0" quotePrefix="0" xfId="0">
      <alignment horizontal="center"/>
    </xf>
    <xf numFmtId="3" fontId="83" fillId="9" borderId="1" applyAlignment="1" pivotButton="0" quotePrefix="0" xfId="0">
      <alignment horizontal="center"/>
    </xf>
    <xf numFmtId="165" fontId="83" fillId="9" borderId="1" applyAlignment="1" pivotButton="0" quotePrefix="0" xfId="0">
      <alignment horizontal="center"/>
    </xf>
    <xf numFmtId="0" fontId="83" fillId="9" borderId="1" applyAlignment="1" pivotButton="0" quotePrefix="0" xfId="0">
      <alignment horizontal="center"/>
    </xf>
    <xf numFmtId="0" fontId="91" fillId="9" borderId="1" applyAlignment="1" pivotButton="0" quotePrefix="0" xfId="0">
      <alignment horizontal="center"/>
    </xf>
    <xf numFmtId="14" fontId="90" fillId="9" borderId="0" applyAlignment="1" pivotButton="0" quotePrefix="0" xfId="0">
      <alignment horizontal="center"/>
    </xf>
    <xf numFmtId="3" fontId="90" fillId="9" borderId="0" applyAlignment="1" pivotButton="0" quotePrefix="0" xfId="0">
      <alignment horizontal="center"/>
    </xf>
    <xf numFmtId="1" fontId="90" fillId="9" borderId="0" applyAlignment="1" pivotButton="0" quotePrefix="0" xfId="0">
      <alignment horizontal="center"/>
    </xf>
    <xf numFmtId="165" fontId="90" fillId="9" borderId="0" applyAlignment="1" pivotButton="0" quotePrefix="0" xfId="0">
      <alignment horizontal="center"/>
    </xf>
    <xf numFmtId="0" fontId="91" fillId="9" borderId="0" applyAlignment="1" pivotButton="0" quotePrefix="0" xfId="0">
      <alignment horizontal="center"/>
    </xf>
    <xf numFmtId="165" fontId="74" fillId="8" borderId="0" applyAlignment="1" pivotButton="0" quotePrefix="0" xfId="0">
      <alignment horizontal="center" wrapText="1"/>
    </xf>
    <xf numFmtId="0" fontId="90" fillId="17" borderId="0" applyAlignment="1" pivotButton="0" quotePrefix="0" xfId="0">
      <alignment horizontal="center"/>
    </xf>
    <xf numFmtId="1" fontId="83" fillId="17" borderId="0" applyAlignment="1" pivotButton="0" quotePrefix="0" xfId="0">
      <alignment horizontal="center"/>
    </xf>
    <xf numFmtId="3" fontId="83" fillId="17" borderId="0" applyAlignment="1" pivotButton="0" quotePrefix="0" xfId="0">
      <alignment horizontal="center"/>
    </xf>
    <xf numFmtId="0" fontId="90" fillId="9" borderId="4" applyAlignment="1" pivotButton="0" quotePrefix="0" xfId="0">
      <alignment horizontal="center"/>
    </xf>
    <xf numFmtId="1" fontId="83" fillId="9" borderId="4" applyAlignment="1" pivotButton="0" quotePrefix="0" xfId="0">
      <alignment horizontal="center"/>
    </xf>
    <xf numFmtId="165" fontId="83" fillId="9" borderId="4" applyAlignment="1" pivotButton="0" quotePrefix="0" xfId="0">
      <alignment horizontal="center"/>
    </xf>
    <xf numFmtId="3" fontId="83" fillId="9" borderId="4" applyAlignment="1" pivotButton="0" quotePrefix="0" xfId="0">
      <alignment horizontal="center"/>
    </xf>
    <xf numFmtId="166" fontId="83" fillId="9" borderId="4" applyAlignment="1" pivotButton="0" quotePrefix="0" xfId="0">
      <alignment horizontal="center"/>
    </xf>
    <xf numFmtId="0" fontId="90" fillId="17" borderId="3" applyAlignment="1" pivotButton="0" quotePrefix="0" xfId="0">
      <alignment horizontal="center"/>
    </xf>
    <xf numFmtId="1" fontId="83" fillId="17" borderId="3" applyAlignment="1" pivotButton="0" quotePrefix="0" xfId="0">
      <alignment horizontal="center"/>
    </xf>
    <xf numFmtId="165" fontId="83" fillId="17" borderId="3" applyAlignment="1" pivotButton="0" quotePrefix="0" xfId="0">
      <alignment horizontal="center"/>
    </xf>
    <xf numFmtId="3" fontId="83" fillId="17" borderId="3" applyAlignment="1" pivotButton="0" quotePrefix="0" xfId="0">
      <alignment horizontal="center"/>
    </xf>
    <xf numFmtId="166" fontId="83" fillId="17" borderId="3" applyAlignment="1" pivotButton="0" quotePrefix="0" xfId="0">
      <alignment horizontal="center"/>
    </xf>
    <xf numFmtId="0" fontId="90" fillId="17" borderId="4" applyAlignment="1" pivotButton="0" quotePrefix="0" xfId="0">
      <alignment horizontal="center"/>
    </xf>
    <xf numFmtId="1" fontId="83" fillId="17" borderId="4" applyAlignment="1" pivotButton="0" quotePrefix="0" xfId="0">
      <alignment horizontal="center"/>
    </xf>
    <xf numFmtId="165" fontId="83" fillId="17" borderId="4" applyAlignment="1" pivotButton="0" quotePrefix="0" xfId="0">
      <alignment horizontal="center"/>
    </xf>
    <xf numFmtId="3" fontId="83" fillId="17" borderId="4" applyAlignment="1" pivotButton="0" quotePrefix="0" xfId="0">
      <alignment horizontal="center"/>
    </xf>
    <xf numFmtId="166" fontId="83" fillId="17" borderId="4" applyAlignment="1" pivotButton="0" quotePrefix="0" xfId="0">
      <alignment horizontal="center"/>
    </xf>
    <xf numFmtId="1" fontId="4" fillId="14" borderId="0" pivotButton="0" quotePrefix="0" xfId="0"/>
    <xf numFmtId="165" fontId="4" fillId="14" borderId="0" pivotButton="0" quotePrefix="0" xfId="0"/>
    <xf numFmtId="3" fontId="4" fillId="14" borderId="0" pivotButton="0" quotePrefix="0" xfId="0"/>
    <xf numFmtId="166" fontId="4" fillId="14" borderId="0" pivotButton="0" quotePrefix="0" xfId="0"/>
    <xf numFmtId="0" fontId="56" fillId="17" borderId="0" applyAlignment="1" pivotButton="0" quotePrefix="0" xfId="0">
      <alignment horizontal="center"/>
    </xf>
    <xf numFmtId="167" fontId="45" fillId="17" borderId="0" applyAlignment="1" pivotButton="0" quotePrefix="0" xfId="0">
      <alignment horizontal="center"/>
    </xf>
    <xf numFmtId="167" fontId="45" fillId="9" borderId="0" applyAlignment="1" pivotButton="0" quotePrefix="0" xfId="0">
      <alignment horizontal="center"/>
    </xf>
    <xf numFmtId="166" fontId="45" fillId="9" borderId="0" applyAlignment="1" pivotButton="0" quotePrefix="0" xfId="0">
      <alignment horizontal="center"/>
    </xf>
    <xf numFmtId="166" fontId="45" fillId="17" borderId="0" applyAlignment="1" pivotButton="0" quotePrefix="0" xfId="0">
      <alignment horizontal="center"/>
    </xf>
    <xf numFmtId="165" fontId="45" fillId="17" borderId="0" applyAlignment="1" pivotButton="0" quotePrefix="0" xfId="0">
      <alignment horizontal="center"/>
    </xf>
    <xf numFmtId="3" fontId="45" fillId="9" borderId="0" applyAlignment="1" pivotButton="0" quotePrefix="0" xfId="0">
      <alignment horizontal="center"/>
    </xf>
    <xf numFmtId="165" fontId="45" fillId="9" borderId="0" applyAlignment="1" pivotButton="0" quotePrefix="0" xfId="0">
      <alignment horizontal="center"/>
    </xf>
    <xf numFmtId="3" fontId="45" fillId="17" borderId="0" applyAlignment="1" pivotButton="0" quotePrefix="0" xfId="0">
      <alignment horizontal="center"/>
    </xf>
    <xf numFmtId="0" fontId="59" fillId="17" borderId="6" applyAlignment="1" pivotButton="0" quotePrefix="0" xfId="0">
      <alignment horizontal="left"/>
    </xf>
    <xf numFmtId="2" fontId="59" fillId="17" borderId="6" applyAlignment="1" pivotButton="0" quotePrefix="0" xfId="0">
      <alignment horizontal="center"/>
    </xf>
    <xf numFmtId="2" fontId="59" fillId="9" borderId="4" applyAlignment="1" pivotButton="0" quotePrefix="0" xfId="0">
      <alignment horizontal="center"/>
    </xf>
    <xf numFmtId="2" fontId="59" fillId="17" borderId="3" applyAlignment="1" pivotButton="0" quotePrefix="0" xfId="0">
      <alignment horizontal="center"/>
    </xf>
    <xf numFmtId="2" fontId="59" fillId="17" borderId="4" applyAlignment="1" pivotButton="0" quotePrefix="0" xfId="0">
      <alignment horizontal="center"/>
    </xf>
    <xf numFmtId="2" fontId="15" fillId="9" borderId="0" pivotButton="0" quotePrefix="0" xfId="0"/>
    <xf numFmtId="2" fontId="14" fillId="10" borderId="0" pivotButton="0" quotePrefix="0" xfId="0"/>
    <xf numFmtId="2" fontId="14" fillId="17" borderId="0" pivotButton="0" quotePrefix="0" xfId="0"/>
    <xf numFmtId="2" fontId="52" fillId="9" borderId="4" applyAlignment="1" pivotButton="0" quotePrefix="0" xfId="0">
      <alignment horizontal="center"/>
    </xf>
    <xf numFmtId="2" fontId="52" fillId="17" borderId="4" applyAlignment="1" pivotButton="0" quotePrefix="0" xfId="0">
      <alignment horizontal="center"/>
    </xf>
    <xf numFmtId="0" fontId="85" fillId="9" borderId="4" applyAlignment="1" pivotButton="0" quotePrefix="0" xfId="0">
      <alignment horizontal="center"/>
    </xf>
    <xf numFmtId="0" fontId="92" fillId="17" borderId="3" applyAlignment="1" applyProtection="1" pivotButton="0" quotePrefix="0" xfId="0">
      <alignment horizontal="center"/>
      <protection locked="0" hidden="0"/>
    </xf>
    <xf numFmtId="0" fontId="93" fillId="14" borderId="0" pivotButton="0" quotePrefix="0" xfId="0"/>
    <xf numFmtId="165" fontId="43" fillId="8" borderId="0" applyAlignment="1" pivotButton="0" quotePrefix="0" xfId="0">
      <alignment horizontal="center"/>
    </xf>
    <xf numFmtId="0" fontId="55" fillId="2" borderId="0" applyAlignment="1" applyProtection="1" pivotButton="0" quotePrefix="0" xfId="0">
      <alignment horizontal="center"/>
      <protection locked="0" hidden="0"/>
    </xf>
    <xf numFmtId="0" fontId="94" fillId="17" borderId="0" pivotButton="0" quotePrefix="0" xfId="0"/>
    <xf numFmtId="0" fontId="59" fillId="17" borderId="7" applyAlignment="1" pivotButton="0" quotePrefix="0" xfId="0">
      <alignment horizontal="left"/>
    </xf>
    <xf numFmtId="165" fontId="60" fillId="17" borderId="7" applyAlignment="1" pivotButton="0" quotePrefix="0" xfId="0">
      <alignment horizontal="center"/>
    </xf>
    <xf numFmtId="3" fontId="60" fillId="17" borderId="7" applyAlignment="1" pivotButton="0" quotePrefix="0" xfId="0">
      <alignment horizontal="center"/>
    </xf>
    <xf numFmtId="0" fontId="59" fillId="9" borderId="0" applyAlignment="1" pivotButton="0" quotePrefix="0" xfId="0">
      <alignment horizontal="left"/>
    </xf>
    <xf numFmtId="165" fontId="60" fillId="9" borderId="0" applyAlignment="1" pivotButton="0" quotePrefix="0" xfId="0">
      <alignment horizontal="center"/>
    </xf>
    <xf numFmtId="3" fontId="60" fillId="9" borderId="0" applyAlignment="1" pivotButton="0" quotePrefix="0" xfId="0">
      <alignment horizontal="center"/>
    </xf>
    <xf numFmtId="0" fontId="59" fillId="9" borderId="3" applyAlignment="1" pivotButton="0" quotePrefix="0" xfId="0">
      <alignment horizontal="left"/>
    </xf>
    <xf numFmtId="165" fontId="0" fillId="10" borderId="0" pivotButton="0" quotePrefix="0" xfId="0"/>
    <xf numFmtId="0" fontId="59" fillId="17" borderId="8" applyAlignment="1" pivotButton="0" quotePrefix="0" xfId="0">
      <alignment horizontal="left"/>
    </xf>
    <xf numFmtId="0" fontId="59" fillId="17" borderId="8" applyAlignment="1" pivotButton="0" quotePrefix="0" xfId="0">
      <alignment horizontal="center"/>
    </xf>
    <xf numFmtId="3" fontId="59" fillId="17" borderId="8" applyAlignment="1" pivotButton="0" quotePrefix="0" xfId="0">
      <alignment horizontal="center"/>
    </xf>
    <xf numFmtId="165" fontId="59" fillId="17" borderId="8" applyAlignment="1" pivotButton="0" quotePrefix="0" xfId="0">
      <alignment horizontal="center"/>
    </xf>
    <xf numFmtId="165" fontId="60" fillId="17" borderId="8" applyAlignment="1" pivotButton="0" quotePrefix="0" xfId="0">
      <alignment horizontal="center"/>
    </xf>
    <xf numFmtId="3" fontId="60" fillId="17" borderId="8" applyAlignment="1" pivotButton="0" quotePrefix="0" xfId="0">
      <alignment horizontal="center"/>
    </xf>
    <xf numFmtId="1" fontId="60" fillId="17" borderId="8" applyAlignment="1" pivotButton="0" quotePrefix="0" xfId="0">
      <alignment horizontal="center"/>
    </xf>
    <xf numFmtId="1" fontId="60" fillId="9" borderId="3" applyAlignment="1" pivotButton="0" quotePrefix="0" xfId="0">
      <alignment horizontal="center"/>
    </xf>
    <xf numFmtId="1" fontId="60" fillId="9" borderId="0" applyAlignment="1" pivotButton="0" quotePrefix="0" xfId="0">
      <alignment horizontal="center"/>
    </xf>
    <xf numFmtId="0" fontId="43" fillId="8" borderId="5" applyAlignment="1" pivotButton="0" quotePrefix="0" xfId="0">
      <alignment horizontal="center"/>
    </xf>
    <xf numFmtId="165" fontId="14" fillId="10" borderId="0" pivotButton="0" quotePrefix="0" xfId="0"/>
    <xf numFmtId="0" fontId="94" fillId="10" borderId="0" applyAlignment="1" pivotButton="0" quotePrefix="0" xfId="0">
      <alignment horizontal="right"/>
    </xf>
    <xf numFmtId="0" fontId="4" fillId="3" borderId="0" pivotButton="0" quotePrefix="0" xfId="0"/>
    <xf numFmtId="0" fontId="28" fillId="0" borderId="0" pivotButton="0" quotePrefix="0" xfId="0"/>
    <xf numFmtId="0" fontId="12" fillId="0" borderId="0" pivotButton="0" quotePrefix="0" xfId="0"/>
    <xf numFmtId="0" fontId="99" fillId="0" borderId="0" pivotButton="0" quotePrefix="0" xfId="0"/>
    <xf numFmtId="1" fontId="0" fillId="0" borderId="0" pivotButton="0" quotePrefix="0" xfId="0"/>
    <xf numFmtId="0" fontId="4" fillId="8" borderId="0" pivotButton="0" quotePrefix="0" xfId="0"/>
    <xf numFmtId="0" fontId="4" fillId="25" borderId="0" pivotButton="0" quotePrefix="0" xfId="0"/>
    <xf numFmtId="0" fontId="0" fillId="26" borderId="0" pivotButton="0" quotePrefix="0" xfId="0"/>
    <xf numFmtId="1" fontId="0" fillId="26" borderId="0" pivotButton="0" quotePrefix="0" xfId="0"/>
    <xf numFmtId="3" fontId="0" fillId="26" borderId="0" pivotButton="0" quotePrefix="0" xfId="0"/>
    <xf numFmtId="165" fontId="0" fillId="26" borderId="0" pivotButton="0" quotePrefix="0" xfId="0"/>
    <xf numFmtId="166" fontId="0" fillId="26" borderId="0" pivotButton="0" quotePrefix="0" xfId="0"/>
    <xf numFmtId="14" fontId="0" fillId="26" borderId="0" pivotButton="0" quotePrefix="0" xfId="0"/>
    <xf numFmtId="169" fontId="0" fillId="26" borderId="0" pivotButton="0" quotePrefix="0" xfId="0"/>
    <xf numFmtId="169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0" fontId="4" fillId="3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13" fillId="16" borderId="0" pivotButton="0" quotePrefix="0" xfId="0"/>
    <xf numFmtId="0" fontId="10" fillId="16" borderId="0" pivotButton="0" quotePrefix="0" xfId="0"/>
    <xf numFmtId="0" fontId="28" fillId="10" borderId="0" pivotButton="0" quotePrefix="0" xfId="0"/>
    <xf numFmtId="0" fontId="11" fillId="10" borderId="0" pivotButton="0" quotePrefix="0" xfId="0"/>
    <xf numFmtId="0" fontId="13" fillId="16" borderId="0" applyAlignment="1" pivotButton="0" quotePrefix="0" xfId="0">
      <alignment horizontal="center"/>
    </xf>
    <xf numFmtId="0" fontId="0" fillId="16" borderId="0" pivotButton="0" quotePrefix="0" xfId="0"/>
    <xf numFmtId="0" fontId="49" fillId="10" borderId="0" pivotButton="0" quotePrefix="0" xfId="0"/>
    <xf numFmtId="0" fontId="0" fillId="10" borderId="0" pivotButton="0" quotePrefix="0" xfId="0"/>
    <xf numFmtId="0" fontId="19" fillId="9" borderId="0" pivotButton="0" quotePrefix="0" xfId="0"/>
    <xf numFmtId="0" fontId="14" fillId="9" borderId="0" pivotButton="0" quotePrefix="0" xfId="0"/>
    <xf numFmtId="3" fontId="14" fillId="9" borderId="0" pivotButton="0" quotePrefix="0" xfId="0"/>
    <xf numFmtId="166" fontId="14" fillId="9" borderId="0" pivotButton="0" quotePrefix="0" xfId="0"/>
    <xf numFmtId="165" fontId="14" fillId="9" borderId="0" pivotButton="0" quotePrefix="0" xfId="0"/>
    <xf numFmtId="0" fontId="21" fillId="0" borderId="0" pivotButton="0" quotePrefix="0" xfId="0"/>
    <xf numFmtId="0" fontId="14" fillId="0" borderId="0" pivotButton="0" quotePrefix="0" xfId="0"/>
    <xf numFmtId="0" fontId="20" fillId="3" borderId="0" applyAlignment="1" pivotButton="0" quotePrefix="0" xfId="0">
      <alignment horizontal="center"/>
    </xf>
    <xf numFmtId="0" fontId="16" fillId="3" borderId="0" pivotButton="0" quotePrefix="0" xfId="0"/>
    <xf numFmtId="0" fontId="19" fillId="10" borderId="0" pivotButton="0" quotePrefix="0" xfId="0"/>
    <xf numFmtId="0" fontId="14" fillId="10" borderId="0" pivotButton="0" quotePrefix="0" xfId="0"/>
    <xf numFmtId="0" fontId="15" fillId="8" borderId="0" pivotButton="0" quotePrefix="0" xfId="0"/>
    <xf numFmtId="3" fontId="15" fillId="8" borderId="0" pivotButton="0" quotePrefix="0" xfId="0"/>
    <xf numFmtId="1" fontId="15" fillId="8" borderId="0" pivotButton="0" quotePrefix="0" xfId="0"/>
    <xf numFmtId="165" fontId="15" fillId="8" borderId="0" pivotButton="0" quotePrefix="0" xfId="0"/>
    <xf numFmtId="0" fontId="14" fillId="16" borderId="0" pivotButton="0" quotePrefix="0" xfId="0"/>
    <xf numFmtId="1" fontId="14" fillId="9" borderId="0" pivotButton="0" quotePrefix="0" xfId="0"/>
    <xf numFmtId="0" fontId="21" fillId="12" borderId="0" pivotButton="0" quotePrefix="0" xfId="0"/>
    <xf numFmtId="3" fontId="14" fillId="12" borderId="0" pivotButton="0" quotePrefix="0" xfId="0"/>
    <xf numFmtId="1" fontId="14" fillId="12" borderId="0" pivotButton="0" quotePrefix="0" xfId="0"/>
    <xf numFmtId="165" fontId="14" fillId="12" borderId="0" pivotButton="0" quotePrefix="0" xfId="0"/>
    <xf numFmtId="0" fontId="21" fillId="9" borderId="0" pivotButton="0" quotePrefix="0" xfId="0"/>
    <xf numFmtId="0" fontId="97" fillId="16" borderId="0" applyAlignment="1" pivotButton="0" quotePrefix="0" xfId="0">
      <alignment horizontal="right"/>
    </xf>
    <xf numFmtId="0" fontId="17" fillId="2" borderId="0" pivotButton="0" quotePrefix="0" xfId="0"/>
    <xf numFmtId="166" fontId="0" fillId="10" borderId="0" pivotButton="0" quotePrefix="0" xfId="0"/>
    <xf numFmtId="0" fontId="43" fillId="8" borderId="5" applyAlignment="1" pivotButton="0" quotePrefix="0" xfId="0">
      <alignment horizontal="center"/>
    </xf>
    <xf numFmtId="165" fontId="43" fillId="8" borderId="5" applyAlignment="1" pivotButton="0" quotePrefix="0" xfId="0">
      <alignment horizontal="center"/>
    </xf>
    <xf numFmtId="0" fontId="98" fillId="14" borderId="0" applyAlignment="1" pivotButton="0" quotePrefix="0" xfId="0">
      <alignment horizontal="center"/>
    </xf>
    <xf numFmtId="0" fontId="98" fillId="14" borderId="0" pivotButton="0" quotePrefix="0" xfId="0"/>
    <xf numFmtId="0" fontId="84" fillId="14" borderId="0" pivotButton="0" quotePrefix="0" xfId="0"/>
    <xf numFmtId="0" fontId="0" fillId="14" borderId="0" pivotButton="0" quotePrefix="0" xfId="0"/>
    <xf numFmtId="2" fontId="14" fillId="9" borderId="0" pivotButton="0" quotePrefix="0" xfId="0"/>
    <xf numFmtId="0" fontId="0" fillId="0" borderId="5" pivotButton="0" quotePrefix="0" xfId="0"/>
    <xf numFmtId="0" fontId="100" fillId="29" borderId="0" applyAlignment="1" pivotButton="0" quotePrefix="0" xfId="0">
      <alignment horizontal="center" vertical="center" wrapText="1"/>
    </xf>
    <xf numFmtId="0" fontId="101" fillId="32" borderId="0" applyAlignment="1" pivotButton="0" quotePrefix="0" xfId="0">
      <alignment horizontal="center" vertical="center" wrapText="1"/>
    </xf>
    <xf numFmtId="0" fontId="101" fillId="30" borderId="0" applyAlignment="1" pivotButton="0" quotePrefix="0" xfId="0">
      <alignment horizontal="center" vertical="center" wrapText="1"/>
    </xf>
    <xf numFmtId="0" fontId="101" fillId="31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left" vertical="center" wrapText="1"/>
    </xf>
    <xf numFmtId="0" fontId="102" fillId="32" borderId="9" applyAlignment="1" pivotButton="0" quotePrefix="0" xfId="0">
      <alignment horizontal="center" vertical="center" wrapText="1"/>
    </xf>
    <xf numFmtId="0" fontId="102" fillId="31" borderId="9" applyAlignment="1" pivotButton="0" quotePrefix="0" xfId="0">
      <alignment horizontal="center" vertical="center" wrapText="1"/>
    </xf>
    <xf numFmtId="0" fontId="103" fillId="33" borderId="9" applyAlignment="1" pivotButton="0" quotePrefix="0" xfId="0">
      <alignment horizontal="center" vertical="center" wrapText="1"/>
    </xf>
    <xf numFmtId="0" fontId="103" fillId="33" borderId="9" applyAlignment="1" pivotButton="0" quotePrefix="0" xfId="0">
      <alignment horizontal="left" vertical="center" wrapText="1"/>
    </xf>
    <xf numFmtId="0" fontId="104" fillId="34" borderId="0" applyAlignment="1" pivotButton="0" quotePrefix="0" xfId="0">
      <alignment horizontal="center" vertical="center" wrapText="1"/>
    </xf>
    <xf numFmtId="0" fontId="105" fillId="0" borderId="9" applyAlignment="1" pivotButton="0" quotePrefix="0" xfId="0">
      <alignment horizontal="left" vertical="center" wrapText="1"/>
    </xf>
    <xf numFmtId="0" fontId="105" fillId="0" borderId="9" applyAlignment="1" pivotButton="0" quotePrefix="0" xfId="0">
      <alignment horizontal="center" vertical="center" wrapText="1"/>
    </xf>
  </cellXfs>
  <cellStyles count="1">
    <cellStyle name="Normal" xfId="0" builtinId="0"/>
  </cellStyles>
  <dxfs count="146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2F5496"/>
      </font>
      <fill>
        <patternFill patternType="solid">
          <fgColor indexed="64"/>
          <bgColor rgb="FFD6E4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</dxf>
    <dxf>
      <font>
        <color rgb="FF9C0006"/>
      </font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 val="1"/>
      </font>
      <fill>
        <patternFill patternType="solid">
          <fgColor indexed="64"/>
          <bgColor rgb="FFFFF2CC"/>
        </patternFill>
      </fill>
    </dxf>
    <dxf>
      <font>
        <b val="1"/>
        <color rgb="FFC00000"/>
      </font>
    </dxf>
    <dxf>
      <font>
        <b val="1"/>
        <color rgb="FF00B050"/>
      </font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2F5496"/>
      </font>
      <fill>
        <patternFill patternType="solid">
          <fgColor indexed="64"/>
          <bgColor rgb="FFD6E4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FF8C00"/>
      </font>
    </dxf>
    <dxf>
      <font>
        <b val="1"/>
        <color rgb="FF00B050"/>
      </font>
    </dxf>
    <dxf>
      <font>
        <b val="1"/>
        <color rgb="FFFF0000"/>
      </font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2F5496"/>
      </font>
      <fill>
        <patternFill patternType="solid">
          <fgColor indexed="64"/>
          <bgColor rgb="FFD6E4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2F5496"/>
      </font>
      <fill>
        <patternFill patternType="solid">
          <fgColor indexed="64"/>
          <bgColor rgb="FFD6E4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2F5496"/>
      </font>
      <fill>
        <patternFill patternType="solid">
          <fgColor indexed="64"/>
          <bgColor rgb="FFD6E4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2F5496"/>
      </font>
      <fill>
        <patternFill patternType="solid">
          <fgColor indexed="64"/>
          <bgColor rgb="FFD6E4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2F5496"/>
      </font>
      <fill>
        <patternFill patternType="solid">
          <fgColor indexed="64"/>
          <bgColor rgb="FFD6E4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2F5496"/>
      </font>
      <fill>
        <patternFill patternType="solid">
          <fgColor indexed="64"/>
          <bgColor rgb="FFD6E4F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FFD700"/>
        </patternFill>
      </fill>
    </dxf>
    <dxf>
      <fill>
        <patternFill patternType="solid">
          <fgColor indexed="64"/>
          <bgColor rgb="FFFFD700"/>
        </patternFill>
      </fill>
    </dxf>
    <dxf>
      <font>
        <color rgb="FFFFFFFF"/>
      </font>
      <fill>
        <patternFill patternType="solid">
          <fgColor indexed="64"/>
          <bgColor rgb="FFFF4444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name val="Aptos Narrow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79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numFmt numFmtId="165" formatCode="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font>
        <name val="Aptos Narrow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79"/>
        </patternFill>
      </fill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1" formatCode="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165" formatCode="0.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numFmt numFmtId="3" formatCode="#,##0"/>
      <alignment horizontal="center"/>
      <protection locked="0" hidden="0"/>
    </dxf>
    <dxf>
      <font>
        <name val="Aptos Narrow"/>
        <color rgb="FF1B2A4A"/>
        <sz val="10"/>
      </font>
      <alignment horizontal="center"/>
      <protection locked="0" hidden="0"/>
    </dxf>
    <dxf>
      <font>
        <name val="Aptos Narrow"/>
        <color rgb="FF1B2A4A"/>
        <sz val="10"/>
      </font>
      <alignment horizontal="center"/>
      <protection locked="0" hidden="0"/>
    </dxf>
    <dxf>
      <font>
        <name val="Aptos Narrow"/>
        <color rgb="FF1B2A4A"/>
        <sz val="10"/>
      </font>
      <alignment horizontal="center"/>
      <protection locked="0" hidden="0"/>
    </dxf>
    <dxf>
      <font>
        <name val="Aptos Narrow"/>
        <color rgb="FF1B2A4A"/>
        <sz val="10"/>
      </font>
      <numFmt numFmtId="164" formatCode="yyyy\-mm\-dd"/>
      <alignment horizontal="center"/>
      <protection locked="0" hidden="0"/>
    </dxf>
    <dxf>
      <font>
        <name val="Aptos Narrow"/>
        <color rgb="FF1B2A4A"/>
        <sz val="10"/>
      </font>
      <alignment horizontal="center"/>
      <protection locked="0" hidden="0"/>
    </dxf>
    <dxf>
      <border>
        <bottom style="medium">
          <color rgb="FF1B2A4A"/>
        </bottom>
      </border>
    </dxf>
    <dxf>
      <font>
        <name val="Aptos Narrow"/>
        <b val="1"/>
        <strike val="0"/>
        <outline val="0"/>
        <shadow val="0"/>
        <condense val="0"/>
        <color rgb="FFFFFFFF"/>
        <extend val="0"/>
        <sz val="9"/>
        <vertAlign val="baseline"/>
        <scheme val="minor"/>
      </font>
      <fill>
        <patternFill patternType="solid">
          <fgColor indexed="64"/>
          <bgColor rgb="FF2E75B6"/>
        </patternFill>
      </fill>
      <alignment horizontal="center" vertical="center" wrapText="1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Monotonia por Microciclo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lineChart>
        <grouping val="standard"/>
        <varyColors val="0"/>
        <ser>
          <idx val="0"/>
          <order val="0"/>
          <tx>
            <v>Monotonia</v>
          </tx>
          <spPr>
            <a:ln xmlns:a="http://schemas.openxmlformats.org/drawingml/2006/main" w="25400" cap="rnd">
              <a:solidFill>
                <a:srgbClr val="2E75B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Monot_Strain!$A$37:$A$43</f>
              <strCache>
                <ptCount val="7"/>
                <pt idx="3">
                  <v>B — EVOLUÇÃO MONOTONIA &amp; STRAIN POR MICROCICLO  (Média da Equipa — Treinos)</v>
                </pt>
                <pt idx="4">
                  <v>Microciclo</v>
                </pt>
                <pt idx="5">
                  <v>4</v>
                </pt>
                <pt idx="6">
                  <v>5</v>
                </pt>
              </strCache>
            </strRef>
          </cat>
          <val>
            <numRef>
              <f>Monot_Strain!$E$37:$E$43</f>
              <numCache>
                <formatCode>#\ ##0.0</formatCode>
                <ptCount val="7"/>
                <pt idx="0">
                  <v>0</v>
                </pt>
                <pt idx="1">
                  <v>0</v>
                </pt>
                <pt idx="4">
                  <formatCode>General</formatCode>
                  <v>0</v>
                </pt>
                <pt idx="5">
                  <formatCode>0.00</formatCode>
                  <v>2.086864919849642</v>
                </pt>
                <pt idx="6">
                  <formatCode>0.00</formatCode>
                  <v>2.404578806507099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6483056"/>
        <axId val="826476816"/>
      </lineChart>
      <catAx>
        <axId val="826483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76816"/>
        <crosses val="autoZero"/>
        <auto val="1"/>
        <lblAlgn val="ctr"/>
        <lblOffset val="100"/>
        <noMultiLvlLbl val="0"/>
      </catAx>
      <valAx>
        <axId val="826476816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Monotonia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PT"/>
            </a:p>
          </txPr>
        </title>
        <numFmt formatCode="#\ ##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830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4A5568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Strain por Microciclo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lineChart>
        <grouping val="standard"/>
        <varyColors val="0"/>
        <ser>
          <idx val="0"/>
          <order val="0"/>
          <tx>
            <v>Strain</v>
          </tx>
          <spPr>
            <a:ln xmlns:a="http://schemas.openxmlformats.org/drawingml/2006/main" w="25400" cap="rnd">
              <a:solidFill>
                <a:srgbClr val="2E75B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Monot_Strain!$A$37:$A$43</f>
              <strCache>
                <ptCount val="7"/>
                <pt idx="3">
                  <v>B — EVOLUÇÃO MONOTONIA &amp; STRAIN POR MICROCICLO  (Média da Equipa — Treinos)</v>
                </pt>
                <pt idx="4">
                  <v>Microciclo</v>
                </pt>
                <pt idx="5">
                  <v>4</v>
                </pt>
                <pt idx="6">
                  <v>5</v>
                </pt>
              </strCache>
            </strRef>
          </cat>
          <val>
            <numRef>
              <f>Monot_Strain!$F$37:$F$43</f>
              <numCache>
                <formatCode>0.00</formatCode>
                <ptCount val="7"/>
                <pt idx="0">
                  <v>0</v>
                </pt>
                <pt idx="1">
                  <v>0</v>
                </pt>
                <pt idx="4">
                  <formatCode>General</formatCode>
                  <v>0</v>
                </pt>
                <pt idx="5">
                  <formatCode>#,##0</formatCode>
                  <v>49170.71124149727</v>
                </pt>
                <pt idx="6">
                  <formatCode>#,##0</formatCode>
                  <v>53852.94695053298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6481136"/>
        <axId val="826485936"/>
      </lineChart>
      <catAx>
        <axId val="8264811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85936"/>
        <crosses val="autoZero"/>
        <auto val="1"/>
        <lblAlgn val="ctr"/>
        <lblOffset val="100"/>
        <noMultiLvlLbl val="0"/>
      </catAx>
      <valAx>
        <axId val="826485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Strain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PT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811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4A5568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Distribuição CI por Dia de Microciclo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Carga_Planeada!$B$36:$B$42</f>
              <strCache>
                <ptCount val="7"/>
                <pt idx="6">
                  <v>C — DISTRIBUIÇÃO DE CARGA SEMANAL (%CI por Dia MD)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Carga_Planeada!$A$43</f>
              <strCache>
                <ptCount val="1"/>
                <pt idx="0">
                  <v>Dia MD</v>
                </pt>
              </strCache>
            </strRef>
          </cat>
          <val>
            <numRef>
              <f>Carga_Planeada!$B$43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925605792"/>
        <axId val="925617312"/>
      </barChart>
      <catAx>
        <axId val="9256057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925617312"/>
        <crosses val="autoZero"/>
        <auto val="1"/>
        <lblAlgn val="ctr"/>
        <lblOffset val="100"/>
        <noMultiLvlLbl val="0"/>
      </catAx>
      <valAx>
        <axId val="925617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71809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Carga Interna (CI)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800" b="0" i="0" strike="noStrike" kern="1200" baseline="0">
                  <a:solidFill>
                    <a:srgbClr val="718096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PT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92560579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Evolução Carga Interna por Microciclo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Dash_Resumo!$A$52:$G$52</f>
              <strCache>
                <ptCount val="7"/>
                <pt idx="0">
                  <v>Varela</v>
                </pt>
                <pt idx="1">
                  <v>2 356</v>
                </pt>
                <pt idx="2">
                  <v>2 522</v>
                </pt>
                <pt idx="3">
                  <v>2 705</v>
                </pt>
                <pt idx="4">
                  <v>2 386</v>
                </pt>
                <pt idx="5">
                  <v>4 489</v>
                </pt>
                <pt idx="6">
                  <v>3 512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Dash_Resumo!$H$42:$H$51</f>
              <strCache>
                <ptCount val="6"/>
                <pt idx="0">
                  <v>3 228</v>
                </pt>
                <pt idx="1">
                  <v>3 012</v>
                </pt>
                <pt idx="2">
                  <v>2 966</v>
                </pt>
                <pt idx="3">
                  <v>2 896</v>
                </pt>
                <pt idx="4">
                  <v>2 755</v>
                </pt>
                <pt idx="5">
                  <v>2 808</v>
                </pt>
              </strCache>
            </strRef>
          </cat>
          <val>
            <numRef>
              <f>Dash_Resumo!$H$52</f>
              <numCache>
                <formatCode>#,##0</formatCode>
                <ptCount val="1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35342704"/>
        <axId val="835345104"/>
      </lineChart>
      <catAx>
        <axId val="8353427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35345104"/>
        <crosses val="autoZero"/>
        <auto val="1"/>
        <lblAlgn val="ctr"/>
        <lblOffset val="100"/>
        <noMultiLvlLbl val="0"/>
      </catAx>
      <valAx>
        <axId val="83534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71809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Carga Interna (CI)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718096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PT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3534270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Distância Total (m)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PT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Dash_Gráficos!$A$8:$A$16</f>
              <strCache>
                <ptCount val="9"/>
                <pt idx="0">
                  <v>Artur</v>
                </pt>
                <pt idx="1">
                  <v>Capitulo</v>
                </pt>
                <pt idx="2">
                  <v>Edu</v>
                </pt>
                <pt idx="3">
                  <v>Enzo Hugo</v>
                </pt>
                <pt idx="4">
                  <v>Gomes</v>
                </pt>
                <pt idx="5">
                  <v>Nogueira</v>
                </pt>
                <pt idx="6">
                  <v>Paulino</v>
                </pt>
                <pt idx="7">
                  <v>Sá</v>
                </pt>
                <pt idx="8">
                  <v>Varela</v>
                </pt>
              </strCache>
            </strRef>
          </cat>
          <val>
            <numRef>
              <f>Dash_Gráficos!$B$8:$B$16</f>
              <numCache>
                <formatCode>#,##0</formatCode>
                <ptCount val="9"/>
                <pt idx="0">
                  <v>8347</v>
                </pt>
                <pt idx="1">
                  <v>12505.5</v>
                </pt>
                <pt idx="2">
                  <v>11844.5</v>
                </pt>
                <pt idx="3">
                  <v>9316.5</v>
                </pt>
                <pt idx="4">
                  <v>9402.5</v>
                </pt>
                <pt idx="5">
                  <v>9465.5</v>
                </pt>
                <pt idx="6">
                  <v>8272</v>
                </pt>
                <pt idx="7">
                  <v>9466</v>
                </pt>
                <pt idx="8">
                  <v>10934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6546416"/>
        <axId val="826546896"/>
      </barChart>
      <catAx>
        <axId val="8265464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46896"/>
        <crosses val="autoZero"/>
        <auto val="1"/>
        <lblAlgn val="ctr"/>
        <lblOffset val="100"/>
        <noMultiLvlLbl val="0"/>
      </catAx>
      <valAx>
        <axId val="8265468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464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4A5568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HSR (m)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548235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PT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Dash_Gráficos!$A$8:$A$16</f>
              <strCache>
                <ptCount val="9"/>
                <pt idx="0">
                  <v>Artur</v>
                </pt>
                <pt idx="1">
                  <v>Capitulo</v>
                </pt>
                <pt idx="2">
                  <v>Edu</v>
                </pt>
                <pt idx="3">
                  <v>Enzo Hugo</v>
                </pt>
                <pt idx="4">
                  <v>Gomes</v>
                </pt>
                <pt idx="5">
                  <v>Nogueira</v>
                </pt>
                <pt idx="6">
                  <v>Paulino</v>
                </pt>
                <pt idx="7">
                  <v>Sá</v>
                </pt>
                <pt idx="8">
                  <v>Varela</v>
                </pt>
              </strCache>
            </strRef>
          </cat>
          <val>
            <numRef>
              <f>Dash_Gráficos!$C$8:$C$16</f>
              <numCache>
                <formatCode>#,##0</formatCode>
                <ptCount val="9"/>
                <pt idx="0">
                  <v>225</v>
                </pt>
                <pt idx="1">
                  <v>467.5</v>
                </pt>
                <pt idx="2">
                  <v>404.5</v>
                </pt>
                <pt idx="3">
                  <v>298</v>
                </pt>
                <pt idx="4">
                  <v>247.5</v>
                </pt>
                <pt idx="5">
                  <v>350.5</v>
                </pt>
                <pt idx="6">
                  <v>296</v>
                </pt>
                <pt idx="7">
                  <v>267</v>
                </pt>
                <pt idx="8">
                  <v>377.5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6437936"/>
        <axId val="826443696"/>
      </barChart>
      <catAx>
        <axId val="8264379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43696"/>
        <crosses val="autoZero"/>
        <auto val="1"/>
        <lblAlgn val="ctr"/>
        <lblOffset val="100"/>
        <noMultiLvlLbl val="0"/>
      </catAx>
      <valAx>
        <axId val="8264436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379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4A5568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Sprint (m)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PT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Dash_Gráficos!$A$8:$A$16</f>
              <strCache>
                <ptCount val="9"/>
                <pt idx="0">
                  <v>Artur</v>
                </pt>
                <pt idx="1">
                  <v>Capitulo</v>
                </pt>
                <pt idx="2">
                  <v>Edu</v>
                </pt>
                <pt idx="3">
                  <v>Enzo Hugo</v>
                </pt>
                <pt idx="4">
                  <v>Gomes</v>
                </pt>
                <pt idx="5">
                  <v>Nogueira</v>
                </pt>
                <pt idx="6">
                  <v>Paulino</v>
                </pt>
                <pt idx="7">
                  <v>Sá</v>
                </pt>
                <pt idx="8">
                  <v>Varela</v>
                </pt>
              </strCache>
            </strRef>
          </cat>
          <val>
            <numRef>
              <f>Dash_Gráficos!$D$8:$D$16</f>
              <numCache>
                <formatCode>#,##0</formatCode>
                <ptCount val="9"/>
                <pt idx="0">
                  <v>72</v>
                </pt>
                <pt idx="1">
                  <v>170.5</v>
                </pt>
                <pt idx="2">
                  <v>178</v>
                </pt>
                <pt idx="3">
                  <v>46</v>
                </pt>
                <pt idx="4">
                  <v>101.5</v>
                </pt>
                <pt idx="5">
                  <v>37</v>
                </pt>
                <pt idx="6">
                  <v>125.5</v>
                </pt>
                <pt idx="7">
                  <v>72</v>
                </pt>
                <pt idx="8">
                  <v>164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6447056"/>
        <axId val="826447536"/>
      </barChart>
      <catAx>
        <axId val="826447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47536"/>
        <crosses val="autoZero"/>
        <auto val="1"/>
        <lblAlgn val="ctr"/>
        <lblOffset val="100"/>
        <noMultiLvlLbl val="0"/>
      </catAx>
      <valAx>
        <axId val="826447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470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4A5568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Acc (n)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7030A0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PT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Dash_Gráficos!$A$8:$A$16</f>
              <strCache>
                <ptCount val="9"/>
                <pt idx="0">
                  <v>Artur</v>
                </pt>
                <pt idx="1">
                  <v>Capitulo</v>
                </pt>
                <pt idx="2">
                  <v>Edu</v>
                </pt>
                <pt idx="3">
                  <v>Enzo Hugo</v>
                </pt>
                <pt idx="4">
                  <v>Gomes</v>
                </pt>
                <pt idx="5">
                  <v>Nogueira</v>
                </pt>
                <pt idx="6">
                  <v>Paulino</v>
                </pt>
                <pt idx="7">
                  <v>Sá</v>
                </pt>
                <pt idx="8">
                  <v>Varela</v>
                </pt>
              </strCache>
            </strRef>
          </cat>
          <val>
            <numRef>
              <f>Dash_Gráficos!$E$8:$E$16</f>
              <numCache>
                <formatCode>0</formatCode>
                <ptCount val="9"/>
                <pt idx="0">
                  <v>79.5</v>
                </pt>
                <pt idx="1">
                  <v>92</v>
                </pt>
                <pt idx="2">
                  <v>85</v>
                </pt>
                <pt idx="3">
                  <v>92</v>
                </pt>
                <pt idx="4">
                  <v>85</v>
                </pt>
                <pt idx="5">
                  <v>66</v>
                </pt>
                <pt idx="6">
                  <v>75.5</v>
                </pt>
                <pt idx="7">
                  <v>79</v>
                </pt>
                <pt idx="8">
                  <v>84.5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6452336"/>
        <axId val="826455216"/>
      </barChart>
      <catAx>
        <axId val="82645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55216"/>
        <crosses val="autoZero"/>
        <auto val="1"/>
        <lblAlgn val="ctr"/>
        <lblOffset val="100"/>
        <noMultiLvlLbl val="0"/>
      </catAx>
      <valAx>
        <axId val="8264552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523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4A5568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Dcc (n)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PT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Dash_Gráficos!$A$8:$A$16</f>
              <strCache>
                <ptCount val="9"/>
                <pt idx="0">
                  <v>Artur</v>
                </pt>
                <pt idx="1">
                  <v>Capitulo</v>
                </pt>
                <pt idx="2">
                  <v>Edu</v>
                </pt>
                <pt idx="3">
                  <v>Enzo Hugo</v>
                </pt>
                <pt idx="4">
                  <v>Gomes</v>
                </pt>
                <pt idx="5">
                  <v>Nogueira</v>
                </pt>
                <pt idx="6">
                  <v>Paulino</v>
                </pt>
                <pt idx="7">
                  <v>Sá</v>
                </pt>
                <pt idx="8">
                  <v>Varela</v>
                </pt>
              </strCache>
            </strRef>
          </cat>
          <val>
            <numRef>
              <f>Dash_Gráficos!$F$8:$F$16</f>
              <numCache>
                <formatCode>0</formatCode>
                <ptCount val="9"/>
                <pt idx="0">
                  <v>89</v>
                </pt>
                <pt idx="1">
                  <v>102</v>
                </pt>
                <pt idx="2">
                  <v>86.5</v>
                </pt>
                <pt idx="3">
                  <v>106.5</v>
                </pt>
                <pt idx="4">
                  <v>87.5</v>
                </pt>
                <pt idx="5">
                  <v>88</v>
                </pt>
                <pt idx="6">
                  <v>78.5</v>
                </pt>
                <pt idx="7">
                  <v>90.5</v>
                </pt>
                <pt idx="8">
                  <v>88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6441776"/>
        <axId val="826457616"/>
      </barChart>
      <catAx>
        <axId val="8264417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57616"/>
        <crosses val="autoZero"/>
        <auto val="1"/>
        <lblAlgn val="ctr"/>
        <lblOffset val="100"/>
        <noMultiLvlLbl val="0"/>
      </catAx>
      <valAx>
        <axId val="8264576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4177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4A5568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Vel. Máx (km/h)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PT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Dash_Gráficos!$A$8:$A$16</f>
              <strCache>
                <ptCount val="9"/>
                <pt idx="0">
                  <v>Artur</v>
                </pt>
                <pt idx="1">
                  <v>Capitulo</v>
                </pt>
                <pt idx="2">
                  <v>Edu</v>
                </pt>
                <pt idx="3">
                  <v>Enzo Hugo</v>
                </pt>
                <pt idx="4">
                  <v>Gomes</v>
                </pt>
                <pt idx="5">
                  <v>Nogueira</v>
                </pt>
                <pt idx="6">
                  <v>Paulino</v>
                </pt>
                <pt idx="7">
                  <v>Sá</v>
                </pt>
                <pt idx="8">
                  <v>Varela</v>
                </pt>
              </strCache>
            </strRef>
          </cat>
          <val>
            <numRef>
              <f>Dash_Gráficos!$G$8:$G$16</f>
              <numCache>
                <formatCode>0.0</formatCode>
                <ptCount val="9"/>
                <pt idx="0">
                  <v>29.05</v>
                </pt>
                <pt idx="1">
                  <v>31.35</v>
                </pt>
                <pt idx="2">
                  <v>31.05</v>
                </pt>
                <pt idx="3">
                  <v>28.7</v>
                </pt>
                <pt idx="4">
                  <v>29.5</v>
                </pt>
                <pt idx="5">
                  <v>29.2</v>
                </pt>
                <pt idx="6">
                  <v>29.8</v>
                </pt>
                <pt idx="7">
                  <v>30.05</v>
                </pt>
                <pt idx="8">
                  <v>33.1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6464336"/>
        <axId val="826460016"/>
      </barChart>
      <catAx>
        <axId val="82646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60016"/>
        <crosses val="autoZero"/>
        <auto val="1"/>
        <lblAlgn val="ctr"/>
        <lblOffset val="100"/>
        <noMultiLvlLbl val="0"/>
      </catAx>
      <valAx>
        <axId val="8264600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643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4A5568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Distância Total (m)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lineChart>
        <grouping val="standard"/>
        <varyColors val="0"/>
        <ser>
          <idx val="0"/>
          <order val="0"/>
          <tx>
            <v>Distância (m)</v>
          </tx>
          <spPr>
            <a:ln xmlns:a="http://schemas.openxmlformats.org/drawingml/2006/main" w="25400" cap="rnd">
              <a:solidFill>
                <a:srgbClr val="2E75B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Dash_Treino!$A$12:$A$62</f>
              <numCache>
                <formatCode>m/d/yyyy</formatCode>
                <ptCount val="51"/>
                <pt idx="0">
                  <v>46041</v>
                </pt>
                <pt idx="1">
                  <v>46042</v>
                </pt>
                <pt idx="2">
                  <v>46043</v>
                </pt>
                <pt idx="3">
                  <v>46045</v>
                </pt>
                <pt idx="4">
                  <v>46046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46055</v>
                </pt>
                <pt idx="11">
                  <v>46056</v>
                </pt>
                <pt idx="12">
                  <v>46057</v>
                </pt>
                <pt idx="13">
                  <v>46058</v>
                </pt>
                <pt idx="14">
                  <v>46059</v>
                </pt>
                <pt idx="15">
                  <v>46062</v>
                </pt>
                <pt idx="16">
                  <v>46063</v>
                </pt>
                <pt idx="17">
                  <v>46064</v>
                </pt>
                <pt idx="18">
                  <v>46065</v>
                </pt>
                <pt idx="19">
                  <v>46066</v>
                </pt>
                <pt idx="20">
                  <v>46069</v>
                </pt>
                <pt idx="21">
                  <v>46070</v>
                </pt>
                <pt idx="22">
                  <v>46071</v>
                </pt>
                <pt idx="23">
                  <v>46072</v>
                </pt>
                <pt idx="24">
                  <v>46072</v>
                </pt>
                <pt idx="25">
                  <v>46073</v>
                </pt>
                <pt idx="26">
                  <v>46074</v>
                </pt>
                <pt idx="27">
                  <v>46075</v>
                </pt>
                <pt idx="28">
                  <v>46075</v>
                </pt>
                <pt idx="29">
                  <v>46075</v>
                </pt>
                <pt idx="30">
                  <v>46076</v>
                </pt>
                <pt idx="31">
                  <v>46076</v>
                </pt>
                <pt idx="32">
                  <v>46076</v>
                </pt>
                <pt idx="33">
                  <v>46076</v>
                </pt>
                <pt idx="34">
                  <v>46077</v>
                </pt>
                <pt idx="35">
                  <v>46077</v>
                </pt>
                <pt idx="36">
                  <v>46077</v>
                </pt>
                <pt idx="37">
                  <v>46078</v>
                </pt>
                <pt idx="38">
                  <v>46079</v>
                </pt>
                <pt idx="39">
                  <v>46080</v>
                </pt>
                <pt idx="40">
                  <v>46082</v>
                </pt>
                <pt idx="41">
                  <v>46083</v>
                </pt>
                <pt idx="42">
                  <v>46084</v>
                </pt>
                <pt idx="43">
                  <v>46085</v>
                </pt>
                <pt idx="44">
                  <v>46086</v>
                </pt>
                <pt idx="45">
                  <v>46087</v>
                </pt>
                <pt idx="46">
                  <v>46088</v>
                </pt>
                <pt idx="47">
                  <v>46089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</numCache>
            </numRef>
          </cat>
          <val>
            <numRef>
              <f>Dash_Treino!$F$12:$F$62</f>
              <numCache>
                <formatCode>General</formatCode>
                <ptCount val="51"/>
                <pt idx="0">
                  <v>9845</v>
                </pt>
                <pt idx="1">
                  <v>10071</v>
                </pt>
                <pt idx="2">
                  <v>13593</v>
                </pt>
                <pt idx="3">
                  <v>11440</v>
                </pt>
                <pt idx="4">
                  <v>6088</v>
                </pt>
                <pt idx="5">
                  <v>11652</v>
                </pt>
                <pt idx="6">
                  <v>13956</v>
                </pt>
                <pt idx="7">
                  <v>12270</v>
                </pt>
                <pt idx="8">
                  <v>5736</v>
                </pt>
                <pt idx="9">
                  <v>11347</v>
                </pt>
                <pt idx="10">
                  <v>11614</v>
                </pt>
                <pt idx="11">
                  <v>10747</v>
                </pt>
                <pt idx="12">
                  <v>10997</v>
                </pt>
                <pt idx="13">
                  <v>6323</v>
                </pt>
                <pt idx="14">
                  <v>10206</v>
                </pt>
                <pt idx="15">
                  <v>10413</v>
                </pt>
                <pt idx="16">
                  <v>11773</v>
                </pt>
                <pt idx="17">
                  <v>10929</v>
                </pt>
                <pt idx="18">
                  <v>6214</v>
                </pt>
                <pt idx="19">
                  <v>10527</v>
                </pt>
                <pt idx="20">
                  <v>10500</v>
                </pt>
                <pt idx="21">
                  <v>10200</v>
                </pt>
                <pt idx="22">
                  <v>9800</v>
                </pt>
                <pt idx="23">
                  <v>9600</v>
                </pt>
                <pt idx="24">
                  <v>5786</v>
                </pt>
                <pt idx="25">
                  <v>10000</v>
                </pt>
                <pt idx="26">
                  <v>12000</v>
                </pt>
                <pt idx="27">
                  <v>4000</v>
                </pt>
                <pt idx="28">
                  <v>4030</v>
                </pt>
                <pt idx="29">
                  <v>12698</v>
                </pt>
                <pt idx="30">
                  <v>6500</v>
                </pt>
                <pt idx="31">
                  <v>6540</v>
                </pt>
                <pt idx="32">
                  <v>3337</v>
                </pt>
                <pt idx="33">
                  <v>3412</v>
                </pt>
                <pt idx="34">
                  <v>10600</v>
                </pt>
                <pt idx="35">
                  <v>7648</v>
                </pt>
                <pt idx="36">
                  <v>7093</v>
                </pt>
                <pt idx="37">
                  <v>11268</v>
                </pt>
                <pt idx="38">
                  <v>11739</v>
                </pt>
                <pt idx="39">
                  <v>9999</v>
                </pt>
                <pt idx="40">
                  <v>11190</v>
                </pt>
                <pt idx="41">
                  <v>5384</v>
                </pt>
                <pt idx="42">
                  <v>13590</v>
                </pt>
                <pt idx="43">
                  <v>3445</v>
                </pt>
                <pt idx="44">
                  <v>7074</v>
                </pt>
                <pt idx="45">
                  <v>11517</v>
                </pt>
                <pt idx="46">
                  <v>11793</v>
                </pt>
                <pt idx="47">
                  <v>11036</v>
                </pt>
                <pt idx="48">
                  <v>10864</v>
                </pt>
                <pt idx="49">
                  <v>5971</v>
                </pt>
                <pt idx="50">
                  <v>12251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826537776"/>
        <axId val="826535856"/>
      </lineChart>
      <dateAx>
        <axId val="826537776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35856"/>
        <crosses val="autoZero"/>
        <lblOffset val="100"/>
        <baseTimeUnit val="days"/>
        <majorUnit val="5"/>
        <majorTimeUnit val="days"/>
      </dateAx>
      <valAx>
        <axId val="8265358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3777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PSE Sessão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PSE</v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invertIfNegative val="0"/>
          <cat>
            <numRef>
              <f>Dash_Treino!$A$12:$A$62</f>
              <numCache>
                <formatCode>m/d/yyyy</formatCode>
                <ptCount val="51"/>
                <pt idx="0">
                  <v>46041</v>
                </pt>
                <pt idx="1">
                  <v>46042</v>
                </pt>
                <pt idx="2">
                  <v>46043</v>
                </pt>
                <pt idx="3">
                  <v>46045</v>
                </pt>
                <pt idx="4">
                  <v>46046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46055</v>
                </pt>
                <pt idx="11">
                  <v>46056</v>
                </pt>
                <pt idx="12">
                  <v>46057</v>
                </pt>
                <pt idx="13">
                  <v>46058</v>
                </pt>
                <pt idx="14">
                  <v>46059</v>
                </pt>
                <pt idx="15">
                  <v>46062</v>
                </pt>
                <pt idx="16">
                  <v>46063</v>
                </pt>
                <pt idx="17">
                  <v>46064</v>
                </pt>
                <pt idx="18">
                  <v>46065</v>
                </pt>
                <pt idx="19">
                  <v>46066</v>
                </pt>
                <pt idx="20">
                  <v>46069</v>
                </pt>
                <pt idx="21">
                  <v>46070</v>
                </pt>
                <pt idx="22">
                  <v>46071</v>
                </pt>
                <pt idx="23">
                  <v>46072</v>
                </pt>
                <pt idx="24">
                  <v>46072</v>
                </pt>
                <pt idx="25">
                  <v>46073</v>
                </pt>
                <pt idx="26">
                  <v>46074</v>
                </pt>
                <pt idx="27">
                  <v>46075</v>
                </pt>
                <pt idx="28">
                  <v>46075</v>
                </pt>
                <pt idx="29">
                  <v>46075</v>
                </pt>
                <pt idx="30">
                  <v>46076</v>
                </pt>
                <pt idx="31">
                  <v>46076</v>
                </pt>
                <pt idx="32">
                  <v>46076</v>
                </pt>
                <pt idx="33">
                  <v>46076</v>
                </pt>
                <pt idx="34">
                  <v>46077</v>
                </pt>
                <pt idx="35">
                  <v>46077</v>
                </pt>
                <pt idx="36">
                  <v>46077</v>
                </pt>
                <pt idx="37">
                  <v>46078</v>
                </pt>
                <pt idx="38">
                  <v>46079</v>
                </pt>
                <pt idx="39">
                  <v>46080</v>
                </pt>
                <pt idx="40">
                  <v>46082</v>
                </pt>
                <pt idx="41">
                  <v>46083</v>
                </pt>
                <pt idx="42">
                  <v>46084</v>
                </pt>
                <pt idx="43">
                  <v>46085</v>
                </pt>
                <pt idx="44">
                  <v>46086</v>
                </pt>
                <pt idx="45">
                  <v>46087</v>
                </pt>
                <pt idx="46">
                  <v>46088</v>
                </pt>
                <pt idx="47">
                  <v>46089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</numCache>
            </numRef>
          </cat>
          <val>
            <numRef>
              <f>Dash_Treino!$K$12:$K$62</f>
              <numCache>
                <formatCode>General</formatCode>
                <ptCount val="51"/>
                <pt idx="0">
                  <v>8</v>
                </pt>
                <pt idx="1">
                  <v>4</v>
                </pt>
                <pt idx="2">
                  <v>5</v>
                </pt>
                <pt idx="3">
                  <v>8</v>
                </pt>
                <pt idx="4">
                  <v>2</v>
                </pt>
                <pt idx="5">
                  <v>8</v>
                </pt>
                <pt idx="6">
                  <v>6</v>
                </pt>
                <pt idx="7">
                  <v>7</v>
                </pt>
                <pt idx="8">
                  <v>3</v>
                </pt>
                <pt idx="9">
                  <v>6</v>
                </pt>
                <pt idx="10">
                  <v>9</v>
                </pt>
                <pt idx="11">
                  <v>5</v>
                </pt>
                <pt idx="12">
                  <v>7</v>
                </pt>
                <pt idx="13">
                  <v>3</v>
                </pt>
                <pt idx="14">
                  <v>8</v>
                </pt>
                <pt idx="15">
                  <v>4</v>
                </pt>
                <pt idx="16">
                  <v>9</v>
                </pt>
                <pt idx="17">
                  <v>4</v>
                </pt>
                <pt idx="18">
                  <v>3</v>
                </pt>
                <pt idx="19">
                  <v>7</v>
                </pt>
                <pt idx="20">
                  <v>7</v>
                </pt>
                <pt idx="21">
                  <v>7</v>
                </pt>
                <pt idx="22">
                  <v>7</v>
                </pt>
                <pt idx="23">
                  <v>7</v>
                </pt>
                <pt idx="24">
                  <v>2</v>
                </pt>
                <pt idx="25">
                  <v>7</v>
                </pt>
                <pt idx="26">
                  <v>8</v>
                </pt>
                <pt idx="27">
                  <v>4</v>
                </pt>
                <pt idx="28">
                  <v>4</v>
                </pt>
                <pt idx="29">
                  <v>9</v>
                </pt>
                <pt idx="30">
                  <v>5</v>
                </pt>
                <pt idx="31">
                  <v>5</v>
                </pt>
                <pt idx="32">
                  <v>1</v>
                </pt>
                <pt idx="33">
                  <v>1</v>
                </pt>
                <pt idx="34">
                  <v>7</v>
                </pt>
                <pt idx="35">
                  <v>2</v>
                </pt>
                <pt idx="36">
                  <v>3</v>
                </pt>
                <pt idx="37">
                  <v>7</v>
                </pt>
                <pt idx="38">
                  <v>8</v>
                </pt>
                <pt idx="39">
                  <v>7</v>
                </pt>
                <pt idx="40">
                  <v>8</v>
                </pt>
                <pt idx="41">
                  <v>2</v>
                </pt>
                <pt idx="42">
                  <v>10</v>
                </pt>
                <pt idx="43">
                  <v>1</v>
                </pt>
                <pt idx="44">
                  <v>2</v>
                </pt>
                <pt idx="45">
                  <v>8</v>
                </pt>
                <pt idx="46">
                  <v>7</v>
                </pt>
                <pt idx="47">
                  <v>7</v>
                </pt>
                <pt idx="48">
                  <v>7</v>
                </pt>
                <pt idx="49">
                  <v>3</v>
                </pt>
                <pt idx="50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26552656"/>
        <axId val="826553136"/>
      </barChart>
      <dateAx>
        <axId val="826552656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53136"/>
        <crosses val="autoZero"/>
        <lblOffset val="100"/>
        <baseTimeUnit val="days"/>
        <majorUnit val="5"/>
        <majorTimeUnit val="days"/>
      </dateAx>
      <valAx>
        <axId val="826553136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E2E8F0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526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Distância / HSR / Sprint por MC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lineChart>
        <grouping val="standard"/>
        <varyColors val="0"/>
        <ser>
          <idx val="1"/>
          <order val="0"/>
          <tx>
            <v>HSR (m)</v>
          </tx>
          <spPr>
            <a:ln xmlns:a="http://schemas.openxmlformats.org/drawingml/2006/main" w="25400" cap="rnd">
              <a:solidFill>
                <a:srgbClr val="FF4D4F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Dash_Microciclos!$A$5:$A$11</f>
              <strCache>
                <ptCount val="7"/>
                <pt idx="0">
                  <v>MC 4</v>
                </pt>
                <pt idx="1">
                  <v>MC 5</v>
                </pt>
                <pt idx="2">
                  <v>MC 6</v>
                </pt>
                <pt idx="3">
                  <v>MC 7</v>
                </pt>
                <pt idx="4">
                  <v>MC 8</v>
                </pt>
                <pt idx="5">
                  <v>MC 9</v>
                </pt>
                <pt idx="6">
                  <v>MC 10</v>
                </pt>
              </strCache>
            </strRef>
          </cat>
          <val>
            <numRef>
              <f>Dash_Microciclos!$F$5:$F$11</f>
              <numCache>
                <formatCode>#,##0</formatCode>
                <ptCount val="7"/>
                <pt idx="0">
                  <v>302.8444444444444</v>
                </pt>
                <pt idx="1">
                  <v>294.0666666666667</v>
                </pt>
                <pt idx="2">
                  <v>293.4222222222222</v>
                </pt>
                <pt idx="3">
                  <v>272.3111111111111</v>
                </pt>
                <pt idx="4">
                  <v>196.4920634920635</v>
                </pt>
                <pt idx="5">
                  <v>251.041095890411</v>
                </pt>
                <pt idx="6">
                  <v>269.2407407407408</v>
                </pt>
              </numCache>
            </numRef>
          </val>
          <smooth val="0"/>
        </ser>
        <ser>
          <idx val="2"/>
          <order val="1"/>
          <tx>
            <v>Sprint (m)</v>
          </tx>
          <spPr>
            <a:ln xmlns:a="http://schemas.openxmlformats.org/drawingml/2006/main" w="25400" cap="rnd">
              <a:solidFill>
                <a:srgbClr val="52C41A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Dash_Microciclos!$A$5:$A$11</f>
              <strCache>
                <ptCount val="7"/>
                <pt idx="0">
                  <v>MC 4</v>
                </pt>
                <pt idx="1">
                  <v>MC 5</v>
                </pt>
                <pt idx="2">
                  <v>MC 6</v>
                </pt>
                <pt idx="3">
                  <v>MC 7</v>
                </pt>
                <pt idx="4">
                  <v>MC 8</v>
                </pt>
                <pt idx="5">
                  <v>MC 9</v>
                </pt>
                <pt idx="6">
                  <v>MC 10</v>
                </pt>
              </strCache>
            </strRef>
          </cat>
          <val>
            <numRef>
              <f>Dash_Microciclos!$G$5:$G$11</f>
              <numCache>
                <formatCode>#,##0</formatCode>
                <ptCount val="7"/>
                <pt idx="0">
                  <v>96.97777777777777</v>
                </pt>
                <pt idx="1">
                  <v>94.33333333333333</v>
                </pt>
                <pt idx="2">
                  <v>96.13333333333334</v>
                </pt>
                <pt idx="3">
                  <v>96.75555555555556</v>
                </pt>
                <pt idx="4">
                  <v>59.20634920634921</v>
                </pt>
                <pt idx="5">
                  <v>79.79452054794521</v>
                </pt>
                <pt idx="6">
                  <v>84.94444444444444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6488816"/>
        <axId val="826498416"/>
      </lineChart>
      <catAx>
        <axId val="826488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98416"/>
        <crosses val="autoZero"/>
        <auto val="1"/>
        <lblAlgn val="ctr"/>
        <lblOffset val="100"/>
        <noMultiLvlLbl val="0"/>
      </catAx>
      <valAx>
        <axId val="8264984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488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Duração &amp; PSE por Microciclo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lineChart>
        <grouping val="standard"/>
        <varyColors val="0"/>
        <ser>
          <idx val="0"/>
          <order val="0"/>
          <tx>
            <v>Duração Média (min)</v>
          </tx>
          <spPr>
            <a:ln xmlns:a="http://schemas.openxmlformats.org/drawingml/2006/main" w="25400" cap="rnd">
              <a:solidFill>
                <a:srgbClr val="2E75B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Dash_Microciclos!$A$5:$A$11</f>
              <strCache>
                <ptCount val="7"/>
                <pt idx="0">
                  <v>MC 4</v>
                </pt>
                <pt idx="1">
                  <v>MC 5</v>
                </pt>
                <pt idx="2">
                  <v>MC 6</v>
                </pt>
                <pt idx="3">
                  <v>MC 7</v>
                </pt>
                <pt idx="4">
                  <v>MC 8</v>
                </pt>
                <pt idx="5">
                  <v>MC 9</v>
                </pt>
                <pt idx="6">
                  <v>MC 10</v>
                </pt>
              </strCache>
            </strRef>
          </cat>
          <val>
            <numRef>
              <f>Dash_Microciclos!$D$5:$D$11</f>
              <numCache>
                <formatCode>0.0</formatCode>
                <ptCount val="7"/>
                <pt idx="0">
                  <v>83.11111111111111</v>
                </pt>
                <pt idx="1">
                  <v>83.53333333333333</v>
                </pt>
                <pt idx="2">
                  <v>83.42222222222222</v>
                </pt>
                <pt idx="3">
                  <v>83.82222222222222</v>
                </pt>
                <pt idx="4">
                  <v>63.65873015873016</v>
                </pt>
                <pt idx="5">
                  <v>75.94520547945206</v>
                </pt>
                <pt idx="6">
                  <v>78.4074074074074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6504176"/>
        <axId val="826508016"/>
      </lineChart>
      <lineChart>
        <grouping val="standard"/>
        <varyColors val="0"/>
        <ser>
          <idx val="1"/>
          <order val="1"/>
          <tx>
            <v>PSE Médio</v>
          </tx>
          <spPr>
            <a:ln xmlns:a="http://schemas.openxmlformats.org/drawingml/2006/main" w="25400" cap="rnd">
              <a:solidFill>
                <a:srgbClr val="FF4D4F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Dash_Microciclos!$A$5:$A$11</f>
              <strCache>
                <ptCount val="7"/>
                <pt idx="0">
                  <v>MC 4</v>
                </pt>
                <pt idx="1">
                  <v>MC 5</v>
                </pt>
                <pt idx="2">
                  <v>MC 6</v>
                </pt>
                <pt idx="3">
                  <v>MC 7</v>
                </pt>
                <pt idx="4">
                  <v>MC 8</v>
                </pt>
                <pt idx="5">
                  <v>MC 9</v>
                </pt>
                <pt idx="6">
                  <v>MC 10</v>
                </pt>
              </strCache>
            </strRef>
          </cat>
          <val>
            <numRef>
              <f>Dash_Microciclos!$J$5:$J$11</f>
              <numCache>
                <formatCode>0.0</formatCode>
                <ptCount val="7"/>
                <pt idx="0">
                  <v>6.044444444444444</v>
                </pt>
                <pt idx="1">
                  <v>5.755555555555556</v>
                </pt>
                <pt idx="2">
                  <v>6.155555555555556</v>
                </pt>
                <pt idx="3">
                  <v>5.777777777777778</v>
                </pt>
                <pt idx="4">
                  <v>4.373015873015873</v>
                </pt>
                <pt idx="5">
                  <v>5.342465753424658</v>
                </pt>
                <pt idx="6">
                  <v>5.888888888888889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6507536"/>
        <axId val="826507056"/>
      </lineChart>
      <catAx>
        <axId val="8265041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08016"/>
        <crosses val="autoZero"/>
        <auto val="1"/>
        <lblAlgn val="ctr"/>
        <lblOffset val="100"/>
        <noMultiLvlLbl val="0"/>
      </catAx>
      <valAx>
        <axId val="8265080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Duração (min)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PT"/>
            </a:p>
          </txPr>
        </title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04176"/>
        <crosses val="autoZero"/>
        <crossBetween val="between"/>
      </valAx>
      <catAx>
        <axId val="82650753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26507056"/>
        <crosses val="autoZero"/>
        <auto val="1"/>
        <lblAlgn val="ctr"/>
        <lblOffset val="100"/>
        <noMultiLvlLbl val="0"/>
      </catAx>
      <valAx>
        <axId val="826507056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PSE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PT"/>
            </a:p>
          </txPr>
        </title>
        <numFmt formatCode="0.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07536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Accelerações &amp; Desacelerações por MC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lineChart>
        <grouping val="standard"/>
        <varyColors val="0"/>
        <ser>
          <idx val="0"/>
          <order val="0"/>
          <tx>
            <v>Acc (n)</v>
          </tx>
          <spPr>
            <a:ln xmlns:a="http://schemas.openxmlformats.org/drawingml/2006/main" w="25400" cap="rnd">
              <a:solidFill>
                <a:srgbClr val="2E75B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Dash_Microciclos!$A$5:$A$11</f>
              <strCache>
                <ptCount val="7"/>
                <pt idx="0">
                  <v>MC 4</v>
                </pt>
                <pt idx="1">
                  <v>MC 5</v>
                </pt>
                <pt idx="2">
                  <v>MC 6</v>
                </pt>
                <pt idx="3">
                  <v>MC 7</v>
                </pt>
                <pt idx="4">
                  <v>MC 8</v>
                </pt>
                <pt idx="5">
                  <v>MC 9</v>
                </pt>
                <pt idx="6">
                  <v>MC 10</v>
                </pt>
              </strCache>
            </strRef>
          </cat>
          <val>
            <numRef>
              <f>Dash_Microciclos!$H$5:$H$11</f>
              <numCache>
                <formatCode>#,##0</formatCode>
                <ptCount val="7"/>
                <pt idx="0">
                  <v>69.95555555555555</v>
                </pt>
                <pt idx="1">
                  <v>70.42222222222222</v>
                </pt>
                <pt idx="2">
                  <v>70.86666666666666</v>
                </pt>
                <pt idx="3">
                  <v>70.11111111111111</v>
                </pt>
                <pt idx="4">
                  <v>52.86507936507937</v>
                </pt>
                <pt idx="5">
                  <v>63.08219178082192</v>
                </pt>
                <pt idx="6">
                  <v>66.11111111111111</v>
                </pt>
              </numCache>
            </numRef>
          </val>
          <smooth val="0"/>
        </ser>
        <ser>
          <idx val="1"/>
          <order val="1"/>
          <tx>
            <v>Dcc (n)</v>
          </tx>
          <spPr>
            <a:ln xmlns:a="http://schemas.openxmlformats.org/drawingml/2006/main" w="25400" cap="rnd">
              <a:solidFill>
                <a:srgbClr val="FF4D4F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Dash_Microciclos!$A$5:$A$11</f>
              <strCache>
                <ptCount val="7"/>
                <pt idx="0">
                  <v>MC 4</v>
                </pt>
                <pt idx="1">
                  <v>MC 5</v>
                </pt>
                <pt idx="2">
                  <v>MC 6</v>
                </pt>
                <pt idx="3">
                  <v>MC 7</v>
                </pt>
                <pt idx="4">
                  <v>MC 8</v>
                </pt>
                <pt idx="5">
                  <v>MC 9</v>
                </pt>
                <pt idx="6">
                  <v>MC 10</v>
                </pt>
              </strCache>
            </strRef>
          </cat>
          <val>
            <numRef>
              <f>Dash_Microciclos!$I$5:$I$11</f>
              <numCache>
                <formatCode>0.0</formatCode>
                <ptCount val="7"/>
                <pt idx="0">
                  <v>75.31111111111112</v>
                </pt>
                <pt idx="1">
                  <v>77.28888888888889</v>
                </pt>
                <pt idx="2">
                  <v>78.77777777777777</v>
                </pt>
                <pt idx="3">
                  <v>75.8</v>
                </pt>
                <pt idx="4">
                  <v>59.46031746031746</v>
                </pt>
                <pt idx="5">
                  <v>68.42465753424658</v>
                </pt>
                <pt idx="6">
                  <v>70.55555555555556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6500816"/>
        <axId val="826517616"/>
      </lineChart>
      <catAx>
        <axId val="82650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17616"/>
        <crosses val="autoZero"/>
        <auto val="1"/>
        <lblAlgn val="ctr"/>
        <lblOffset val="100"/>
        <noMultiLvlLbl val="0"/>
      </catAx>
      <valAx>
        <axId val="8265176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0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Velocidade Máxima por MC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lineChart>
        <grouping val="standard"/>
        <varyColors val="0"/>
        <ser>
          <idx val="0"/>
          <order val="0"/>
          <tx>
            <v>Vmáx Média (km/h)</v>
          </tx>
          <spPr>
            <a:ln xmlns:a="http://schemas.openxmlformats.org/drawingml/2006/main" w="25400" cap="rnd">
              <a:solidFill>
                <a:srgbClr val="2E75B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Dash_Microciclos!$A$5:$A$11</f>
              <strCache>
                <ptCount val="7"/>
                <pt idx="0">
                  <v>MC 4</v>
                </pt>
                <pt idx="1">
                  <v>MC 5</v>
                </pt>
                <pt idx="2">
                  <v>MC 6</v>
                </pt>
                <pt idx="3">
                  <v>MC 7</v>
                </pt>
                <pt idx="4">
                  <v>MC 8</v>
                </pt>
                <pt idx="5">
                  <v>MC 9</v>
                </pt>
                <pt idx="6">
                  <v>MC 10</v>
                </pt>
              </strCache>
            </strRef>
          </cat>
          <val>
            <numRef>
              <f>Dash_Microciclos!$K$5:$K$11</f>
              <numCache>
                <formatCode>0.0</formatCode>
                <ptCount val="7"/>
                <pt idx="0">
                  <v>29.92444444444444</v>
                </pt>
                <pt idx="1">
                  <v>29.79777777777779</v>
                </pt>
                <pt idx="2">
                  <v>29.88444444444445</v>
                </pt>
                <pt idx="3">
                  <v>29.62</v>
                </pt>
                <pt idx="4">
                  <v>28.47539682539682</v>
                </pt>
                <pt idx="5">
                  <v>28.6945205479452</v>
                </pt>
                <pt idx="6">
                  <v>28.68518518518519</v>
                </pt>
              </numCache>
            </numRef>
          </val>
          <smooth val="0"/>
        </ser>
        <ser>
          <idx val="1"/>
          <order val="1"/>
          <tx>
            <v>Vmáx Máxima (km/h)</v>
          </tx>
          <spPr>
            <a:ln xmlns:a="http://schemas.openxmlformats.org/drawingml/2006/main" w="25400" cap="rnd">
              <a:solidFill>
                <a:srgbClr val="FF4D4F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Dash_Microciclos!$A$5:$A$11</f>
              <strCache>
                <ptCount val="7"/>
                <pt idx="0">
                  <v>MC 4</v>
                </pt>
                <pt idx="1">
                  <v>MC 5</v>
                </pt>
                <pt idx="2">
                  <v>MC 6</v>
                </pt>
                <pt idx="3">
                  <v>MC 7</v>
                </pt>
                <pt idx="4">
                  <v>MC 8</v>
                </pt>
                <pt idx="5">
                  <v>MC 9</v>
                </pt>
                <pt idx="6">
                  <v>MC 10</v>
                </pt>
              </strCache>
            </strRef>
          </cat>
          <val>
            <numRef>
              <f>Dash_Microciclos!$L$5:$L$11</f>
              <numCache>
                <formatCode>0.0</formatCode>
                <ptCount val="7"/>
                <pt idx="0">
                  <v>34.7</v>
                </pt>
                <pt idx="1">
                  <v>33.6</v>
                </pt>
                <pt idx="2">
                  <v>33.6</v>
                </pt>
                <pt idx="3">
                  <v>33.2</v>
                </pt>
                <pt idx="4">
                  <v>33</v>
                </pt>
                <pt idx="5">
                  <v>33.2</v>
                </pt>
                <pt idx="6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26518576"/>
        <axId val="826522416"/>
      </lineChart>
      <catAx>
        <axId val="8265185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22416"/>
        <crosses val="autoZero"/>
        <auto val="1"/>
        <lblAlgn val="ctr"/>
        <lblOffset val="100"/>
        <noMultiLvlLbl val="0"/>
      </catAx>
      <valAx>
        <axId val="8265224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2651857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1" i="0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Comparação de Métricas por Posição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1" i="0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Dash_Posição!$A$7</f>
              <strCache>
                <ptCount val="1"/>
                <pt idx="0">
                  <v>Capitulo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Dash_Posição!$B$6:$H$6</f>
              <strCache>
                <ptCount val="7"/>
                <pt idx="0">
                  <v>Méd Dur (min)</v>
                </pt>
                <pt idx="1">
                  <v>Méd Dist (m)</v>
                </pt>
                <pt idx="2">
                  <v>Méd HSR (m)</v>
                </pt>
                <pt idx="3">
                  <v>Méd Sprint (m)</v>
                </pt>
                <pt idx="4">
                  <v>Méd Acc</v>
                </pt>
                <pt idx="5">
                  <v>Méd Dcc</v>
                </pt>
                <pt idx="6">
                  <v>Méd PSE</v>
                </pt>
              </strCache>
            </strRef>
          </cat>
          <val>
            <numRef>
              <f>Dash_Posição!$B$7:$H$7</f>
              <numCache>
                <formatCode>#,##0</formatCode>
                <ptCount val="7"/>
                <pt idx="0">
                  <formatCode>0.0</formatCode>
                  <v>77.75</v>
                </pt>
                <pt idx="1">
                  <v>9599.8125</v>
                </pt>
                <pt idx="2">
                  <v>349.5416666666667</v>
                </pt>
                <pt idx="3">
                  <v>133.3125</v>
                </pt>
                <pt idx="4">
                  <formatCode>0.0</formatCode>
                  <v>71.6875</v>
                </pt>
                <pt idx="5">
                  <formatCode>0.0</formatCode>
                  <v>74.41666666666667</v>
                </pt>
                <pt idx="6">
                  <formatCode>0.0</formatCode>
                  <v>4.666666666666667</v>
                </pt>
              </numCache>
            </numRef>
          </val>
        </ser>
        <ser>
          <idx val="1"/>
          <order val="1"/>
          <tx>
            <strRef>
              <f>Dash_Posição!$A$8</f>
              <strCache>
                <ptCount val="1"/>
                <pt idx="0">
                  <v>Edu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Dash_Posição!$B$6:$H$6</f>
              <strCache>
                <ptCount val="7"/>
                <pt idx="0">
                  <v>Méd Dur (min)</v>
                </pt>
                <pt idx="1">
                  <v>Méd Dist (m)</v>
                </pt>
                <pt idx="2">
                  <v>Méd HSR (m)</v>
                </pt>
                <pt idx="3">
                  <v>Méd Sprint (m)</v>
                </pt>
                <pt idx="4">
                  <v>Méd Acc</v>
                </pt>
                <pt idx="5">
                  <v>Méd Dcc</v>
                </pt>
                <pt idx="6">
                  <v>Méd PSE</v>
                </pt>
              </strCache>
            </strRef>
          </cat>
          <val>
            <numRef>
              <f>Dash_Posição!$B$8:$H$8</f>
              <numCache>
                <formatCode>#,##0</formatCode>
                <ptCount val="7"/>
                <pt idx="0">
                  <formatCode>0.0</formatCode>
                  <v>77.375</v>
                </pt>
                <pt idx="1">
                  <v>9023.979166666666</v>
                </pt>
                <pt idx="2">
                  <v>334.6041666666667</v>
                </pt>
                <pt idx="3">
                  <v>138.2291666666667</v>
                </pt>
                <pt idx="4">
                  <formatCode>0.0</formatCode>
                  <v>63.45833333333334</v>
                </pt>
                <pt idx="5">
                  <formatCode>0.0</formatCode>
                  <v>68.16666666666667</v>
                </pt>
                <pt idx="6">
                  <formatCode>0.0</formatCode>
                  <v>4.875</v>
                </pt>
              </numCache>
            </numRef>
          </val>
        </ser>
        <ser>
          <idx val="2"/>
          <order val="2"/>
          <tx>
            <strRef>
              <f>Dash_Posição!$A$9</f>
              <strCache>
                <ptCount val="1"/>
                <pt idx="0">
                  <v>Varela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Dash_Posição!$B$6:$H$6</f>
              <strCache>
                <ptCount val="7"/>
                <pt idx="0">
                  <v>Méd Dur (min)</v>
                </pt>
                <pt idx="1">
                  <v>Méd Dist (m)</v>
                </pt>
                <pt idx="2">
                  <v>Méd HSR (m)</v>
                </pt>
                <pt idx="3">
                  <v>Méd Sprint (m)</v>
                </pt>
                <pt idx="4">
                  <v>Méd Acc</v>
                </pt>
                <pt idx="5">
                  <v>Méd Dcc</v>
                </pt>
                <pt idx="6">
                  <v>Méd PSE</v>
                </pt>
              </strCache>
            </strRef>
          </cat>
          <val>
            <numRef>
              <f>Dash_Posição!$B$9:$H$9</f>
              <numCache>
                <formatCode>#,##0</formatCode>
                <ptCount val="7"/>
                <pt idx="0">
                  <formatCode>0.0</formatCode>
                  <v>75.64583333333333</v>
                </pt>
                <pt idx="1">
                  <v>9000.791666666666</v>
                </pt>
                <pt idx="2">
                  <v>315.0833333333333</v>
                </pt>
                <pt idx="3">
                  <v>120.9583333333333</v>
                </pt>
                <pt idx="4">
                  <formatCode>0.0</formatCode>
                  <v>67.02083333333333</v>
                </pt>
                <pt idx="5">
                  <formatCode>0.0</formatCode>
                  <v>71.5625</v>
                </pt>
                <pt idx="6">
                  <formatCode>0.0</formatCode>
                  <v>5.3125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59267168"/>
        <axId val="859261888"/>
      </barChart>
      <catAx>
        <axId val="85926716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59261888"/>
        <crosses val="autoZero"/>
        <auto val="1"/>
        <lblAlgn val="ctr"/>
        <lblOffset val="100"/>
        <noMultiLvlLbl val="0"/>
      </catAx>
      <valAx>
        <axId val="85926188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5926716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Z-Score Médio por Jogador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Aptos Narrow"/>
              <a:ea typeface="Aptos Narrow"/>
              <a:cs typeface="Aptos Narrow"/>
            </a:defRPr>
          </a:pPr>
          <a:r>
            <a:t/>
          </a:r>
          <a:endParaRPr lang="pt-PT"/>
        </a:p>
      </txPr>
    </title>
    <plotArea>
      <layout/>
      <barChart>
        <barDir val="bar"/>
        <grouping val="clustered"/>
        <varyColors val="0"/>
        <ser>
          <idx val="10"/>
          <order val="0"/>
          <tx>
            <strRef>
              <f>Dash_ZScore!$M$7</f>
              <strCache>
                <ptCount val="1"/>
                <pt idx="0">
                  <v>Z Médio
(Overall)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Dash_ZScore!$A$8:$A$16</f>
              <strCache>
                <ptCount val="9"/>
                <pt idx="0">
                  <v>Artur</v>
                </pt>
                <pt idx="1">
                  <v>Capitulo</v>
                </pt>
                <pt idx="2">
                  <v>Edu</v>
                </pt>
                <pt idx="3">
                  <v>Enzo Hugo</v>
                </pt>
                <pt idx="4">
                  <v>Gomes</v>
                </pt>
                <pt idx="5">
                  <v>Nogueira</v>
                </pt>
                <pt idx="6">
                  <v>Paulino</v>
                </pt>
                <pt idx="7">
                  <v>Sá</v>
                </pt>
                <pt idx="8">
                  <v>Varela</v>
                </pt>
              </strCache>
            </strRef>
          </cat>
          <val>
            <numRef>
              <f>Dash_ZScore!$M$8:$M$16</f>
              <numCache>
                <formatCode>0.00</formatCode>
                <ptCount val="9"/>
                <pt idx="0">
                  <v>-0.2216508848400432</v>
                </pt>
                <pt idx="1">
                  <v>0.3614913160698853</v>
                </pt>
                <pt idx="2">
                  <v>0.2596058540609615</v>
                </pt>
                <pt idx="3">
                  <v>-0.1547651753027854</v>
                </pt>
                <pt idx="4">
                  <v>-0.1980860159534804</v>
                </pt>
                <pt idx="5">
                  <v>-0.2265261585923199</v>
                </pt>
                <pt idx="6">
                  <v>-0.05597857675763596</v>
                </pt>
                <pt idx="7">
                  <v>-0.05041381364114086</v>
                </pt>
                <pt idx="8">
                  <v>0.2863234549565589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918542064"/>
        <axId val="918548304"/>
      </barChart>
      <catAx>
        <axId val="91854206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4A5568"/>
                </a:solidFill>
                <a:latin typeface="Aptos Narrow"/>
                <a:ea typeface="Aptos Narrow"/>
                <a:cs typeface="Aptos Narrow"/>
              </a:defRPr>
            </a:pPr>
            <a:r>
              <a:t/>
            </a:r>
            <a:endParaRPr lang="pt-PT"/>
          </a:p>
        </txPr>
        <crossAx val="918548304"/>
        <crosses val="autoZero"/>
        <auto val="1"/>
        <lblAlgn val="ctr"/>
        <lblOffset val="100"/>
        <noMultiLvlLbl val="0"/>
      </catAx>
      <valAx>
        <axId val="918548304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71809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Z-Score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800" b="0" i="0" strike="noStrike" kern="1200" baseline="0">
                  <a:solidFill>
                    <a:srgbClr val="718096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PT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718096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91854206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2A4A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Evolução Z-Scores por MC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2A4A"/>
              </a:solidFill>
              <a:latin typeface="Aptos Narrow"/>
              <a:ea typeface="Aptos Narrow"/>
              <a:cs typeface="Aptos Narrow"/>
            </a:defRPr>
          </a:pPr>
          <a:r>
            <a:t/>
          </a:r>
          <a:endParaRPr lang="pt-PT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Dash_ZScore!$B$42</f>
              <strCache>
                <ptCount val="1"/>
                <pt idx="0">
                  <v>Z Duração</v>
                </pt>
              </strCache>
            </strRef>
          </tx>
          <spPr>
            <a:ln xmlns:a="http://schemas.openxmlformats.org/drawingml/2006/main" w="28575" cap="rnd">
              <a:solidFill>
                <a:srgbClr val="2E75B6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2E75B6"/>
                </a:solidFill>
                <a:prstDash val="solid"/>
              </a:ln>
            </spPr>
          </marker>
          <cat>
            <numRef>
              <f>Dash_ZScore!$A$43:$A$49</f>
              <numCache>
                <formatCode>General</formatCode>
                <ptCount val="7"/>
                <pt idx="0">
                  <v>4</v>
                </pt>
                <pt idx="1">
                  <v>5</v>
                </pt>
                <pt idx="2">
                  <v>6</v>
                </pt>
                <pt idx="3">
                  <v>7</v>
                </pt>
                <pt idx="4">
                  <v>8</v>
                </pt>
                <pt idx="5">
                  <v>9</v>
                </pt>
                <pt idx="6">
                  <v>10</v>
                </pt>
              </numCache>
            </numRef>
          </cat>
          <val>
            <numRef>
              <f>Dash_ZScore!$B$43:$B$49</f>
              <numCache>
                <formatCode>0.00</formatCode>
                <ptCount val="7"/>
                <pt idx="0">
                  <v>-0.1030652556747274</v>
                </pt>
                <pt idx="1">
                  <v>-0.07543760060237359</v>
                </pt>
                <pt idx="2">
                  <v>0.1356710592738087</v>
                </pt>
                <pt idx="3">
                  <v>-0.2534360040673446</v>
                </pt>
                <pt idx="4">
                  <v>0.009196002426325742</v>
                </pt>
                <pt idx="5">
                  <v>0.009284934679020938</v>
                </pt>
                <pt idx="6">
                  <v>-0.01816694101855092</v>
                </pt>
              </numCache>
            </numRef>
          </val>
          <smooth val="0"/>
        </ser>
        <ser>
          <idx val="1"/>
          <order val="1"/>
          <tx>
            <strRef>
              <f>Dash_ZScore!$C$42</f>
              <strCache>
                <ptCount val="1"/>
                <pt idx="0">
                  <v>Z Distância</v>
                </pt>
              </strCache>
            </strRef>
          </tx>
          <spPr>
            <a:ln xmlns:a="http://schemas.openxmlformats.org/drawingml/2006/main" w="28575" cap="rnd">
              <a:solidFill>
                <a:srgbClr val="E63946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E63946"/>
                </a:solidFill>
                <a:prstDash val="solid"/>
              </a:ln>
            </spPr>
          </marker>
          <cat>
            <numRef>
              <f>Dash_ZScore!$A$43:$A$49</f>
              <numCache>
                <formatCode>General</formatCode>
                <ptCount val="7"/>
                <pt idx="0">
                  <v>4</v>
                </pt>
                <pt idx="1">
                  <v>5</v>
                </pt>
                <pt idx="2">
                  <v>6</v>
                </pt>
                <pt idx="3">
                  <v>7</v>
                </pt>
                <pt idx="4">
                  <v>8</v>
                </pt>
                <pt idx="5">
                  <v>9</v>
                </pt>
                <pt idx="6">
                  <v>10</v>
                </pt>
              </numCache>
            </numRef>
          </cat>
          <val>
            <numRef>
              <f>Dash_ZScore!$C$43:$C$49</f>
              <numCache>
                <formatCode>0.00</formatCode>
                <ptCount val="7"/>
                <pt idx="0">
                  <v>-0.6971917514454659</v>
                </pt>
                <pt idx="1">
                  <v>-0.5705869491634237</v>
                </pt>
                <pt idx="2">
                  <v>-0.7661591696410056</v>
                </pt>
                <pt idx="3">
                  <v>-0.769012116447124</v>
                </pt>
                <pt idx="4">
                  <v>-0.426462187306177</v>
                </pt>
                <pt idx="5">
                  <v>-0.4254758378406981</v>
                </pt>
                <pt idx="6">
                  <v>-0.5784622729231994</v>
                </pt>
              </numCache>
            </numRef>
          </val>
          <smooth val="0"/>
        </ser>
        <ser>
          <idx val="2"/>
          <order val="2"/>
          <tx>
            <strRef>
              <f>Dash_ZScore!$D$42</f>
              <strCache>
                <ptCount val="1"/>
                <pt idx="0">
                  <v>Z HSR</v>
                </pt>
              </strCache>
            </strRef>
          </tx>
          <spPr>
            <a:ln xmlns:a="http://schemas.openxmlformats.org/drawingml/2006/main" w="28575" cap="rnd">
              <a:solidFill>
                <a:srgbClr val="2D9F4E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2D9F4E"/>
                </a:solidFill>
                <a:prstDash val="solid"/>
              </a:ln>
            </spPr>
          </marker>
          <cat>
            <numRef>
              <f>Dash_ZScore!$A$43:$A$49</f>
              <numCache>
                <formatCode>General</formatCode>
                <ptCount val="7"/>
                <pt idx="0">
                  <v>4</v>
                </pt>
                <pt idx="1">
                  <v>5</v>
                </pt>
                <pt idx="2">
                  <v>6</v>
                </pt>
                <pt idx="3">
                  <v>7</v>
                </pt>
                <pt idx="4">
                  <v>8</v>
                </pt>
                <pt idx="5">
                  <v>9</v>
                </pt>
                <pt idx="6">
                  <v>10</v>
                </pt>
              </numCache>
            </numRef>
          </cat>
          <val>
            <numRef>
              <f>Dash_ZScore!$D$43:$D$49</f>
              <numCache>
                <formatCode>0.00</formatCode>
                <ptCount val="7"/>
                <pt idx="0">
                  <v>-0.5588589629467413</v>
                </pt>
                <pt idx="1">
                  <v>-0.4795937878050814</v>
                </pt>
                <pt idx="2">
                  <v>-0.2663556982654375</v>
                </pt>
                <pt idx="3">
                  <v>-0.3246517878802681</v>
                </pt>
                <pt idx="4">
                  <v>-0.1700580608435683</v>
                </pt>
                <pt idx="5">
                  <v>-0.244838361022437</v>
                </pt>
                <pt idx="6">
                  <v>-0.4626517365647286</v>
                </pt>
              </numCache>
            </numRef>
          </val>
          <smooth val="0"/>
        </ser>
        <ser>
          <idx val="3"/>
          <order val="3"/>
          <tx>
            <strRef>
              <f>Dash_ZScore!$E$42</f>
              <strCache>
                <ptCount val="1"/>
                <pt idx="0">
                  <v>Z Sprint</v>
                </pt>
              </strCache>
            </strRef>
          </tx>
          <spPr>
            <a:ln xmlns:a="http://schemas.openxmlformats.org/drawingml/2006/main" w="28575" cap="rnd">
              <a:solidFill>
                <a:srgbClr val="F5A623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F5A623"/>
                </a:solidFill>
                <a:prstDash val="solid"/>
              </a:ln>
            </spPr>
          </marker>
          <cat>
            <numRef>
              <f>Dash_ZScore!$A$43:$A$49</f>
              <numCache>
                <formatCode>General</formatCode>
                <ptCount val="7"/>
                <pt idx="0">
                  <v>4</v>
                </pt>
                <pt idx="1">
                  <v>5</v>
                </pt>
                <pt idx="2">
                  <v>6</v>
                </pt>
                <pt idx="3">
                  <v>7</v>
                </pt>
                <pt idx="4">
                  <v>8</v>
                </pt>
                <pt idx="5">
                  <v>9</v>
                </pt>
                <pt idx="6">
                  <v>10</v>
                </pt>
              </numCache>
            </numRef>
          </cat>
          <val>
            <numRef>
              <f>Dash_ZScore!$E$43:$E$49</f>
              <numCache>
                <formatCode>0.00</formatCode>
                <ptCount val="7"/>
                <pt idx="0">
                  <v>-0.3229648235703713</v>
                </pt>
                <pt idx="1">
                  <v>-0.1397107734028811</v>
                </pt>
                <pt idx="2">
                  <v>-0.08986118858207376</v>
                </pt>
                <pt idx="3">
                  <v>-0.05972380089697398</v>
                </pt>
                <pt idx="4">
                  <v>0.2624256793172803</v>
                </pt>
                <pt idx="5">
                  <v>0.1813730026959343</v>
                </pt>
                <pt idx="6">
                  <v>0.0571551460569702</v>
                </pt>
              </numCache>
            </numRef>
          </val>
          <smooth val="0"/>
        </ser>
        <ser>
          <idx val="4"/>
          <order val="4"/>
          <tx>
            <strRef>
              <f>Dash_ZScore!$F$42</f>
              <strCache>
                <ptCount val="1"/>
                <pt idx="0">
                  <v>Z Acc</v>
                </pt>
              </strCache>
            </strRef>
          </tx>
          <spPr>
            <a:ln xmlns:a="http://schemas.openxmlformats.org/drawingml/2006/main" w="28575" cap="rnd">
              <a:solidFill>
                <a:srgbClr val="8B5CF6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8B5CF6"/>
                </a:solidFill>
                <a:prstDash val="solid"/>
              </a:ln>
            </spPr>
          </marker>
          <cat>
            <numRef>
              <f>Dash_ZScore!$A$43:$A$49</f>
              <numCache>
                <formatCode>General</formatCode>
                <ptCount val="7"/>
                <pt idx="0">
                  <v>4</v>
                </pt>
                <pt idx="1">
                  <v>5</v>
                </pt>
                <pt idx="2">
                  <v>6</v>
                </pt>
                <pt idx="3">
                  <v>7</v>
                </pt>
                <pt idx="4">
                  <v>8</v>
                </pt>
                <pt idx="5">
                  <v>9</v>
                </pt>
                <pt idx="6">
                  <v>10</v>
                </pt>
              </numCache>
            </numRef>
          </cat>
          <val>
            <numRef>
              <f>Dash_ZScore!$F$43:$F$49</f>
              <numCache>
                <formatCode>0.00</formatCode>
                <ptCount val="7"/>
                <pt idx="0">
                  <v>-0.05800910352531261</v>
                </pt>
                <pt idx="1">
                  <v>-0.08864001992531621</v>
                </pt>
                <pt idx="2">
                  <v>0.4456206346760697</v>
                </pt>
                <pt idx="3">
                  <v>-0.2106775958288048</v>
                </pt>
                <pt idx="4">
                  <v>-0.2136275706673534</v>
                </pt>
                <pt idx="5">
                  <v>-0.09539668450342134</v>
                </pt>
                <pt idx="6">
                  <v>-0.1143664125299488</v>
                </pt>
              </numCache>
            </numRef>
          </val>
          <smooth val="0"/>
        </ser>
        <ser>
          <idx val="5"/>
          <order val="5"/>
          <tx>
            <strRef>
              <f>Dash_ZScore!$G$42</f>
              <strCache>
                <ptCount val="1"/>
                <pt idx="0">
                  <v>Z Dcc</v>
                </pt>
              </strCache>
            </strRef>
          </tx>
          <spPr>
            <a:ln xmlns:a="http://schemas.openxmlformats.org/drawingml/2006/main" w="28575" cap="rnd">
              <a:solidFill>
                <a:srgbClr val="EC4899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EC4899"/>
                </a:solidFill>
                <a:prstDash val="solid"/>
              </a:ln>
            </spPr>
          </marker>
          <cat>
            <numRef>
              <f>Dash_ZScore!$A$43:$A$49</f>
              <numCache>
                <formatCode>General</formatCode>
                <ptCount val="7"/>
                <pt idx="0">
                  <v>4</v>
                </pt>
                <pt idx="1">
                  <v>5</v>
                </pt>
                <pt idx="2">
                  <v>6</v>
                </pt>
                <pt idx="3">
                  <v>7</v>
                </pt>
                <pt idx="4">
                  <v>8</v>
                </pt>
                <pt idx="5">
                  <v>9</v>
                </pt>
                <pt idx="6">
                  <v>10</v>
                </pt>
              </numCache>
            </numRef>
          </cat>
          <val>
            <numRef>
              <f>Dash_ZScore!$G$43:$G$49</f>
              <numCache>
                <formatCode>0.00</formatCode>
                <ptCount val="7"/>
                <pt idx="0">
                  <v>-0.5335337098868989</v>
                </pt>
                <pt idx="1">
                  <v>-0.2228970612873737</v>
                </pt>
                <pt idx="2">
                  <v>-0.5227543161536733</v>
                </pt>
                <pt idx="3">
                  <v>-0.5860639456195226</v>
                </pt>
                <pt idx="4">
                  <v>-0.2639115429585777</v>
                </pt>
                <pt idx="5">
                  <v>-0.2554773063608713</v>
                </pt>
                <pt idx="6">
                  <v>-0.3512038252922736</v>
                </pt>
              </numCache>
            </numRef>
          </val>
          <smooth val="0"/>
        </ser>
        <ser>
          <idx val="6"/>
          <order val="6"/>
          <tx>
            <strRef>
              <f>Dash_ZScore!$H$42</f>
              <strCache>
                <ptCount val="1"/>
                <pt idx="0">
                  <v>Z PSE</v>
                </pt>
              </strCache>
            </strRef>
          </tx>
          <spPr>
            <a:ln xmlns:a="http://schemas.openxmlformats.org/drawingml/2006/main" w="28575" cap="rnd">
              <a:solidFill>
                <a:srgbClr val="14B8A6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14B8A6"/>
                </a:solidFill>
                <a:prstDash val="solid"/>
              </a:ln>
            </spPr>
          </marker>
          <cat>
            <numRef>
              <f>Dash_ZScore!$A$43:$A$49</f>
              <numCache>
                <formatCode>General</formatCode>
                <ptCount val="7"/>
                <pt idx="0">
                  <v>4</v>
                </pt>
                <pt idx="1">
                  <v>5</v>
                </pt>
                <pt idx="2">
                  <v>6</v>
                </pt>
                <pt idx="3">
                  <v>7</v>
                </pt>
                <pt idx="4">
                  <v>8</v>
                </pt>
                <pt idx="5">
                  <v>9</v>
                </pt>
                <pt idx="6">
                  <v>10</v>
                </pt>
              </numCache>
            </numRef>
          </cat>
          <val>
            <numRef>
              <f>Dash_ZScore!$H$43:$H$49</f>
              <numCache>
                <formatCode>0.00</formatCode>
                <ptCount val="7"/>
                <pt idx="0">
                  <v>-0.4000510406742739</v>
                </pt>
                <pt idx="1">
                  <v>0.2083009737460096</v>
                </pt>
                <pt idx="2">
                  <v>0.09981083114270568</v>
                </pt>
                <pt idx="3">
                  <v>-0.3388800258006536</v>
                </pt>
                <pt idx="4">
                  <v>-0.07051021345630509</v>
                </pt>
                <pt idx="5">
                  <v>0.1174671878352142</v>
                </pt>
                <pt idx="6">
                  <v>-0.02163941001026418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25517472"/>
        <axId val="925521312"/>
      </lineChart>
      <catAx>
        <axId val="92551747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71809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Microciclo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800" b="0" i="0" strike="noStrike" kern="1200" baseline="0">
                  <a:solidFill>
                    <a:srgbClr val="718096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pt-PT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E2E8F0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4A5568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925521312"/>
        <crosses val="autoZero"/>
        <auto val="1"/>
        <lblAlgn val="ctr"/>
        <lblOffset val="100"/>
        <noMultiLvlLbl val="0"/>
      </catAx>
      <valAx>
        <axId val="9255213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F0F4F8"/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718096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9255174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7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Asus</author>
  </authors>
  <commentList>
    <comment ref="H1" authorId="0" shapeId="0">
      <text>
        <t>Asus:
Seleciona o Microciclo (1-52).
Todo o painel atualiza automaticamente.
Por defeito: MC mais recente.</t>
      </text>
    </comment>
  </commentList>
</comments>
</file>

<file path=xl/comments/comment2.xml><?xml version="1.0" encoding="utf-8"?>
<comments xmlns="http://schemas.openxmlformats.org/spreadsheetml/2006/main">
  <authors>
    <author>Asus</author>
  </authors>
  <commentList>
    <comment ref="K2" authorId="0" shapeId="0">
      <text>
        <t>Seleciona o Microciclo (1-52).
Todas as secções A, B e C atualizam automaticamente.</t>
      </text>
    </comment>
  </commentList>
</comments>
</file>

<file path=xl/comments/comment3.xml><?xml version="1.0" encoding="utf-8"?>
<comments xmlns="http://schemas.openxmlformats.org/spreadsheetml/2006/main">
  <authors>
    <author>Asus</author>
  </authors>
  <commentList>
    <comment ref="A1" authorId="0" shapeId="0">
      <text>
        <t>Filtra por posição (Lateral, Central, Médio, etc.) ou "Todos".</t>
      </text>
    </comment>
    <comment ref="O2" authorId="0" shapeId="0">
      <text>
        <t>Asus:
Filtra por posição (Lateral, Central, Médio, etc.) ou "Todos".</t>
      </text>
    </comment>
  </commentList>
</comments>
</file>

<file path=xl/comments/comment4.xml><?xml version="1.0" encoding="utf-8"?>
<comments xmlns="http://schemas.openxmlformats.org/spreadsheetml/2006/main">
  <authors>
    <author>Asus</author>
  </authors>
  <commentList>
    <comment ref="E3" authorId="0" shapeId="0">
      <text>
        <t>Asus:
Escreve o nº do Microciclo (ex: 10) ou "Todos" para ver todos os MCs</t>
      </text>
    </comment>
    <comment ref="H3" authorId="0" shapeId="0">
      <text>
        <t>Asus:
Escreve o dia do MC (ex: MD-2, MD-1, MD) ou "Todos" para ver todos os dias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Relationship Type="http://schemas.openxmlformats.org/officeDocument/2006/relationships/chart" Target="/xl/charts/chart9.xml" Id="rId5"/><Relationship Type="http://schemas.openxmlformats.org/officeDocument/2006/relationships/chart" Target="/xl/charts/chart10.xml" Id="rId6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/Relationships>
</file>

<file path=xl/drawings/drawing1.xml><?xml version="1.0" encoding="utf-8"?>
<wsDr xmlns="http://schemas.openxmlformats.org/drawingml/2006/spreadsheetDrawing">
  <twoCellAnchor>
    <from>
      <col>10</col>
      <colOff>0</colOff>
      <row>6</row>
      <rowOff>0</rowOff>
    </from>
    <to>
      <col>18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0</colOff>
      <row>23</row>
      <rowOff>0</rowOff>
    </from>
    <to>
      <col>18</col>
      <colOff>0</colOff>
      <row>39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25</row>
      <rowOff>0</rowOff>
    </from>
    <to>
      <col>10</col>
      <colOff>0</colOff>
      <row>34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0</colOff>
      <row>18</row>
      <rowOff>0</rowOff>
    </from>
    <to>
      <col>13</col>
      <colOff>0</colOff>
      <row>39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0</colOff>
      <row>35</row>
      <rowOff>0</rowOff>
    </from>
    <to>
      <col>6</col>
      <colOff>0</colOff>
      <row>52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1</colOff>
      <row>35</row>
      <rowOff>0</rowOff>
    </from>
    <to>
      <col>12</col>
      <colOff>1</colOff>
      <row>52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53</row>
      <rowOff>0</rowOff>
    </from>
    <to>
      <col>6</col>
      <colOff>0</colOff>
      <row>70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1</colOff>
      <row>53</row>
      <rowOff>0</rowOff>
    </from>
    <to>
      <col>12</col>
      <colOff>1</colOff>
      <row>70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0</colOff>
      <row>71</row>
      <rowOff>0</rowOff>
    </from>
    <to>
      <col>6</col>
      <colOff>0</colOff>
      <row>88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6</col>
      <colOff>1</colOff>
      <row>71</row>
      <rowOff>0</rowOff>
    </from>
    <to>
      <col>12</col>
      <colOff>1</colOff>
      <row>88</row>
      <rowOff>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16</col>
      <colOff>609599</colOff>
      <row>2</row>
      <rowOff>0</rowOff>
    </from>
    <to>
      <col>28</col>
      <colOff>25399</colOff>
      <row>10</row>
      <rowOff>371475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16</col>
      <colOff>609599</colOff>
      <row>13</row>
      <rowOff>0</rowOff>
    </from>
    <to>
      <col>28</col>
      <colOff>25399</colOff>
      <row>26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0</colOff>
      <row>34</row>
      <rowOff>190499</rowOff>
    </from>
    <to>
      <col>9</col>
      <colOff>0</colOff>
      <row>51</row>
      <rowOff>190499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34</row>
      <rowOff>190499</rowOff>
    </from>
    <to>
      <col>18</col>
      <colOff>0</colOff>
      <row>51</row>
      <rowOff>190499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52</row>
      <rowOff>190499</rowOff>
    </from>
    <to>
      <col>9</col>
      <colOff>0</colOff>
      <row>69</row>
      <rowOff>190499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0</colOff>
      <row>52</row>
      <rowOff>190499</rowOff>
    </from>
    <to>
      <col>18</col>
      <colOff>0</colOff>
      <row>69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0</col>
      <colOff>0</colOff>
      <row>15</row>
      <rowOff>0</rowOff>
    </from>
    <to>
      <col>14</col>
      <colOff>0</colOff>
      <row>33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15</col>
      <colOff>406213</colOff>
      <row>16</row>
      <rowOff>140074</rowOff>
    </from>
    <to>
      <col>25</col>
      <colOff>0</colOff>
      <row>28</row>
      <rowOff>14007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16</col>
      <colOff>532281</colOff>
      <row>29</row>
      <rowOff>140074</rowOff>
    </from>
    <to>
      <col>23</col>
      <colOff>420222</colOff>
      <row>36</row>
      <rowOff>294154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Carga" displayName="tblCarga" ref="A2:AA470" headerRowCount="1" totalsRowShown="0" headerRowDxfId="145" dataDxfId="143" headerRowBorderDxfId="144">
  <autoFilter ref="A2:AA470"/>
  <tableColumns count="27">
    <tableColumn id="1" name="Data" dataDxfId="142"/>
    <tableColumn id="2" name="Equipa" dataDxfId="141"/>
    <tableColumn id="3" name="Jogador" dataDxfId="140"/>
    <tableColumn id="4" name="Posição" dataDxfId="139"/>
    <tableColumn id="5" name="Duração (min)" dataDxfId="138"/>
    <tableColumn id="6" name="Distância Total (m)" dataDxfId="137"/>
    <tableColumn id="7" name="HSR (m)" dataDxfId="136"/>
    <tableColumn id="8" name="Sprint (m)" dataDxfId="135"/>
    <tableColumn id="9" name="Acc (n)" dataDxfId="134"/>
    <tableColumn id="10" name="Dcc (n)" dataDxfId="133"/>
    <tableColumn id="11" name="PSE Sessão" dataDxfId="132"/>
    <tableColumn id="12" name="Vel. Máx (km/h)" dataDxfId="131"/>
    <tableColumn id="13" name="Microciclo" dataDxfId="130"/>
    <tableColumn id="14" name="Nº ≥85% Vmáx" dataDxfId="129"/>
    <tableColumn id="15" name="Nº ≥90% Vmáx" dataDxfId="128"/>
    <tableColumn id="16" name="Nº ≥95% Vmáx" dataDxfId="127"/>
    <tableColumn id="17" name="Tipo" dataDxfId="126"/>
    <tableColumn id="18" name="Microciclo (Nr)" dataDxfId="125"/>
    <tableColumn id="19" name="Dia MD" dataDxfId="124"/>
    <tableColumn id="20" name="Fadiga (1-5)" dataDxfId="123"/>
    <tableColumn id="21" name="Min Jogo" dataDxfId="122"/>
    <tableColumn id="22" name="Congestão (dias)" dataDxfId="121">
      <calculatedColumnFormula>IF(_xlfn.MAXIFS(tblCarga[Data],tblCarga[Jogador],C3,tblCarga[Tipo],"Jogo",tblCarga[Data],"&lt;"&amp;A3)=0,"-",A3-_xlfn.MAXIFS(tblCarga[Data],tblCarga[Jogador],C3,tblCarga[Tipo],"Jogo",tblCarga[Data],"&lt;"&amp;A3))</calculatedColumnFormula>
    </tableColumn>
    <tableColumn id="23" name="Sono (1-5)" dataDxfId="120"/>
    <tableColumn id="24" name="Dor Musc. (1-5)" dataDxfId="119"/>
    <tableColumn id="25" name="Stress (1-5)" dataDxfId="118"/>
    <tableColumn id="26" name="Humor (1-5)" dataDxfId="117"/>
    <tableColumn id="27" name="Hooper Index" dataDxfId="1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_Carga" displayName="Tabela_Carga" ref="A1:AX461" headerRowCount="1" totalsRowShown="0" headerRowDxfId="115">
  <autoFilter ref="A1:AX461"/>
  <tableColumns count="50">
    <tableColumn id="1" name="Data" dataDxfId="114">
      <calculatedColumnFormula>IF(BD_Carga!A3&lt;&gt;"",BD_Carga!A3,"")</calculatedColumnFormula>
    </tableColumn>
    <tableColumn id="2" name="Ano">
      <calculatedColumnFormula>IF(A2&lt;&gt;"",YEAR(A2),"")</calculatedColumnFormula>
    </tableColumn>
    <tableColumn id="3" name="Mês">
      <calculatedColumnFormula>IF(A2&lt;&gt;"",MONTH(A2),"")</calculatedColumnFormula>
    </tableColumn>
    <tableColumn id="4" name="Semana">
      <calculatedColumnFormula>IF(A2&lt;&gt;"",_xlfn.ISOWEEKNUM(A2),"")</calculatedColumnFormula>
    </tableColumn>
    <tableColumn id="5" name="Dia_Semana">
      <calculatedColumnFormula>IF(A2&lt;&gt;"",TEXT(A2,"dddd"),"")</calculatedColumnFormula>
    </tableColumn>
    <tableColumn id="6" name="Jogador">
      <calculatedColumnFormula>IF(BD_Carga!C3&lt;&gt;"",BD_Carga!C3,"")</calculatedColumnFormula>
    </tableColumn>
    <tableColumn id="7" name="Posicao">
      <calculatedColumnFormula>IF(BD_Carga!D3&lt;&gt;"",BD_Carga!D3,"")</calculatedColumnFormula>
    </tableColumn>
    <tableColumn id="8" name="Tipo">
      <calculatedColumnFormula>IF(BD_Carga!Q3&lt;&gt;"",BD_Carga!Q3,"")</calculatedColumnFormula>
    </tableColumn>
    <tableColumn id="9" name="Microciclo_Nr">
      <calculatedColumnFormula>IF(BD_Carga!R3&lt;&gt;"",BD_Carga!R3,"")</calculatedColumnFormula>
    </tableColumn>
    <tableColumn id="10" name="Dia_MD">
      <calculatedColumnFormula>IF(BD_Carga!S3&lt;&gt;"",BD_Carga!S3,"")</calculatedColumnFormula>
    </tableColumn>
    <tableColumn id="11" name="Duracao_min" dataDxfId="113">
      <calculatedColumnFormula>IF(BD_Carga!E3&lt;&gt;"",BD_Carga!E3,"")</calculatedColumnFormula>
    </tableColumn>
    <tableColumn id="12" name="Distancia_Total_m" dataDxfId="112">
      <calculatedColumnFormula>IF(BD_Carga!F3&lt;&gt;"",BD_Carga!F3,"")</calculatedColumnFormula>
    </tableColumn>
    <tableColumn id="13" name="HSR_m" dataDxfId="111">
      <calculatedColumnFormula>IF(BD_Carga!G3&lt;&gt;"",BD_Carga!G3,"")</calculatedColumnFormula>
    </tableColumn>
    <tableColumn id="14" name="Sprint_m" dataDxfId="110">
      <calculatedColumnFormula>IF(BD_Carga!H3&lt;&gt;"",BD_Carga!H3,"")</calculatedColumnFormula>
    </tableColumn>
    <tableColumn id="15" name="Acc_n" dataDxfId="109">
      <calculatedColumnFormula>IF(BD_Carga!I3&lt;&gt;"",BD_Carga!I3,"")</calculatedColumnFormula>
    </tableColumn>
    <tableColumn id="16" name="Dcc_n" dataDxfId="108">
      <calculatedColumnFormula>IF(BD_Carga!J3&lt;&gt;"",BD_Carga!J3,"")</calculatedColumnFormula>
    </tableColumn>
    <tableColumn id="17" name="PSE_Sessao" dataDxfId="107">
      <calculatedColumnFormula>IF(BD_Carga!K3&lt;&gt;"",BD_Carga!K3,"")</calculatedColumnFormula>
    </tableColumn>
    <tableColumn id="18" name="Vel_Max_kmh" dataDxfId="106">
      <calculatedColumnFormula>IF(BD_Carga!L3&lt;&gt;"",BD_Carga!L3,"")</calculatedColumnFormula>
    </tableColumn>
    <tableColumn id="19" name="N_85pct_Vmax">
      <calculatedColumnFormula>IF(BD_Carga!N3&lt;&gt;"",BD_Carga!N3,"")</calculatedColumnFormula>
    </tableColumn>
    <tableColumn id="20" name="N_90pct_Vmax">
      <calculatedColumnFormula>IF(BD_Carga!O3&lt;&gt;"",BD_Carga!O3,"")</calculatedColumnFormula>
    </tableColumn>
    <tableColumn id="21" name="N_95pct_Vmax">
      <calculatedColumnFormula>IF(BD_Carga!P3&lt;&gt;"",BD_Carga!P3,"")</calculatedColumnFormula>
    </tableColumn>
    <tableColumn id="22" name="Min_Jogo">
      <calculatedColumnFormula>IF(BD_Carga!U3&lt;&gt;"",BD_Carga!U3,"")</calculatedColumnFormula>
    </tableColumn>
    <tableColumn id="23" name="Fadiga_1_5">
      <calculatedColumnFormula>IF(BD_Carga!T3&lt;&gt;"",BD_Carga!T3,"")</calculatedColumnFormula>
    </tableColumn>
    <tableColumn id="24" name="Sono_1_5">
      <calculatedColumnFormula>IF(BD_Carga!W3&lt;&gt;"",BD_Carga!W3,"")</calculatedColumnFormula>
    </tableColumn>
    <tableColumn id="25" name="Dor_Musc_1_5">
      <calculatedColumnFormula>IF(BD_Carga!X3&lt;&gt;"",BD_Carga!X3,"")</calculatedColumnFormula>
    </tableColumn>
    <tableColumn id="26" name="Stress_1_5">
      <calculatedColumnFormula>IF(BD_Carga!Y3&lt;&gt;"",BD_Carga!Y3,"")</calculatedColumnFormula>
    </tableColumn>
    <tableColumn id="27" name="Humor_1_5">
      <calculatedColumnFormula>IF(BD_Carga!Z3&lt;&gt;"",BD_Carga!Z3,"")</calculatedColumnFormula>
    </tableColumn>
    <tableColumn id="28" name="Hooper_Index">
      <calculatedColumnFormula>IF(BD_Carga!AA3&lt;&gt;"",BD_Carga!AA3,"")</calculatedColumnFormula>
    </tableColumn>
    <tableColumn id="29" name="Z_Distancia_Pos" dataDxfId="105">
      <calculatedColumnFormula array="1">IFERROR((L2-AVERAGEIF($G$2:$G$462,G2,$L$2:$L$462))/_xlfn.STDEV.P(IF($G$2:$G$462=G2,$L$2:$L$462)),0)</calculatedColumnFormula>
    </tableColumn>
    <tableColumn id="30" name="Z_HSR_Pos" dataDxfId="104">
      <calculatedColumnFormula array="1">IFERROR((M2-AVERAGEIF($G$2:$G$462,G2,$M$2:$M$462))/_xlfn.STDEV.P(IF($G$2:$G$462=G2,$M$2:$M$462)),0)</calculatedColumnFormula>
    </tableColumn>
    <tableColumn id="31" name="Z_Sprint_Pos" dataDxfId="103">
      <calculatedColumnFormula array="1">IFERROR((N2-AVERAGEIF($G$2:$G$462,G2,$N$2:$N$462))/_xlfn.STDEV.P(IF($G$2:$G$462=G2,$N$2:$N$462)),0)</calculatedColumnFormula>
    </tableColumn>
    <tableColumn id="32" name="Z_Acc_Pos" dataDxfId="102">
      <calculatedColumnFormula array="1">IFERROR((O2-AVERAGEIF($G$2:$G$462,G2,$O$2:$O$462))/_xlfn.STDEV.P(IF($G$2:$G$462=G2,$O$2:$O$462)),0)</calculatedColumnFormula>
    </tableColumn>
    <tableColumn id="33" name="Z_Dcc_Pos" dataDxfId="101">
      <calculatedColumnFormula array="1">IFERROR((P2-AVERAGEIF($G$2:$G$462,G2,$P$2:$P$462))/_xlfn.STDEV.P(IF($G$2:$G$462=G2,$P$2:$P$462)),0)</calculatedColumnFormula>
    </tableColumn>
    <tableColumn id="34" name="Z_Vmax_Pos" dataDxfId="100">
      <calculatedColumnFormula array="1">IFERROR((R2-AVERAGEIF($G$2:$G$462,G2,$R$2:$R$462))/_xlfn.STDEV.P(IF($G$2:$G$462=G2,$R$2:$R$462)),0)</calculatedColumnFormula>
    </tableColumn>
    <tableColumn id="35" name="Z_Global_Pos" dataDxfId="99">
      <calculatedColumnFormula>IFERROR((AC2+AD2+AE2+AF2+AG2+AH2)/6,0)</calculatedColumnFormula>
    </tableColumn>
    <tableColumn id="36" name="Z_Distancia_Proprio"/>
    <tableColumn id="37" name="Z_HSR_Proprio"/>
    <tableColumn id="38" name="Z_Sprint_Proprio"/>
    <tableColumn id="39" name="Z_Acc_Proprio"/>
    <tableColumn id="40" name="Z_Dcc_Proprio"/>
    <tableColumn id="41" name="Z_Vmax_Proprio"/>
    <tableColumn id="42" name="Z_Global_Proprio"/>
    <tableColumn id="43" name="WoW_Distancia_pct"/>
    <tableColumn id="44" name="WoW_HSR_pct"/>
    <tableColumn id="45" name="WoW_Sprint_pct"/>
    <tableColumn id="46" name="WoW_Acc_pct"/>
    <tableColumn id="47" name="WoW_Dcc_pct"/>
    <tableColumn id="48" name="WoW_Vmax_pct"/>
    <tableColumn id="49" name="Classificacao_ZPos"/>
    <tableColumn id="50" name="Classificacao_ZProp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_Plantel" displayName="Tabela_Plantel" ref="A1:D13" headerRowCount="1" totalsRowShown="0" headerRowDxfId="98">
  <autoFilter ref="A1:D13"/>
  <tableColumns count="4">
    <tableColumn id="1" name="Jogador">
      <calculatedColumnFormula>IF(Plantel!A4&lt;&gt;"",Plantel!A4,"")</calculatedColumnFormula>
    </tableColumn>
    <tableColumn id="2" name="Posicao">
      <calculatedColumnFormula>IF(Plantel!B4&lt;&gt;"",Plantel!B4,"")</calculatedColumnFormula>
    </tableColumn>
    <tableColumn id="3" name="Estado">
      <calculatedColumnFormula>IF(Plantel!C4&lt;&gt;"",Plantel!C4,"")</calculatedColumnFormula>
    </tableColumn>
    <tableColumn id="4" name="Nr_Camisola">
      <calculatedColumnFormula>IF(Plantel!D4&lt;&gt;"",Plantel!D4,"")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tabColor rgb="FF718096"/>
    <outlinePr summaryBelow="1" summaryRight="1"/>
    <pageSetUpPr/>
  </sheetPr>
  <dimension ref="A1:D65"/>
  <sheetViews>
    <sheetView workbookViewId="0">
      <pane ySplit="1" topLeftCell="A63" activePane="bottomLeft" state="frozen"/>
      <selection pane="bottomLeft" activeCell="B62" sqref="B62"/>
    </sheetView>
  </sheetViews>
  <sheetFormatPr baseColWidth="8" defaultRowHeight="15"/>
  <cols>
    <col width="24.7109375" customWidth="1" min="1" max="1"/>
    <col width="67.85546875" customWidth="1" min="2" max="2"/>
    <col width="57.140625" customWidth="1" min="3" max="3"/>
    <col width="47.5703125" customWidth="1" min="4" max="4"/>
  </cols>
  <sheetData>
    <row r="1" ht="45" customHeight="1">
      <c r="A1" s="117" t="inlineStr">
        <is>
          <t>📖  GUIA DE UTILIZAÇÃO — SISTEMA DE MONITORIZAÇÃO DE CARGA  |  Belenenses</t>
        </is>
      </c>
      <c r="B1" s="117" t="n"/>
      <c r="C1" s="117" t="n"/>
      <c r="D1" s="117" t="n"/>
    </row>
    <row r="2" ht="8.1" customHeight="1">
      <c r="A2" s="9" t="n"/>
      <c r="B2" s="9" t="n"/>
      <c r="C2" s="9" t="n"/>
      <c r="D2" s="9" t="n"/>
    </row>
    <row r="3" ht="32.1" customHeight="1" thickBot="1">
      <c r="A3" s="119" t="inlineStr">
        <is>
          <t>1 — ESTRUTURA DO MODELO</t>
        </is>
      </c>
      <c r="B3" s="119" t="n"/>
      <c r="C3" s="119" t="n"/>
      <c r="D3" s="119" t="n"/>
    </row>
    <row r="4" ht="8.1" customHeight="1">
      <c r="A4" s="9" t="n"/>
      <c r="B4" s="9" t="n"/>
      <c r="C4" s="9" t="n"/>
      <c r="D4" s="9" t="n"/>
    </row>
    <row r="5" ht="27.95" customHeight="1">
      <c r="A5" s="122" t="inlineStr">
        <is>
          <t>Folha</t>
        </is>
      </c>
      <c r="B5" s="122" t="inlineStr">
        <is>
          <t>Tab</t>
        </is>
      </c>
      <c r="C5" s="122" t="inlineStr">
        <is>
          <t>Função</t>
        </is>
      </c>
      <c r="D5" s="122" t="inlineStr">
        <is>
          <t>Seletores / Inputs</t>
        </is>
      </c>
    </row>
    <row r="6" ht="42" customHeight="1">
      <c r="A6" s="124" t="inlineStr">
        <is>
          <t>Plantel</t>
        </is>
      </c>
      <c r="B6" s="129" t="inlineStr">
        <is>
          <t>🟠</t>
        </is>
      </c>
      <c r="C6" s="124" t="inlineStr">
        <is>
          <t>Lista mestre de jogadores. Gere estado (Ativo/Lesionado), posição e dados pessoais. Alimenta Input_Diário automaticamente.</t>
        </is>
      </c>
      <c r="D6" s="124" t="inlineStr">
        <is>
          <t>Jogador, Posição, Estado, Nº Camisola, Data Nascimento</t>
        </is>
      </c>
    </row>
    <row r="7" ht="42" customHeight="1">
      <c r="A7" s="141" t="inlineStr">
        <is>
          <t>Input_Diário</t>
        </is>
      </c>
      <c r="B7" s="142" t="inlineStr">
        <is>
          <t>🟠</t>
        </is>
      </c>
      <c r="C7" s="143" t="inlineStr">
        <is>
          <t>Registo diário de dados GPS, PSE e Wellness (Hooper Index). Preencher após cada sessão.</t>
        </is>
      </c>
      <c r="D7" s="143" t="inlineStr">
        <is>
          <t>Data, MC#, Tipo, Dia MD + métricas GPS + PSE + Fadiga + Min Jogo + Sono + Dor Musc. + Stress + Humor</t>
        </is>
      </c>
    </row>
    <row r="8" ht="42" customHeight="1">
      <c r="A8" s="146" t="inlineStr">
        <is>
          <t>Painel_Central</t>
        </is>
      </c>
      <c r="B8" s="147" t="inlineStr">
        <is>
          <t>🟢</t>
        </is>
      </c>
      <c r="C8" s="148" t="inlineStr">
        <is>
          <t>Dashboard executivo com risco por jogador, ACWR (4MC), Hooper Index, congestão, tendência CI, e resumo de equipa.</t>
        </is>
      </c>
      <c r="D8" s="148" t="inlineStr">
        <is>
          <t>Nenhum (automático)</t>
        </is>
      </c>
    </row>
    <row r="9" ht="42" customHeight="1">
      <c r="A9" s="141" t="inlineStr">
        <is>
          <t>Carga_Planeada</t>
        </is>
      </c>
      <c r="B9" s="142" t="inlineStr">
        <is>
          <t>🟠</t>
        </is>
      </c>
      <c r="C9" s="143" t="inlineStr">
        <is>
          <t>Compara carga real vs esperada por dia MD. Desvios % por jogador.</t>
        </is>
      </c>
      <c r="D9" s="143" t="inlineStr">
        <is>
          <t>Microciclo (B13), Dia MD (E13)</t>
        </is>
      </c>
    </row>
    <row r="10" ht="42" customHeight="1">
      <c r="A10" s="146" t="inlineStr">
        <is>
          <t>BD_Carga</t>
        </is>
      </c>
      <c r="B10" s="147" t="inlineStr">
        <is>
          <t>🟦</t>
        </is>
      </c>
      <c r="C10" s="148" t="inlineStr">
        <is>
          <t>Base de dados principal (tblCarga). Colunas T-V: Fadiga, Min Jogo, Congestão. Colunas W-AA: Sono, Dor Musc., Stress, Humor, Hooper Index.</t>
        </is>
      </c>
      <c r="D10" s="148" t="inlineStr">
        <is>
          <t>Adicionar linhas no final da tabela</t>
        </is>
      </c>
    </row>
    <row r="11" ht="42" customHeight="1">
      <c r="A11" s="141" t="inlineStr">
        <is>
          <t>ACWR_EWMA</t>
        </is>
      </c>
      <c r="B11" s="142" t="inlineStr">
        <is>
          <t>🟦</t>
        </is>
      </c>
      <c r="C11" s="143" t="inlineStr">
        <is>
          <t>Rácio Agudo:Crónico (EWMA) para carga externa e interna.</t>
        </is>
      </c>
      <c r="D11" s="143" t="inlineStr">
        <is>
          <t>Jogador (B5)</t>
        </is>
      </c>
    </row>
    <row r="12" ht="42" customHeight="1">
      <c r="A12" s="146" t="inlineStr">
        <is>
          <t>Monot_Strain</t>
        </is>
      </c>
      <c r="B12" s="147" t="inlineStr">
        <is>
          <t>🟦</t>
        </is>
      </c>
      <c r="C12" s="148" t="inlineStr">
        <is>
          <t>Monotonia e Strain semanal por jogador.</t>
        </is>
      </c>
      <c r="D12" s="148" t="inlineStr">
        <is>
          <t>Jogador (B5)</t>
        </is>
      </c>
    </row>
    <row r="13" ht="42" customHeight="1">
      <c r="A13" s="141" t="inlineStr">
        <is>
          <t>Vmáx_Monitor</t>
        </is>
      </c>
      <c r="B13" s="142" t="inlineStr">
        <is>
          <t>🟦</t>
        </is>
      </c>
      <c r="C13" s="143" t="inlineStr">
        <is>
          <t>Monitorização de velocidade máxima e limiares ≥85/90/95%.</t>
        </is>
      </c>
      <c r="D13" s="143" t="inlineStr">
        <is>
          <t>Jogador secção B (B19)</t>
        </is>
      </c>
    </row>
    <row r="14" ht="42" customHeight="1">
      <c r="A14" s="146" t="inlineStr">
        <is>
          <t>Dash_Treino</t>
        </is>
      </c>
      <c r="B14" s="147" t="inlineStr">
        <is>
          <t>🟢</t>
        </is>
      </c>
      <c r="C14" s="148" t="inlineStr">
        <is>
          <t>Dashboard individual com KPIs, histórico completo e evolução por microciclo (CI, Dist, HSR, Sprint, Vmáx).</t>
        </is>
      </c>
      <c r="D14" s="148" t="inlineStr">
        <is>
          <t>Jogador (B4)</t>
        </is>
      </c>
    </row>
    <row r="15" ht="42" customHeight="1">
      <c r="A15" s="141" t="inlineStr">
        <is>
          <t>Dash_Gráficos</t>
        </is>
      </c>
      <c r="B15" s="142" t="inlineStr">
        <is>
          <t>🟢</t>
        </is>
      </c>
      <c r="C15" s="143" t="inlineStr">
        <is>
          <t>Gráficos de sessão com data bars por jogador.</t>
        </is>
      </c>
      <c r="D15" s="143" t="inlineStr">
        <is>
          <t>Microciclo (B4), Dia MD (D4)</t>
        </is>
      </c>
    </row>
    <row r="16" ht="42" customHeight="1">
      <c r="A16" s="146" t="inlineStr">
        <is>
          <t>Dash_Posição</t>
        </is>
      </c>
      <c r="B16" s="147" t="inlineStr">
        <is>
          <t>🟢</t>
        </is>
      </c>
      <c r="C16" s="148" t="inlineStr">
        <is>
          <t>Comparação de métricas entre jogadores da mesma posição.</t>
        </is>
      </c>
      <c r="D16" s="148" t="inlineStr">
        <is>
          <t>Posição (B3)</t>
        </is>
      </c>
    </row>
    <row r="17" ht="42" customHeight="1">
      <c r="A17" s="130" t="inlineStr">
        <is>
          <t>Dash_ZScore</t>
        </is>
      </c>
      <c r="B17" s="131" t="inlineStr">
        <is>
          <t>🟢</t>
        </is>
      </c>
      <c r="C17" s="132" t="inlineStr">
        <is>
          <t>Z-scores por jogador (sec A) e evolução por MC (sec B).</t>
        </is>
      </c>
      <c r="D17" s="132" t="inlineStr">
        <is>
          <t>Microciclo (B4), Jogador sec B (B30)</t>
        </is>
      </c>
    </row>
    <row r="18" ht="8.1" customHeight="1">
      <c r="A18" s="14" t="inlineStr">
        <is>
          <t>Dash_Resumo</t>
        </is>
      </c>
      <c r="B18" s="90" t="inlineStr">
        <is>
          <t>🟢</t>
        </is>
      </c>
      <c r="C18" s="9" t="inlineStr">
        <is>
          <t>Resumo executivo do último microciclo.</t>
        </is>
      </c>
      <c r="D18" s="9" t="inlineStr">
        <is>
          <t>Nenhum (automático)</t>
        </is>
      </c>
    </row>
    <row r="19" ht="32.1" customHeight="1" thickBot="1">
      <c r="A19" s="119" t="inlineStr">
        <is>
          <t>Dash_Microciclos</t>
        </is>
      </c>
      <c r="B19" s="121" t="inlineStr">
        <is>
          <t>🟢</t>
        </is>
      </c>
      <c r="C19" s="119" t="inlineStr">
        <is>
          <t>Comparação entre microciclos (médias, deltas, jogo vs treino).</t>
        </is>
      </c>
      <c r="D19" s="119" t="inlineStr">
        <is>
          <t>Nenhum (automático)</t>
        </is>
      </c>
    </row>
    <row r="20" ht="8.1" customHeight="1">
      <c r="A20" s="9" t="n"/>
      <c r="B20" s="9" t="n"/>
      <c r="C20" s="9" t="n"/>
      <c r="D20" s="9" t="n"/>
    </row>
    <row r="21" ht="27.95" customHeight="1">
      <c r="A21" s="122" t="inlineStr">
        <is>
          <t>2 — COMO REGISTAR DADOS</t>
        </is>
      </c>
      <c r="B21" s="122" t="n"/>
      <c r="C21" s="122" t="n"/>
      <c r="D21" s="122" t="n"/>
    </row>
    <row r="22" ht="24" customHeight="1">
      <c r="A22" s="140" t="n"/>
      <c r="B22" s="140" t="n"/>
      <c r="C22" s="140" t="n"/>
      <c r="D22" s="140" t="n"/>
    </row>
    <row r="23" ht="24" customHeight="1">
      <c r="A23" s="126" t="inlineStr">
        <is>
          <t>Passo</t>
        </is>
      </c>
      <c r="B23" s="128" t="inlineStr">
        <is>
          <t>Ação</t>
        </is>
      </c>
      <c r="C23" s="128" t="n"/>
      <c r="D23" s="128" t="n"/>
    </row>
    <row r="24" ht="24" customHeight="1">
      <c r="A24" s="139" t="inlineStr">
        <is>
          <t>1️⃣</t>
        </is>
      </c>
      <c r="B24" s="140" t="inlineStr">
        <is>
          <t>Abrir a folha Input_Diário</t>
        </is>
      </c>
      <c r="C24" s="140" t="n"/>
      <c r="D24" s="140" t="n"/>
    </row>
    <row r="25" ht="24" customHeight="1">
      <c r="A25" s="127" t="inlineStr">
        <is>
          <t>2️⃣</t>
        </is>
      </c>
      <c r="B25" s="128" t="inlineStr">
        <is>
          <t>Preencher Data (B5), Microciclo (E5), Tipo de sessão (H5), e Dia MD (K5)</t>
        </is>
      </c>
      <c r="C25" s="128" t="n"/>
      <c r="D25" s="128" t="n"/>
    </row>
    <row r="26" ht="24" customHeight="1">
      <c r="A26" s="139" t="inlineStr">
        <is>
          <t>3️⃣</t>
        </is>
      </c>
      <c r="B26" s="140" t="inlineStr">
        <is>
          <t>Preencher as células amarelas (C8:T32) com GPS, PSE, Fadiga, Min Jogo e Wellness (Sono, Dor, Stress, Humor)</t>
        </is>
      </c>
      <c r="C26" s="140" t="n"/>
      <c r="D26" s="140" t="n"/>
    </row>
    <row r="27" ht="24" customHeight="1">
      <c r="A27" s="127" t="inlineStr">
        <is>
          <t>4️⃣</t>
        </is>
      </c>
      <c r="B27" s="128" t="inlineStr">
        <is>
          <t>Verificar a seção de transferência (linhas 37+) — os dados estão organizados para colar na BD_Carga</t>
        </is>
      </c>
      <c r="C27" s="128" t="n"/>
      <c r="D27" s="128" t="n"/>
    </row>
    <row r="28" ht="24" customHeight="1">
      <c r="A28" s="139" t="inlineStr">
        <is>
          <t>5️⃣</t>
        </is>
      </c>
      <c r="B28" s="140" t="inlineStr">
        <is>
          <t>Copiar as linhas de transferência A38:Z?? (valores, não fórmulas) e colar no final da tabela tblCarga em BD_Carga</t>
        </is>
      </c>
      <c r="C28" s="140" t="n"/>
      <c r="D28" s="140" t="n"/>
    </row>
    <row r="29" ht="21" customHeight="1">
      <c r="A29" s="90" t="inlineStr">
        <is>
          <t>6️⃣</t>
        </is>
      </c>
      <c r="B29" s="9" t="inlineStr">
        <is>
          <t>Limpar as células amarelas do Input_Diário para a próxima sessão</t>
        </is>
      </c>
      <c r="C29" s="9" t="n"/>
      <c r="D29" s="9" t="n"/>
    </row>
    <row r="30" ht="32.1" customHeight="1" thickBot="1">
      <c r="A30" s="119" t="n"/>
      <c r="B30" s="119" t="n"/>
      <c r="C30" s="119" t="n"/>
      <c r="D30" s="119" t="n"/>
    </row>
    <row r="31" ht="21.75" customHeight="1">
      <c r="A31" s="154" t="inlineStr">
        <is>
          <t>⚠️  A tabela tblCarga (BD_Carga) é a fonte de TODOS os dashboards. Não apagues linhas sem cuidado!</t>
        </is>
      </c>
      <c r="B31" s="9" t="n"/>
      <c r="C31" s="9" t="n"/>
      <c r="D31" s="9" t="n"/>
    </row>
    <row r="32" ht="27.95" customHeight="1">
      <c r="A32" s="122" t="n"/>
      <c r="B32" s="122" t="n"/>
      <c r="C32" s="122" t="n"/>
      <c r="D32" s="122" t="n"/>
    </row>
    <row r="33" ht="27.95" customHeight="1">
      <c r="A33" s="149" t="inlineStr">
        <is>
          <t>3 — INTERPRETAÇÃO DOS ALERTAS</t>
        </is>
      </c>
      <c r="B33" s="140" t="n"/>
      <c r="C33" s="140" t="n"/>
      <c r="D33" s="140" t="n"/>
    </row>
    <row r="34" ht="27.95" customHeight="1">
      <c r="A34" s="150" t="n"/>
      <c r="B34" s="128" t="n"/>
      <c r="C34" s="128" t="n"/>
      <c r="D34" s="128" t="n"/>
    </row>
    <row r="35" ht="27.95" customHeight="1">
      <c r="A35" s="151" t="inlineStr">
        <is>
          <t>Código</t>
        </is>
      </c>
      <c r="B35" s="124" t="inlineStr">
        <is>
          <t>Significado</t>
        </is>
      </c>
      <c r="C35" s="124" t="inlineStr">
        <is>
          <t>Ação Recomendada</t>
        </is>
      </c>
      <c r="D35" s="140" t="n"/>
    </row>
    <row r="36" ht="27.95" customHeight="1">
      <c r="A36" s="152" t="inlineStr">
        <is>
          <t>🟢 OK</t>
        </is>
      </c>
      <c r="B36" s="128" t="inlineStr">
        <is>
          <t>ACWR 0.8–1.3 | Monotonia &lt;2 | Vmáx ≥90% recente</t>
        </is>
      </c>
      <c r="C36" s="128" t="inlineStr">
        <is>
          <t>Carga adequada. Manter plano.</t>
        </is>
      </c>
      <c r="D36" s="128" t="n"/>
    </row>
    <row r="37" ht="27.95" customHeight="1">
      <c r="A37" s="139" t="inlineStr">
        <is>
          <t>🟡 ATENÇÃO</t>
        </is>
      </c>
      <c r="B37" s="140" t="inlineStr">
        <is>
          <t>ACWR 1.3–1.5 ou &lt;0.8 | Monotonia 2–2.5 | 8–14 dias sem ≥90%</t>
        </is>
      </c>
      <c r="C37" s="140" t="inlineStr">
        <is>
          <t>Monitorizar de perto. Considerar ajustar volume/intensidade.</t>
        </is>
      </c>
      <c r="D37" s="140" t="n"/>
    </row>
    <row r="38" ht="24" customHeight="1">
      <c r="A38" s="155" t="inlineStr">
        <is>
          <t>🔴 RISCO</t>
        </is>
      </c>
      <c r="B38" s="9" t="inlineStr">
        <is>
          <t>ACWR &gt;1.5 | Monotonia &gt;2.5 | &gt;14 dias sem ≥90% Vmáx | Strain &gt;3000</t>
        </is>
      </c>
      <c r="C38" s="9" t="inlineStr">
        <is>
          <t>Reduzir carga imediatamente. Consultar staff médico.</t>
        </is>
      </c>
      <c r="D38" s="9" t="n"/>
    </row>
    <row r="39" ht="32.1" customHeight="1" thickBot="1">
      <c r="A39" s="121" t="inlineStr">
        <is>
          <t>🟦 SUB-CARGA</t>
        </is>
      </c>
      <c r="B39" s="119" t="inlineStr">
        <is>
          <t>Z-score &lt; -2.0 | ACWR &lt; 0.6 | Desvio &lt; -25%</t>
        </is>
      </c>
      <c r="C39" s="119" t="inlineStr">
        <is>
          <t>Jogador significativamente abaixo da equipa. Avaliar razão (lesão? recuperação?).</t>
        </is>
      </c>
      <c r="D39" s="119" t="n"/>
    </row>
    <row r="40" ht="8.1" customHeight="1">
      <c r="A40" s="9" t="n"/>
      <c r="B40" s="9" t="n"/>
      <c r="C40" s="9" t="n"/>
      <c r="D40" s="9" t="n"/>
    </row>
    <row r="41" ht="27.95" customHeight="1">
      <c r="A41" s="122" t="inlineStr">
        <is>
          <t>4 — METODOLOGIA</t>
        </is>
      </c>
      <c r="B41" s="122" t="n"/>
      <c r="C41" s="122" t="n"/>
      <c r="D41" s="122" t="n"/>
    </row>
    <row r="42" ht="27.95" customHeight="1">
      <c r="A42" s="140" t="n"/>
      <c r="B42" s="140" t="n"/>
      <c r="C42" s="140" t="n"/>
      <c r="D42" s="140" t="n"/>
    </row>
    <row r="43" ht="27.95" customHeight="1">
      <c r="A43" s="126" t="inlineStr">
        <is>
          <t>Métrica</t>
        </is>
      </c>
      <c r="B43" s="126" t="inlineStr">
        <is>
          <t>Fórmula</t>
        </is>
      </c>
      <c r="C43" s="126" t="inlineStr">
        <is>
          <t>Referência</t>
        </is>
      </c>
      <c r="D43" s="128" t="n"/>
    </row>
    <row r="44" ht="27.95" customHeight="1">
      <c r="A44" s="124" t="inlineStr">
        <is>
          <t>Carga Interna (CI)</t>
        </is>
      </c>
      <c r="B44" s="140" t="inlineStr">
        <is>
          <t>PSE Sessão × Duração (min)</t>
        </is>
      </c>
      <c r="C44" s="140" t="inlineStr">
        <is>
          <t>Foster et al. (2001)</t>
        </is>
      </c>
      <c r="D44" s="140" t="n"/>
    </row>
    <row r="45" ht="27.95" customHeight="1">
      <c r="A45" s="126" t="inlineStr">
        <is>
          <t>ACWR (EWMA)</t>
        </is>
      </c>
      <c r="B45" s="128" t="inlineStr">
        <is>
          <t>λ aguda = 2/(7+1) = 0.25  |  λ crónica = 2/(28+1) ≈ 0.069  |  ACWR = Aguda/Crónica</t>
        </is>
      </c>
      <c r="C45" s="128" t="inlineStr">
        <is>
          <t>Williams et al. (2017)</t>
        </is>
      </c>
      <c r="D45" s="128" t="n"/>
    </row>
    <row r="46" ht="27.95" customHeight="1">
      <c r="A46" s="124" t="inlineStr">
        <is>
          <t>Monotonia</t>
        </is>
      </c>
      <c r="B46" s="140" t="inlineStr">
        <is>
          <t>Média Semanal CI ÷ Desvio Padrão Semanal CI</t>
        </is>
      </c>
      <c r="C46" s="140" t="inlineStr">
        <is>
          <t>Foster (1998)</t>
        </is>
      </c>
      <c r="D46" s="140" t="n"/>
    </row>
    <row r="47" ht="27.95" customHeight="1">
      <c r="A47" s="126" t="inlineStr">
        <is>
          <t>Strain</t>
        </is>
      </c>
      <c r="B47" s="128" t="inlineStr">
        <is>
          <t>Carga Semanal Total CI × Monotonia</t>
        </is>
      </c>
      <c r="C47" s="128" t="inlineStr">
        <is>
          <t>Foster (1998)</t>
        </is>
      </c>
      <c r="D47" s="128" t="n"/>
    </row>
    <row r="48" ht="22.5" customHeight="1">
      <c r="A48" s="14" t="inlineStr">
        <is>
          <t>Z-Score</t>
        </is>
      </c>
      <c r="B48" s="9" t="inlineStr">
        <is>
          <t>(Média Jogador − Média Equipa) ÷ Desvio Padrão Equipa</t>
        </is>
      </c>
      <c r="C48" s="9" t="inlineStr">
        <is>
          <t>Contextualização individual</t>
        </is>
      </c>
      <c r="D48" s="9" t="n"/>
    </row>
    <row r="49" ht="22.5" customHeight="1">
      <c r="A49" s="14" t="inlineStr">
        <is>
          <t>% Vmáx Record</t>
        </is>
      </c>
      <c r="B49" s="9" t="inlineStr">
        <is>
          <t>Vel. Sessão ÷ Vmáx Histórico do Jogador × 100</t>
        </is>
      </c>
      <c r="C49" s="9" t="inlineStr">
        <is>
          <t>Monitorização de exposição à alta velocidade</t>
        </is>
      </c>
      <c r="D49" s="9" t="n"/>
    </row>
    <row r="50" ht="32.1" customHeight="1" thickBot="1">
      <c r="A50" s="119" t="n"/>
      <c r="B50" s="119" t="n"/>
      <c r="C50" s="119" t="n"/>
      <c r="D50" s="119" t="n"/>
    </row>
    <row r="51" ht="21.95" customHeight="1">
      <c r="A51" s="124" t="inlineStr">
        <is>
          <t>5 — NOTAS IMPORTANTES</t>
        </is>
      </c>
      <c r="B51" s="140" t="n"/>
      <c r="C51" s="140" t="n"/>
      <c r="D51" s="140" t="n"/>
    </row>
    <row r="52" ht="21.95" customHeight="1">
      <c r="A52" s="128" t="n"/>
      <c r="B52" s="128" t="n"/>
      <c r="C52" s="128" t="n"/>
      <c r="D52" s="128" t="n"/>
    </row>
    <row r="53" ht="21.95" customHeight="1">
      <c r="A53" s="140" t="inlineStr">
        <is>
          <t>•  As folhas de dashboard estão protegidas. Só os seletores (células azuis/amarelas) são editáveis.</t>
        </is>
      </c>
      <c r="B53" s="140" t="n"/>
      <c r="C53" s="140" t="n"/>
      <c r="D53" s="140" t="n"/>
    </row>
    <row r="54" ht="21.95" customHeight="1">
      <c r="A54" s="128" t="inlineStr">
        <is>
          <t>•  A BD_Carga e Painel_Central estão protegidos. O Input tem proteção parcial (só células de dados editáveis).</t>
        </is>
      </c>
      <c r="B54" s="128" t="n"/>
      <c r="C54" s="128" t="n"/>
      <c r="D54" s="128" t="n"/>
    </row>
    <row r="55" ht="21.95" customHeight="1">
      <c r="A55" s="140" t="inlineStr">
        <is>
          <t>•  Novos jogadores: adicioná-los na folha Plantel com estado 'Ativo'. Aparecem automaticamente no Input e nos dashboards.</t>
        </is>
      </c>
      <c r="B55" s="140" t="n"/>
      <c r="C55" s="140" t="n"/>
      <c r="D55" s="140" t="n"/>
    </row>
    <row r="56" ht="21.95" customHeight="1">
      <c r="A56" s="128" t="inlineStr">
        <is>
          <t>•  Novos microciclos: adicionar dados com o novo número de MC. Captados automaticamente.</t>
        </is>
      </c>
      <c r="B56" s="128" t="n"/>
      <c r="C56" s="128" t="n"/>
      <c r="D56" s="128" t="n"/>
    </row>
    <row r="57" ht="21.95" customHeight="1">
      <c r="A57" s="140" t="inlineStr">
        <is>
          <t>•  Máximo atual: 30 jogadores nos dashboards, 200 sessões por jogador no ACWR_EWMA.</t>
        </is>
      </c>
      <c r="B57" s="140" t="n"/>
      <c r="C57" s="140" t="n"/>
      <c r="D57" s="140" t="n"/>
    </row>
    <row r="58" ht="21.95" customHeight="1">
      <c r="A58" s="128" t="inlineStr">
        <is>
          <t>•  Vmáx_Monitor secção A suporta 30 jogadores. Para mais, contactar o responsável pelo modelo.</t>
        </is>
      </c>
      <c r="B58" s="128" t="n"/>
      <c r="C58" s="128" t="n"/>
      <c r="D58" s="128" t="n"/>
    </row>
    <row r="59" ht="21.95" customHeight="1">
      <c r="A59" s="140" t="inlineStr">
        <is>
          <t>•  Se o Excel ficar lento, forçar recálculo com Ctrl+Alt+F9.</t>
        </is>
      </c>
      <c r="B59" s="140" t="n"/>
      <c r="C59" s="140" t="n"/>
      <c r="D59" s="140" t="n"/>
    </row>
    <row r="60" ht="21.95" customHeight="1">
      <c r="A60" s="128" t="inlineStr">
        <is>
          <t>•  Cores dos seletores: texto azul + fundo amarelo = célula editável.</t>
        </is>
      </c>
      <c r="B60" s="128" t="n"/>
      <c r="C60" s="128" t="n"/>
      <c r="D60" s="128" t="n"/>
    </row>
    <row r="61" ht="21.95" customHeight="1">
      <c r="A61" s="140" t="inlineStr">
        <is>
          <t>•  Novas colunas na BD_Carga (T-V): Fadiga (1-5), Min Jogo, Congestão (dias desde último jogo — calculada automaticamente).</t>
        </is>
      </c>
      <c r="B61" s="140" t="n"/>
      <c r="C61" s="140" t="n"/>
      <c r="D61" s="140" t="n"/>
    </row>
    <row r="62" ht="21.95" customHeight="1">
      <c r="A62" s="128" t="inlineStr">
        <is>
          <t>•  Wellness (Hooper Index): Preencher Sono, Dor Muscular, Stress e Humor (1-5 cada) após cada sessão. O Hooper Index calcula automaticamente (4-20).</t>
        </is>
      </c>
      <c r="B62" s="128" t="n"/>
      <c r="C62" s="128" t="n"/>
      <c r="D62" s="128" t="n"/>
    </row>
    <row r="63" ht="21.95" customHeight="1">
      <c r="A63" s="140" t="inlineStr">
        <is>
          <t>•  MD+1 (Recuperação): Disponível nos dropdowns. Usar para registar sessões de recuperação pós-jogo.</t>
        </is>
      </c>
      <c r="B63" s="140" t="n"/>
      <c r="C63" s="140" t="n"/>
      <c r="D63" s="140" t="n"/>
    </row>
    <row r="64" ht="21.95" customHeight="1">
      <c r="A64" s="128" t="inlineStr">
        <is>
          <t>•  Colunas W-AA na BD_Carga: Wellness (Sono, Dor Musc., Stress, Humor, Hooper Index). Colar com as restantes colunas.</t>
        </is>
      </c>
      <c r="B64" s="128" t="n"/>
      <c r="C64" s="128" t="n"/>
      <c r="D64" s="128" t="n"/>
    </row>
    <row r="65" ht="21.95" customHeight="1">
      <c r="A65" s="140" t="inlineStr">
        <is>
          <t>•  Painel Central: ACWR usa rácio Agudo:Crónico de 4 microciclos. Resumo de equipa mostra distribuição de risco e médias.</t>
        </is>
      </c>
      <c r="B65" s="140" t="n"/>
      <c r="C65" s="140" t="n"/>
      <c r="D65" s="14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6AD55"/>
    <outlinePr summaryBelow="1" summaryRight="1"/>
    <pageSetUpPr/>
  </sheetPr>
  <dimension ref="A1:G33"/>
  <sheetViews>
    <sheetView topLeftCell="A2" zoomScale="83" workbookViewId="0">
      <selection activeCell="B34" sqref="B34"/>
    </sheetView>
  </sheetViews>
  <sheetFormatPr baseColWidth="8" defaultRowHeight="15"/>
  <cols>
    <col width="24.7109375" customWidth="1" min="1" max="1"/>
    <col width="19" customWidth="1" min="2" max="2"/>
    <col width="17.140625" customWidth="1" min="3" max="4"/>
    <col width="21" customWidth="1" min="5" max="5"/>
    <col width="3.85546875" customWidth="1" min="6" max="6"/>
    <col width="53.28515625" customWidth="1" min="7" max="7"/>
  </cols>
  <sheetData>
    <row r="1" ht="45" customHeight="1">
      <c r="A1" s="117" t="inlineStr">
        <is>
          <t>🏟️  PLANTEL — Lista Mestre de Jogadores</t>
        </is>
      </c>
      <c r="B1" s="117" t="n"/>
      <c r="C1" s="117" t="n"/>
      <c r="D1" s="117" t="n"/>
      <c r="E1" s="117" t="n"/>
      <c r="F1" s="117" t="n"/>
      <c r="G1" s="117" t="n"/>
    </row>
    <row r="2" ht="8.1" customHeight="1">
      <c r="A2" s="9" t="n"/>
      <c r="B2" s="9" t="n"/>
      <c r="C2" s="9" t="n"/>
      <c r="D2" s="9" t="n"/>
      <c r="E2" s="9" t="n"/>
      <c r="F2" s="9" t="n"/>
      <c r="G2" s="9" t="n"/>
    </row>
    <row r="3" ht="30" customHeight="1" thickBot="1">
      <c r="A3" s="157" t="inlineStr">
        <is>
          <t>Jogador</t>
        </is>
      </c>
      <c r="B3" s="157" t="inlineStr">
        <is>
          <t>Posição</t>
        </is>
      </c>
      <c r="C3" s="157" t="inlineStr">
        <is>
          <t>Estado</t>
        </is>
      </c>
      <c r="D3" s="157" t="inlineStr">
        <is>
          <t>Nº Camisola</t>
        </is>
      </c>
      <c r="E3" s="157" t="inlineStr">
        <is>
          <t>Data Nascimento</t>
        </is>
      </c>
      <c r="F3" s="157" t="n"/>
      <c r="G3" s="157" t="inlineStr">
        <is>
          <t>📖 INSTRUÇÕES</t>
        </is>
      </c>
    </row>
    <row r="4" ht="26.1" customHeight="1">
      <c r="A4" s="158" t="inlineStr">
        <is>
          <t>Artur</t>
        </is>
      </c>
      <c r="B4" s="159" t="inlineStr">
        <is>
          <t>Médio</t>
        </is>
      </c>
      <c r="C4" s="159" t="inlineStr">
        <is>
          <t>Ativo</t>
        </is>
      </c>
      <c r="D4" s="159" t="n"/>
      <c r="E4" s="160" t="n"/>
      <c r="F4" s="161" t="n"/>
      <c r="G4" s="175" t="inlineStr">
        <is>
          <t>• Adiciona jogadores nesta lista (máx 30)</t>
        </is>
      </c>
    </row>
    <row r="5" ht="26.1" customHeight="1">
      <c r="A5" s="166" t="inlineStr">
        <is>
          <t>Capitulo</t>
        </is>
      </c>
      <c r="B5" s="167" t="inlineStr">
        <is>
          <t>Lateral</t>
        </is>
      </c>
      <c r="C5" s="167" t="inlineStr">
        <is>
          <t>Ativo</t>
        </is>
      </c>
      <c r="D5" s="167" t="n"/>
      <c r="E5" s="168" t="n"/>
      <c r="F5" s="169" t="n"/>
      <c r="G5" s="176" t="inlineStr">
        <is>
          <t>• O Input_Diário puxa automaticamente os jogadores 'Ativos'</t>
        </is>
      </c>
    </row>
    <row r="6" ht="26.1" customHeight="1">
      <c r="A6" s="171" t="inlineStr">
        <is>
          <t>Edu</t>
        </is>
      </c>
      <c r="B6" s="172" t="inlineStr">
        <is>
          <t>Lateral</t>
        </is>
      </c>
      <c r="C6" s="172" t="inlineStr">
        <is>
          <t>Ativo</t>
        </is>
      </c>
      <c r="D6" s="172" t="n"/>
      <c r="E6" s="173" t="n"/>
      <c r="F6" s="174" t="n"/>
      <c r="G6" s="177" t="inlineStr">
        <is>
          <t>• Muda 'Estado' para Lesionado/Emprestado para excluir</t>
        </is>
      </c>
    </row>
    <row r="7" ht="26.1" customHeight="1">
      <c r="A7" s="166" t="inlineStr">
        <is>
          <t>Enzo Hugo</t>
        </is>
      </c>
      <c r="B7" s="167" t="inlineStr">
        <is>
          <t>Central</t>
        </is>
      </c>
      <c r="C7" s="167" t="inlineStr">
        <is>
          <t>Ativo</t>
        </is>
      </c>
      <c r="D7" s="167" t="n"/>
      <c r="E7" s="168" t="n"/>
      <c r="F7" s="169" t="n"/>
      <c r="G7" s="176" t="inlineStr">
        <is>
          <t>• A ordem aqui define a ordem no Input e Painel Central</t>
        </is>
      </c>
    </row>
    <row r="8" ht="26.1" customHeight="1">
      <c r="A8" s="171" t="inlineStr">
        <is>
          <t>Gomes</t>
        </is>
      </c>
      <c r="B8" s="172" t="inlineStr">
        <is>
          <t>Médio</t>
        </is>
      </c>
      <c r="C8" s="172" t="inlineStr">
        <is>
          <t>Ativo</t>
        </is>
      </c>
      <c r="D8" s="172" t="n"/>
      <c r="E8" s="173" t="n"/>
      <c r="F8" s="174" t="n"/>
      <c r="G8" s="177" t="n"/>
    </row>
    <row r="9" ht="26.1" customHeight="1">
      <c r="A9" s="166" t="inlineStr">
        <is>
          <t>Nogueira</t>
        </is>
      </c>
      <c r="B9" s="167" t="inlineStr">
        <is>
          <t>Central</t>
        </is>
      </c>
      <c r="C9" s="167" t="inlineStr">
        <is>
          <t>Ativo</t>
        </is>
      </c>
      <c r="D9" s="167" t="n"/>
      <c r="E9" s="168" t="n"/>
      <c r="F9" s="169" t="n"/>
      <c r="G9" s="176" t="n"/>
    </row>
    <row r="10" ht="26.1" customHeight="1">
      <c r="A10" s="171" t="inlineStr">
        <is>
          <t>Paulino</t>
        </is>
      </c>
      <c r="B10" s="172" t="inlineStr">
        <is>
          <t>Médio</t>
        </is>
      </c>
      <c r="C10" s="172" t="inlineStr">
        <is>
          <t>Ativo</t>
        </is>
      </c>
      <c r="D10" s="172" t="n"/>
      <c r="E10" s="173" t="n"/>
      <c r="F10" s="174" t="n"/>
      <c r="G10" s="174" t="n"/>
    </row>
    <row r="11" ht="26.1" customHeight="1">
      <c r="A11" s="166" t="inlineStr">
        <is>
          <t>Sá</t>
        </is>
      </c>
      <c r="B11" s="167" t="inlineStr">
        <is>
          <t>Médio</t>
        </is>
      </c>
      <c r="C11" s="167" t="inlineStr">
        <is>
          <t>Ativo</t>
        </is>
      </c>
      <c r="D11" s="167" t="n"/>
      <c r="E11" s="168" t="n"/>
      <c r="F11" s="169" t="n"/>
      <c r="G11" s="169" t="n"/>
    </row>
    <row r="12" ht="26.1" customHeight="1">
      <c r="A12" s="171" t="inlineStr">
        <is>
          <t>Varela</t>
        </is>
      </c>
      <c r="B12" s="172" t="inlineStr">
        <is>
          <t>Lateral</t>
        </is>
      </c>
      <c r="C12" s="172" t="inlineStr">
        <is>
          <t>Ativo</t>
        </is>
      </c>
      <c r="D12" s="172" t="n"/>
      <c r="E12" s="173" t="n"/>
      <c r="F12" s="174" t="n"/>
      <c r="G12" s="174" t="n"/>
    </row>
    <row r="13" ht="26.1" customHeight="1">
      <c r="A13" s="166" t="inlineStr">
        <is>
          <t>Valente</t>
        </is>
      </c>
      <c r="B13" s="167" t="inlineStr">
        <is>
          <t>Extremo</t>
        </is>
      </c>
      <c r="C13" s="167" t="inlineStr">
        <is>
          <t>Ativo</t>
        </is>
      </c>
      <c r="D13" s="167" t="n"/>
      <c r="E13" s="168" t="n"/>
      <c r="F13" s="169" t="n"/>
      <c r="G13" s="169" t="n"/>
    </row>
    <row r="14" ht="26.1" customHeight="1">
      <c r="A14" s="171" t="inlineStr">
        <is>
          <t xml:space="preserve">Quinalau </t>
        </is>
      </c>
      <c r="B14" s="172" t="inlineStr">
        <is>
          <t>Avançado</t>
        </is>
      </c>
      <c r="C14" s="172" t="inlineStr">
        <is>
          <t>Ativo</t>
        </is>
      </c>
      <c r="D14" s="172" t="n"/>
      <c r="E14" s="173" t="n"/>
      <c r="F14" s="174" t="n"/>
      <c r="G14" s="174" t="n"/>
    </row>
    <row r="15" ht="26.1" customHeight="1">
      <c r="A15" s="165" t="inlineStr">
        <is>
          <t>Bruno</t>
        </is>
      </c>
      <c r="B15" s="162" t="inlineStr">
        <is>
          <t>Guarda-Redes</t>
        </is>
      </c>
      <c r="C15" s="162" t="inlineStr">
        <is>
          <t>Ativo</t>
        </is>
      </c>
      <c r="D15" s="162" t="n"/>
      <c r="E15" s="163" t="n"/>
      <c r="F15" s="164" t="n"/>
      <c r="G15" s="164" t="n"/>
    </row>
    <row r="16">
      <c r="A16" s="70" t="n"/>
      <c r="B16" s="70" t="n"/>
      <c r="C16" s="70" t="n"/>
      <c r="D16" s="70" t="n"/>
      <c r="E16" s="75" t="n"/>
    </row>
    <row r="17">
      <c r="A17" s="70" t="n"/>
      <c r="B17" s="70" t="n"/>
      <c r="C17" s="70" t="n"/>
      <c r="D17" s="70" t="n"/>
      <c r="E17" s="75" t="n"/>
    </row>
    <row r="18">
      <c r="A18" s="70" t="n"/>
      <c r="B18" s="70" t="n"/>
      <c r="C18" s="70" t="n"/>
      <c r="D18" s="70" t="n"/>
      <c r="E18" s="75" t="n"/>
    </row>
    <row r="19">
      <c r="A19" s="70" t="n"/>
      <c r="B19" s="70" t="n"/>
      <c r="C19" s="70" t="n"/>
      <c r="D19" s="70" t="n"/>
      <c r="E19" s="75" t="n"/>
    </row>
    <row r="20">
      <c r="A20" s="70" t="n"/>
      <c r="B20" s="70" t="n"/>
      <c r="C20" s="70" t="n"/>
      <c r="D20" s="70" t="n"/>
      <c r="E20" s="75" t="n"/>
    </row>
    <row r="21">
      <c r="A21" s="70" t="n"/>
      <c r="B21" s="70" t="n"/>
      <c r="C21" s="70" t="n"/>
      <c r="D21" s="70" t="n"/>
      <c r="E21" s="75" t="n"/>
    </row>
    <row r="22">
      <c r="A22" s="70" t="n"/>
      <c r="B22" s="70" t="n"/>
      <c r="C22" s="70" t="n"/>
      <c r="D22" s="70" t="n"/>
      <c r="E22" s="75" t="n"/>
    </row>
    <row r="23">
      <c r="A23" s="70" t="n"/>
      <c r="B23" s="70" t="n"/>
      <c r="C23" s="70" t="n"/>
      <c r="D23" s="70" t="n"/>
      <c r="E23" s="75" t="n"/>
    </row>
    <row r="24">
      <c r="A24" s="70" t="n"/>
      <c r="B24" s="70" t="n"/>
      <c r="C24" s="70" t="n"/>
      <c r="D24" s="70" t="n"/>
      <c r="E24" s="75" t="n"/>
    </row>
    <row r="25">
      <c r="A25" s="70" t="n"/>
      <c r="B25" s="70" t="n"/>
      <c r="C25" s="70" t="n"/>
      <c r="D25" s="70" t="n"/>
      <c r="E25" s="75" t="n"/>
    </row>
    <row r="26">
      <c r="A26" s="70" t="n"/>
      <c r="B26" s="70" t="n"/>
      <c r="C26" s="70" t="n"/>
      <c r="D26" s="70" t="n"/>
      <c r="E26" s="75" t="n"/>
    </row>
    <row r="27">
      <c r="A27" s="70" t="n"/>
      <c r="B27" s="70" t="n"/>
      <c r="C27" s="70" t="n"/>
      <c r="D27" s="70" t="n"/>
      <c r="E27" s="75" t="n"/>
    </row>
    <row r="28">
      <c r="A28" s="70" t="n"/>
      <c r="B28" s="70" t="n"/>
      <c r="C28" s="70" t="n"/>
      <c r="D28" s="70" t="n"/>
      <c r="E28" s="75" t="n"/>
    </row>
    <row r="29">
      <c r="A29" s="608" t="n"/>
      <c r="B29" s="608" t="n"/>
      <c r="C29" s="608" t="n"/>
      <c r="D29" s="608" t="n"/>
      <c r="E29" s="76" t="n"/>
    </row>
    <row r="30">
      <c r="A30" s="608" t="n"/>
      <c r="B30" s="608" t="n"/>
      <c r="C30" s="608" t="n"/>
      <c r="D30" s="608" t="n"/>
      <c r="E30" s="76" t="n"/>
    </row>
    <row r="31">
      <c r="A31" s="608" t="n"/>
      <c r="B31" s="608" t="n"/>
      <c r="C31" s="608" t="n"/>
      <c r="D31" s="608" t="n"/>
      <c r="E31" s="76" t="n"/>
    </row>
    <row r="32">
      <c r="A32" s="608" t="n"/>
      <c r="B32" s="608" t="n"/>
      <c r="C32" s="608" t="n"/>
      <c r="D32" s="608" t="n"/>
      <c r="E32" s="76" t="n"/>
    </row>
    <row r="33">
      <c r="A33" s="608" t="n"/>
      <c r="B33" s="608" t="n"/>
      <c r="C33" s="608" t="n"/>
      <c r="D33" s="608" t="n"/>
      <c r="E33" s="76" t="n"/>
    </row>
  </sheetData>
  <dataValidations count="2">
    <dataValidation sqref="C4:C33" showDropDown="0" showInputMessage="1" showErrorMessage="1" allowBlank="1" errorTitle="Erro" error="Selecionar: Ativo, Lesionado, Emprestado ou Dispensado" type="list">
      <formula1>"Ativo,Lesionado,Emprestado,Dispensado"</formula1>
    </dataValidation>
    <dataValidation sqref="B4:B28 B29:B33" showDropDown="0" showInputMessage="1" showErrorMessage="1" allowBlank="1" type="list">
      <formula1>"Guarda-Redes,Central,Lateral,Médio,Extremo,Avançado"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63B3ED"/>
    <outlinePr summaryBelow="1" summaryRight="1"/>
    <pageSetUpPr/>
  </sheetPr>
  <dimension ref="A1:AA470"/>
  <sheetViews>
    <sheetView zoomScale="71" workbookViewId="0">
      <pane xSplit="1" ySplit="2" topLeftCell="F451" activePane="bottomRight" state="frozen"/>
      <selection pane="topRight" activeCell="B1" sqref="B1"/>
      <selection pane="bottomLeft" activeCell="A3" sqref="A3"/>
      <selection pane="bottomRight" activeCell="O472" sqref="O472"/>
    </sheetView>
  </sheetViews>
  <sheetFormatPr baseColWidth="8" defaultRowHeight="15"/>
  <cols>
    <col width="16.140625" customWidth="1" min="1" max="3"/>
    <col width="13.28515625" customWidth="1" min="4" max="4"/>
    <col width="12.42578125" customWidth="1" min="5" max="5"/>
    <col width="16.140625" customWidth="1" min="6" max="6"/>
    <col width="11.42578125" customWidth="1" min="7" max="8"/>
    <col width="8.5703125" customWidth="1" min="9" max="10"/>
    <col width="9.5703125" customWidth="1" min="11" max="11"/>
    <col width="12.42578125" customWidth="1" min="12" max="12"/>
    <col width="14.28515625" customWidth="1" min="13" max="13"/>
    <col width="11.42578125" customWidth="1" min="14" max="16"/>
    <col width="12.42578125" customWidth="1" min="17" max="18"/>
    <col width="10.42578125" customWidth="1" min="19" max="19"/>
    <col width="11.42578125" customWidth="1" min="20" max="21"/>
    <col width="14.28515625" customWidth="1" min="22" max="22"/>
    <col width="10.42578125" customWidth="1" min="23" max="23"/>
    <col width="12.42578125" customWidth="1" min="24" max="24"/>
    <col width="10.42578125" customWidth="1" min="25" max="26"/>
  </cols>
  <sheetData>
    <row r="1" ht="45" customHeight="1">
      <c r="A1" s="117" t="inlineStr">
        <is>
          <t>📋  BASE DE DADOS — REGISTO DE CARGA  |  Belenenses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117" t="n"/>
      <c r="U1" s="117" t="n"/>
      <c r="V1" s="117" t="n"/>
      <c r="W1" s="117" t="n"/>
      <c r="X1" s="117" t="n"/>
      <c r="Y1" s="117" t="n"/>
      <c r="Z1" s="117" t="n"/>
      <c r="AA1" s="117" t="n"/>
    </row>
    <row r="2" ht="36" customHeight="1" thickBot="1">
      <c r="A2" s="269" t="inlineStr">
        <is>
          <t>Data</t>
        </is>
      </c>
      <c r="B2" s="269" t="inlineStr">
        <is>
          <t>Equipa</t>
        </is>
      </c>
      <c r="C2" s="269" t="inlineStr">
        <is>
          <t>Jogador</t>
        </is>
      </c>
      <c r="D2" s="269" t="inlineStr">
        <is>
          <t>Posição</t>
        </is>
      </c>
      <c r="E2" s="269" t="inlineStr">
        <is>
          <t>Duração (min)</t>
        </is>
      </c>
      <c r="F2" s="269" t="inlineStr">
        <is>
          <t>Distância Total (m)</t>
        </is>
      </c>
      <c r="G2" s="269" t="inlineStr">
        <is>
          <t>HSR (m)</t>
        </is>
      </c>
      <c r="H2" s="269" t="inlineStr">
        <is>
          <t>Sprint (m)</t>
        </is>
      </c>
      <c r="I2" s="269" t="inlineStr">
        <is>
          <t>Acc (n)</t>
        </is>
      </c>
      <c r="J2" s="269" t="inlineStr">
        <is>
          <t>Dcc (n)</t>
        </is>
      </c>
      <c r="K2" s="269" t="inlineStr">
        <is>
          <t>PSE Sessão</t>
        </is>
      </c>
      <c r="L2" s="269" t="inlineStr">
        <is>
          <t>Vel. Máx (km/h)</t>
        </is>
      </c>
      <c r="M2" s="269" t="inlineStr">
        <is>
          <t>Microciclo</t>
        </is>
      </c>
      <c r="N2" s="269" t="inlineStr">
        <is>
          <t>Nº ≥85% Vmáx</t>
        </is>
      </c>
      <c r="O2" s="269" t="inlineStr">
        <is>
          <t>Nº ≥90% Vmáx</t>
        </is>
      </c>
      <c r="P2" s="269" t="inlineStr">
        <is>
          <t>Nº ≥95% Vmáx</t>
        </is>
      </c>
      <c r="Q2" s="269" t="inlineStr">
        <is>
          <t>Tipo</t>
        </is>
      </c>
      <c r="R2" s="269" t="inlineStr">
        <is>
          <t>Microciclo (Nr)</t>
        </is>
      </c>
      <c r="S2" s="269" t="inlineStr">
        <is>
          <t>Dia MD</t>
        </is>
      </c>
      <c r="T2" s="269" t="inlineStr">
        <is>
          <t>Fadiga (1-5)</t>
        </is>
      </c>
      <c r="U2" s="269" t="inlineStr">
        <is>
          <t>Min Jogo</t>
        </is>
      </c>
      <c r="V2" s="269" t="inlineStr">
        <is>
          <t>Congestão (dias)</t>
        </is>
      </c>
      <c r="W2" s="269" t="inlineStr">
        <is>
          <t>Sono (1-5)</t>
        </is>
      </c>
      <c r="X2" s="269" t="inlineStr">
        <is>
          <t>Dor Musc. (1-5)</t>
        </is>
      </c>
      <c r="Y2" s="269" t="inlineStr">
        <is>
          <t>Stress (1-5)</t>
        </is>
      </c>
      <c r="Z2" s="269" t="inlineStr">
        <is>
          <t>Humor (1-5)</t>
        </is>
      </c>
      <c r="AA2" s="269" t="inlineStr">
        <is>
          <t>Hooper Index</t>
        </is>
      </c>
    </row>
    <row r="3">
      <c r="A3" s="275" t="n">
        <v>46045</v>
      </c>
      <c r="B3" s="276" t="inlineStr">
        <is>
          <t>Belenenses</t>
        </is>
      </c>
      <c r="C3" s="276" t="inlineStr">
        <is>
          <t>Paulino</t>
        </is>
      </c>
      <c r="D3" s="276" t="inlineStr">
        <is>
          <t>Médio</t>
        </is>
      </c>
      <c r="E3" s="277" t="n">
        <v>88</v>
      </c>
      <c r="F3" s="277" t="n">
        <v>6690</v>
      </c>
      <c r="G3" s="277" t="n">
        <v>265</v>
      </c>
      <c r="H3" s="277" t="n">
        <v>136</v>
      </c>
      <c r="I3" s="277" t="n">
        <v>76</v>
      </c>
      <c r="J3" s="277" t="n">
        <v>72</v>
      </c>
      <c r="K3" s="277" t="n">
        <v>6</v>
      </c>
      <c r="L3" s="278" t="n">
        <v>30.3</v>
      </c>
      <c r="M3" s="277" t="n">
        <v>4</v>
      </c>
      <c r="N3" s="277" t="n">
        <v>11</v>
      </c>
      <c r="O3" s="277" t="n">
        <v>3</v>
      </c>
      <c r="P3" s="277" t="n">
        <v>1</v>
      </c>
      <c r="Q3" s="276" t="inlineStr">
        <is>
          <t>Treino</t>
        </is>
      </c>
      <c r="R3" s="277" t="n">
        <v>4</v>
      </c>
      <c r="S3" s="276" t="inlineStr">
        <is>
          <t>MD-2</t>
        </is>
      </c>
      <c r="T3" s="277" t="n"/>
      <c r="U3" s="277" t="n"/>
      <c r="V3" s="279">
        <f>IF(_xlfn.MAXIFS(tblCarga[Data],tblCarga[Jogador],C3,tblCarga[Tipo],"Jogo",tblCarga[Data],"&lt;"&amp;A3)=0,"-",A3-_xlfn.MAXIFS(tblCarga[Data],tblCarga[Jogador],C3,tblCarga[Tipo],"Jogo",tblCarga[Data],"&lt;"&amp;A3))</f>
        <v/>
      </c>
      <c r="W3" s="277" t="n">
        <v>2</v>
      </c>
      <c r="X3" s="277" t="n">
        <v>3</v>
      </c>
      <c r="Y3" s="277" t="n">
        <v>1</v>
      </c>
      <c r="Z3" s="277" t="n">
        <v>3</v>
      </c>
      <c r="AA3" s="277" t="n">
        <v>9</v>
      </c>
    </row>
    <row r="4">
      <c r="A4" s="280" t="n">
        <v>46045</v>
      </c>
      <c r="B4" s="281" t="inlineStr">
        <is>
          <t>Belenenses</t>
        </is>
      </c>
      <c r="C4" s="281" t="inlineStr">
        <is>
          <t>Artur</t>
        </is>
      </c>
      <c r="D4" s="281" t="inlineStr">
        <is>
          <t>Médio</t>
        </is>
      </c>
      <c r="E4" s="282" t="n">
        <v>90</v>
      </c>
      <c r="F4" s="282" t="n">
        <v>9262</v>
      </c>
      <c r="G4" s="282" t="n">
        <v>199</v>
      </c>
      <c r="H4" s="282" t="n">
        <v>48</v>
      </c>
      <c r="I4" s="282" t="n">
        <v>83</v>
      </c>
      <c r="J4" s="282" t="n">
        <v>80</v>
      </c>
      <c r="K4" s="282" t="n">
        <v>8</v>
      </c>
      <c r="L4" s="283" t="n">
        <v>29.8</v>
      </c>
      <c r="M4" s="282" t="n">
        <v>4</v>
      </c>
      <c r="N4" s="282" t="n">
        <v>10</v>
      </c>
      <c r="O4" s="282" t="n">
        <v>6</v>
      </c>
      <c r="P4" s="282" t="n">
        <v>3</v>
      </c>
      <c r="Q4" s="281" t="inlineStr">
        <is>
          <t>Treino</t>
        </is>
      </c>
      <c r="R4" s="282" t="n">
        <v>4</v>
      </c>
      <c r="S4" s="281" t="inlineStr">
        <is>
          <t>MD-2</t>
        </is>
      </c>
      <c r="T4" s="282" t="n"/>
      <c r="U4" s="282" t="n"/>
      <c r="V4" s="284">
        <f>IF(_xlfn.MAXIFS(tblCarga[Data],tblCarga[Jogador],C4,tblCarga[Tipo],"Jogo",tblCarga[Data],"&lt;"&amp;A4)=0,"-",A4-_xlfn.MAXIFS(tblCarga[Data],tblCarga[Jogador],C4,tblCarga[Tipo],"Jogo",tblCarga[Data],"&lt;"&amp;A4))</f>
        <v/>
      </c>
      <c r="W4" s="282" t="n">
        <v>2</v>
      </c>
      <c r="X4" s="282" t="n">
        <v>1</v>
      </c>
      <c r="Y4" s="282" t="n">
        <v>3</v>
      </c>
      <c r="Z4" s="282" t="n">
        <v>1</v>
      </c>
      <c r="AA4" s="282" t="n">
        <v>7</v>
      </c>
    </row>
    <row r="5">
      <c r="A5" s="275" t="n">
        <v>46045</v>
      </c>
      <c r="B5" s="276" t="inlineStr">
        <is>
          <t>Belenenses</t>
        </is>
      </c>
      <c r="C5" s="276" t="inlineStr">
        <is>
          <t>Gomes</t>
        </is>
      </c>
      <c r="D5" s="276" t="inlineStr">
        <is>
          <t>Médio</t>
        </is>
      </c>
      <c r="E5" s="277" t="n">
        <v>87</v>
      </c>
      <c r="F5" s="277" t="n">
        <v>10123</v>
      </c>
      <c r="G5" s="277" t="n">
        <v>218</v>
      </c>
      <c r="H5" s="277" t="n">
        <v>105</v>
      </c>
      <c r="I5" s="277" t="n">
        <v>90</v>
      </c>
      <c r="J5" s="277" t="n">
        <v>84</v>
      </c>
      <c r="K5" s="277" t="n">
        <v>9</v>
      </c>
      <c r="L5" s="278" t="n">
        <v>29</v>
      </c>
      <c r="M5" s="277" t="n">
        <v>4</v>
      </c>
      <c r="N5" s="277" t="n">
        <v>12</v>
      </c>
      <c r="O5" s="277" t="n">
        <v>4</v>
      </c>
      <c r="P5" s="277" t="n">
        <v>2</v>
      </c>
      <c r="Q5" s="276" t="inlineStr">
        <is>
          <t>Treino</t>
        </is>
      </c>
      <c r="R5" s="277" t="n">
        <v>4</v>
      </c>
      <c r="S5" s="276" t="inlineStr">
        <is>
          <t>MD-2</t>
        </is>
      </c>
      <c r="T5" s="277" t="n"/>
      <c r="U5" s="277" t="n"/>
      <c r="V5" s="279">
        <f>IF(_xlfn.MAXIFS(tblCarga[Data],tblCarga[Jogador],C5,tblCarga[Tipo],"Jogo",tblCarga[Data],"&lt;"&amp;A5)=0,"-",A5-_xlfn.MAXIFS(tblCarga[Data],tblCarga[Jogador],C5,tblCarga[Tipo],"Jogo",tblCarga[Data],"&lt;"&amp;A5))</f>
        <v/>
      </c>
      <c r="W5" s="277" t="n">
        <v>3</v>
      </c>
      <c r="X5" s="277" t="n">
        <v>3</v>
      </c>
      <c r="Y5" s="277" t="n">
        <v>1</v>
      </c>
      <c r="Z5" s="277" t="n">
        <v>1</v>
      </c>
      <c r="AA5" s="277" t="n">
        <v>8</v>
      </c>
    </row>
    <row r="6">
      <c r="A6" s="280" t="n">
        <v>46045</v>
      </c>
      <c r="B6" s="281" t="inlineStr">
        <is>
          <t>Belenenses</t>
        </is>
      </c>
      <c r="C6" s="281" t="inlineStr">
        <is>
          <t>Sá</t>
        </is>
      </c>
      <c r="D6" s="281" t="inlineStr">
        <is>
          <t>Médio</t>
        </is>
      </c>
      <c r="E6" s="282" t="n">
        <v>94</v>
      </c>
      <c r="F6" s="282" t="n">
        <v>8899</v>
      </c>
      <c r="G6" s="282" t="n">
        <v>289</v>
      </c>
      <c r="H6" s="282" t="n">
        <v>45</v>
      </c>
      <c r="I6" s="282" t="n">
        <v>65</v>
      </c>
      <c r="J6" s="282" t="n">
        <v>80</v>
      </c>
      <c r="K6" s="282" t="n">
        <v>10</v>
      </c>
      <c r="L6" s="283" t="n">
        <v>31.1</v>
      </c>
      <c r="M6" s="282" t="n">
        <v>4</v>
      </c>
      <c r="N6" s="282" t="n">
        <v>13</v>
      </c>
      <c r="O6" s="282" t="n">
        <v>7</v>
      </c>
      <c r="P6" s="282" t="n">
        <v>1</v>
      </c>
      <c r="Q6" s="281" t="inlineStr">
        <is>
          <t>Treino</t>
        </is>
      </c>
      <c r="R6" s="282" t="n">
        <v>4</v>
      </c>
      <c r="S6" s="281" t="inlineStr">
        <is>
          <t>MD-2</t>
        </is>
      </c>
      <c r="T6" s="282" t="n"/>
      <c r="U6" s="282" t="n"/>
      <c r="V6" s="284">
        <f>IF(_xlfn.MAXIFS(tblCarga[Data],tblCarga[Jogador],C6,tblCarga[Tipo],"Jogo",tblCarga[Data],"&lt;"&amp;A6)=0,"-",A6-_xlfn.MAXIFS(tblCarga[Data],tblCarga[Jogador],C6,tblCarga[Tipo],"Jogo",tblCarga[Data],"&lt;"&amp;A6))</f>
        <v/>
      </c>
      <c r="W6" s="282" t="n">
        <v>2</v>
      </c>
      <c r="X6" s="282" t="n">
        <v>3</v>
      </c>
      <c r="Y6" s="282" t="n">
        <v>1</v>
      </c>
      <c r="Z6" s="282" t="n">
        <v>2</v>
      </c>
      <c r="AA6" s="282" t="n">
        <v>8</v>
      </c>
    </row>
    <row r="7">
      <c r="A7" s="275" t="n">
        <v>46045</v>
      </c>
      <c r="B7" s="276" t="inlineStr">
        <is>
          <t>Belenenses</t>
        </is>
      </c>
      <c r="C7" s="276" t="inlineStr">
        <is>
          <t>Varela</t>
        </is>
      </c>
      <c r="D7" s="276" t="inlineStr">
        <is>
          <t>Lateral</t>
        </is>
      </c>
      <c r="E7" s="277" t="n">
        <v>89</v>
      </c>
      <c r="F7" s="277" t="n">
        <v>11440</v>
      </c>
      <c r="G7" s="277" t="n">
        <v>363</v>
      </c>
      <c r="H7" s="277" t="n">
        <v>175</v>
      </c>
      <c r="I7" s="277" t="n">
        <v>75</v>
      </c>
      <c r="J7" s="277" t="n">
        <v>80</v>
      </c>
      <c r="K7" s="277" t="n">
        <v>8</v>
      </c>
      <c r="L7" s="278" t="n">
        <v>32.3</v>
      </c>
      <c r="M7" s="277" t="n">
        <v>4</v>
      </c>
      <c r="N7" s="277" t="n">
        <v>6</v>
      </c>
      <c r="O7" s="277" t="n">
        <v>3</v>
      </c>
      <c r="P7" s="277" t="n">
        <v>1</v>
      </c>
      <c r="Q7" s="276" t="inlineStr">
        <is>
          <t>Treino</t>
        </is>
      </c>
      <c r="R7" s="277" t="n">
        <v>4</v>
      </c>
      <c r="S7" s="276" t="inlineStr">
        <is>
          <t>MD-2</t>
        </is>
      </c>
      <c r="T7" s="277" t="n"/>
      <c r="U7" s="277" t="n"/>
      <c r="V7" s="279">
        <f>IF(_xlfn.MAXIFS(tblCarga[Data],tblCarga[Jogador],C7,tblCarga[Tipo],"Jogo",tblCarga[Data],"&lt;"&amp;A7)=0,"-",A7-_xlfn.MAXIFS(tblCarga[Data],tblCarga[Jogador],C7,tblCarga[Tipo],"Jogo",tblCarga[Data],"&lt;"&amp;A7))</f>
        <v/>
      </c>
      <c r="W7" s="277" t="n">
        <v>2</v>
      </c>
      <c r="X7" s="277" t="n">
        <v>2</v>
      </c>
      <c r="Y7" s="277" t="n">
        <v>2</v>
      </c>
      <c r="Z7" s="277" t="n">
        <v>2</v>
      </c>
      <c r="AA7" s="277" t="n">
        <v>8</v>
      </c>
    </row>
    <row r="8">
      <c r="A8" s="280" t="n">
        <v>46045</v>
      </c>
      <c r="B8" s="281" t="inlineStr">
        <is>
          <t>Belenenses</t>
        </is>
      </c>
      <c r="C8" s="281" t="inlineStr">
        <is>
          <t>Edu</t>
        </is>
      </c>
      <c r="D8" s="281" t="inlineStr">
        <is>
          <t>Lateral</t>
        </is>
      </c>
      <c r="E8" s="282" t="n">
        <v>95</v>
      </c>
      <c r="F8" s="282" t="n">
        <v>11377</v>
      </c>
      <c r="G8" s="282" t="n">
        <v>469</v>
      </c>
      <c r="H8" s="282" t="n">
        <v>231</v>
      </c>
      <c r="I8" s="282" t="n">
        <v>84</v>
      </c>
      <c r="J8" s="282" t="n">
        <v>75</v>
      </c>
      <c r="K8" s="282" t="n">
        <v>4</v>
      </c>
      <c r="L8" s="283" t="n">
        <v>31.9</v>
      </c>
      <c r="M8" s="282" t="n">
        <v>4</v>
      </c>
      <c r="N8" s="282" t="n">
        <v>12</v>
      </c>
      <c r="O8" s="282" t="n">
        <v>5</v>
      </c>
      <c r="P8" s="282" t="n">
        <v>2</v>
      </c>
      <c r="Q8" s="281" t="inlineStr">
        <is>
          <t>Treino</t>
        </is>
      </c>
      <c r="R8" s="282" t="n">
        <v>4</v>
      </c>
      <c r="S8" s="281" t="inlineStr">
        <is>
          <t>MD-2</t>
        </is>
      </c>
      <c r="T8" s="282" t="n"/>
      <c r="U8" s="282" t="n"/>
      <c r="V8" s="284">
        <f>IF(_xlfn.MAXIFS(tblCarga[Data],tblCarga[Jogador],C8,tblCarga[Tipo],"Jogo",tblCarga[Data],"&lt;"&amp;A8)=0,"-",A8-_xlfn.MAXIFS(tblCarga[Data],tblCarga[Jogador],C8,tblCarga[Tipo],"Jogo",tblCarga[Data],"&lt;"&amp;A8))</f>
        <v/>
      </c>
      <c r="W8" s="282" t="n">
        <v>1</v>
      </c>
      <c r="X8" s="282" t="n">
        <v>2</v>
      </c>
      <c r="Y8" s="282" t="n">
        <v>2</v>
      </c>
      <c r="Z8" s="282" t="n">
        <v>3</v>
      </c>
      <c r="AA8" s="282" t="n">
        <v>8</v>
      </c>
    </row>
    <row r="9">
      <c r="A9" s="275" t="n">
        <v>46045</v>
      </c>
      <c r="B9" s="276" t="inlineStr">
        <is>
          <t>Belenenses</t>
        </is>
      </c>
      <c r="C9" s="276" t="inlineStr">
        <is>
          <t>Capitulo</t>
        </is>
      </c>
      <c r="D9" s="276" t="inlineStr">
        <is>
          <t>Lateral</t>
        </is>
      </c>
      <c r="E9" s="277" t="n">
        <v>95</v>
      </c>
      <c r="F9" s="277" t="n">
        <v>10190</v>
      </c>
      <c r="G9" s="277" t="n">
        <v>486</v>
      </c>
      <c r="H9" s="277" t="n">
        <v>170</v>
      </c>
      <c r="I9" s="277" t="n">
        <v>83</v>
      </c>
      <c r="J9" s="277" t="n">
        <v>82</v>
      </c>
      <c r="K9" s="277" t="n">
        <v>4</v>
      </c>
      <c r="L9" s="278" t="n">
        <v>31</v>
      </c>
      <c r="M9" s="277" t="n">
        <v>4</v>
      </c>
      <c r="N9" s="277" t="n">
        <v>11</v>
      </c>
      <c r="O9" s="277" t="n">
        <v>7</v>
      </c>
      <c r="P9" s="277" t="n">
        <v>1</v>
      </c>
      <c r="Q9" s="276" t="inlineStr">
        <is>
          <t>Treino</t>
        </is>
      </c>
      <c r="R9" s="277" t="n">
        <v>4</v>
      </c>
      <c r="S9" s="276" t="inlineStr">
        <is>
          <t>MD-2</t>
        </is>
      </c>
      <c r="T9" s="277" t="n"/>
      <c r="U9" s="277" t="n"/>
      <c r="V9" s="279">
        <f>IF(_xlfn.MAXIFS(tblCarga[Data],tblCarga[Jogador],C9,tblCarga[Tipo],"Jogo",tblCarga[Data],"&lt;"&amp;A9)=0,"-",A9-_xlfn.MAXIFS(tblCarga[Data],tblCarga[Jogador],C9,tblCarga[Tipo],"Jogo",tblCarga[Data],"&lt;"&amp;A9))</f>
        <v/>
      </c>
      <c r="W9" s="277" t="n">
        <v>2</v>
      </c>
      <c r="X9" s="277" t="n">
        <v>1</v>
      </c>
      <c r="Y9" s="277" t="n">
        <v>1</v>
      </c>
      <c r="Z9" s="277" t="n">
        <v>3</v>
      </c>
      <c r="AA9" s="277" t="n">
        <v>7</v>
      </c>
    </row>
    <row r="10">
      <c r="A10" s="280" t="n">
        <v>46045</v>
      </c>
      <c r="B10" s="281" t="inlineStr">
        <is>
          <t>Belenenses</t>
        </is>
      </c>
      <c r="C10" s="281" t="inlineStr">
        <is>
          <t>Enzo Hugo</t>
        </is>
      </c>
      <c r="D10" s="281" t="inlineStr">
        <is>
          <t>Central</t>
        </is>
      </c>
      <c r="E10" s="282" t="n">
        <v>84</v>
      </c>
      <c r="F10" s="282" t="n">
        <v>9489</v>
      </c>
      <c r="G10" s="282" t="n">
        <v>251</v>
      </c>
      <c r="H10" s="282" t="n">
        <v>44</v>
      </c>
      <c r="I10" s="282" t="n">
        <v>82</v>
      </c>
      <c r="J10" s="282" t="n">
        <v>96</v>
      </c>
      <c r="K10" s="282" t="n">
        <v>8</v>
      </c>
      <c r="L10" s="283" t="n">
        <v>28.7</v>
      </c>
      <c r="M10" s="282" t="n">
        <v>4</v>
      </c>
      <c r="N10" s="282" t="n">
        <v>13</v>
      </c>
      <c r="O10" s="282" t="n">
        <v>7</v>
      </c>
      <c r="P10" s="282" t="n">
        <v>4</v>
      </c>
      <c r="Q10" s="281" t="inlineStr">
        <is>
          <t>Treino</t>
        </is>
      </c>
      <c r="R10" s="282" t="n">
        <v>4</v>
      </c>
      <c r="S10" s="281" t="inlineStr">
        <is>
          <t>MD-2</t>
        </is>
      </c>
      <c r="T10" s="282" t="n"/>
      <c r="U10" s="282" t="n"/>
      <c r="V10" s="284">
        <f>IF(_xlfn.MAXIFS(tblCarga[Data],tblCarga[Jogador],C10,tblCarga[Tipo],"Jogo",tblCarga[Data],"&lt;"&amp;A10)=0,"-",A10-_xlfn.MAXIFS(tblCarga[Data],tblCarga[Jogador],C10,tblCarga[Tipo],"Jogo",tblCarga[Data],"&lt;"&amp;A10))</f>
        <v/>
      </c>
      <c r="W10" s="282" t="n">
        <v>2</v>
      </c>
      <c r="X10" s="282" t="n">
        <v>2</v>
      </c>
      <c r="Y10" s="282" t="n">
        <v>2</v>
      </c>
      <c r="Z10" s="282" t="n">
        <v>2</v>
      </c>
      <c r="AA10" s="282" t="n">
        <v>8</v>
      </c>
    </row>
    <row r="11">
      <c r="A11" s="275" t="n">
        <v>46045</v>
      </c>
      <c r="B11" s="276" t="inlineStr">
        <is>
          <t>Belenenses</t>
        </is>
      </c>
      <c r="C11" s="276" t="inlineStr">
        <is>
          <t>Nogueira</t>
        </is>
      </c>
      <c r="D11" s="276" t="inlineStr">
        <is>
          <t>Central</t>
        </is>
      </c>
      <c r="E11" s="277" t="n">
        <v>93</v>
      </c>
      <c r="F11" s="277" t="n">
        <v>10367</v>
      </c>
      <c r="G11" s="277" t="n">
        <v>303</v>
      </c>
      <c r="H11" s="277" t="n">
        <v>33</v>
      </c>
      <c r="I11" s="277" t="n">
        <v>62</v>
      </c>
      <c r="J11" s="277" t="n">
        <v>87</v>
      </c>
      <c r="K11" s="277" t="n">
        <v>7</v>
      </c>
      <c r="L11" s="278" t="n">
        <v>28.8</v>
      </c>
      <c r="M11" s="277" t="n">
        <v>4</v>
      </c>
      <c r="N11" s="277" t="n">
        <v>9</v>
      </c>
      <c r="O11" s="277" t="n">
        <v>5</v>
      </c>
      <c r="P11" s="277" t="n">
        <v>3</v>
      </c>
      <c r="Q11" s="276" t="inlineStr">
        <is>
          <t>Treino</t>
        </is>
      </c>
      <c r="R11" s="277" t="n">
        <v>4</v>
      </c>
      <c r="S11" s="276" t="inlineStr">
        <is>
          <t>MD-2</t>
        </is>
      </c>
      <c r="T11" s="277" t="n"/>
      <c r="U11" s="277" t="n"/>
      <c r="V11" s="279">
        <f>IF(_xlfn.MAXIFS(tblCarga[Data],tblCarga[Jogador],C11,tblCarga[Tipo],"Jogo",tblCarga[Data],"&lt;"&amp;A11)=0,"-",A11-_xlfn.MAXIFS(tblCarga[Data],tblCarga[Jogador],C11,tblCarga[Tipo],"Jogo",tblCarga[Data],"&lt;"&amp;A11))</f>
        <v/>
      </c>
      <c r="W11" s="277" t="n">
        <v>2</v>
      </c>
      <c r="X11" s="277" t="n">
        <v>2</v>
      </c>
      <c r="Y11" s="277" t="n">
        <v>2</v>
      </c>
      <c r="Z11" s="277" t="n">
        <v>3</v>
      </c>
      <c r="AA11" s="277" t="n">
        <v>9</v>
      </c>
    </row>
    <row r="12">
      <c r="A12" s="280" t="n">
        <v>46052</v>
      </c>
      <c r="B12" s="281" t="inlineStr">
        <is>
          <t>Belenenses</t>
        </is>
      </c>
      <c r="C12" s="281" t="inlineStr">
        <is>
          <t>Paulino</t>
        </is>
      </c>
      <c r="D12" s="281" t="inlineStr">
        <is>
          <t>Médio</t>
        </is>
      </c>
      <c r="E12" s="282" t="n">
        <v>82</v>
      </c>
      <c r="F12" s="282" t="n">
        <v>6537</v>
      </c>
      <c r="G12" s="282" t="n">
        <v>264</v>
      </c>
      <c r="H12" s="282" t="n">
        <v>132</v>
      </c>
      <c r="I12" s="282" t="n">
        <v>61</v>
      </c>
      <c r="J12" s="282" t="n">
        <v>71</v>
      </c>
      <c r="K12" s="282" t="n">
        <v>7</v>
      </c>
      <c r="L12" s="283" t="n">
        <v>30.5</v>
      </c>
      <c r="M12" s="282" t="n">
        <v>5</v>
      </c>
      <c r="N12" s="282" t="n">
        <v>13</v>
      </c>
      <c r="O12" s="282" t="n">
        <v>8</v>
      </c>
      <c r="P12" s="282" t="n">
        <v>4</v>
      </c>
      <c r="Q12" s="281" t="inlineStr">
        <is>
          <t>Treino</t>
        </is>
      </c>
      <c r="R12" s="282" t="n">
        <v>5</v>
      </c>
      <c r="S12" s="281" t="inlineStr">
        <is>
          <t>MD-1</t>
        </is>
      </c>
      <c r="T12" s="282" t="n"/>
      <c r="U12" s="282" t="n"/>
      <c r="V12" s="284">
        <f>IF(_xlfn.MAXIFS(tblCarga[Data],tblCarga[Jogador],C12,tblCarga[Tipo],"Jogo",tblCarga[Data],"&lt;"&amp;A12)=0,"-",A12-_xlfn.MAXIFS(tblCarga[Data],tblCarga[Jogador],C12,tblCarga[Tipo],"Jogo",tblCarga[Data],"&lt;"&amp;A12))</f>
        <v/>
      </c>
      <c r="W12" s="282" t="n">
        <v>1</v>
      </c>
      <c r="X12" s="282" t="n">
        <v>1</v>
      </c>
      <c r="Y12" s="282" t="n">
        <v>2</v>
      </c>
      <c r="Z12" s="282" t="n">
        <v>2</v>
      </c>
      <c r="AA12" s="282" t="n">
        <v>6</v>
      </c>
    </row>
    <row r="13">
      <c r="A13" s="275" t="n">
        <v>46052</v>
      </c>
      <c r="B13" s="276" t="inlineStr">
        <is>
          <t>Belenenses</t>
        </is>
      </c>
      <c r="C13" s="276" t="inlineStr">
        <is>
          <t>Artur</t>
        </is>
      </c>
      <c r="D13" s="276" t="inlineStr">
        <is>
          <t>Médio</t>
        </is>
      </c>
      <c r="E13" s="277" t="n">
        <v>95</v>
      </c>
      <c r="F13" s="277" t="n">
        <v>8996</v>
      </c>
      <c r="G13" s="277" t="n">
        <v>172</v>
      </c>
      <c r="H13" s="277" t="n">
        <v>55</v>
      </c>
      <c r="I13" s="277" t="n">
        <v>70</v>
      </c>
      <c r="J13" s="277" t="n">
        <v>76</v>
      </c>
      <c r="K13" s="277" t="n">
        <v>6</v>
      </c>
      <c r="L13" s="278" t="n">
        <v>30.2</v>
      </c>
      <c r="M13" s="277" t="n">
        <v>5</v>
      </c>
      <c r="N13" s="277" t="n">
        <v>10</v>
      </c>
      <c r="O13" s="277" t="n">
        <v>5</v>
      </c>
      <c r="P13" s="277" t="n">
        <v>2</v>
      </c>
      <c r="Q13" s="276" t="inlineStr">
        <is>
          <t>Treino</t>
        </is>
      </c>
      <c r="R13" s="277" t="n">
        <v>5</v>
      </c>
      <c r="S13" s="276" t="inlineStr">
        <is>
          <t>MD-1</t>
        </is>
      </c>
      <c r="T13" s="277" t="n"/>
      <c r="U13" s="277" t="n"/>
      <c r="V13" s="279">
        <f>IF(_xlfn.MAXIFS(tblCarga[Data],tblCarga[Jogador],C13,tblCarga[Tipo],"Jogo",tblCarga[Data],"&lt;"&amp;A13)=0,"-",A13-_xlfn.MAXIFS(tblCarga[Data],tblCarga[Jogador],C13,tblCarga[Tipo],"Jogo",tblCarga[Data],"&lt;"&amp;A13))</f>
        <v/>
      </c>
      <c r="W13" s="277" t="n">
        <v>1</v>
      </c>
      <c r="X13" s="277" t="n">
        <v>1</v>
      </c>
      <c r="Y13" s="277" t="n">
        <v>2</v>
      </c>
      <c r="Z13" s="277" t="n">
        <v>1</v>
      </c>
      <c r="AA13" s="277" t="n">
        <v>5</v>
      </c>
    </row>
    <row r="14">
      <c r="A14" s="280" t="n">
        <v>46052</v>
      </c>
      <c r="B14" s="281" t="inlineStr">
        <is>
          <t>Belenenses</t>
        </is>
      </c>
      <c r="C14" s="281" t="inlineStr">
        <is>
          <t>Gomes</t>
        </is>
      </c>
      <c r="D14" s="281" t="inlineStr">
        <is>
          <t>Médio</t>
        </is>
      </c>
      <c r="E14" s="282" t="n">
        <v>81</v>
      </c>
      <c r="F14" s="282" t="n">
        <v>8529</v>
      </c>
      <c r="G14" s="282" t="n">
        <v>240</v>
      </c>
      <c r="H14" s="282" t="n">
        <v>111</v>
      </c>
      <c r="I14" s="282" t="n">
        <v>77</v>
      </c>
      <c r="J14" s="282" t="n">
        <v>87</v>
      </c>
      <c r="K14" s="282" t="n">
        <v>7</v>
      </c>
      <c r="L14" s="283" t="n">
        <v>28.3</v>
      </c>
      <c r="M14" s="282" t="n">
        <v>5</v>
      </c>
      <c r="N14" s="282" t="n">
        <v>9</v>
      </c>
      <c r="O14" s="282" t="n">
        <v>3</v>
      </c>
      <c r="P14" s="282" t="n">
        <v>1</v>
      </c>
      <c r="Q14" s="281" t="inlineStr">
        <is>
          <t>Treino</t>
        </is>
      </c>
      <c r="R14" s="282" t="n">
        <v>5</v>
      </c>
      <c r="S14" s="281" t="inlineStr">
        <is>
          <t>MD-1</t>
        </is>
      </c>
      <c r="T14" s="282" t="n"/>
      <c r="U14" s="282" t="n"/>
      <c r="V14" s="284">
        <f>IF(_xlfn.MAXIFS(tblCarga[Data],tblCarga[Jogador],C14,tblCarga[Tipo],"Jogo",tblCarga[Data],"&lt;"&amp;A14)=0,"-",A14-_xlfn.MAXIFS(tblCarga[Data],tblCarga[Jogador],C14,tblCarga[Tipo],"Jogo",tblCarga[Data],"&lt;"&amp;A14))</f>
        <v/>
      </c>
      <c r="W14" s="282" t="n">
        <v>2</v>
      </c>
      <c r="X14" s="282" t="n">
        <v>2</v>
      </c>
      <c r="Y14" s="282" t="n">
        <v>1</v>
      </c>
      <c r="Z14" s="282" t="n">
        <v>1</v>
      </c>
      <c r="AA14" s="282" t="n">
        <v>6</v>
      </c>
    </row>
    <row r="15">
      <c r="A15" s="275" t="n">
        <v>46052</v>
      </c>
      <c r="B15" s="276" t="inlineStr">
        <is>
          <t>Belenenses</t>
        </is>
      </c>
      <c r="C15" s="276" t="inlineStr">
        <is>
          <t>Sá</t>
        </is>
      </c>
      <c r="D15" s="276" t="inlineStr">
        <is>
          <t>Médio</t>
        </is>
      </c>
      <c r="E15" s="277" t="n">
        <v>96</v>
      </c>
      <c r="F15" s="277" t="n">
        <v>10370</v>
      </c>
      <c r="G15" s="277" t="n">
        <v>323</v>
      </c>
      <c r="H15" s="277" t="n">
        <v>48</v>
      </c>
      <c r="I15" s="277" t="n">
        <v>78</v>
      </c>
      <c r="J15" s="277" t="n">
        <v>83</v>
      </c>
      <c r="K15" s="277" t="n">
        <v>9</v>
      </c>
      <c r="L15" s="278" t="n">
        <v>31.3</v>
      </c>
      <c r="M15" s="277" t="n">
        <v>5</v>
      </c>
      <c r="N15" s="277" t="n">
        <v>10</v>
      </c>
      <c r="O15" s="277" t="n">
        <v>5</v>
      </c>
      <c r="P15" s="277" t="n">
        <v>1</v>
      </c>
      <c r="Q15" s="276" t="inlineStr">
        <is>
          <t>Treino</t>
        </is>
      </c>
      <c r="R15" s="277" t="n">
        <v>5</v>
      </c>
      <c r="S15" s="276" t="inlineStr">
        <is>
          <t>MD-1</t>
        </is>
      </c>
      <c r="T15" s="277" t="n"/>
      <c r="U15" s="277" t="n"/>
      <c r="V15" s="279">
        <f>IF(_xlfn.MAXIFS(tblCarga[Data],tblCarga[Jogador],C15,tblCarga[Tipo],"Jogo",tblCarga[Data],"&lt;"&amp;A15)=0,"-",A15-_xlfn.MAXIFS(tblCarga[Data],tblCarga[Jogador],C15,tblCarga[Tipo],"Jogo",tblCarga[Data],"&lt;"&amp;A15))</f>
        <v/>
      </c>
      <c r="W15" s="277" t="n">
        <v>1</v>
      </c>
      <c r="X15" s="277" t="n">
        <v>1</v>
      </c>
      <c r="Y15" s="277" t="n">
        <v>3</v>
      </c>
      <c r="Z15" s="277" t="n">
        <v>2</v>
      </c>
      <c r="AA15" s="277" t="n">
        <v>7</v>
      </c>
    </row>
    <row r="16">
      <c r="A16" s="280" t="n">
        <v>46052</v>
      </c>
      <c r="B16" s="281" t="inlineStr">
        <is>
          <t>Belenenses</t>
        </is>
      </c>
      <c r="C16" s="281" t="inlineStr">
        <is>
          <t>Varela</t>
        </is>
      </c>
      <c r="D16" s="281" t="inlineStr">
        <is>
          <t>Lateral</t>
        </is>
      </c>
      <c r="E16" s="282" t="n">
        <v>86</v>
      </c>
      <c r="F16" s="282" t="n">
        <v>11347</v>
      </c>
      <c r="G16" s="282" t="n">
        <v>377</v>
      </c>
      <c r="H16" s="282" t="n">
        <v>134</v>
      </c>
      <c r="I16" s="282" t="n">
        <v>88</v>
      </c>
      <c r="J16" s="282" t="n">
        <v>95</v>
      </c>
      <c r="K16" s="282" t="n">
        <v>6</v>
      </c>
      <c r="L16" s="283" t="n">
        <v>32.6</v>
      </c>
      <c r="M16" s="282" t="n">
        <v>5</v>
      </c>
      <c r="N16" s="282" t="n">
        <v>13</v>
      </c>
      <c r="O16" s="282" t="n">
        <v>5</v>
      </c>
      <c r="P16" s="282" t="n">
        <v>3</v>
      </c>
      <c r="Q16" s="281" t="inlineStr">
        <is>
          <t>Treino</t>
        </is>
      </c>
      <c r="R16" s="282" t="n">
        <v>5</v>
      </c>
      <c r="S16" s="281" t="inlineStr">
        <is>
          <t>MD-1</t>
        </is>
      </c>
      <c r="T16" s="282" t="n"/>
      <c r="U16" s="282" t="n"/>
      <c r="V16" s="284">
        <f>IF(_xlfn.MAXIFS(tblCarga[Data],tblCarga[Jogador],C16,tblCarga[Tipo],"Jogo",tblCarga[Data],"&lt;"&amp;A16)=0,"-",A16-_xlfn.MAXIFS(tblCarga[Data],tblCarga[Jogador],C16,tblCarga[Tipo],"Jogo",tblCarga[Data],"&lt;"&amp;A16))</f>
        <v/>
      </c>
      <c r="W16" s="282" t="n">
        <v>1</v>
      </c>
      <c r="X16" s="282" t="n">
        <v>1</v>
      </c>
      <c r="Y16" s="282" t="n">
        <v>2</v>
      </c>
      <c r="Z16" s="282" t="n">
        <v>1</v>
      </c>
      <c r="AA16" s="282" t="n">
        <v>5</v>
      </c>
    </row>
    <row r="17">
      <c r="A17" s="275" t="n">
        <v>46052</v>
      </c>
      <c r="B17" s="276" t="inlineStr">
        <is>
          <t>Belenenses</t>
        </is>
      </c>
      <c r="C17" s="276" t="inlineStr">
        <is>
          <t>Edu</t>
        </is>
      </c>
      <c r="D17" s="276" t="inlineStr">
        <is>
          <t>Lateral</t>
        </is>
      </c>
      <c r="E17" s="277" t="n">
        <v>94</v>
      </c>
      <c r="F17" s="277" t="n">
        <v>9337</v>
      </c>
      <c r="G17" s="277" t="n">
        <v>391</v>
      </c>
      <c r="H17" s="277" t="n">
        <v>233</v>
      </c>
      <c r="I17" s="277" t="n">
        <v>72</v>
      </c>
      <c r="J17" s="277" t="n">
        <v>90</v>
      </c>
      <c r="K17" s="277" t="n">
        <v>6</v>
      </c>
      <c r="L17" s="278" t="n">
        <v>32.7</v>
      </c>
      <c r="M17" s="277" t="n">
        <v>5</v>
      </c>
      <c r="N17" s="277" t="n">
        <v>13</v>
      </c>
      <c r="O17" s="277" t="n">
        <v>10</v>
      </c>
      <c r="P17" s="277" t="n">
        <v>4</v>
      </c>
      <c r="Q17" s="276" t="inlineStr">
        <is>
          <t>Treino</t>
        </is>
      </c>
      <c r="R17" s="277" t="n">
        <v>5</v>
      </c>
      <c r="S17" s="276" t="inlineStr">
        <is>
          <t>MD-1</t>
        </is>
      </c>
      <c r="T17" s="277" t="n"/>
      <c r="U17" s="277" t="n"/>
      <c r="V17" s="279">
        <f>IF(_xlfn.MAXIFS(tblCarga[Data],tblCarga[Jogador],C17,tblCarga[Tipo],"Jogo",tblCarga[Data],"&lt;"&amp;A17)=0,"-",A17-_xlfn.MAXIFS(tblCarga[Data],tblCarga[Jogador],C17,tblCarga[Tipo],"Jogo",tblCarga[Data],"&lt;"&amp;A17))</f>
        <v/>
      </c>
      <c r="W17" s="277" t="n">
        <v>2</v>
      </c>
      <c r="X17" s="277" t="n">
        <v>1</v>
      </c>
      <c r="Y17" s="277" t="n">
        <v>2</v>
      </c>
      <c r="Z17" s="277" t="n">
        <v>1</v>
      </c>
      <c r="AA17" s="277" t="n">
        <v>6</v>
      </c>
    </row>
    <row r="18">
      <c r="A18" s="280" t="n">
        <v>46052</v>
      </c>
      <c r="B18" s="281" t="inlineStr">
        <is>
          <t>Belenenses</t>
        </is>
      </c>
      <c r="C18" s="281" t="inlineStr">
        <is>
          <t>Capitulo</t>
        </is>
      </c>
      <c r="D18" s="281" t="inlineStr">
        <is>
          <t>Lateral</t>
        </is>
      </c>
      <c r="E18" s="282" t="n">
        <v>95</v>
      </c>
      <c r="F18" s="282" t="n">
        <v>12143</v>
      </c>
      <c r="G18" s="282" t="n">
        <v>577</v>
      </c>
      <c r="H18" s="282" t="n">
        <v>182</v>
      </c>
      <c r="I18" s="282" t="n">
        <v>102</v>
      </c>
      <c r="J18" s="282" t="n">
        <v>96</v>
      </c>
      <c r="K18" s="282" t="n">
        <v>5</v>
      </c>
      <c r="L18" s="283" t="n">
        <v>31.2</v>
      </c>
      <c r="M18" s="282" t="n">
        <v>5</v>
      </c>
      <c r="N18" s="282" t="n">
        <v>13</v>
      </c>
      <c r="O18" s="282" t="n">
        <v>6</v>
      </c>
      <c r="P18" s="282" t="n">
        <v>4</v>
      </c>
      <c r="Q18" s="281" t="inlineStr">
        <is>
          <t>Treino</t>
        </is>
      </c>
      <c r="R18" s="282" t="n">
        <v>5</v>
      </c>
      <c r="S18" s="281" t="inlineStr">
        <is>
          <t>MD-1</t>
        </is>
      </c>
      <c r="T18" s="282" t="n"/>
      <c r="U18" s="282" t="n"/>
      <c r="V18" s="284">
        <f>IF(_xlfn.MAXIFS(tblCarga[Data],tblCarga[Jogador],C18,tblCarga[Tipo],"Jogo",tblCarga[Data],"&lt;"&amp;A18)=0,"-",A18-_xlfn.MAXIFS(tblCarga[Data],tblCarga[Jogador],C18,tblCarga[Tipo],"Jogo",tblCarga[Data],"&lt;"&amp;A18))</f>
        <v/>
      </c>
      <c r="W18" s="282" t="n">
        <v>1</v>
      </c>
      <c r="X18" s="282" t="n">
        <v>2</v>
      </c>
      <c r="Y18" s="282" t="n">
        <v>1</v>
      </c>
      <c r="Z18" s="282" t="n">
        <v>1</v>
      </c>
      <c r="AA18" s="282" t="n">
        <v>5</v>
      </c>
    </row>
    <row r="19">
      <c r="A19" s="275" t="n">
        <v>46052</v>
      </c>
      <c r="B19" s="276" t="inlineStr">
        <is>
          <t>Belenenses</t>
        </is>
      </c>
      <c r="C19" s="276" t="inlineStr">
        <is>
          <t>Enzo Hugo</t>
        </is>
      </c>
      <c r="D19" s="276" t="inlineStr">
        <is>
          <t>Central</t>
        </is>
      </c>
      <c r="E19" s="277" t="n">
        <v>86</v>
      </c>
      <c r="F19" s="277" t="n">
        <v>9151</v>
      </c>
      <c r="G19" s="277" t="n">
        <v>311</v>
      </c>
      <c r="H19" s="277" t="n">
        <v>58</v>
      </c>
      <c r="I19" s="277" t="n">
        <v>95</v>
      </c>
      <c r="J19" s="277" t="n">
        <v>97</v>
      </c>
      <c r="K19" s="277" t="n">
        <v>7</v>
      </c>
      <c r="L19" s="278" t="n">
        <v>29.7</v>
      </c>
      <c r="M19" s="277" t="n">
        <v>5</v>
      </c>
      <c r="N19" s="277" t="n">
        <v>14</v>
      </c>
      <c r="O19" s="277" t="n">
        <v>9</v>
      </c>
      <c r="P19" s="277" t="n">
        <v>3</v>
      </c>
      <c r="Q19" s="276" t="inlineStr">
        <is>
          <t>Treino</t>
        </is>
      </c>
      <c r="R19" s="277" t="n">
        <v>5</v>
      </c>
      <c r="S19" s="276" t="inlineStr">
        <is>
          <t>MD-1</t>
        </is>
      </c>
      <c r="T19" s="277" t="n"/>
      <c r="U19" s="277" t="n"/>
      <c r="V19" s="279">
        <f>IF(_xlfn.MAXIFS(tblCarga[Data],tblCarga[Jogador],C19,tblCarga[Tipo],"Jogo",tblCarga[Data],"&lt;"&amp;A19)=0,"-",A19-_xlfn.MAXIFS(tblCarga[Data],tblCarga[Jogador],C19,tblCarga[Tipo],"Jogo",tblCarga[Data],"&lt;"&amp;A19))</f>
        <v/>
      </c>
      <c r="W19" s="277" t="n">
        <v>1</v>
      </c>
      <c r="X19" s="277" t="n">
        <v>2</v>
      </c>
      <c r="Y19" s="277" t="n">
        <v>2</v>
      </c>
      <c r="Z19" s="277" t="n">
        <v>1</v>
      </c>
      <c r="AA19" s="277" t="n">
        <v>6</v>
      </c>
    </row>
    <row r="20">
      <c r="A20" s="280" t="n">
        <v>46052</v>
      </c>
      <c r="B20" s="281" t="inlineStr">
        <is>
          <t>Belenenses</t>
        </is>
      </c>
      <c r="C20" s="281" t="inlineStr">
        <is>
          <t>Nogueira</t>
        </is>
      </c>
      <c r="D20" s="281" t="inlineStr">
        <is>
          <t>Central</t>
        </is>
      </c>
      <c r="E20" s="282" t="n">
        <v>87</v>
      </c>
      <c r="F20" s="282" t="n">
        <v>9541</v>
      </c>
      <c r="G20" s="282" t="n">
        <v>374</v>
      </c>
      <c r="H20" s="282" t="n">
        <v>35</v>
      </c>
      <c r="I20" s="282" t="n">
        <v>53</v>
      </c>
      <c r="J20" s="282" t="n">
        <v>84</v>
      </c>
      <c r="K20" s="282" t="n">
        <v>6</v>
      </c>
      <c r="L20" s="283" t="n">
        <v>29.2</v>
      </c>
      <c r="M20" s="282" t="n">
        <v>5</v>
      </c>
      <c r="N20" s="282" t="n">
        <v>7</v>
      </c>
      <c r="O20" s="282" t="n">
        <v>4</v>
      </c>
      <c r="P20" s="282" t="n">
        <v>2</v>
      </c>
      <c r="Q20" s="281" t="inlineStr">
        <is>
          <t>Treino</t>
        </is>
      </c>
      <c r="R20" s="282" t="n">
        <v>5</v>
      </c>
      <c r="S20" s="281" t="inlineStr">
        <is>
          <t>MD-1</t>
        </is>
      </c>
      <c r="T20" s="282" t="n"/>
      <c r="U20" s="282" t="n"/>
      <c r="V20" s="284">
        <f>IF(_xlfn.MAXIFS(tblCarga[Data],tblCarga[Jogador],C20,tblCarga[Tipo],"Jogo",tblCarga[Data],"&lt;"&amp;A20)=0,"-",A20-_xlfn.MAXIFS(tblCarga[Data],tblCarga[Jogador],C20,tblCarga[Tipo],"Jogo",tblCarga[Data],"&lt;"&amp;A20))</f>
        <v/>
      </c>
      <c r="W20" s="282" t="n">
        <v>1</v>
      </c>
      <c r="X20" s="282" t="n">
        <v>1</v>
      </c>
      <c r="Y20" s="282" t="n">
        <v>1</v>
      </c>
      <c r="Z20" s="282" t="n">
        <v>2</v>
      </c>
      <c r="AA20" s="282" t="n">
        <v>5</v>
      </c>
    </row>
    <row r="21">
      <c r="A21" s="275" t="n">
        <v>46059</v>
      </c>
      <c r="B21" s="276" t="inlineStr">
        <is>
          <t>Belenenses</t>
        </is>
      </c>
      <c r="C21" s="276" t="inlineStr">
        <is>
          <t>Paulino</t>
        </is>
      </c>
      <c r="D21" s="276" t="inlineStr">
        <is>
          <t>Médio</t>
        </is>
      </c>
      <c r="E21" s="277" t="n">
        <v>92</v>
      </c>
      <c r="F21" s="277" t="n">
        <v>8156</v>
      </c>
      <c r="G21" s="277" t="n">
        <v>339</v>
      </c>
      <c r="H21" s="277" t="n">
        <v>135</v>
      </c>
      <c r="I21" s="277" t="n">
        <v>79</v>
      </c>
      <c r="J21" s="277" t="n">
        <v>75</v>
      </c>
      <c r="K21" s="277" t="n">
        <v>6</v>
      </c>
      <c r="L21" s="278" t="n">
        <v>29.3</v>
      </c>
      <c r="M21" s="277" t="n">
        <v>6</v>
      </c>
      <c r="N21" s="277" t="n">
        <v>9</v>
      </c>
      <c r="O21" s="277" t="n">
        <v>6</v>
      </c>
      <c r="P21" s="277" t="n">
        <v>2</v>
      </c>
      <c r="Q21" s="276" t="inlineStr">
        <is>
          <t>Treino</t>
        </is>
      </c>
      <c r="R21" s="277" t="n">
        <v>6</v>
      </c>
      <c r="S21" s="276" t="inlineStr">
        <is>
          <t>MD-1</t>
        </is>
      </c>
      <c r="T21" s="277" t="n"/>
      <c r="U21" s="277" t="n"/>
      <c r="V21" s="279">
        <f>IF(_xlfn.MAXIFS(tblCarga[Data],tblCarga[Jogador],C21,tblCarga[Tipo],"Jogo",tblCarga[Data],"&lt;"&amp;A21)=0,"-",A21-_xlfn.MAXIFS(tblCarga[Data],tblCarga[Jogador],C21,tblCarga[Tipo],"Jogo",tblCarga[Data],"&lt;"&amp;A21))</f>
        <v/>
      </c>
      <c r="W21" s="277" t="n">
        <v>1</v>
      </c>
      <c r="X21" s="277" t="n">
        <v>1</v>
      </c>
      <c r="Y21" s="277" t="n">
        <v>2</v>
      </c>
      <c r="Z21" s="277" t="n">
        <v>2</v>
      </c>
      <c r="AA21" s="277" t="n">
        <v>6</v>
      </c>
    </row>
    <row r="22">
      <c r="A22" s="280" t="n">
        <v>46059</v>
      </c>
      <c r="B22" s="281" t="inlineStr">
        <is>
          <t>Belenenses</t>
        </is>
      </c>
      <c r="C22" s="281" t="inlineStr">
        <is>
          <t>Artur</t>
        </is>
      </c>
      <c r="D22" s="281" t="inlineStr">
        <is>
          <t>Médio</t>
        </is>
      </c>
      <c r="E22" s="282" t="n">
        <v>90</v>
      </c>
      <c r="F22" s="282" t="n">
        <v>6563</v>
      </c>
      <c r="G22" s="282" t="n">
        <v>186</v>
      </c>
      <c r="H22" s="282" t="n">
        <v>53</v>
      </c>
      <c r="I22" s="282" t="n">
        <v>87</v>
      </c>
      <c r="J22" s="282" t="n">
        <v>79</v>
      </c>
      <c r="K22" s="282" t="n">
        <v>7</v>
      </c>
      <c r="L22" s="283" t="n">
        <v>29.9</v>
      </c>
      <c r="M22" s="282" t="n">
        <v>6</v>
      </c>
      <c r="N22" s="282" t="n">
        <v>10</v>
      </c>
      <c r="O22" s="282" t="n">
        <v>4</v>
      </c>
      <c r="P22" s="282" t="n">
        <v>2</v>
      </c>
      <c r="Q22" s="281" t="inlineStr">
        <is>
          <t>Treino</t>
        </is>
      </c>
      <c r="R22" s="282" t="n">
        <v>6</v>
      </c>
      <c r="S22" s="281" t="inlineStr">
        <is>
          <t>MD-1</t>
        </is>
      </c>
      <c r="T22" s="282" t="n"/>
      <c r="U22" s="282" t="n"/>
      <c r="V22" s="284">
        <f>IF(_xlfn.MAXIFS(tblCarga[Data],tblCarga[Jogador],C22,tblCarga[Tipo],"Jogo",tblCarga[Data],"&lt;"&amp;A22)=0,"-",A22-_xlfn.MAXIFS(tblCarga[Data],tblCarga[Jogador],C22,tblCarga[Tipo],"Jogo",tblCarga[Data],"&lt;"&amp;A22))</f>
        <v/>
      </c>
      <c r="W22" s="282" t="n">
        <v>1</v>
      </c>
      <c r="X22" s="282" t="n">
        <v>1</v>
      </c>
      <c r="Y22" s="282" t="n">
        <v>2</v>
      </c>
      <c r="Z22" s="282" t="n">
        <v>2</v>
      </c>
      <c r="AA22" s="282" t="n">
        <v>6</v>
      </c>
    </row>
    <row r="23">
      <c r="A23" s="275" t="n">
        <v>46059</v>
      </c>
      <c r="B23" s="276" t="inlineStr">
        <is>
          <t>Belenenses</t>
        </is>
      </c>
      <c r="C23" s="276" t="inlineStr">
        <is>
          <t>Gomes</t>
        </is>
      </c>
      <c r="D23" s="276" t="inlineStr">
        <is>
          <t>Médio</t>
        </is>
      </c>
      <c r="E23" s="277" t="n">
        <v>84</v>
      </c>
      <c r="F23" s="277" t="n">
        <v>10350</v>
      </c>
      <c r="G23" s="277" t="n">
        <v>271</v>
      </c>
      <c r="H23" s="277" t="n">
        <v>98</v>
      </c>
      <c r="I23" s="277" t="n">
        <v>80</v>
      </c>
      <c r="J23" s="277" t="n">
        <v>93</v>
      </c>
      <c r="K23" s="277" t="n">
        <v>8</v>
      </c>
      <c r="L23" s="278" t="n">
        <v>29.5</v>
      </c>
      <c r="M23" s="277" t="n">
        <v>6</v>
      </c>
      <c r="N23" s="277" t="n">
        <v>16</v>
      </c>
      <c r="O23" s="277" t="n">
        <v>8</v>
      </c>
      <c r="P23" s="277" t="n">
        <v>3</v>
      </c>
      <c r="Q23" s="276" t="inlineStr">
        <is>
          <t>Treino</t>
        </is>
      </c>
      <c r="R23" s="277" t="n">
        <v>6</v>
      </c>
      <c r="S23" s="276" t="inlineStr">
        <is>
          <t>MD-1</t>
        </is>
      </c>
      <c r="T23" s="277" t="n"/>
      <c r="U23" s="277" t="n"/>
      <c r="V23" s="279">
        <f>IF(_xlfn.MAXIFS(tblCarga[Data],tblCarga[Jogador],C23,tblCarga[Tipo],"Jogo",tblCarga[Data],"&lt;"&amp;A23)=0,"-",A23-_xlfn.MAXIFS(tblCarga[Data],tblCarga[Jogador],C23,tblCarga[Tipo],"Jogo",tblCarga[Data],"&lt;"&amp;A23))</f>
        <v/>
      </c>
      <c r="W23" s="277" t="n">
        <v>1</v>
      </c>
      <c r="X23" s="277" t="n">
        <v>1</v>
      </c>
      <c r="Y23" s="277" t="n">
        <v>2</v>
      </c>
      <c r="Z23" s="277" t="n">
        <v>2</v>
      </c>
      <c r="AA23" s="277" t="n">
        <v>6</v>
      </c>
    </row>
    <row r="24">
      <c r="A24" s="280" t="n">
        <v>46059</v>
      </c>
      <c r="B24" s="281" t="inlineStr">
        <is>
          <t>Belenenses</t>
        </is>
      </c>
      <c r="C24" s="281" t="inlineStr">
        <is>
          <t>Sá</t>
        </is>
      </c>
      <c r="D24" s="281" t="inlineStr">
        <is>
          <t>Médio</t>
        </is>
      </c>
      <c r="E24" s="282" t="n">
        <v>94</v>
      </c>
      <c r="F24" s="282" t="n">
        <v>8028</v>
      </c>
      <c r="G24" s="282" t="n">
        <v>248</v>
      </c>
      <c r="H24" s="282" t="n">
        <v>42</v>
      </c>
      <c r="I24" s="282" t="n">
        <v>74</v>
      </c>
      <c r="J24" s="282" t="n">
        <v>92</v>
      </c>
      <c r="K24" s="282" t="n">
        <v>10</v>
      </c>
      <c r="L24" s="283" t="n">
        <v>30.8</v>
      </c>
      <c r="M24" s="282" t="n">
        <v>6</v>
      </c>
      <c r="N24" s="282" t="n">
        <v>11</v>
      </c>
      <c r="O24" s="282" t="n">
        <v>6</v>
      </c>
      <c r="P24" s="282" t="n">
        <v>3</v>
      </c>
      <c r="Q24" s="281" t="inlineStr">
        <is>
          <t>Treino</t>
        </is>
      </c>
      <c r="R24" s="282" t="n">
        <v>6</v>
      </c>
      <c r="S24" s="281" t="inlineStr">
        <is>
          <t>MD-1</t>
        </is>
      </c>
      <c r="T24" s="282" t="n"/>
      <c r="U24" s="282" t="n"/>
      <c r="V24" s="284">
        <f>IF(_xlfn.MAXIFS(tblCarga[Data],tblCarga[Jogador],C24,tblCarga[Tipo],"Jogo",tblCarga[Data],"&lt;"&amp;A24)=0,"-",A24-_xlfn.MAXIFS(tblCarga[Data],tblCarga[Jogador],C24,tblCarga[Tipo],"Jogo",tblCarga[Data],"&lt;"&amp;A24))</f>
        <v/>
      </c>
      <c r="W24" s="282" t="n">
        <v>1</v>
      </c>
      <c r="X24" s="282" t="n">
        <v>1</v>
      </c>
      <c r="Y24" s="282" t="n">
        <v>1</v>
      </c>
      <c r="Z24" s="282" t="n">
        <v>1</v>
      </c>
      <c r="AA24" s="282" t="n">
        <v>4</v>
      </c>
    </row>
    <row r="25">
      <c r="A25" s="275" t="n">
        <v>46059</v>
      </c>
      <c r="B25" s="276" t="inlineStr">
        <is>
          <t>Belenenses</t>
        </is>
      </c>
      <c r="C25" s="276" t="inlineStr">
        <is>
          <t>Varela</t>
        </is>
      </c>
      <c r="D25" s="276" t="inlineStr">
        <is>
          <t>Lateral</t>
        </is>
      </c>
      <c r="E25" s="277" t="n">
        <v>87</v>
      </c>
      <c r="F25" s="277" t="n">
        <v>10206</v>
      </c>
      <c r="G25" s="277" t="n">
        <v>406</v>
      </c>
      <c r="H25" s="277" t="n">
        <v>154</v>
      </c>
      <c r="I25" s="277" t="n">
        <v>74</v>
      </c>
      <c r="J25" s="277" t="n">
        <v>98</v>
      </c>
      <c r="K25" s="277" t="n">
        <v>8</v>
      </c>
      <c r="L25" s="278" t="n">
        <v>33.6</v>
      </c>
      <c r="M25" s="277" t="n">
        <v>6</v>
      </c>
      <c r="N25" s="277" t="n">
        <v>14</v>
      </c>
      <c r="O25" s="277" t="n">
        <v>6</v>
      </c>
      <c r="P25" s="277" t="n">
        <v>3</v>
      </c>
      <c r="Q25" s="276" t="inlineStr">
        <is>
          <t>Treino</t>
        </is>
      </c>
      <c r="R25" s="277" t="n">
        <v>6</v>
      </c>
      <c r="S25" s="276" t="inlineStr">
        <is>
          <t>MD-1</t>
        </is>
      </c>
      <c r="T25" s="277" t="n"/>
      <c r="U25" s="277" t="n"/>
      <c r="V25" s="279">
        <f>IF(_xlfn.MAXIFS(tblCarga[Data],tblCarga[Jogador],C25,tblCarga[Tipo],"Jogo",tblCarga[Data],"&lt;"&amp;A25)=0,"-",A25-_xlfn.MAXIFS(tblCarga[Data],tblCarga[Jogador],C25,tblCarga[Tipo],"Jogo",tblCarga[Data],"&lt;"&amp;A25))</f>
        <v/>
      </c>
      <c r="W25" s="277" t="n">
        <v>2</v>
      </c>
      <c r="X25" s="277" t="n">
        <v>1</v>
      </c>
      <c r="Y25" s="277" t="n">
        <v>2</v>
      </c>
      <c r="Z25" s="277" t="n">
        <v>1</v>
      </c>
      <c r="AA25" s="277" t="n">
        <v>6</v>
      </c>
    </row>
    <row r="26">
      <c r="A26" s="280" t="n">
        <v>46059</v>
      </c>
      <c r="B26" s="281" t="inlineStr">
        <is>
          <t>Belenenses</t>
        </is>
      </c>
      <c r="C26" s="281" t="inlineStr">
        <is>
          <t>Edu</t>
        </is>
      </c>
      <c r="D26" s="281" t="inlineStr">
        <is>
          <t>Lateral</t>
        </is>
      </c>
      <c r="E26" s="282" t="n">
        <v>88</v>
      </c>
      <c r="F26" s="282" t="n">
        <v>9702</v>
      </c>
      <c r="G26" s="282" t="n">
        <v>394</v>
      </c>
      <c r="H26" s="282" t="n">
        <v>173</v>
      </c>
      <c r="I26" s="282" t="n">
        <v>69</v>
      </c>
      <c r="J26" s="282" t="n">
        <v>88</v>
      </c>
      <c r="K26" s="282" t="n">
        <v>6</v>
      </c>
      <c r="L26" s="283" t="n">
        <v>32.4</v>
      </c>
      <c r="M26" s="282" t="n">
        <v>6</v>
      </c>
      <c r="N26" s="282" t="n">
        <v>12</v>
      </c>
      <c r="O26" s="282" t="n">
        <v>5</v>
      </c>
      <c r="P26" s="282" t="n">
        <v>3</v>
      </c>
      <c r="Q26" s="281" t="inlineStr">
        <is>
          <t>Treino</t>
        </is>
      </c>
      <c r="R26" s="282" t="n">
        <v>6</v>
      </c>
      <c r="S26" s="281" t="inlineStr">
        <is>
          <t>MD-1</t>
        </is>
      </c>
      <c r="T26" s="282" t="n"/>
      <c r="U26" s="282" t="n"/>
      <c r="V26" s="284">
        <f>IF(_xlfn.MAXIFS(tblCarga[Data],tblCarga[Jogador],C26,tblCarga[Tipo],"Jogo",tblCarga[Data],"&lt;"&amp;A26)=0,"-",A26-_xlfn.MAXIFS(tblCarga[Data],tblCarga[Jogador],C26,tblCarga[Tipo],"Jogo",tblCarga[Data],"&lt;"&amp;A26))</f>
        <v/>
      </c>
      <c r="W26" s="282" t="n">
        <v>1</v>
      </c>
      <c r="X26" s="282" t="n">
        <v>2</v>
      </c>
      <c r="Y26" s="282" t="n">
        <v>2</v>
      </c>
      <c r="Z26" s="282" t="n">
        <v>2</v>
      </c>
      <c r="AA26" s="282" t="n">
        <v>7</v>
      </c>
    </row>
    <row r="27">
      <c r="A27" s="275" t="n">
        <v>46059</v>
      </c>
      <c r="B27" s="276" t="inlineStr">
        <is>
          <t>Belenenses</t>
        </is>
      </c>
      <c r="C27" s="276" t="inlineStr">
        <is>
          <t>Capitulo</t>
        </is>
      </c>
      <c r="D27" s="276" t="inlineStr">
        <is>
          <t>Lateral</t>
        </is>
      </c>
      <c r="E27" s="277" t="n">
        <v>88</v>
      </c>
      <c r="F27" s="277" t="n">
        <v>13962</v>
      </c>
      <c r="G27" s="277" t="n">
        <v>442</v>
      </c>
      <c r="H27" s="277" t="n">
        <v>182</v>
      </c>
      <c r="I27" s="277" t="n">
        <v>82</v>
      </c>
      <c r="J27" s="277" t="n">
        <v>102</v>
      </c>
      <c r="K27" s="277" t="n">
        <v>5</v>
      </c>
      <c r="L27" s="278" t="n">
        <v>30.8</v>
      </c>
      <c r="M27" s="277" t="n">
        <v>6</v>
      </c>
      <c r="N27" s="277" t="n">
        <v>16</v>
      </c>
      <c r="O27" s="277" t="n">
        <v>8</v>
      </c>
      <c r="P27" s="277" t="n">
        <v>2</v>
      </c>
      <c r="Q27" s="276" t="inlineStr">
        <is>
          <t>Treino</t>
        </is>
      </c>
      <c r="R27" s="277" t="n">
        <v>6</v>
      </c>
      <c r="S27" s="276" t="inlineStr">
        <is>
          <t>MD-1</t>
        </is>
      </c>
      <c r="T27" s="277" t="n"/>
      <c r="U27" s="277" t="n"/>
      <c r="V27" s="279">
        <f>IF(_xlfn.MAXIFS(tblCarga[Data],tblCarga[Jogador],C27,tblCarga[Tipo],"Jogo",tblCarga[Data],"&lt;"&amp;A27)=0,"-",A27-_xlfn.MAXIFS(tblCarga[Data],tblCarga[Jogador],C27,tblCarga[Tipo],"Jogo",tblCarga[Data],"&lt;"&amp;A27))</f>
        <v/>
      </c>
      <c r="W27" s="277" t="n">
        <v>1</v>
      </c>
      <c r="X27" s="277" t="n">
        <v>1</v>
      </c>
      <c r="Y27" s="277" t="n">
        <v>3</v>
      </c>
      <c r="Z27" s="277" t="n">
        <v>1</v>
      </c>
      <c r="AA27" s="277" t="n">
        <v>6</v>
      </c>
    </row>
    <row r="28">
      <c r="A28" s="280" t="n">
        <v>46059</v>
      </c>
      <c r="B28" s="281" t="inlineStr">
        <is>
          <t>Belenenses</t>
        </is>
      </c>
      <c r="C28" s="281" t="inlineStr">
        <is>
          <t>Enzo Hugo</t>
        </is>
      </c>
      <c r="D28" s="281" t="inlineStr">
        <is>
          <t>Central</t>
        </is>
      </c>
      <c r="E28" s="282" t="n">
        <v>95</v>
      </c>
      <c r="F28" s="282" t="n">
        <v>9952</v>
      </c>
      <c r="G28" s="282" t="n">
        <v>297</v>
      </c>
      <c r="H28" s="282" t="n">
        <v>57</v>
      </c>
      <c r="I28" s="282" t="n">
        <v>102</v>
      </c>
      <c r="J28" s="282" t="n">
        <v>99</v>
      </c>
      <c r="K28" s="282" t="n">
        <v>6</v>
      </c>
      <c r="L28" s="283" t="n">
        <v>28.3</v>
      </c>
      <c r="M28" s="282" t="n">
        <v>6</v>
      </c>
      <c r="N28" s="282" t="n">
        <v>11</v>
      </c>
      <c r="O28" s="282" t="n">
        <v>5</v>
      </c>
      <c r="P28" s="282" t="n">
        <v>2</v>
      </c>
      <c r="Q28" s="281" t="inlineStr">
        <is>
          <t>Treino</t>
        </is>
      </c>
      <c r="R28" s="282" t="n">
        <v>6</v>
      </c>
      <c r="S28" s="281" t="inlineStr">
        <is>
          <t>MD-1</t>
        </is>
      </c>
      <c r="T28" s="282" t="n"/>
      <c r="U28" s="282" t="n"/>
      <c r="V28" s="284">
        <f>IF(_xlfn.MAXIFS(tblCarga[Data],tblCarga[Jogador],C28,tblCarga[Tipo],"Jogo",tblCarga[Data],"&lt;"&amp;A28)=0,"-",A28-_xlfn.MAXIFS(tblCarga[Data],tblCarga[Jogador],C28,tblCarga[Tipo],"Jogo",tblCarga[Data],"&lt;"&amp;A28))</f>
        <v/>
      </c>
      <c r="W28" s="282" t="n">
        <v>1</v>
      </c>
      <c r="X28" s="282" t="n">
        <v>2</v>
      </c>
      <c r="Y28" s="282" t="n">
        <v>3</v>
      </c>
      <c r="Z28" s="282" t="n">
        <v>1</v>
      </c>
      <c r="AA28" s="282" t="n">
        <v>7</v>
      </c>
    </row>
    <row r="29">
      <c r="A29" s="275" t="n">
        <v>46059</v>
      </c>
      <c r="B29" s="276" t="inlineStr">
        <is>
          <t>Belenenses</t>
        </is>
      </c>
      <c r="C29" s="276" t="inlineStr">
        <is>
          <t>Nogueira</t>
        </is>
      </c>
      <c r="D29" s="276" t="inlineStr">
        <is>
          <t>Central</t>
        </is>
      </c>
      <c r="E29" s="277" t="n">
        <v>85</v>
      </c>
      <c r="F29" s="277" t="n">
        <v>8869</v>
      </c>
      <c r="G29" s="277" t="n">
        <v>288</v>
      </c>
      <c r="H29" s="277" t="n">
        <v>28</v>
      </c>
      <c r="I29" s="277" t="n">
        <v>59</v>
      </c>
      <c r="J29" s="277" t="n">
        <v>75</v>
      </c>
      <c r="K29" s="277" t="n">
        <v>7</v>
      </c>
      <c r="L29" s="278" t="n">
        <v>29.1</v>
      </c>
      <c r="M29" s="277" t="n">
        <v>6</v>
      </c>
      <c r="N29" s="277" t="n">
        <v>16</v>
      </c>
      <c r="O29" s="277" t="n">
        <v>8</v>
      </c>
      <c r="P29" s="277" t="n">
        <v>4</v>
      </c>
      <c r="Q29" s="276" t="inlineStr">
        <is>
          <t>Treino</t>
        </is>
      </c>
      <c r="R29" s="277" t="n">
        <v>6</v>
      </c>
      <c r="S29" s="276" t="inlineStr">
        <is>
          <t>MD-1</t>
        </is>
      </c>
      <c r="T29" s="277" t="n"/>
      <c r="U29" s="277" t="n"/>
      <c r="V29" s="279">
        <f>IF(_xlfn.MAXIFS(tblCarga[Data],tblCarga[Jogador],C29,tblCarga[Tipo],"Jogo",tblCarga[Data],"&lt;"&amp;A29)=0,"-",A29-_xlfn.MAXIFS(tblCarga[Data],tblCarga[Jogador],C29,tblCarga[Tipo],"Jogo",tblCarga[Data],"&lt;"&amp;A29))</f>
        <v/>
      </c>
      <c r="W29" s="277" t="n">
        <v>2</v>
      </c>
      <c r="X29" s="277" t="n">
        <v>2</v>
      </c>
      <c r="Y29" s="277" t="n">
        <v>1</v>
      </c>
      <c r="Z29" s="277" t="n">
        <v>2</v>
      </c>
      <c r="AA29" s="277" t="n">
        <v>7</v>
      </c>
    </row>
    <row r="30">
      <c r="A30" s="280" t="n">
        <v>46066</v>
      </c>
      <c r="B30" s="281" t="inlineStr">
        <is>
          <t>Belenenses</t>
        </is>
      </c>
      <c r="C30" s="281" t="inlineStr">
        <is>
          <t>Paulino</t>
        </is>
      </c>
      <c r="D30" s="281" t="inlineStr">
        <is>
          <t>Médio</t>
        </is>
      </c>
      <c r="E30" s="282" t="n">
        <v>90</v>
      </c>
      <c r="F30" s="282" t="n">
        <v>7860</v>
      </c>
      <c r="G30" s="282" t="n">
        <v>308</v>
      </c>
      <c r="H30" s="282" t="n">
        <v>145</v>
      </c>
      <c r="I30" s="282" t="n">
        <v>61</v>
      </c>
      <c r="J30" s="282" t="n">
        <v>82</v>
      </c>
      <c r="K30" s="282" t="n">
        <v>5</v>
      </c>
      <c r="L30" s="283" t="n">
        <v>29.2</v>
      </c>
      <c r="M30" s="282" t="n">
        <v>7</v>
      </c>
      <c r="N30" s="282" t="n">
        <v>9</v>
      </c>
      <c r="O30" s="282" t="n">
        <v>6</v>
      </c>
      <c r="P30" s="282" t="n">
        <v>2</v>
      </c>
      <c r="Q30" s="281" t="inlineStr">
        <is>
          <t>Treino</t>
        </is>
      </c>
      <c r="R30" s="282" t="n">
        <v>7</v>
      </c>
      <c r="S30" s="281" t="inlineStr">
        <is>
          <t>MD-1</t>
        </is>
      </c>
      <c r="T30" s="282" t="n"/>
      <c r="U30" s="282" t="n"/>
      <c r="V30" s="284">
        <f>IF(_xlfn.MAXIFS(tblCarga[Data],tblCarga[Jogador],C30,tblCarga[Tipo],"Jogo",tblCarga[Data],"&lt;"&amp;A30)=0,"-",A30-_xlfn.MAXIFS(tblCarga[Data],tblCarga[Jogador],C30,tblCarga[Tipo],"Jogo",tblCarga[Data],"&lt;"&amp;A30))</f>
        <v/>
      </c>
      <c r="W30" s="282" t="n">
        <v>2</v>
      </c>
      <c r="X30" s="282" t="n">
        <v>1</v>
      </c>
      <c r="Y30" s="282" t="n">
        <v>2</v>
      </c>
      <c r="Z30" s="282" t="n">
        <v>1</v>
      </c>
      <c r="AA30" s="282" t="n">
        <v>6</v>
      </c>
    </row>
    <row r="31">
      <c r="A31" s="275" t="n">
        <v>46066</v>
      </c>
      <c r="B31" s="276" t="inlineStr">
        <is>
          <t>Belenenses</t>
        </is>
      </c>
      <c r="C31" s="276" t="inlineStr">
        <is>
          <t>Artur</t>
        </is>
      </c>
      <c r="D31" s="276" t="inlineStr">
        <is>
          <t>Médio</t>
        </is>
      </c>
      <c r="E31" s="277" t="n">
        <v>87</v>
      </c>
      <c r="F31" s="277" t="n">
        <v>7222</v>
      </c>
      <c r="G31" s="277" t="n">
        <v>218</v>
      </c>
      <c r="H31" s="277" t="n">
        <v>43</v>
      </c>
      <c r="I31" s="277" t="n">
        <v>78</v>
      </c>
      <c r="J31" s="277" t="n">
        <v>96</v>
      </c>
      <c r="K31" s="277" t="n">
        <v>6</v>
      </c>
      <c r="L31" s="278" t="n">
        <v>30.5</v>
      </c>
      <c r="M31" s="277" t="n">
        <v>7</v>
      </c>
      <c r="N31" s="277" t="n">
        <v>9</v>
      </c>
      <c r="O31" s="277" t="n">
        <v>4</v>
      </c>
      <c r="P31" s="277" t="n">
        <v>2</v>
      </c>
      <c r="Q31" s="276" t="inlineStr">
        <is>
          <t>Treino</t>
        </is>
      </c>
      <c r="R31" s="277" t="n">
        <v>7</v>
      </c>
      <c r="S31" s="276" t="inlineStr">
        <is>
          <t>MD-1</t>
        </is>
      </c>
      <c r="T31" s="277" t="n"/>
      <c r="U31" s="277" t="n"/>
      <c r="V31" s="279">
        <f>IF(_xlfn.MAXIFS(tblCarga[Data],tblCarga[Jogador],C31,tblCarga[Tipo],"Jogo",tblCarga[Data],"&lt;"&amp;A31)=0,"-",A31-_xlfn.MAXIFS(tblCarga[Data],tblCarga[Jogador],C31,tblCarga[Tipo],"Jogo",tblCarga[Data],"&lt;"&amp;A31))</f>
        <v/>
      </c>
      <c r="W31" s="277" t="n">
        <v>1</v>
      </c>
      <c r="X31" s="277" t="n">
        <v>1</v>
      </c>
      <c r="Y31" s="277" t="n">
        <v>1</v>
      </c>
      <c r="Z31" s="277" t="n">
        <v>1</v>
      </c>
      <c r="AA31" s="277" t="n">
        <v>4</v>
      </c>
    </row>
    <row r="32">
      <c r="A32" s="280" t="n">
        <v>46066</v>
      </c>
      <c r="B32" s="281" t="inlineStr">
        <is>
          <t>Belenenses</t>
        </is>
      </c>
      <c r="C32" s="281" t="inlineStr">
        <is>
          <t>Gomes</t>
        </is>
      </c>
      <c r="D32" s="281" t="inlineStr">
        <is>
          <t>Médio</t>
        </is>
      </c>
      <c r="E32" s="282" t="n">
        <v>83</v>
      </c>
      <c r="F32" s="282" t="n">
        <v>8377</v>
      </c>
      <c r="G32" s="282" t="n">
        <v>229</v>
      </c>
      <c r="H32" s="282" t="n">
        <v>95</v>
      </c>
      <c r="I32" s="282" t="n">
        <v>81</v>
      </c>
      <c r="J32" s="282" t="n">
        <v>80</v>
      </c>
      <c r="K32" s="282" t="n">
        <v>8</v>
      </c>
      <c r="L32" s="283" t="n">
        <v>29.4</v>
      </c>
      <c r="M32" s="282" t="n">
        <v>7</v>
      </c>
      <c r="N32" s="282" t="n">
        <v>11</v>
      </c>
      <c r="O32" s="282" t="n">
        <v>8</v>
      </c>
      <c r="P32" s="282" t="n">
        <v>4</v>
      </c>
      <c r="Q32" s="281" t="inlineStr">
        <is>
          <t>Treino</t>
        </is>
      </c>
      <c r="R32" s="282" t="n">
        <v>7</v>
      </c>
      <c r="S32" s="281" t="inlineStr">
        <is>
          <t>MD-1</t>
        </is>
      </c>
      <c r="T32" s="282" t="n"/>
      <c r="U32" s="282" t="n"/>
      <c r="V32" s="284">
        <f>IF(_xlfn.MAXIFS(tblCarga[Data],tblCarga[Jogador],C32,tblCarga[Tipo],"Jogo",tblCarga[Data],"&lt;"&amp;A32)=0,"-",A32-_xlfn.MAXIFS(tblCarga[Data],tblCarga[Jogador],C32,tblCarga[Tipo],"Jogo",tblCarga[Data],"&lt;"&amp;A32))</f>
        <v/>
      </c>
      <c r="W32" s="282" t="n">
        <v>1</v>
      </c>
      <c r="X32" s="282" t="n">
        <v>1</v>
      </c>
      <c r="Y32" s="282" t="n">
        <v>2</v>
      </c>
      <c r="Z32" s="282" t="n">
        <v>2</v>
      </c>
      <c r="AA32" s="282" t="n">
        <v>6</v>
      </c>
    </row>
    <row r="33">
      <c r="A33" s="275" t="n">
        <v>46066</v>
      </c>
      <c r="B33" s="276" t="inlineStr">
        <is>
          <t>Belenenses</t>
        </is>
      </c>
      <c r="C33" s="276" t="inlineStr">
        <is>
          <t>Sá</t>
        </is>
      </c>
      <c r="D33" s="276" t="inlineStr">
        <is>
          <t>Médio</t>
        </is>
      </c>
      <c r="E33" s="277" t="n">
        <v>92</v>
      </c>
      <c r="F33" s="277" t="n">
        <v>10021</v>
      </c>
      <c r="G33" s="277" t="n">
        <v>254</v>
      </c>
      <c r="H33" s="277" t="n">
        <v>53</v>
      </c>
      <c r="I33" s="277" t="n">
        <v>86</v>
      </c>
      <c r="J33" s="277" t="n">
        <v>100</v>
      </c>
      <c r="K33" s="277" t="n">
        <v>7</v>
      </c>
      <c r="L33" s="278" t="n">
        <v>30.2</v>
      </c>
      <c r="M33" s="277" t="n">
        <v>7</v>
      </c>
      <c r="N33" s="277" t="n">
        <v>16</v>
      </c>
      <c r="O33" s="277" t="n">
        <v>8</v>
      </c>
      <c r="P33" s="277" t="n">
        <v>2</v>
      </c>
      <c r="Q33" s="276" t="inlineStr">
        <is>
          <t>Treino</t>
        </is>
      </c>
      <c r="R33" s="277" t="n">
        <v>7</v>
      </c>
      <c r="S33" s="276" t="inlineStr">
        <is>
          <t>MD-1</t>
        </is>
      </c>
      <c r="T33" s="277" t="n"/>
      <c r="U33" s="277" t="n"/>
      <c r="V33" s="279">
        <f>IF(_xlfn.MAXIFS(tblCarga[Data],tblCarga[Jogador],C33,tblCarga[Tipo],"Jogo",tblCarga[Data],"&lt;"&amp;A33)=0,"-",A33-_xlfn.MAXIFS(tblCarga[Data],tblCarga[Jogador],C33,tblCarga[Tipo],"Jogo",tblCarga[Data],"&lt;"&amp;A33))</f>
        <v/>
      </c>
      <c r="W33" s="277" t="n">
        <v>1</v>
      </c>
      <c r="X33" s="277" t="n">
        <v>1</v>
      </c>
      <c r="Y33" s="277" t="n">
        <v>2</v>
      </c>
      <c r="Z33" s="277" t="n">
        <v>2</v>
      </c>
      <c r="AA33" s="277" t="n">
        <v>6</v>
      </c>
    </row>
    <row r="34">
      <c r="A34" s="280" t="n">
        <v>46066</v>
      </c>
      <c r="B34" s="281" t="inlineStr">
        <is>
          <t>Belenenses</t>
        </is>
      </c>
      <c r="C34" s="281" t="inlineStr">
        <is>
          <t>Varela</t>
        </is>
      </c>
      <c r="D34" s="281" t="inlineStr">
        <is>
          <t>Lateral</t>
        </is>
      </c>
      <c r="E34" s="282" t="n">
        <v>94</v>
      </c>
      <c r="F34" s="282" t="n">
        <v>10527</v>
      </c>
      <c r="G34" s="282" t="n">
        <v>307</v>
      </c>
      <c r="H34" s="282" t="n">
        <v>170</v>
      </c>
      <c r="I34" s="282" t="n">
        <v>86</v>
      </c>
      <c r="J34" s="282" t="n">
        <v>93</v>
      </c>
      <c r="K34" s="282" t="n">
        <v>7</v>
      </c>
      <c r="L34" s="283" t="n">
        <v>33.2</v>
      </c>
      <c r="M34" s="282" t="n">
        <v>7</v>
      </c>
      <c r="N34" s="282" t="n">
        <v>14</v>
      </c>
      <c r="O34" s="282" t="n">
        <v>6</v>
      </c>
      <c r="P34" s="282" t="n">
        <v>3</v>
      </c>
      <c r="Q34" s="281" t="inlineStr">
        <is>
          <t>Treino</t>
        </is>
      </c>
      <c r="R34" s="282" t="n">
        <v>7</v>
      </c>
      <c r="S34" s="281" t="inlineStr">
        <is>
          <t>MD-1</t>
        </is>
      </c>
      <c r="T34" s="282" t="n"/>
      <c r="U34" s="282" t="n"/>
      <c r="V34" s="284">
        <f>IF(_xlfn.MAXIFS(tblCarga[Data],tblCarga[Jogador],C34,tblCarga[Tipo],"Jogo",tblCarga[Data],"&lt;"&amp;A34)=0,"-",A34-_xlfn.MAXIFS(tblCarga[Data],tblCarga[Jogador],C34,tblCarga[Tipo],"Jogo",tblCarga[Data],"&lt;"&amp;A34))</f>
        <v/>
      </c>
      <c r="W34" s="282" t="n">
        <v>2</v>
      </c>
      <c r="X34" s="282" t="n">
        <v>2</v>
      </c>
      <c r="Y34" s="282" t="n">
        <v>3</v>
      </c>
      <c r="Z34" s="282" t="n">
        <v>1</v>
      </c>
      <c r="AA34" s="282" t="n">
        <v>8</v>
      </c>
    </row>
    <row r="35">
      <c r="A35" s="275" t="n">
        <v>46066</v>
      </c>
      <c r="B35" s="276" t="inlineStr">
        <is>
          <t>Belenenses</t>
        </is>
      </c>
      <c r="C35" s="276" t="inlineStr">
        <is>
          <t>Edu</t>
        </is>
      </c>
      <c r="D35" s="276" t="inlineStr">
        <is>
          <t>Lateral</t>
        </is>
      </c>
      <c r="E35" s="277" t="n">
        <v>87</v>
      </c>
      <c r="F35" s="277" t="n">
        <v>9229</v>
      </c>
      <c r="G35" s="277" t="n">
        <v>377</v>
      </c>
      <c r="H35" s="277" t="n">
        <v>209</v>
      </c>
      <c r="I35" s="277" t="n">
        <v>71</v>
      </c>
      <c r="J35" s="277" t="n">
        <v>79</v>
      </c>
      <c r="K35" s="277" t="n">
        <v>5</v>
      </c>
      <c r="L35" s="278" t="n">
        <v>32</v>
      </c>
      <c r="M35" s="277" t="n">
        <v>7</v>
      </c>
      <c r="N35" s="277" t="n">
        <v>17</v>
      </c>
      <c r="O35" s="277" t="n">
        <v>9</v>
      </c>
      <c r="P35" s="277" t="n">
        <v>4</v>
      </c>
      <c r="Q35" s="276" t="inlineStr">
        <is>
          <t>Treino</t>
        </is>
      </c>
      <c r="R35" s="277" t="n">
        <v>7</v>
      </c>
      <c r="S35" s="276" t="inlineStr">
        <is>
          <t>MD-1</t>
        </is>
      </c>
      <c r="T35" s="277" t="n"/>
      <c r="U35" s="277" t="n"/>
      <c r="V35" s="279">
        <f>IF(_xlfn.MAXIFS(tblCarga[Data],tblCarga[Jogador],C35,tblCarga[Tipo],"Jogo",tblCarga[Data],"&lt;"&amp;A35)=0,"-",A35-_xlfn.MAXIFS(tblCarga[Data],tblCarga[Jogador],C35,tblCarga[Tipo],"Jogo",tblCarga[Data],"&lt;"&amp;A35))</f>
        <v/>
      </c>
      <c r="W35" s="277" t="n">
        <v>1</v>
      </c>
      <c r="X35" s="277" t="n">
        <v>1</v>
      </c>
      <c r="Y35" s="277" t="n">
        <v>2</v>
      </c>
      <c r="Z35" s="277" t="n">
        <v>1</v>
      </c>
      <c r="AA35" s="277" t="n">
        <v>5</v>
      </c>
    </row>
    <row r="36">
      <c r="A36" s="280" t="n">
        <v>46066</v>
      </c>
      <c r="B36" s="281" t="inlineStr">
        <is>
          <t>Belenenses</t>
        </is>
      </c>
      <c r="C36" s="281" t="inlineStr">
        <is>
          <t>Capitulo</t>
        </is>
      </c>
      <c r="D36" s="281" t="inlineStr">
        <is>
          <t>Lateral</t>
        </is>
      </c>
      <c r="E36" s="282" t="n">
        <v>98</v>
      </c>
      <c r="F36" s="282" t="n">
        <v>12996</v>
      </c>
      <c r="G36" s="282" t="n">
        <v>412</v>
      </c>
      <c r="H36" s="282" t="n">
        <v>191</v>
      </c>
      <c r="I36" s="282" t="n">
        <v>95</v>
      </c>
      <c r="J36" s="282" t="n">
        <v>85</v>
      </c>
      <c r="K36" s="282" t="n">
        <v>5</v>
      </c>
      <c r="L36" s="283" t="n">
        <v>30.5</v>
      </c>
      <c r="M36" s="282" t="n">
        <v>7</v>
      </c>
      <c r="N36" s="282" t="n">
        <v>12</v>
      </c>
      <c r="O36" s="282" t="n">
        <v>7</v>
      </c>
      <c r="P36" s="282" t="n">
        <v>4</v>
      </c>
      <c r="Q36" s="281" t="inlineStr">
        <is>
          <t>Treino</t>
        </is>
      </c>
      <c r="R36" s="282" t="n">
        <v>7</v>
      </c>
      <c r="S36" s="281" t="inlineStr">
        <is>
          <t>MD-1</t>
        </is>
      </c>
      <c r="T36" s="282" t="n"/>
      <c r="U36" s="282" t="n"/>
      <c r="V36" s="284">
        <f>IF(_xlfn.MAXIFS(tblCarga[Data],tblCarga[Jogador],C36,tblCarga[Tipo],"Jogo",tblCarga[Data],"&lt;"&amp;A36)=0,"-",A36-_xlfn.MAXIFS(tblCarga[Data],tblCarga[Jogador],C36,tblCarga[Tipo],"Jogo",tblCarga[Data],"&lt;"&amp;A36))</f>
        <v/>
      </c>
      <c r="W36" s="282" t="n">
        <v>1</v>
      </c>
      <c r="X36" s="282" t="n">
        <v>1</v>
      </c>
      <c r="Y36" s="282" t="n">
        <v>1</v>
      </c>
      <c r="Z36" s="282" t="n">
        <v>2</v>
      </c>
      <c r="AA36" s="282" t="n">
        <v>5</v>
      </c>
    </row>
    <row r="37">
      <c r="A37" s="275" t="n">
        <v>46066</v>
      </c>
      <c r="B37" s="276" t="inlineStr">
        <is>
          <t>Belenenses</t>
        </is>
      </c>
      <c r="C37" s="276" t="inlineStr">
        <is>
          <t>Enzo Hugo</t>
        </is>
      </c>
      <c r="D37" s="276" t="inlineStr">
        <is>
          <t>Central</t>
        </is>
      </c>
      <c r="E37" s="277" t="n">
        <v>88</v>
      </c>
      <c r="F37" s="277" t="n">
        <v>9506</v>
      </c>
      <c r="G37" s="277" t="n">
        <v>340</v>
      </c>
      <c r="H37" s="277" t="n">
        <v>42</v>
      </c>
      <c r="I37" s="277" t="n">
        <v>100</v>
      </c>
      <c r="J37" s="277" t="n">
        <v>113</v>
      </c>
      <c r="K37" s="277" t="n">
        <v>9</v>
      </c>
      <c r="L37" s="278" t="n">
        <v>29.5</v>
      </c>
      <c r="M37" s="277" t="n">
        <v>7</v>
      </c>
      <c r="N37" s="277" t="n">
        <v>13</v>
      </c>
      <c r="O37" s="277" t="n">
        <v>5</v>
      </c>
      <c r="P37" s="277" t="n">
        <v>2</v>
      </c>
      <c r="Q37" s="276" t="inlineStr">
        <is>
          <t>Treino</t>
        </is>
      </c>
      <c r="R37" s="277" t="n">
        <v>7</v>
      </c>
      <c r="S37" s="276" t="inlineStr">
        <is>
          <t>MD-1</t>
        </is>
      </c>
      <c r="T37" s="277" t="n"/>
      <c r="U37" s="277" t="n"/>
      <c r="V37" s="279">
        <f>IF(_xlfn.MAXIFS(tblCarga[Data],tblCarga[Jogador],C37,tblCarga[Tipo],"Jogo",tblCarga[Data],"&lt;"&amp;A37)=0,"-",A37-_xlfn.MAXIFS(tblCarga[Data],tblCarga[Jogador],C37,tblCarga[Tipo],"Jogo",tblCarga[Data],"&lt;"&amp;A37))</f>
        <v/>
      </c>
      <c r="W37" s="277" t="n">
        <v>2</v>
      </c>
      <c r="X37" s="277" t="n">
        <v>1</v>
      </c>
      <c r="Y37" s="277" t="n">
        <v>2</v>
      </c>
      <c r="Z37" s="277" t="n">
        <v>2</v>
      </c>
      <c r="AA37" s="277" t="n">
        <v>7</v>
      </c>
    </row>
    <row r="38">
      <c r="A38" s="280" t="n">
        <v>46066</v>
      </c>
      <c r="B38" s="281" t="inlineStr">
        <is>
          <t>Belenenses</t>
        </is>
      </c>
      <c r="C38" s="281" t="inlineStr">
        <is>
          <t>Nogueira</t>
        </is>
      </c>
      <c r="D38" s="281" t="inlineStr">
        <is>
          <t>Central</t>
        </is>
      </c>
      <c r="E38" s="282" t="n">
        <v>87</v>
      </c>
      <c r="F38" s="282" t="n">
        <v>8395</v>
      </c>
      <c r="G38" s="282" t="n">
        <v>292</v>
      </c>
      <c r="H38" s="282" t="n">
        <v>28</v>
      </c>
      <c r="I38" s="282" t="n">
        <v>55</v>
      </c>
      <c r="J38" s="282" t="n">
        <v>70</v>
      </c>
      <c r="K38" s="282" t="n">
        <v>8</v>
      </c>
      <c r="L38" s="283" t="n">
        <v>29.7</v>
      </c>
      <c r="M38" s="282" t="n">
        <v>7</v>
      </c>
      <c r="N38" s="282" t="n">
        <v>15</v>
      </c>
      <c r="O38" s="282" t="n">
        <v>9</v>
      </c>
      <c r="P38" s="282" t="n">
        <v>3</v>
      </c>
      <c r="Q38" s="281" t="inlineStr">
        <is>
          <t>Treino</t>
        </is>
      </c>
      <c r="R38" s="282" t="n">
        <v>7</v>
      </c>
      <c r="S38" s="281" t="inlineStr">
        <is>
          <t>MD-1</t>
        </is>
      </c>
      <c r="T38" s="282" t="n"/>
      <c r="U38" s="282" t="n"/>
      <c r="V38" s="284">
        <f>IF(_xlfn.MAXIFS(tblCarga[Data],tblCarga[Jogador],C38,tblCarga[Tipo],"Jogo",tblCarga[Data],"&lt;"&amp;A38)=0,"-",A38-_xlfn.MAXIFS(tblCarga[Data],tblCarga[Jogador],C38,tblCarga[Tipo],"Jogo",tblCarga[Data],"&lt;"&amp;A38))</f>
        <v/>
      </c>
      <c r="W38" s="282" t="n">
        <v>1</v>
      </c>
      <c r="X38" s="282" t="n">
        <v>1</v>
      </c>
      <c r="Y38" s="282" t="n">
        <v>2</v>
      </c>
      <c r="Z38" s="282" t="n">
        <v>1</v>
      </c>
      <c r="AA38" s="282" t="n">
        <v>5</v>
      </c>
    </row>
    <row r="39">
      <c r="A39" s="275" t="n">
        <v>46073</v>
      </c>
      <c r="B39" s="276" t="inlineStr">
        <is>
          <t>Belenenses</t>
        </is>
      </c>
      <c r="C39" s="276" t="inlineStr">
        <is>
          <t>Paulino</t>
        </is>
      </c>
      <c r="D39" s="276" t="inlineStr">
        <is>
          <t>Médio</t>
        </is>
      </c>
      <c r="E39" s="277" t="n">
        <v>90</v>
      </c>
      <c r="F39" s="277" t="n">
        <v>7500</v>
      </c>
      <c r="G39" s="277" t="n">
        <v>300</v>
      </c>
      <c r="H39" s="277" t="n">
        <v>150</v>
      </c>
      <c r="I39" s="277" t="n">
        <v>70</v>
      </c>
      <c r="J39" s="277" t="n">
        <v>80</v>
      </c>
      <c r="K39" s="277" t="n">
        <v>7</v>
      </c>
      <c r="L39" s="278" t="n">
        <v>30</v>
      </c>
      <c r="M39" s="277" t="n">
        <v>8</v>
      </c>
      <c r="N39" s="277" t="n">
        <v>12</v>
      </c>
      <c r="O39" s="277" t="n">
        <v>8</v>
      </c>
      <c r="P39" s="277" t="n">
        <v>4</v>
      </c>
      <c r="Q39" s="276" t="inlineStr">
        <is>
          <t>Treino</t>
        </is>
      </c>
      <c r="R39" s="277" t="n">
        <v>8</v>
      </c>
      <c r="S39" s="276" t="inlineStr">
        <is>
          <t>MD-1</t>
        </is>
      </c>
      <c r="T39" s="277" t="n"/>
      <c r="U39" s="277" t="n"/>
      <c r="V39" s="279">
        <f>IF(_xlfn.MAXIFS(tblCarga[Data],tblCarga[Jogador],C39,tblCarga[Tipo],"Jogo",tblCarga[Data],"&lt;"&amp;A39)=0,"-",A39-_xlfn.MAXIFS(tblCarga[Data],tblCarga[Jogador],C39,tblCarga[Tipo],"Jogo",tblCarga[Data],"&lt;"&amp;A39))</f>
        <v/>
      </c>
      <c r="W39" s="277" t="n">
        <v>1</v>
      </c>
      <c r="X39" s="277" t="n">
        <v>2</v>
      </c>
      <c r="Y39" s="277" t="n">
        <v>1</v>
      </c>
      <c r="Z39" s="277" t="n">
        <v>2</v>
      </c>
      <c r="AA39" s="277" t="n">
        <v>6</v>
      </c>
    </row>
    <row r="40">
      <c r="A40" s="280" t="n">
        <v>46073</v>
      </c>
      <c r="B40" s="281" t="inlineStr">
        <is>
          <t>Belenenses</t>
        </is>
      </c>
      <c r="C40" s="281" t="inlineStr">
        <is>
          <t>Artur</t>
        </is>
      </c>
      <c r="D40" s="281" t="inlineStr">
        <is>
          <t>Médio</t>
        </is>
      </c>
      <c r="E40" s="282" t="n">
        <v>90</v>
      </c>
      <c r="F40" s="282" t="n">
        <v>8000</v>
      </c>
      <c r="G40" s="282" t="n">
        <v>200</v>
      </c>
      <c r="H40" s="282" t="n">
        <v>50</v>
      </c>
      <c r="I40" s="282" t="n">
        <v>80</v>
      </c>
      <c r="J40" s="282" t="n">
        <v>90</v>
      </c>
      <c r="K40" s="282" t="n">
        <v>7</v>
      </c>
      <c r="L40" s="283" t="n">
        <v>30</v>
      </c>
      <c r="M40" s="282" t="n">
        <v>8</v>
      </c>
      <c r="N40" s="282" t="n">
        <v>14</v>
      </c>
      <c r="O40" s="282" t="n">
        <v>8</v>
      </c>
      <c r="P40" s="282" t="n">
        <v>2</v>
      </c>
      <c r="Q40" s="281" t="inlineStr">
        <is>
          <t>Treino</t>
        </is>
      </c>
      <c r="R40" s="282" t="n">
        <v>8</v>
      </c>
      <c r="S40" s="281" t="inlineStr">
        <is>
          <t>MD-1</t>
        </is>
      </c>
      <c r="T40" s="282" t="n"/>
      <c r="U40" s="282" t="n"/>
      <c r="V40" s="284">
        <f>IF(_xlfn.MAXIFS(tblCarga[Data],tblCarga[Jogador],C40,tblCarga[Tipo],"Jogo",tblCarga[Data],"&lt;"&amp;A40)=0,"-",A40-_xlfn.MAXIFS(tblCarga[Data],tblCarga[Jogador],C40,tblCarga[Tipo],"Jogo",tblCarga[Data],"&lt;"&amp;A40))</f>
        <v/>
      </c>
      <c r="W40" s="282" t="n">
        <v>1</v>
      </c>
      <c r="X40" s="282" t="n">
        <v>1</v>
      </c>
      <c r="Y40" s="282" t="n">
        <v>1</v>
      </c>
      <c r="Z40" s="282" t="n">
        <v>1</v>
      </c>
      <c r="AA40" s="282" t="n">
        <v>4</v>
      </c>
    </row>
    <row r="41">
      <c r="A41" s="275" t="n">
        <v>46073</v>
      </c>
      <c r="B41" s="276" t="inlineStr">
        <is>
          <t>Belenenses</t>
        </is>
      </c>
      <c r="C41" s="276" t="inlineStr">
        <is>
          <t>Gomes</t>
        </is>
      </c>
      <c r="D41" s="276" t="inlineStr">
        <is>
          <t>Médio</t>
        </is>
      </c>
      <c r="E41" s="277" t="n">
        <v>90</v>
      </c>
      <c r="F41" s="277" t="n">
        <v>9500</v>
      </c>
      <c r="G41" s="277" t="n">
        <v>250</v>
      </c>
      <c r="H41" s="277" t="n">
        <v>100</v>
      </c>
      <c r="I41" s="277" t="n">
        <v>80</v>
      </c>
      <c r="J41" s="277" t="n">
        <v>90</v>
      </c>
      <c r="K41" s="277" t="n">
        <v>8</v>
      </c>
      <c r="L41" s="278" t="n">
        <v>29</v>
      </c>
      <c r="M41" s="277" t="n">
        <v>8</v>
      </c>
      <c r="N41" s="277" t="n">
        <v>6</v>
      </c>
      <c r="O41" s="277" t="n">
        <v>3</v>
      </c>
      <c r="P41" s="277" t="n">
        <v>1</v>
      </c>
      <c r="Q41" s="276" t="inlineStr">
        <is>
          <t>Treino</t>
        </is>
      </c>
      <c r="R41" s="277" t="n">
        <v>8</v>
      </c>
      <c r="S41" s="276" t="inlineStr">
        <is>
          <t>MD-1</t>
        </is>
      </c>
      <c r="T41" s="277" t="n"/>
      <c r="U41" s="277" t="n"/>
      <c r="V41" s="279">
        <f>IF(_xlfn.MAXIFS(tblCarga[Data],tblCarga[Jogador],C41,tblCarga[Tipo],"Jogo",tblCarga[Data],"&lt;"&amp;A41)=0,"-",A41-_xlfn.MAXIFS(tblCarga[Data],tblCarga[Jogador],C41,tblCarga[Tipo],"Jogo",tblCarga[Data],"&lt;"&amp;A41))</f>
        <v/>
      </c>
      <c r="W41" s="277" t="n">
        <v>1</v>
      </c>
      <c r="X41" s="277" t="n">
        <v>1</v>
      </c>
      <c r="Y41" s="277" t="n">
        <v>2</v>
      </c>
      <c r="Z41" s="277" t="n">
        <v>1</v>
      </c>
      <c r="AA41" s="277" t="n">
        <v>5</v>
      </c>
    </row>
    <row r="42">
      <c r="A42" s="280" t="n">
        <v>46073</v>
      </c>
      <c r="B42" s="281" t="inlineStr">
        <is>
          <t>Belenenses</t>
        </is>
      </c>
      <c r="C42" s="281" t="inlineStr">
        <is>
          <t>Sá</t>
        </is>
      </c>
      <c r="D42" s="281" t="inlineStr">
        <is>
          <t>Médio</t>
        </is>
      </c>
      <c r="E42" s="282" t="n">
        <v>90</v>
      </c>
      <c r="F42" s="282" t="n">
        <v>9000</v>
      </c>
      <c r="G42" s="282" t="n">
        <v>300</v>
      </c>
      <c r="H42" s="282" t="n">
        <v>50</v>
      </c>
      <c r="I42" s="282" t="n">
        <v>80</v>
      </c>
      <c r="J42" s="282" t="n">
        <v>90</v>
      </c>
      <c r="K42" s="282" t="n">
        <v>9</v>
      </c>
      <c r="L42" s="283" t="n">
        <v>31</v>
      </c>
      <c r="M42" s="282" t="n">
        <v>8</v>
      </c>
      <c r="N42" s="282" t="n">
        <v>13</v>
      </c>
      <c r="O42" s="282" t="n">
        <v>5</v>
      </c>
      <c r="P42" s="282" t="n">
        <v>2</v>
      </c>
      <c r="Q42" s="281" t="inlineStr">
        <is>
          <t>Treino</t>
        </is>
      </c>
      <c r="R42" s="282" t="n">
        <v>8</v>
      </c>
      <c r="S42" s="281" t="inlineStr">
        <is>
          <t>MD-1</t>
        </is>
      </c>
      <c r="T42" s="282" t="n"/>
      <c r="U42" s="282" t="n"/>
      <c r="V42" s="284">
        <f>IF(_xlfn.MAXIFS(tblCarga[Data],tblCarga[Jogador],C42,tblCarga[Tipo],"Jogo",tblCarga[Data],"&lt;"&amp;A42)=0,"-",A42-_xlfn.MAXIFS(tblCarga[Data],tblCarga[Jogador],C42,tblCarga[Tipo],"Jogo",tblCarga[Data],"&lt;"&amp;A42))</f>
        <v/>
      </c>
      <c r="W42" s="282" t="n">
        <v>2</v>
      </c>
      <c r="X42" s="282" t="n">
        <v>1</v>
      </c>
      <c r="Y42" s="282" t="n">
        <v>1</v>
      </c>
      <c r="Z42" s="282" t="n">
        <v>1</v>
      </c>
      <c r="AA42" s="282" t="n">
        <v>5</v>
      </c>
    </row>
    <row r="43">
      <c r="A43" s="275" t="n">
        <v>46073</v>
      </c>
      <c r="B43" s="276" t="inlineStr">
        <is>
          <t>Belenenses</t>
        </is>
      </c>
      <c r="C43" s="276" t="inlineStr">
        <is>
          <t>Varela</t>
        </is>
      </c>
      <c r="D43" s="276" t="inlineStr">
        <is>
          <t>Lateral</t>
        </is>
      </c>
      <c r="E43" s="277" t="n">
        <v>90</v>
      </c>
      <c r="F43" s="277" t="n">
        <v>10000</v>
      </c>
      <c r="G43" s="277" t="n">
        <v>350</v>
      </c>
      <c r="H43" s="277" t="n">
        <v>150</v>
      </c>
      <c r="I43" s="277" t="n">
        <v>80</v>
      </c>
      <c r="J43" s="277" t="n">
        <v>90</v>
      </c>
      <c r="K43" s="277" t="n">
        <v>7</v>
      </c>
      <c r="L43" s="278" t="n">
        <v>33</v>
      </c>
      <c r="M43" s="277" t="n">
        <v>8</v>
      </c>
      <c r="N43" s="277" t="n">
        <v>13</v>
      </c>
      <c r="O43" s="277" t="n">
        <v>10</v>
      </c>
      <c r="P43" s="277" t="n">
        <v>4</v>
      </c>
      <c r="Q43" s="276" t="inlineStr">
        <is>
          <t>Treino</t>
        </is>
      </c>
      <c r="R43" s="277" t="n">
        <v>8</v>
      </c>
      <c r="S43" s="276" t="inlineStr">
        <is>
          <t>MD-1</t>
        </is>
      </c>
      <c r="T43" s="277" t="n"/>
      <c r="U43" s="277" t="n"/>
      <c r="V43" s="279">
        <f>IF(_xlfn.MAXIFS(tblCarga[Data],tblCarga[Jogador],C43,tblCarga[Tipo],"Jogo",tblCarga[Data],"&lt;"&amp;A43)=0,"-",A43-_xlfn.MAXIFS(tblCarga[Data],tblCarga[Jogador],C43,tblCarga[Tipo],"Jogo",tblCarga[Data],"&lt;"&amp;A43))</f>
        <v/>
      </c>
      <c r="W43" s="277" t="n">
        <v>1</v>
      </c>
      <c r="X43" s="277" t="n">
        <v>1</v>
      </c>
      <c r="Y43" s="277" t="n">
        <v>2</v>
      </c>
      <c r="Z43" s="277" t="n">
        <v>1</v>
      </c>
      <c r="AA43" s="277" t="n">
        <v>5</v>
      </c>
    </row>
    <row r="44">
      <c r="A44" s="280" t="n">
        <v>46073</v>
      </c>
      <c r="B44" s="281" t="inlineStr">
        <is>
          <t>Belenenses</t>
        </is>
      </c>
      <c r="C44" s="281" t="inlineStr">
        <is>
          <t>Edu</t>
        </is>
      </c>
      <c r="D44" s="281" t="inlineStr">
        <is>
          <t>Lateral</t>
        </is>
      </c>
      <c r="E44" s="282" t="n">
        <v>90</v>
      </c>
      <c r="F44" s="282" t="n">
        <v>11000</v>
      </c>
      <c r="G44" s="282" t="n">
        <v>400</v>
      </c>
      <c r="H44" s="282" t="n">
        <v>200</v>
      </c>
      <c r="I44" s="282" t="n">
        <v>80</v>
      </c>
      <c r="J44" s="282" t="n">
        <v>90</v>
      </c>
      <c r="K44" s="282" t="n">
        <v>6</v>
      </c>
      <c r="L44" s="283" t="n">
        <v>32</v>
      </c>
      <c r="M44" s="282" t="n">
        <v>8</v>
      </c>
      <c r="N44" s="282" t="n">
        <v>16</v>
      </c>
      <c r="O44" s="282" t="n">
        <v>9</v>
      </c>
      <c r="P44" s="282" t="n">
        <v>4</v>
      </c>
      <c r="Q44" s="281" t="inlineStr">
        <is>
          <t>Treino</t>
        </is>
      </c>
      <c r="R44" s="282" t="n">
        <v>8</v>
      </c>
      <c r="S44" s="281" t="inlineStr">
        <is>
          <t>MD-1</t>
        </is>
      </c>
      <c r="T44" s="282" t="n"/>
      <c r="U44" s="282" t="n"/>
      <c r="V44" s="284">
        <f>IF(_xlfn.MAXIFS(tblCarga[Data],tblCarga[Jogador],C44,tblCarga[Tipo],"Jogo",tblCarga[Data],"&lt;"&amp;A44)=0,"-",A44-_xlfn.MAXIFS(tblCarga[Data],tblCarga[Jogador],C44,tblCarga[Tipo],"Jogo",tblCarga[Data],"&lt;"&amp;A44))</f>
        <v/>
      </c>
      <c r="W44" s="282" t="n">
        <v>2</v>
      </c>
      <c r="X44" s="282" t="n">
        <v>2</v>
      </c>
      <c r="Y44" s="282" t="n">
        <v>2</v>
      </c>
      <c r="Z44" s="282" t="n">
        <v>1</v>
      </c>
      <c r="AA44" s="282" t="n">
        <v>7</v>
      </c>
    </row>
    <row r="45">
      <c r="A45" s="275" t="n">
        <v>46073</v>
      </c>
      <c r="B45" s="276" t="inlineStr">
        <is>
          <t>Belenenses</t>
        </is>
      </c>
      <c r="C45" s="276" t="inlineStr">
        <is>
          <t>Capitulo</t>
        </is>
      </c>
      <c r="D45" s="276" t="inlineStr">
        <is>
          <t>Lateral</t>
        </is>
      </c>
      <c r="E45" s="277" t="n">
        <v>90</v>
      </c>
      <c r="F45" s="277" t="n">
        <v>12000</v>
      </c>
      <c r="G45" s="277" t="n">
        <v>500</v>
      </c>
      <c r="H45" s="277" t="n">
        <v>200</v>
      </c>
      <c r="I45" s="277" t="n">
        <v>90</v>
      </c>
      <c r="J45" s="277" t="n">
        <v>100</v>
      </c>
      <c r="K45" s="277" t="n">
        <v>5</v>
      </c>
      <c r="L45" s="278" t="n">
        <v>31</v>
      </c>
      <c r="M45" s="277" t="n">
        <v>8</v>
      </c>
      <c r="N45" s="277" t="n">
        <v>15</v>
      </c>
      <c r="O45" s="277" t="n">
        <v>10</v>
      </c>
      <c r="P45" s="277" t="n">
        <v>4</v>
      </c>
      <c r="Q45" s="276" t="inlineStr">
        <is>
          <t>Treino</t>
        </is>
      </c>
      <c r="R45" s="277" t="n">
        <v>8</v>
      </c>
      <c r="S45" s="276" t="inlineStr">
        <is>
          <t>MD-1</t>
        </is>
      </c>
      <c r="T45" s="277" t="n"/>
      <c r="U45" s="277" t="n"/>
      <c r="V45" s="279">
        <f>IF(_xlfn.MAXIFS(tblCarga[Data],tblCarga[Jogador],C45,tblCarga[Tipo],"Jogo",tblCarga[Data],"&lt;"&amp;A45)=0,"-",A45-_xlfn.MAXIFS(tblCarga[Data],tblCarga[Jogador],C45,tblCarga[Tipo],"Jogo",tblCarga[Data],"&lt;"&amp;A45))</f>
        <v/>
      </c>
      <c r="W45" s="277" t="n">
        <v>1</v>
      </c>
      <c r="X45" s="277" t="n">
        <v>1</v>
      </c>
      <c r="Y45" s="277" t="n">
        <v>2</v>
      </c>
      <c r="Z45" s="277" t="n">
        <v>1</v>
      </c>
      <c r="AA45" s="277" t="n">
        <v>5</v>
      </c>
    </row>
    <row r="46">
      <c r="A46" s="280" t="n">
        <v>46073</v>
      </c>
      <c r="B46" s="281" t="inlineStr">
        <is>
          <t>Belenenses</t>
        </is>
      </c>
      <c r="C46" s="281" t="inlineStr">
        <is>
          <t>Enzo Hugo</t>
        </is>
      </c>
      <c r="D46" s="281" t="inlineStr">
        <is>
          <t>Central</t>
        </is>
      </c>
      <c r="E46" s="282" t="n">
        <v>90</v>
      </c>
      <c r="F46" s="282" t="n">
        <v>8600</v>
      </c>
      <c r="G46" s="282" t="n">
        <v>300</v>
      </c>
      <c r="H46" s="282" t="n">
        <v>50</v>
      </c>
      <c r="I46" s="282" t="n">
        <v>90</v>
      </c>
      <c r="J46" s="282" t="n">
        <v>100</v>
      </c>
      <c r="K46" s="282" t="n">
        <v>8</v>
      </c>
      <c r="L46" s="283" t="n">
        <v>29</v>
      </c>
      <c r="M46" s="282" t="n">
        <v>8</v>
      </c>
      <c r="N46" s="282" t="n">
        <v>11</v>
      </c>
      <c r="O46" s="282" t="n">
        <v>3</v>
      </c>
      <c r="P46" s="282" t="n">
        <v>1</v>
      </c>
      <c r="Q46" s="281" t="inlineStr">
        <is>
          <t>Treino</t>
        </is>
      </c>
      <c r="R46" s="282" t="n">
        <v>8</v>
      </c>
      <c r="S46" s="281" t="inlineStr">
        <is>
          <t>MD-1</t>
        </is>
      </c>
      <c r="T46" s="282" t="n"/>
      <c r="U46" s="282" t="n"/>
      <c r="V46" s="284">
        <f>IF(_xlfn.MAXIFS(tblCarga[Data],tblCarga[Jogador],C46,tblCarga[Tipo],"Jogo",tblCarga[Data],"&lt;"&amp;A46)=0,"-",A46-_xlfn.MAXIFS(tblCarga[Data],tblCarga[Jogador],C46,tblCarga[Tipo],"Jogo",tblCarga[Data],"&lt;"&amp;A46))</f>
        <v/>
      </c>
      <c r="W46" s="282" t="n">
        <v>1</v>
      </c>
      <c r="X46" s="282" t="n">
        <v>1</v>
      </c>
      <c r="Y46" s="282" t="n">
        <v>1</v>
      </c>
      <c r="Z46" s="282" t="n">
        <v>2</v>
      </c>
      <c r="AA46" s="282" t="n">
        <v>5</v>
      </c>
    </row>
    <row r="47">
      <c r="A47" s="275" t="n">
        <v>46073</v>
      </c>
      <c r="B47" s="276" t="inlineStr">
        <is>
          <t>Belenenses</t>
        </is>
      </c>
      <c r="C47" s="276" t="inlineStr">
        <is>
          <t>Nogueira</t>
        </is>
      </c>
      <c r="D47" s="276" t="inlineStr">
        <is>
          <t>Central</t>
        </is>
      </c>
      <c r="E47" s="277" t="n">
        <v>90</v>
      </c>
      <c r="F47" s="277" t="n">
        <v>9000</v>
      </c>
      <c r="G47" s="277" t="n">
        <v>350</v>
      </c>
      <c r="H47" s="277" t="n">
        <v>30</v>
      </c>
      <c r="I47" s="277" t="n">
        <v>60</v>
      </c>
      <c r="J47" s="277" t="n">
        <v>80</v>
      </c>
      <c r="K47" s="277" t="n">
        <v>7</v>
      </c>
      <c r="L47" s="278" t="n">
        <v>29</v>
      </c>
      <c r="M47" s="277" t="n">
        <v>8</v>
      </c>
      <c r="N47" s="277" t="n">
        <v>10</v>
      </c>
      <c r="O47" s="277" t="n">
        <v>7</v>
      </c>
      <c r="P47" s="277" t="n">
        <v>3</v>
      </c>
      <c r="Q47" s="276" t="inlineStr">
        <is>
          <t>Treino</t>
        </is>
      </c>
      <c r="R47" s="277" t="n">
        <v>8</v>
      </c>
      <c r="S47" s="276" t="inlineStr">
        <is>
          <t>MD-1</t>
        </is>
      </c>
      <c r="T47" s="277" t="n"/>
      <c r="U47" s="277" t="n"/>
      <c r="V47" s="279">
        <f>IF(_xlfn.MAXIFS(tblCarga[Data],tblCarga[Jogador],C47,tblCarga[Tipo],"Jogo",tblCarga[Data],"&lt;"&amp;A47)=0,"-",A47-_xlfn.MAXIFS(tblCarga[Data],tblCarga[Jogador],C47,tblCarga[Tipo],"Jogo",tblCarga[Data],"&lt;"&amp;A47))</f>
        <v/>
      </c>
      <c r="W47" s="277" t="n">
        <v>1</v>
      </c>
      <c r="X47" s="277" t="n">
        <v>2</v>
      </c>
      <c r="Y47" s="277" t="n">
        <v>2</v>
      </c>
      <c r="Z47" s="277" t="n">
        <v>1</v>
      </c>
      <c r="AA47" s="277" t="n">
        <v>6</v>
      </c>
    </row>
    <row r="48">
      <c r="A48" s="280" t="n">
        <v>46041</v>
      </c>
      <c r="B48" s="281" t="inlineStr">
        <is>
          <t>Belenenses</t>
        </is>
      </c>
      <c r="C48" s="281" t="inlineStr">
        <is>
          <t>Paulino</t>
        </is>
      </c>
      <c r="D48" s="281" t="inlineStr">
        <is>
          <t>Médio</t>
        </is>
      </c>
      <c r="E48" s="282" t="n">
        <v>94</v>
      </c>
      <c r="F48" s="282" t="n">
        <v>9019</v>
      </c>
      <c r="G48" s="282" t="n">
        <v>183</v>
      </c>
      <c r="H48" s="282" t="n">
        <v>44</v>
      </c>
      <c r="I48" s="282" t="n">
        <v>71</v>
      </c>
      <c r="J48" s="282" t="n">
        <v>73</v>
      </c>
      <c r="K48" s="282" t="n">
        <v>6</v>
      </c>
      <c r="L48" s="283" t="n">
        <v>30.9</v>
      </c>
      <c r="M48" s="282" t="n">
        <v>4</v>
      </c>
      <c r="N48" s="282" t="n">
        <v>6</v>
      </c>
      <c r="O48" s="282" t="n">
        <v>8</v>
      </c>
      <c r="P48" s="282" t="n">
        <v>0</v>
      </c>
      <c r="Q48" s="281" t="inlineStr">
        <is>
          <t>Treino</t>
        </is>
      </c>
      <c r="R48" s="282" t="n">
        <v>4</v>
      </c>
      <c r="S48" s="281" t="inlineStr">
        <is>
          <t>MD-5</t>
        </is>
      </c>
      <c r="T48" s="282" t="n"/>
      <c r="U48" s="282" t="n"/>
      <c r="V48" s="284">
        <f>IF(_xlfn.MAXIFS(tblCarga[Data],tblCarga[Jogador],C48,tblCarga[Tipo],"Jogo",tblCarga[Data],"&lt;"&amp;A48)=0,"-",A48-_xlfn.MAXIFS(tblCarga[Data],tblCarga[Jogador],C48,tblCarga[Tipo],"Jogo",tblCarga[Data],"&lt;"&amp;A48))</f>
        <v/>
      </c>
      <c r="W48" s="282" t="n">
        <v>3</v>
      </c>
      <c r="X48" s="282" t="n">
        <v>2</v>
      </c>
      <c r="Y48" s="282" t="n">
        <v>2</v>
      </c>
      <c r="Z48" s="282" t="n">
        <v>2</v>
      </c>
      <c r="AA48" s="282" t="n">
        <v>9</v>
      </c>
    </row>
    <row r="49">
      <c r="A49" s="275" t="n">
        <v>46041</v>
      </c>
      <c r="B49" s="276" t="inlineStr">
        <is>
          <t>Belenenses</t>
        </is>
      </c>
      <c r="C49" s="276" t="inlineStr">
        <is>
          <t>Artur</t>
        </is>
      </c>
      <c r="D49" s="276" t="inlineStr">
        <is>
          <t>Médio</t>
        </is>
      </c>
      <c r="E49" s="277" t="n">
        <v>97</v>
      </c>
      <c r="F49" s="277" t="n">
        <v>6522</v>
      </c>
      <c r="G49" s="277" t="n">
        <v>178</v>
      </c>
      <c r="H49" s="277" t="n">
        <v>93</v>
      </c>
      <c r="I49" s="277" t="n">
        <v>68</v>
      </c>
      <c r="J49" s="277" t="n">
        <v>90</v>
      </c>
      <c r="K49" s="277" t="n">
        <v>8</v>
      </c>
      <c r="L49" s="278" t="n">
        <v>30.2</v>
      </c>
      <c r="M49" s="277" t="n">
        <v>4</v>
      </c>
      <c r="N49" s="277" t="n">
        <v>16</v>
      </c>
      <c r="O49" s="277" t="n">
        <v>10</v>
      </c>
      <c r="P49" s="277" t="n">
        <v>3</v>
      </c>
      <c r="Q49" s="276" t="inlineStr">
        <is>
          <t>Treino</t>
        </is>
      </c>
      <c r="R49" s="277" t="n">
        <v>4</v>
      </c>
      <c r="S49" s="276" t="inlineStr">
        <is>
          <t>MD-5</t>
        </is>
      </c>
      <c r="T49" s="277" t="n"/>
      <c r="U49" s="277" t="n"/>
      <c r="V49" s="279">
        <f>IF(_xlfn.MAXIFS(tblCarga[Data],tblCarga[Jogador],C49,tblCarga[Tipo],"Jogo",tblCarga[Data],"&lt;"&amp;A49)=0,"-",A49-_xlfn.MAXIFS(tblCarga[Data],tblCarga[Jogador],C49,tblCarga[Tipo],"Jogo",tblCarga[Data],"&lt;"&amp;A49))</f>
        <v/>
      </c>
      <c r="W49" s="277" t="n">
        <v>1</v>
      </c>
      <c r="X49" s="277" t="n">
        <v>2</v>
      </c>
      <c r="Y49" s="277" t="n">
        <v>2</v>
      </c>
      <c r="Z49" s="277" t="n">
        <v>3</v>
      </c>
      <c r="AA49" s="277" t="n">
        <v>8</v>
      </c>
    </row>
    <row r="50">
      <c r="A50" s="280" t="n">
        <v>46041</v>
      </c>
      <c r="B50" s="281" t="inlineStr">
        <is>
          <t>Belenenses</t>
        </is>
      </c>
      <c r="C50" s="281" t="inlineStr">
        <is>
          <t>Gomes</t>
        </is>
      </c>
      <c r="D50" s="281" t="inlineStr">
        <is>
          <t>Médio</t>
        </is>
      </c>
      <c r="E50" s="282" t="n">
        <v>81</v>
      </c>
      <c r="F50" s="282" t="n">
        <v>7302</v>
      </c>
      <c r="G50" s="282" t="n">
        <v>269</v>
      </c>
      <c r="H50" s="282" t="n">
        <v>109</v>
      </c>
      <c r="I50" s="282" t="n">
        <v>54</v>
      </c>
      <c r="J50" s="282" t="n">
        <v>68</v>
      </c>
      <c r="K50" s="282" t="n">
        <v>8</v>
      </c>
      <c r="L50" s="283" t="n">
        <v>29.4</v>
      </c>
      <c r="M50" s="282" t="n">
        <v>4</v>
      </c>
      <c r="N50" s="282" t="n">
        <v>8</v>
      </c>
      <c r="O50" s="282" t="n">
        <v>7</v>
      </c>
      <c r="P50" s="282" t="n">
        <v>0</v>
      </c>
      <c r="Q50" s="281" t="inlineStr">
        <is>
          <t>Treino</t>
        </is>
      </c>
      <c r="R50" s="282" t="n">
        <v>4</v>
      </c>
      <c r="S50" s="281" t="inlineStr">
        <is>
          <t>MD-5</t>
        </is>
      </c>
      <c r="T50" s="282" t="n"/>
      <c r="U50" s="282" t="n"/>
      <c r="V50" s="284">
        <f>IF(_xlfn.MAXIFS(tblCarga[Data],tblCarga[Jogador],C50,tblCarga[Tipo],"Jogo",tblCarga[Data],"&lt;"&amp;A50)=0,"-",A50-_xlfn.MAXIFS(tblCarga[Data],tblCarga[Jogador],C50,tblCarga[Tipo],"Jogo",tblCarga[Data],"&lt;"&amp;A50))</f>
        <v/>
      </c>
      <c r="W50" s="282" t="n">
        <v>1</v>
      </c>
      <c r="X50" s="282" t="n">
        <v>1</v>
      </c>
      <c r="Y50" s="282" t="n">
        <v>3</v>
      </c>
      <c r="Z50" s="282" t="n">
        <v>3</v>
      </c>
      <c r="AA50" s="282" t="n">
        <v>8</v>
      </c>
    </row>
    <row r="51">
      <c r="A51" s="275" t="n">
        <v>46041</v>
      </c>
      <c r="B51" s="276" t="inlineStr">
        <is>
          <t>Belenenses</t>
        </is>
      </c>
      <c r="C51" s="276" t="inlineStr">
        <is>
          <t>Sá</t>
        </is>
      </c>
      <c r="D51" s="276" t="inlineStr">
        <is>
          <t>Médio</t>
        </is>
      </c>
      <c r="E51" s="277" t="n">
        <v>91</v>
      </c>
      <c r="F51" s="277" t="n">
        <v>6779</v>
      </c>
      <c r="G51" s="277" t="n">
        <v>252</v>
      </c>
      <c r="H51" s="277" t="n">
        <v>62</v>
      </c>
      <c r="I51" s="277" t="n">
        <v>76</v>
      </c>
      <c r="J51" s="277" t="n">
        <v>80</v>
      </c>
      <c r="K51" s="277" t="n">
        <v>8</v>
      </c>
      <c r="L51" s="278" t="n">
        <v>31.1</v>
      </c>
      <c r="M51" s="277" t="n">
        <v>4</v>
      </c>
      <c r="N51" s="277" t="n">
        <v>13</v>
      </c>
      <c r="O51" s="277" t="n">
        <v>3</v>
      </c>
      <c r="P51" s="277" t="n">
        <v>3</v>
      </c>
      <c r="Q51" s="276" t="inlineStr">
        <is>
          <t>Treino</t>
        </is>
      </c>
      <c r="R51" s="277" t="n">
        <v>4</v>
      </c>
      <c r="S51" s="276" t="inlineStr">
        <is>
          <t>MD-5</t>
        </is>
      </c>
      <c r="T51" s="277" t="n"/>
      <c r="U51" s="277" t="n"/>
      <c r="V51" s="279">
        <f>IF(_xlfn.MAXIFS(tblCarga[Data],tblCarga[Jogador],C51,tblCarga[Tipo],"Jogo",tblCarga[Data],"&lt;"&amp;A51)=0,"-",A51-_xlfn.MAXIFS(tblCarga[Data],tblCarga[Jogador],C51,tblCarga[Tipo],"Jogo",tblCarga[Data],"&lt;"&amp;A51))</f>
        <v/>
      </c>
      <c r="W51" s="277" t="n">
        <v>3</v>
      </c>
      <c r="X51" s="277" t="n">
        <v>1</v>
      </c>
      <c r="Y51" s="277" t="n">
        <v>2</v>
      </c>
      <c r="Z51" s="277" t="n">
        <v>1</v>
      </c>
      <c r="AA51" s="277" t="n">
        <v>7</v>
      </c>
    </row>
    <row r="52">
      <c r="A52" s="280" t="n">
        <v>46041</v>
      </c>
      <c r="B52" s="281" t="inlineStr">
        <is>
          <t>Belenenses</t>
        </is>
      </c>
      <c r="C52" s="281" t="inlineStr">
        <is>
          <t>Varela</t>
        </is>
      </c>
      <c r="D52" s="281" t="inlineStr">
        <is>
          <t>Lateral</t>
        </is>
      </c>
      <c r="E52" s="282" t="n">
        <v>88</v>
      </c>
      <c r="F52" s="282" t="n">
        <v>9845</v>
      </c>
      <c r="G52" s="282" t="n">
        <v>612</v>
      </c>
      <c r="H52" s="282" t="n">
        <v>200</v>
      </c>
      <c r="I52" s="282" t="n">
        <v>104</v>
      </c>
      <c r="J52" s="282" t="n">
        <v>104</v>
      </c>
      <c r="K52" s="282" t="n">
        <v>8</v>
      </c>
      <c r="L52" s="283" t="n">
        <v>31.9</v>
      </c>
      <c r="M52" s="282" t="n">
        <v>4</v>
      </c>
      <c r="N52" s="282" t="n">
        <v>16</v>
      </c>
      <c r="O52" s="282" t="n">
        <v>3</v>
      </c>
      <c r="P52" s="282" t="n">
        <v>0</v>
      </c>
      <c r="Q52" s="281" t="inlineStr">
        <is>
          <t>Treino</t>
        </is>
      </c>
      <c r="R52" s="282" t="n">
        <v>4</v>
      </c>
      <c r="S52" s="281" t="inlineStr">
        <is>
          <t>MD-5</t>
        </is>
      </c>
      <c r="T52" s="282" t="n"/>
      <c r="U52" s="282" t="n"/>
      <c r="V52" s="284">
        <f>IF(_xlfn.MAXIFS(tblCarga[Data],tblCarga[Jogador],C52,tblCarga[Tipo],"Jogo",tblCarga[Data],"&lt;"&amp;A52)=0,"-",A52-_xlfn.MAXIFS(tblCarga[Data],tblCarga[Jogador],C52,tblCarga[Tipo],"Jogo",tblCarga[Data],"&lt;"&amp;A52))</f>
        <v/>
      </c>
      <c r="W52" s="282" t="n">
        <v>1</v>
      </c>
      <c r="X52" s="282" t="n">
        <v>1</v>
      </c>
      <c r="Y52" s="282" t="n">
        <v>2</v>
      </c>
      <c r="Z52" s="282" t="n">
        <v>2</v>
      </c>
      <c r="AA52" s="282" t="n">
        <v>6</v>
      </c>
    </row>
    <row r="53">
      <c r="A53" s="275" t="n">
        <v>46041</v>
      </c>
      <c r="B53" s="276" t="inlineStr">
        <is>
          <t>Belenenses</t>
        </is>
      </c>
      <c r="C53" s="276" t="inlineStr">
        <is>
          <t>Edu</t>
        </is>
      </c>
      <c r="D53" s="276" t="inlineStr">
        <is>
          <t>Lateral</t>
        </is>
      </c>
      <c r="E53" s="277" t="n">
        <v>93</v>
      </c>
      <c r="F53" s="277" t="n">
        <v>11066</v>
      </c>
      <c r="G53" s="277" t="n">
        <v>478</v>
      </c>
      <c r="H53" s="277" t="n">
        <v>145</v>
      </c>
      <c r="I53" s="277" t="n">
        <v>78</v>
      </c>
      <c r="J53" s="277" t="n">
        <v>71</v>
      </c>
      <c r="K53" s="277" t="n">
        <v>5</v>
      </c>
      <c r="L53" s="278" t="n">
        <v>32.3</v>
      </c>
      <c r="M53" s="277" t="n">
        <v>4</v>
      </c>
      <c r="N53" s="277" t="n">
        <v>7</v>
      </c>
      <c r="O53" s="277" t="n">
        <v>7</v>
      </c>
      <c r="P53" s="277" t="n">
        <v>2</v>
      </c>
      <c r="Q53" s="276" t="inlineStr">
        <is>
          <t>Treino</t>
        </is>
      </c>
      <c r="R53" s="277" t="n">
        <v>4</v>
      </c>
      <c r="S53" s="276" t="inlineStr">
        <is>
          <t>MD-5</t>
        </is>
      </c>
      <c r="T53" s="277" t="n"/>
      <c r="U53" s="277" t="n"/>
      <c r="V53" s="279">
        <f>IF(_xlfn.MAXIFS(tblCarga[Data],tblCarga[Jogador],C53,tblCarga[Tipo],"Jogo",tblCarga[Data],"&lt;"&amp;A53)=0,"-",A53-_xlfn.MAXIFS(tblCarga[Data],tblCarga[Jogador],C53,tblCarga[Tipo],"Jogo",tblCarga[Data],"&lt;"&amp;A53))</f>
        <v/>
      </c>
      <c r="W53" s="277" t="n">
        <v>1</v>
      </c>
      <c r="X53" s="277" t="n">
        <v>2</v>
      </c>
      <c r="Y53" s="277" t="n">
        <v>1</v>
      </c>
      <c r="Z53" s="277" t="n">
        <v>2</v>
      </c>
      <c r="AA53" s="277" t="n">
        <v>6</v>
      </c>
    </row>
    <row r="54">
      <c r="A54" s="280" t="n">
        <v>46041</v>
      </c>
      <c r="B54" s="281" t="inlineStr">
        <is>
          <t>Belenenses</t>
        </is>
      </c>
      <c r="C54" s="281" t="inlineStr">
        <is>
          <t>Capitulo</t>
        </is>
      </c>
      <c r="D54" s="281" t="inlineStr">
        <is>
          <t>Lateral</t>
        </is>
      </c>
      <c r="E54" s="282" t="n">
        <v>87</v>
      </c>
      <c r="F54" s="282" t="n">
        <v>10916</v>
      </c>
      <c r="G54" s="282" t="n">
        <v>466</v>
      </c>
      <c r="H54" s="282" t="n">
        <v>143</v>
      </c>
      <c r="I54" s="282" t="n">
        <v>102</v>
      </c>
      <c r="J54" s="282" t="n">
        <v>105</v>
      </c>
      <c r="K54" s="282" t="n">
        <v>4</v>
      </c>
      <c r="L54" s="283" t="n">
        <v>33.6</v>
      </c>
      <c r="M54" s="282" t="n">
        <v>4</v>
      </c>
      <c r="N54" s="282" t="n">
        <v>12</v>
      </c>
      <c r="O54" s="282" t="n">
        <v>8</v>
      </c>
      <c r="P54" s="282" t="n">
        <v>2</v>
      </c>
      <c r="Q54" s="281" t="inlineStr">
        <is>
          <t>Treino</t>
        </is>
      </c>
      <c r="R54" s="282" t="n">
        <v>4</v>
      </c>
      <c r="S54" s="281" t="inlineStr">
        <is>
          <t>MD-5</t>
        </is>
      </c>
      <c r="T54" s="282" t="n"/>
      <c r="U54" s="282" t="n"/>
      <c r="V54" s="284">
        <f>IF(_xlfn.MAXIFS(tblCarga[Data],tblCarga[Jogador],C54,tblCarga[Tipo],"Jogo",tblCarga[Data],"&lt;"&amp;A54)=0,"-",A54-_xlfn.MAXIFS(tblCarga[Data],tblCarga[Jogador],C54,tblCarga[Tipo],"Jogo",tblCarga[Data],"&lt;"&amp;A54))</f>
        <v/>
      </c>
      <c r="W54" s="282" t="n">
        <v>1</v>
      </c>
      <c r="X54" s="282" t="n">
        <v>1</v>
      </c>
      <c r="Y54" s="282" t="n">
        <v>1</v>
      </c>
      <c r="Z54" s="282" t="n">
        <v>3</v>
      </c>
      <c r="AA54" s="282" t="n">
        <v>6</v>
      </c>
    </row>
    <row r="55">
      <c r="A55" s="275" t="n">
        <v>46041</v>
      </c>
      <c r="B55" s="276" t="inlineStr">
        <is>
          <t>Belenenses</t>
        </is>
      </c>
      <c r="C55" s="276" t="inlineStr">
        <is>
          <t>Enzo Hugo</t>
        </is>
      </c>
      <c r="D55" s="276" t="inlineStr">
        <is>
          <t>Central</t>
        </is>
      </c>
      <c r="E55" s="277" t="n">
        <v>81</v>
      </c>
      <c r="F55" s="277" t="n">
        <v>10521</v>
      </c>
      <c r="G55" s="277" t="n">
        <v>414</v>
      </c>
      <c r="H55" s="277" t="n">
        <v>57</v>
      </c>
      <c r="I55" s="277" t="n">
        <v>81</v>
      </c>
      <c r="J55" s="277" t="n">
        <v>105</v>
      </c>
      <c r="K55" s="277" t="n">
        <v>7</v>
      </c>
      <c r="L55" s="278" t="n">
        <v>29.9</v>
      </c>
      <c r="M55" s="277" t="n">
        <v>4</v>
      </c>
      <c r="N55" s="277" t="n">
        <v>8</v>
      </c>
      <c r="O55" s="277" t="n">
        <v>2</v>
      </c>
      <c r="P55" s="277" t="n">
        <v>2</v>
      </c>
      <c r="Q55" s="276" t="inlineStr">
        <is>
          <t>Treino</t>
        </is>
      </c>
      <c r="R55" s="277" t="n">
        <v>4</v>
      </c>
      <c r="S55" s="276" t="inlineStr">
        <is>
          <t>MD-5</t>
        </is>
      </c>
      <c r="T55" s="277" t="n"/>
      <c r="U55" s="277" t="n"/>
      <c r="V55" s="279">
        <f>IF(_xlfn.MAXIFS(tblCarga[Data],tblCarga[Jogador],C55,tblCarga[Tipo],"Jogo",tblCarga[Data],"&lt;"&amp;A55)=0,"-",A55-_xlfn.MAXIFS(tblCarga[Data],tblCarga[Jogador],C55,tblCarga[Tipo],"Jogo",tblCarga[Data],"&lt;"&amp;A55))</f>
        <v/>
      </c>
      <c r="W55" s="277" t="n">
        <v>2</v>
      </c>
      <c r="X55" s="277" t="n">
        <v>3</v>
      </c>
      <c r="Y55" s="277" t="n">
        <v>2</v>
      </c>
      <c r="Z55" s="277" t="n">
        <v>1</v>
      </c>
      <c r="AA55" s="277" t="n">
        <v>8</v>
      </c>
    </row>
    <row r="56">
      <c r="A56" s="280" t="n">
        <v>46041</v>
      </c>
      <c r="B56" s="281" t="inlineStr">
        <is>
          <t>Belenenses</t>
        </is>
      </c>
      <c r="C56" s="281" t="inlineStr">
        <is>
          <t>Nogueira</t>
        </is>
      </c>
      <c r="D56" s="281" t="inlineStr">
        <is>
          <t>Central</t>
        </is>
      </c>
      <c r="E56" s="282" t="n">
        <v>90</v>
      </c>
      <c r="F56" s="282" t="n">
        <v>9543</v>
      </c>
      <c r="G56" s="282" t="n">
        <v>306</v>
      </c>
      <c r="H56" s="282" t="n">
        <v>26</v>
      </c>
      <c r="I56" s="282" t="n">
        <v>80</v>
      </c>
      <c r="J56" s="282" t="n">
        <v>120</v>
      </c>
      <c r="K56" s="282" t="n">
        <v>10</v>
      </c>
      <c r="L56" s="283" t="n">
        <v>30.2</v>
      </c>
      <c r="M56" s="282" t="n">
        <v>4</v>
      </c>
      <c r="N56" s="282" t="n">
        <v>8</v>
      </c>
      <c r="O56" s="282" t="n">
        <v>9</v>
      </c>
      <c r="P56" s="282" t="n">
        <v>3</v>
      </c>
      <c r="Q56" s="281" t="inlineStr">
        <is>
          <t>Treino</t>
        </is>
      </c>
      <c r="R56" s="282" t="n">
        <v>4</v>
      </c>
      <c r="S56" s="281" t="inlineStr">
        <is>
          <t>MD-5</t>
        </is>
      </c>
      <c r="T56" s="282" t="n"/>
      <c r="U56" s="282" t="n"/>
      <c r="V56" s="284">
        <f>IF(_xlfn.MAXIFS(tblCarga[Data],tblCarga[Jogador],C56,tblCarga[Tipo],"Jogo",tblCarga[Data],"&lt;"&amp;A56)=0,"-",A56-_xlfn.MAXIFS(tblCarga[Data],tblCarga[Jogador],C56,tblCarga[Tipo],"Jogo",tblCarga[Data],"&lt;"&amp;A56))</f>
        <v/>
      </c>
      <c r="W56" s="282" t="n">
        <v>1</v>
      </c>
      <c r="X56" s="282" t="n">
        <v>2</v>
      </c>
      <c r="Y56" s="282" t="n">
        <v>3</v>
      </c>
      <c r="Z56" s="282" t="n">
        <v>2</v>
      </c>
      <c r="AA56" s="282" t="n">
        <v>8</v>
      </c>
    </row>
    <row r="57">
      <c r="A57" s="275" t="n">
        <v>46042</v>
      </c>
      <c r="B57" s="276" t="inlineStr">
        <is>
          <t>Belenenses</t>
        </is>
      </c>
      <c r="C57" s="276" t="inlineStr">
        <is>
          <t>Paulino</t>
        </is>
      </c>
      <c r="D57" s="276" t="inlineStr">
        <is>
          <t>Médio</t>
        </is>
      </c>
      <c r="E57" s="277" t="n">
        <v>85</v>
      </c>
      <c r="F57" s="277" t="n">
        <v>9033</v>
      </c>
      <c r="G57" s="277" t="n">
        <v>272</v>
      </c>
      <c r="H57" s="277" t="n">
        <v>74</v>
      </c>
      <c r="I57" s="277" t="n">
        <v>70</v>
      </c>
      <c r="J57" s="277" t="n">
        <v>66</v>
      </c>
      <c r="K57" s="277" t="n">
        <v>6</v>
      </c>
      <c r="L57" s="278" t="n">
        <v>30.2</v>
      </c>
      <c r="M57" s="277" t="n">
        <v>4</v>
      </c>
      <c r="N57" s="277" t="n">
        <v>16</v>
      </c>
      <c r="O57" s="277" t="n">
        <v>8</v>
      </c>
      <c r="P57" s="277" t="n">
        <v>4</v>
      </c>
      <c r="Q57" s="276" t="inlineStr">
        <is>
          <t>Treino</t>
        </is>
      </c>
      <c r="R57" s="277" t="n">
        <v>4</v>
      </c>
      <c r="S57" s="276" t="inlineStr">
        <is>
          <t>MD-4</t>
        </is>
      </c>
      <c r="T57" s="277" t="n"/>
      <c r="U57" s="277" t="n"/>
      <c r="V57" s="279">
        <f>IF(_xlfn.MAXIFS(tblCarga[Data],tblCarga[Jogador],C57,tblCarga[Tipo],"Jogo",tblCarga[Data],"&lt;"&amp;A57)=0,"-",A57-_xlfn.MAXIFS(tblCarga[Data],tblCarga[Jogador],C57,tblCarga[Tipo],"Jogo",tblCarga[Data],"&lt;"&amp;A57))</f>
        <v/>
      </c>
      <c r="W57" s="277" t="n">
        <v>2</v>
      </c>
      <c r="X57" s="277" t="n">
        <v>1</v>
      </c>
      <c r="Y57" s="277" t="n">
        <v>1</v>
      </c>
      <c r="Z57" s="277" t="n">
        <v>2</v>
      </c>
      <c r="AA57" s="277" t="n">
        <v>6</v>
      </c>
    </row>
    <row r="58">
      <c r="A58" s="280" t="n">
        <v>46042</v>
      </c>
      <c r="B58" s="281" t="inlineStr">
        <is>
          <t>Belenenses</t>
        </is>
      </c>
      <c r="C58" s="281" t="inlineStr">
        <is>
          <t>Artur</t>
        </is>
      </c>
      <c r="D58" s="281" t="inlineStr">
        <is>
          <t>Médio</t>
        </is>
      </c>
      <c r="E58" s="282" t="n">
        <v>80</v>
      </c>
      <c r="F58" s="282" t="n">
        <v>8035</v>
      </c>
      <c r="G58" s="282" t="n">
        <v>247</v>
      </c>
      <c r="H58" s="282" t="n">
        <v>94</v>
      </c>
      <c r="I58" s="282" t="n">
        <v>62</v>
      </c>
      <c r="J58" s="282" t="n">
        <v>90</v>
      </c>
      <c r="K58" s="282" t="n">
        <v>7</v>
      </c>
      <c r="L58" s="283" t="n">
        <v>30.9</v>
      </c>
      <c r="M58" s="282" t="n">
        <v>4</v>
      </c>
      <c r="N58" s="282" t="n">
        <v>7</v>
      </c>
      <c r="O58" s="282" t="n">
        <v>4</v>
      </c>
      <c r="P58" s="282" t="n">
        <v>3</v>
      </c>
      <c r="Q58" s="281" t="inlineStr">
        <is>
          <t>Treino</t>
        </is>
      </c>
      <c r="R58" s="282" t="n">
        <v>4</v>
      </c>
      <c r="S58" s="281" t="inlineStr">
        <is>
          <t>MD-4</t>
        </is>
      </c>
      <c r="T58" s="282" t="n"/>
      <c r="U58" s="282" t="n"/>
      <c r="V58" s="284">
        <f>IF(_xlfn.MAXIFS(tblCarga[Data],tblCarga[Jogador],C58,tblCarga[Tipo],"Jogo",tblCarga[Data],"&lt;"&amp;A58)=0,"-",A58-_xlfn.MAXIFS(tblCarga[Data],tblCarga[Jogador],C58,tblCarga[Tipo],"Jogo",tblCarga[Data],"&lt;"&amp;A58))</f>
        <v/>
      </c>
      <c r="W58" s="282" t="n">
        <v>1</v>
      </c>
      <c r="X58" s="282" t="n">
        <v>2</v>
      </c>
      <c r="Y58" s="282" t="n">
        <v>3</v>
      </c>
      <c r="Z58" s="282" t="n">
        <v>2</v>
      </c>
      <c r="AA58" s="282" t="n">
        <v>8</v>
      </c>
    </row>
    <row r="59">
      <c r="A59" s="275" t="n">
        <v>46042</v>
      </c>
      <c r="B59" s="276" t="inlineStr">
        <is>
          <t>Belenenses</t>
        </is>
      </c>
      <c r="C59" s="276" t="inlineStr">
        <is>
          <t>Gomes</t>
        </is>
      </c>
      <c r="D59" s="276" t="inlineStr">
        <is>
          <t>Médio</t>
        </is>
      </c>
      <c r="E59" s="277" t="n">
        <v>94</v>
      </c>
      <c r="F59" s="277" t="n">
        <v>8842</v>
      </c>
      <c r="G59" s="277" t="n">
        <v>171</v>
      </c>
      <c r="H59" s="277" t="n">
        <v>136</v>
      </c>
      <c r="I59" s="277" t="n">
        <v>78</v>
      </c>
      <c r="J59" s="277" t="n">
        <v>96</v>
      </c>
      <c r="K59" s="277" t="n">
        <v>9</v>
      </c>
      <c r="L59" s="278" t="n">
        <v>30.1</v>
      </c>
      <c r="M59" s="277" t="n">
        <v>4</v>
      </c>
      <c r="N59" s="277" t="n">
        <v>5</v>
      </c>
      <c r="O59" s="277" t="n">
        <v>3</v>
      </c>
      <c r="P59" s="277" t="n">
        <v>4</v>
      </c>
      <c r="Q59" s="276" t="inlineStr">
        <is>
          <t>Treino</t>
        </is>
      </c>
      <c r="R59" s="277" t="n">
        <v>4</v>
      </c>
      <c r="S59" s="276" t="inlineStr">
        <is>
          <t>MD-4</t>
        </is>
      </c>
      <c r="T59" s="277" t="n"/>
      <c r="U59" s="277" t="n"/>
      <c r="V59" s="279">
        <f>IF(_xlfn.MAXIFS(tblCarga[Data],tblCarga[Jogador],C59,tblCarga[Tipo],"Jogo",tblCarga[Data],"&lt;"&amp;A59)=0,"-",A59-_xlfn.MAXIFS(tblCarga[Data],tblCarga[Jogador],C59,tblCarga[Tipo],"Jogo",tblCarga[Data],"&lt;"&amp;A59))</f>
        <v/>
      </c>
      <c r="W59" s="277" t="n">
        <v>1</v>
      </c>
      <c r="X59" s="277" t="n">
        <v>3</v>
      </c>
      <c r="Y59" s="277" t="n">
        <v>1</v>
      </c>
      <c r="Z59" s="277" t="n">
        <v>2</v>
      </c>
      <c r="AA59" s="277" t="n">
        <v>7</v>
      </c>
    </row>
    <row r="60">
      <c r="A60" s="280" t="n">
        <v>46042</v>
      </c>
      <c r="B60" s="281" t="inlineStr">
        <is>
          <t>Belenenses</t>
        </is>
      </c>
      <c r="C60" s="281" t="inlineStr">
        <is>
          <t>Sá</t>
        </is>
      </c>
      <c r="D60" s="281" t="inlineStr">
        <is>
          <t>Médio</t>
        </is>
      </c>
      <c r="E60" s="282" t="n">
        <v>85</v>
      </c>
      <c r="F60" s="282" t="n">
        <v>9475</v>
      </c>
      <c r="G60" s="282" t="n">
        <v>223</v>
      </c>
      <c r="H60" s="282" t="n">
        <v>125</v>
      </c>
      <c r="I60" s="282" t="n">
        <v>61</v>
      </c>
      <c r="J60" s="282" t="n">
        <v>76</v>
      </c>
      <c r="K60" s="282" t="n">
        <v>7</v>
      </c>
      <c r="L60" s="283" t="n">
        <v>29.8</v>
      </c>
      <c r="M60" s="282" t="n">
        <v>4</v>
      </c>
      <c r="N60" s="282" t="n">
        <v>13</v>
      </c>
      <c r="O60" s="282" t="n">
        <v>4</v>
      </c>
      <c r="P60" s="282" t="n">
        <v>4</v>
      </c>
      <c r="Q60" s="281" t="inlineStr">
        <is>
          <t>Treino</t>
        </is>
      </c>
      <c r="R60" s="282" t="n">
        <v>4</v>
      </c>
      <c r="S60" s="281" t="inlineStr">
        <is>
          <t>MD-4</t>
        </is>
      </c>
      <c r="T60" s="282" t="n"/>
      <c r="U60" s="282" t="n"/>
      <c r="V60" s="284">
        <f>IF(_xlfn.MAXIFS(tblCarga[Data],tblCarga[Jogador],C60,tblCarga[Tipo],"Jogo",tblCarga[Data],"&lt;"&amp;A60)=0,"-",A60-_xlfn.MAXIFS(tblCarga[Data],tblCarga[Jogador],C60,tblCarga[Tipo],"Jogo",tblCarga[Data],"&lt;"&amp;A60))</f>
        <v/>
      </c>
      <c r="W60" s="282" t="n">
        <v>3</v>
      </c>
      <c r="X60" s="282" t="n">
        <v>1</v>
      </c>
      <c r="Y60" s="282" t="n">
        <v>2</v>
      </c>
      <c r="Z60" s="282" t="n">
        <v>2</v>
      </c>
      <c r="AA60" s="282" t="n">
        <v>8</v>
      </c>
    </row>
    <row r="61">
      <c r="A61" s="275" t="n">
        <v>46042</v>
      </c>
      <c r="B61" s="276" t="inlineStr">
        <is>
          <t>Belenenses</t>
        </is>
      </c>
      <c r="C61" s="276" t="inlineStr">
        <is>
          <t>Varela</t>
        </is>
      </c>
      <c r="D61" s="276" t="inlineStr">
        <is>
          <t>Lateral</t>
        </is>
      </c>
      <c r="E61" s="277" t="n">
        <v>99</v>
      </c>
      <c r="F61" s="277" t="n">
        <v>10071</v>
      </c>
      <c r="G61" s="277" t="n">
        <v>482</v>
      </c>
      <c r="H61" s="277" t="n">
        <v>254</v>
      </c>
      <c r="I61" s="277" t="n">
        <v>102</v>
      </c>
      <c r="J61" s="277" t="n">
        <v>77</v>
      </c>
      <c r="K61" s="277" t="n">
        <v>4</v>
      </c>
      <c r="L61" s="278" t="n">
        <v>33.7</v>
      </c>
      <c r="M61" s="277" t="n">
        <v>4</v>
      </c>
      <c r="N61" s="277" t="n">
        <v>17</v>
      </c>
      <c r="O61" s="277" t="n">
        <v>10</v>
      </c>
      <c r="P61" s="277" t="n">
        <v>0</v>
      </c>
      <c r="Q61" s="276" t="inlineStr">
        <is>
          <t>Treino</t>
        </is>
      </c>
      <c r="R61" s="277" t="n">
        <v>4</v>
      </c>
      <c r="S61" s="276" t="inlineStr">
        <is>
          <t>MD-4</t>
        </is>
      </c>
      <c r="T61" s="277" t="n"/>
      <c r="U61" s="277" t="n"/>
      <c r="V61" s="279">
        <f>IF(_xlfn.MAXIFS(tblCarga[Data],tblCarga[Jogador],C61,tblCarga[Tipo],"Jogo",tblCarga[Data],"&lt;"&amp;A61)=0,"-",A61-_xlfn.MAXIFS(tblCarga[Data],tblCarga[Jogador],C61,tblCarga[Tipo],"Jogo",tblCarga[Data],"&lt;"&amp;A61))</f>
        <v/>
      </c>
      <c r="W61" s="277" t="n">
        <v>3</v>
      </c>
      <c r="X61" s="277" t="n">
        <v>1</v>
      </c>
      <c r="Y61" s="277" t="n">
        <v>1</v>
      </c>
      <c r="Z61" s="277" t="n">
        <v>2</v>
      </c>
      <c r="AA61" s="277" t="n">
        <v>7</v>
      </c>
    </row>
    <row r="62">
      <c r="A62" s="280" t="n">
        <v>46042</v>
      </c>
      <c r="B62" s="281" t="inlineStr">
        <is>
          <t>Belenenses</t>
        </is>
      </c>
      <c r="C62" s="281" t="inlineStr">
        <is>
          <t>Edu</t>
        </is>
      </c>
      <c r="D62" s="281" t="inlineStr">
        <is>
          <t>Lateral</t>
        </is>
      </c>
      <c r="E62" s="282" t="n">
        <v>91</v>
      </c>
      <c r="F62" s="282" t="n">
        <v>14106</v>
      </c>
      <c r="G62" s="282" t="n">
        <v>495</v>
      </c>
      <c r="H62" s="282" t="n">
        <v>250</v>
      </c>
      <c r="I62" s="282" t="n">
        <v>65</v>
      </c>
      <c r="J62" s="282" t="n">
        <v>72</v>
      </c>
      <c r="K62" s="282" t="n">
        <v>8</v>
      </c>
      <c r="L62" s="283" t="n">
        <v>34.2</v>
      </c>
      <c r="M62" s="282" t="n">
        <v>4</v>
      </c>
      <c r="N62" s="282" t="n">
        <v>8</v>
      </c>
      <c r="O62" s="282" t="n">
        <v>2</v>
      </c>
      <c r="P62" s="282" t="n">
        <v>1</v>
      </c>
      <c r="Q62" s="281" t="inlineStr">
        <is>
          <t>Treino</t>
        </is>
      </c>
      <c r="R62" s="282" t="n">
        <v>4</v>
      </c>
      <c r="S62" s="281" t="inlineStr">
        <is>
          <t>MD-4</t>
        </is>
      </c>
      <c r="T62" s="282" t="n"/>
      <c r="U62" s="282" t="n"/>
      <c r="V62" s="284">
        <f>IF(_xlfn.MAXIFS(tblCarga[Data],tblCarga[Jogador],C62,tblCarga[Tipo],"Jogo",tblCarga[Data],"&lt;"&amp;A62)=0,"-",A62-_xlfn.MAXIFS(tblCarga[Data],tblCarga[Jogador],C62,tblCarga[Tipo],"Jogo",tblCarga[Data],"&lt;"&amp;A62))</f>
        <v/>
      </c>
      <c r="W62" s="282" t="n">
        <v>3</v>
      </c>
      <c r="X62" s="282" t="n">
        <v>2</v>
      </c>
      <c r="Y62" s="282" t="n">
        <v>2</v>
      </c>
      <c r="Z62" s="282" t="n">
        <v>2</v>
      </c>
      <c r="AA62" s="282" t="n">
        <v>9</v>
      </c>
    </row>
    <row r="63">
      <c r="A63" s="275" t="n">
        <v>46042</v>
      </c>
      <c r="B63" s="276" t="inlineStr">
        <is>
          <t>Belenenses</t>
        </is>
      </c>
      <c r="C63" s="276" t="inlineStr">
        <is>
          <t>Capitulo</t>
        </is>
      </c>
      <c r="D63" s="276" t="inlineStr">
        <is>
          <t>Lateral</t>
        </is>
      </c>
      <c r="E63" s="277" t="n">
        <v>99</v>
      </c>
      <c r="F63" s="277" t="n">
        <v>13847</v>
      </c>
      <c r="G63" s="277" t="n">
        <v>370</v>
      </c>
      <c r="H63" s="277" t="n">
        <v>146</v>
      </c>
      <c r="I63" s="277" t="n">
        <v>110</v>
      </c>
      <c r="J63" s="277" t="n">
        <v>96</v>
      </c>
      <c r="K63" s="277" t="n">
        <v>8</v>
      </c>
      <c r="L63" s="278" t="n">
        <v>34.7</v>
      </c>
      <c r="M63" s="277" t="n">
        <v>4</v>
      </c>
      <c r="N63" s="277" t="n">
        <v>17</v>
      </c>
      <c r="O63" s="277" t="n">
        <v>4</v>
      </c>
      <c r="P63" s="277" t="n">
        <v>1</v>
      </c>
      <c r="Q63" s="276" t="inlineStr">
        <is>
          <t>Treino</t>
        </is>
      </c>
      <c r="R63" s="277" t="n">
        <v>4</v>
      </c>
      <c r="S63" s="276" t="inlineStr">
        <is>
          <t>MD-4</t>
        </is>
      </c>
      <c r="T63" s="277" t="n"/>
      <c r="U63" s="277" t="n"/>
      <c r="V63" s="279">
        <f>IF(_xlfn.MAXIFS(tblCarga[Data],tblCarga[Jogador],C63,tblCarga[Tipo],"Jogo",tblCarga[Data],"&lt;"&amp;A63)=0,"-",A63-_xlfn.MAXIFS(tblCarga[Data],tblCarga[Jogador],C63,tblCarga[Tipo],"Jogo",tblCarga[Data],"&lt;"&amp;A63))</f>
        <v/>
      </c>
      <c r="W63" s="277" t="n">
        <v>3</v>
      </c>
      <c r="X63" s="277" t="n">
        <v>2</v>
      </c>
      <c r="Y63" s="277" t="n">
        <v>1</v>
      </c>
      <c r="Z63" s="277" t="n">
        <v>2</v>
      </c>
      <c r="AA63" s="277" t="n">
        <v>8</v>
      </c>
    </row>
    <row r="64">
      <c r="A64" s="280" t="n">
        <v>46042</v>
      </c>
      <c r="B64" s="281" t="inlineStr">
        <is>
          <t>Belenenses</t>
        </is>
      </c>
      <c r="C64" s="281" t="inlineStr">
        <is>
          <t>Enzo Hugo</t>
        </is>
      </c>
      <c r="D64" s="281" t="inlineStr">
        <is>
          <t>Central</t>
        </is>
      </c>
      <c r="E64" s="282" t="n">
        <v>86</v>
      </c>
      <c r="F64" s="282" t="n">
        <v>10602</v>
      </c>
      <c r="G64" s="282" t="n">
        <v>359</v>
      </c>
      <c r="H64" s="282" t="n">
        <v>57</v>
      </c>
      <c r="I64" s="282" t="n">
        <v>74</v>
      </c>
      <c r="J64" s="282" t="n">
        <v>78</v>
      </c>
      <c r="K64" s="282" t="n">
        <v>8</v>
      </c>
      <c r="L64" s="283" t="n">
        <v>29.3</v>
      </c>
      <c r="M64" s="282" t="n">
        <v>4</v>
      </c>
      <c r="N64" s="282" t="n">
        <v>13</v>
      </c>
      <c r="O64" s="282" t="n">
        <v>5</v>
      </c>
      <c r="P64" s="282" t="n">
        <v>2</v>
      </c>
      <c r="Q64" s="281" t="inlineStr">
        <is>
          <t>Treino</t>
        </is>
      </c>
      <c r="R64" s="282" t="n">
        <v>4</v>
      </c>
      <c r="S64" s="281" t="inlineStr">
        <is>
          <t>MD-4</t>
        </is>
      </c>
      <c r="T64" s="282" t="n"/>
      <c r="U64" s="282" t="n"/>
      <c r="V64" s="284">
        <f>IF(_xlfn.MAXIFS(tblCarga[Data],tblCarga[Jogador],C64,tblCarga[Tipo],"Jogo",tblCarga[Data],"&lt;"&amp;A64)=0,"-",A64-_xlfn.MAXIFS(tblCarga[Data],tblCarga[Jogador],C64,tblCarga[Tipo],"Jogo",tblCarga[Data],"&lt;"&amp;A64))</f>
        <v/>
      </c>
      <c r="W64" s="282" t="n">
        <v>3</v>
      </c>
      <c r="X64" s="282" t="n">
        <v>2</v>
      </c>
      <c r="Y64" s="282" t="n">
        <v>2</v>
      </c>
      <c r="Z64" s="282" t="n">
        <v>2</v>
      </c>
      <c r="AA64" s="282" t="n">
        <v>9</v>
      </c>
    </row>
    <row r="65">
      <c r="A65" s="275" t="n">
        <v>46042</v>
      </c>
      <c r="B65" s="276" t="inlineStr">
        <is>
          <t>Belenenses</t>
        </is>
      </c>
      <c r="C65" s="276" t="inlineStr">
        <is>
          <t>Nogueira</t>
        </is>
      </c>
      <c r="D65" s="276" t="inlineStr">
        <is>
          <t>Central</t>
        </is>
      </c>
      <c r="E65" s="277" t="n">
        <v>87</v>
      </c>
      <c r="F65" s="277" t="n">
        <v>9534</v>
      </c>
      <c r="G65" s="277" t="n">
        <v>409</v>
      </c>
      <c r="H65" s="277" t="n">
        <v>63</v>
      </c>
      <c r="I65" s="277" t="n">
        <v>100</v>
      </c>
      <c r="J65" s="277" t="n">
        <v>90</v>
      </c>
      <c r="K65" s="277" t="n">
        <v>9</v>
      </c>
      <c r="L65" s="278" t="n">
        <v>28.8</v>
      </c>
      <c r="M65" s="277" t="n">
        <v>4</v>
      </c>
      <c r="N65" s="277" t="n">
        <v>8</v>
      </c>
      <c r="O65" s="277" t="n">
        <v>3</v>
      </c>
      <c r="P65" s="277" t="n">
        <v>2</v>
      </c>
      <c r="Q65" s="276" t="inlineStr">
        <is>
          <t>Treino</t>
        </is>
      </c>
      <c r="R65" s="277" t="n">
        <v>4</v>
      </c>
      <c r="S65" s="276" t="inlineStr">
        <is>
          <t>MD-4</t>
        </is>
      </c>
      <c r="T65" s="277" t="n"/>
      <c r="U65" s="277" t="n"/>
      <c r="V65" s="279">
        <f>IF(_xlfn.MAXIFS(tblCarga[Data],tblCarga[Jogador],C65,tblCarga[Tipo],"Jogo",tblCarga[Data],"&lt;"&amp;A65)=0,"-",A65-_xlfn.MAXIFS(tblCarga[Data],tblCarga[Jogador],C65,tblCarga[Tipo],"Jogo",tblCarga[Data],"&lt;"&amp;A65))</f>
        <v/>
      </c>
      <c r="W65" s="277" t="n">
        <v>3</v>
      </c>
      <c r="X65" s="277" t="n">
        <v>2</v>
      </c>
      <c r="Y65" s="277" t="n">
        <v>2</v>
      </c>
      <c r="Z65" s="277" t="n">
        <v>2</v>
      </c>
      <c r="AA65" s="277" t="n">
        <v>9</v>
      </c>
    </row>
    <row r="66">
      <c r="A66" s="280" t="n">
        <v>46043</v>
      </c>
      <c r="B66" s="281" t="inlineStr">
        <is>
          <t>Belenenses</t>
        </is>
      </c>
      <c r="C66" s="281" t="inlineStr">
        <is>
          <t>Paulino</t>
        </is>
      </c>
      <c r="D66" s="281" t="inlineStr">
        <is>
          <t>Médio</t>
        </is>
      </c>
      <c r="E66" s="282" t="n">
        <v>78</v>
      </c>
      <c r="F66" s="282" t="n">
        <v>6486</v>
      </c>
      <c r="G66" s="282" t="n">
        <v>305</v>
      </c>
      <c r="H66" s="282" t="n">
        <v>96</v>
      </c>
      <c r="I66" s="282" t="n">
        <v>91</v>
      </c>
      <c r="J66" s="282" t="n">
        <v>72</v>
      </c>
      <c r="K66" s="282" t="n">
        <v>5</v>
      </c>
      <c r="L66" s="283" t="n">
        <v>30.7</v>
      </c>
      <c r="M66" s="282" t="n">
        <v>4</v>
      </c>
      <c r="N66" s="282" t="n">
        <v>8</v>
      </c>
      <c r="O66" s="282" t="n">
        <v>3</v>
      </c>
      <c r="P66" s="282" t="n">
        <v>0</v>
      </c>
      <c r="Q66" s="281" t="inlineStr">
        <is>
          <t>Treino</t>
        </is>
      </c>
      <c r="R66" s="282" t="n">
        <v>4</v>
      </c>
      <c r="S66" s="281" t="inlineStr">
        <is>
          <t>MD-3</t>
        </is>
      </c>
      <c r="T66" s="282" t="n"/>
      <c r="U66" s="282" t="n"/>
      <c r="V66" s="284">
        <f>IF(_xlfn.MAXIFS(tblCarga[Data],tblCarga[Jogador],C66,tblCarga[Tipo],"Jogo",tblCarga[Data],"&lt;"&amp;A66)=0,"-",A66-_xlfn.MAXIFS(tblCarga[Data],tblCarga[Jogador],C66,tblCarga[Tipo],"Jogo",tblCarga[Data],"&lt;"&amp;A66))</f>
        <v/>
      </c>
      <c r="W66" s="282" t="n">
        <v>1</v>
      </c>
      <c r="X66" s="282" t="n">
        <v>2</v>
      </c>
      <c r="Y66" s="282" t="n">
        <v>1</v>
      </c>
      <c r="Z66" s="282" t="n">
        <v>1</v>
      </c>
      <c r="AA66" s="282" t="n">
        <v>5</v>
      </c>
    </row>
    <row r="67">
      <c r="A67" s="275" t="n">
        <v>46043</v>
      </c>
      <c r="B67" s="276" t="inlineStr">
        <is>
          <t>Belenenses</t>
        </is>
      </c>
      <c r="C67" s="276" t="inlineStr">
        <is>
          <t>Artur</t>
        </is>
      </c>
      <c r="D67" s="276" t="inlineStr">
        <is>
          <t>Médio</t>
        </is>
      </c>
      <c r="E67" s="277" t="n">
        <v>81</v>
      </c>
      <c r="F67" s="277" t="n">
        <v>7753</v>
      </c>
      <c r="G67" s="277" t="n">
        <v>173</v>
      </c>
      <c r="H67" s="277" t="n">
        <v>169</v>
      </c>
      <c r="I67" s="277" t="n">
        <v>69</v>
      </c>
      <c r="J67" s="277" t="n">
        <v>75</v>
      </c>
      <c r="K67" s="277" t="n">
        <v>8</v>
      </c>
      <c r="L67" s="278" t="n">
        <v>29</v>
      </c>
      <c r="M67" s="277" t="n">
        <v>4</v>
      </c>
      <c r="N67" s="277" t="n">
        <v>16</v>
      </c>
      <c r="O67" s="277" t="n">
        <v>9</v>
      </c>
      <c r="P67" s="277" t="n">
        <v>1</v>
      </c>
      <c r="Q67" s="276" t="inlineStr">
        <is>
          <t>Treino</t>
        </is>
      </c>
      <c r="R67" s="277" t="n">
        <v>4</v>
      </c>
      <c r="S67" s="276" t="inlineStr">
        <is>
          <t>MD-3</t>
        </is>
      </c>
      <c r="T67" s="277" t="n"/>
      <c r="U67" s="277" t="n"/>
      <c r="V67" s="279">
        <f>IF(_xlfn.MAXIFS(tblCarga[Data],tblCarga[Jogador],C67,tblCarga[Tipo],"Jogo",tblCarga[Data],"&lt;"&amp;A67)=0,"-",A67-_xlfn.MAXIFS(tblCarga[Data],tblCarga[Jogador],C67,tblCarga[Tipo],"Jogo",tblCarga[Data],"&lt;"&amp;A67))</f>
        <v/>
      </c>
      <c r="W67" s="277" t="n">
        <v>1</v>
      </c>
      <c r="X67" s="277" t="n">
        <v>1</v>
      </c>
      <c r="Y67" s="277" t="n">
        <v>1</v>
      </c>
      <c r="Z67" s="277" t="n">
        <v>1</v>
      </c>
      <c r="AA67" s="277" t="n">
        <v>4</v>
      </c>
    </row>
    <row r="68">
      <c r="A68" s="280" t="n">
        <v>46043</v>
      </c>
      <c r="B68" s="281" t="inlineStr">
        <is>
          <t>Belenenses</t>
        </is>
      </c>
      <c r="C68" s="281" t="inlineStr">
        <is>
          <t>Gomes</t>
        </is>
      </c>
      <c r="D68" s="281" t="inlineStr">
        <is>
          <t>Médio</t>
        </is>
      </c>
      <c r="E68" s="282" t="n">
        <v>90</v>
      </c>
      <c r="F68" s="282" t="n">
        <v>8337</v>
      </c>
      <c r="G68" s="282" t="n">
        <v>361</v>
      </c>
      <c r="H68" s="282" t="n">
        <v>142</v>
      </c>
      <c r="I68" s="282" t="n">
        <v>66</v>
      </c>
      <c r="J68" s="282" t="n">
        <v>64</v>
      </c>
      <c r="K68" s="282" t="n">
        <v>5</v>
      </c>
      <c r="L68" s="283" t="n">
        <v>29.8</v>
      </c>
      <c r="M68" s="282" t="n">
        <v>4</v>
      </c>
      <c r="N68" s="282" t="n">
        <v>11</v>
      </c>
      <c r="O68" s="282" t="n">
        <v>9</v>
      </c>
      <c r="P68" s="282" t="n">
        <v>0</v>
      </c>
      <c r="Q68" s="281" t="inlineStr">
        <is>
          <t>Treino</t>
        </is>
      </c>
      <c r="R68" s="282" t="n">
        <v>4</v>
      </c>
      <c r="S68" s="281" t="inlineStr">
        <is>
          <t>MD-3</t>
        </is>
      </c>
      <c r="T68" s="282" t="n"/>
      <c r="U68" s="282" t="n"/>
      <c r="V68" s="284">
        <f>IF(_xlfn.MAXIFS(tblCarga[Data],tblCarga[Jogador],C68,tblCarga[Tipo],"Jogo",tblCarga[Data],"&lt;"&amp;A68)=0,"-",A68-_xlfn.MAXIFS(tblCarga[Data],tblCarga[Jogador],C68,tblCarga[Tipo],"Jogo",tblCarga[Data],"&lt;"&amp;A68))</f>
        <v/>
      </c>
      <c r="W68" s="282" t="n">
        <v>2</v>
      </c>
      <c r="X68" s="282" t="n">
        <v>2</v>
      </c>
      <c r="Y68" s="282" t="n">
        <v>2</v>
      </c>
      <c r="Z68" s="282" t="n">
        <v>2</v>
      </c>
      <c r="AA68" s="282" t="n">
        <v>8</v>
      </c>
    </row>
    <row r="69">
      <c r="A69" s="275" t="n">
        <v>46043</v>
      </c>
      <c r="B69" s="276" t="inlineStr">
        <is>
          <t>Belenenses</t>
        </is>
      </c>
      <c r="C69" s="276" t="inlineStr">
        <is>
          <t>Sá</t>
        </is>
      </c>
      <c r="D69" s="276" t="inlineStr">
        <is>
          <t>Médio</t>
        </is>
      </c>
      <c r="E69" s="277" t="n">
        <v>80</v>
      </c>
      <c r="F69" s="277" t="n">
        <v>9158</v>
      </c>
      <c r="G69" s="277" t="n">
        <v>322</v>
      </c>
      <c r="H69" s="277" t="n">
        <v>63</v>
      </c>
      <c r="I69" s="277" t="n">
        <v>57</v>
      </c>
      <c r="J69" s="277" t="n">
        <v>83</v>
      </c>
      <c r="K69" s="277" t="n">
        <v>8</v>
      </c>
      <c r="L69" s="278" t="n">
        <v>31.1</v>
      </c>
      <c r="M69" s="277" t="n">
        <v>4</v>
      </c>
      <c r="N69" s="277" t="n">
        <v>8</v>
      </c>
      <c r="O69" s="277" t="n">
        <v>5</v>
      </c>
      <c r="P69" s="277" t="n">
        <v>1</v>
      </c>
      <c r="Q69" s="276" t="inlineStr">
        <is>
          <t>Treino</t>
        </is>
      </c>
      <c r="R69" s="277" t="n">
        <v>4</v>
      </c>
      <c r="S69" s="276" t="inlineStr">
        <is>
          <t>MD-3</t>
        </is>
      </c>
      <c r="T69" s="277" t="n"/>
      <c r="U69" s="277" t="n"/>
      <c r="V69" s="279">
        <f>IF(_xlfn.MAXIFS(tblCarga[Data],tblCarga[Jogador],C69,tblCarga[Tipo],"Jogo",tblCarga[Data],"&lt;"&amp;A69)=0,"-",A69-_xlfn.MAXIFS(tblCarga[Data],tblCarga[Jogador],C69,tblCarga[Tipo],"Jogo",tblCarga[Data],"&lt;"&amp;A69))</f>
        <v/>
      </c>
      <c r="W69" s="277" t="n">
        <v>2</v>
      </c>
      <c r="X69" s="277" t="n">
        <v>2</v>
      </c>
      <c r="Y69" s="277" t="n">
        <v>2</v>
      </c>
      <c r="Z69" s="277" t="n">
        <v>2</v>
      </c>
      <c r="AA69" s="277" t="n">
        <v>8</v>
      </c>
    </row>
    <row r="70">
      <c r="A70" s="280" t="n">
        <v>46043</v>
      </c>
      <c r="B70" s="281" t="inlineStr">
        <is>
          <t>Belenenses</t>
        </is>
      </c>
      <c r="C70" s="281" t="inlineStr">
        <is>
          <t>Varela</t>
        </is>
      </c>
      <c r="D70" s="281" t="inlineStr">
        <is>
          <t>Lateral</t>
        </is>
      </c>
      <c r="E70" s="282" t="n">
        <v>84</v>
      </c>
      <c r="F70" s="282" t="n">
        <v>13593</v>
      </c>
      <c r="G70" s="282" t="n">
        <v>559</v>
      </c>
      <c r="H70" s="282" t="n">
        <v>160</v>
      </c>
      <c r="I70" s="282" t="n">
        <v>91</v>
      </c>
      <c r="J70" s="282" t="n">
        <v>76</v>
      </c>
      <c r="K70" s="282" t="n">
        <v>5</v>
      </c>
      <c r="L70" s="283" t="n">
        <v>31.3</v>
      </c>
      <c r="M70" s="282" t="n">
        <v>4</v>
      </c>
      <c r="N70" s="282" t="n">
        <v>12</v>
      </c>
      <c r="O70" s="282" t="n">
        <v>10</v>
      </c>
      <c r="P70" s="282" t="n">
        <v>0</v>
      </c>
      <c r="Q70" s="281" t="inlineStr">
        <is>
          <t>Treino</t>
        </is>
      </c>
      <c r="R70" s="282" t="n">
        <v>4</v>
      </c>
      <c r="S70" s="281" t="inlineStr">
        <is>
          <t>MD-3</t>
        </is>
      </c>
      <c r="T70" s="282" t="n"/>
      <c r="U70" s="282" t="n"/>
      <c r="V70" s="284">
        <f>IF(_xlfn.MAXIFS(tblCarga[Data],tblCarga[Jogador],C70,tblCarga[Tipo],"Jogo",tblCarga[Data],"&lt;"&amp;A70)=0,"-",A70-_xlfn.MAXIFS(tblCarga[Data],tblCarga[Jogador],C70,tblCarga[Tipo],"Jogo",tblCarga[Data],"&lt;"&amp;A70))</f>
        <v/>
      </c>
      <c r="W70" s="282" t="n">
        <v>2</v>
      </c>
      <c r="X70" s="282" t="n">
        <v>2</v>
      </c>
      <c r="Y70" s="282" t="n">
        <v>1</v>
      </c>
      <c r="Z70" s="282" t="n">
        <v>2</v>
      </c>
      <c r="AA70" s="282" t="n">
        <v>7</v>
      </c>
    </row>
    <row r="71">
      <c r="A71" s="275" t="n">
        <v>46043</v>
      </c>
      <c r="B71" s="276" t="inlineStr">
        <is>
          <t>Belenenses</t>
        </is>
      </c>
      <c r="C71" s="276" t="inlineStr">
        <is>
          <t>Edu</t>
        </is>
      </c>
      <c r="D71" s="276" t="inlineStr">
        <is>
          <t>Lateral</t>
        </is>
      </c>
      <c r="E71" s="277" t="n">
        <v>88</v>
      </c>
      <c r="F71" s="277" t="n">
        <v>9614</v>
      </c>
      <c r="G71" s="277" t="n">
        <v>606</v>
      </c>
      <c r="H71" s="277" t="n">
        <v>128</v>
      </c>
      <c r="I71" s="277" t="n">
        <v>69</v>
      </c>
      <c r="J71" s="277" t="n">
        <v>80</v>
      </c>
      <c r="K71" s="277" t="n">
        <v>4</v>
      </c>
      <c r="L71" s="278" t="n">
        <v>32.4</v>
      </c>
      <c r="M71" s="277" t="n">
        <v>4</v>
      </c>
      <c r="N71" s="277" t="n">
        <v>11</v>
      </c>
      <c r="O71" s="277" t="n">
        <v>2</v>
      </c>
      <c r="P71" s="277" t="n">
        <v>1</v>
      </c>
      <c r="Q71" s="276" t="inlineStr">
        <is>
          <t>Treino</t>
        </is>
      </c>
      <c r="R71" s="277" t="n">
        <v>4</v>
      </c>
      <c r="S71" s="276" t="inlineStr">
        <is>
          <t>MD-3</t>
        </is>
      </c>
      <c r="T71" s="277" t="n"/>
      <c r="U71" s="277" t="n"/>
      <c r="V71" s="279">
        <f>IF(_xlfn.MAXIFS(tblCarga[Data],tblCarga[Jogador],C71,tblCarga[Tipo],"Jogo",tblCarga[Data],"&lt;"&amp;A71)=0,"-",A71-_xlfn.MAXIFS(tblCarga[Data],tblCarga[Jogador],C71,tblCarga[Tipo],"Jogo",tblCarga[Data],"&lt;"&amp;A71))</f>
        <v/>
      </c>
      <c r="W71" s="277" t="n">
        <v>1</v>
      </c>
      <c r="X71" s="277" t="n">
        <v>2</v>
      </c>
      <c r="Y71" s="277" t="n">
        <v>3</v>
      </c>
      <c r="Z71" s="277" t="n">
        <v>1</v>
      </c>
      <c r="AA71" s="277" t="n">
        <v>7</v>
      </c>
    </row>
    <row r="72">
      <c r="A72" s="280" t="n">
        <v>46043</v>
      </c>
      <c r="B72" s="281" t="inlineStr">
        <is>
          <t>Belenenses</t>
        </is>
      </c>
      <c r="C72" s="281" t="inlineStr">
        <is>
          <t>Capitulo</t>
        </is>
      </c>
      <c r="D72" s="281" t="inlineStr">
        <is>
          <t>Lateral</t>
        </is>
      </c>
      <c r="E72" s="282" t="n">
        <v>99</v>
      </c>
      <c r="F72" s="282" t="n">
        <v>12304</v>
      </c>
      <c r="G72" s="282" t="n">
        <v>331</v>
      </c>
      <c r="H72" s="282" t="n">
        <v>224</v>
      </c>
      <c r="I72" s="282" t="n">
        <v>80</v>
      </c>
      <c r="J72" s="282" t="n">
        <v>94</v>
      </c>
      <c r="K72" s="282" t="n">
        <v>5</v>
      </c>
      <c r="L72" s="283" t="n">
        <v>33.4</v>
      </c>
      <c r="M72" s="282" t="n">
        <v>4</v>
      </c>
      <c r="N72" s="282" t="n">
        <v>15</v>
      </c>
      <c r="O72" s="282" t="n">
        <v>9</v>
      </c>
      <c r="P72" s="282" t="n">
        <v>1</v>
      </c>
      <c r="Q72" s="281" t="inlineStr">
        <is>
          <t>Treino</t>
        </is>
      </c>
      <c r="R72" s="282" t="n">
        <v>4</v>
      </c>
      <c r="S72" s="281" t="inlineStr">
        <is>
          <t>MD-3</t>
        </is>
      </c>
      <c r="T72" s="282" t="n"/>
      <c r="U72" s="282" t="n"/>
      <c r="V72" s="284">
        <f>IF(_xlfn.MAXIFS(tblCarga[Data],tblCarga[Jogador],C72,tblCarga[Tipo],"Jogo",tblCarga[Data],"&lt;"&amp;A72)=0,"-",A72-_xlfn.MAXIFS(tblCarga[Data],tblCarga[Jogador],C72,tblCarga[Tipo],"Jogo",tblCarga[Data],"&lt;"&amp;A72))</f>
        <v/>
      </c>
      <c r="W72" s="282" t="n">
        <v>1</v>
      </c>
      <c r="X72" s="282" t="n">
        <v>1</v>
      </c>
      <c r="Y72" s="282" t="n">
        <v>3</v>
      </c>
      <c r="Z72" s="282" t="n">
        <v>3</v>
      </c>
      <c r="AA72" s="282" t="n">
        <v>8</v>
      </c>
    </row>
    <row r="73">
      <c r="A73" s="275" t="n">
        <v>46043</v>
      </c>
      <c r="B73" s="276" t="inlineStr">
        <is>
          <t>Belenenses</t>
        </is>
      </c>
      <c r="C73" s="276" t="inlineStr">
        <is>
          <t>Enzo Hugo</t>
        </is>
      </c>
      <c r="D73" s="276" t="inlineStr">
        <is>
          <t>Central</t>
        </is>
      </c>
      <c r="E73" s="277" t="n">
        <v>90</v>
      </c>
      <c r="F73" s="277" t="n">
        <v>8677</v>
      </c>
      <c r="G73" s="277" t="n">
        <v>313</v>
      </c>
      <c r="H73" s="277" t="n">
        <v>35</v>
      </c>
      <c r="I73" s="277" t="n">
        <v>60</v>
      </c>
      <c r="J73" s="277" t="n">
        <v>99</v>
      </c>
      <c r="K73" s="277" t="n">
        <v>9</v>
      </c>
      <c r="L73" s="278" t="n">
        <v>27.6</v>
      </c>
      <c r="M73" s="277" t="n">
        <v>4</v>
      </c>
      <c r="N73" s="277" t="n">
        <v>5</v>
      </c>
      <c r="O73" s="277" t="n">
        <v>2</v>
      </c>
      <c r="P73" s="277" t="n">
        <v>4</v>
      </c>
      <c r="Q73" s="276" t="inlineStr">
        <is>
          <t>Treino</t>
        </is>
      </c>
      <c r="R73" s="277" t="n">
        <v>4</v>
      </c>
      <c r="S73" s="276" t="inlineStr">
        <is>
          <t>MD-3</t>
        </is>
      </c>
      <c r="T73" s="277" t="n"/>
      <c r="U73" s="277" t="n"/>
      <c r="V73" s="279">
        <f>IF(_xlfn.MAXIFS(tblCarga[Data],tblCarga[Jogador],C73,tblCarga[Tipo],"Jogo",tblCarga[Data],"&lt;"&amp;A73)=0,"-",A73-_xlfn.MAXIFS(tblCarga[Data],tblCarga[Jogador],C73,tblCarga[Tipo],"Jogo",tblCarga[Data],"&lt;"&amp;A73))</f>
        <v/>
      </c>
      <c r="W73" s="277" t="n">
        <v>2</v>
      </c>
      <c r="X73" s="277" t="n">
        <v>1</v>
      </c>
      <c r="Y73" s="277" t="n">
        <v>1</v>
      </c>
      <c r="Z73" s="277" t="n">
        <v>3</v>
      </c>
      <c r="AA73" s="277" t="n">
        <v>7</v>
      </c>
    </row>
    <row r="74">
      <c r="A74" s="280" t="n">
        <v>46043</v>
      </c>
      <c r="B74" s="281" t="inlineStr">
        <is>
          <t>Belenenses</t>
        </is>
      </c>
      <c r="C74" s="281" t="inlineStr">
        <is>
          <t>Nogueira</t>
        </is>
      </c>
      <c r="D74" s="281" t="inlineStr">
        <is>
          <t>Central</t>
        </is>
      </c>
      <c r="E74" s="282" t="n">
        <v>85</v>
      </c>
      <c r="F74" s="282" t="n">
        <v>9852</v>
      </c>
      <c r="G74" s="282" t="n">
        <v>366</v>
      </c>
      <c r="H74" s="282" t="n">
        <v>55</v>
      </c>
      <c r="I74" s="282" t="n">
        <v>73</v>
      </c>
      <c r="J74" s="282" t="n">
        <v>65</v>
      </c>
      <c r="K74" s="282" t="n">
        <v>10</v>
      </c>
      <c r="L74" s="283" t="n">
        <v>27.7</v>
      </c>
      <c r="M74" s="282" t="n">
        <v>4</v>
      </c>
      <c r="N74" s="282" t="n">
        <v>6</v>
      </c>
      <c r="O74" s="282" t="n">
        <v>3</v>
      </c>
      <c r="P74" s="282" t="n">
        <v>1</v>
      </c>
      <c r="Q74" s="281" t="inlineStr">
        <is>
          <t>Treino</t>
        </is>
      </c>
      <c r="R74" s="282" t="n">
        <v>4</v>
      </c>
      <c r="S74" s="281" t="inlineStr">
        <is>
          <t>MD-3</t>
        </is>
      </c>
      <c r="T74" s="282" t="n"/>
      <c r="U74" s="282" t="n"/>
      <c r="V74" s="284">
        <f>IF(_xlfn.MAXIFS(tblCarga[Data],tblCarga[Jogador],C74,tblCarga[Tipo],"Jogo",tblCarga[Data],"&lt;"&amp;A74)=0,"-",A74-_xlfn.MAXIFS(tblCarga[Data],tblCarga[Jogador],C74,tblCarga[Tipo],"Jogo",tblCarga[Data],"&lt;"&amp;A74))</f>
        <v/>
      </c>
      <c r="W74" s="282" t="n">
        <v>2</v>
      </c>
      <c r="X74" s="282" t="n">
        <v>3</v>
      </c>
      <c r="Y74" s="282" t="n">
        <v>2</v>
      </c>
      <c r="Z74" s="282" t="n">
        <v>2</v>
      </c>
      <c r="AA74" s="282" t="n">
        <v>9</v>
      </c>
    </row>
    <row r="75">
      <c r="A75" s="275" t="n">
        <v>46048</v>
      </c>
      <c r="B75" s="276" t="inlineStr">
        <is>
          <t>Belenenses</t>
        </is>
      </c>
      <c r="C75" s="276" t="inlineStr">
        <is>
          <t>Paulino</t>
        </is>
      </c>
      <c r="D75" s="276" t="inlineStr">
        <is>
          <t>Médio</t>
        </is>
      </c>
      <c r="E75" s="277" t="n">
        <v>95</v>
      </c>
      <c r="F75" s="277" t="n">
        <v>8053</v>
      </c>
      <c r="G75" s="277" t="n">
        <v>185</v>
      </c>
      <c r="H75" s="277" t="n">
        <v>101</v>
      </c>
      <c r="I75" s="277" t="n">
        <v>91</v>
      </c>
      <c r="J75" s="277" t="n">
        <v>96</v>
      </c>
      <c r="K75" s="277" t="n">
        <v>5</v>
      </c>
      <c r="L75" s="278" t="n">
        <v>28.5</v>
      </c>
      <c r="M75" s="277" t="n">
        <v>5</v>
      </c>
      <c r="N75" s="277" t="n">
        <v>14</v>
      </c>
      <c r="O75" s="277" t="n">
        <v>10</v>
      </c>
      <c r="P75" s="277" t="n">
        <v>2</v>
      </c>
      <c r="Q75" s="276" t="inlineStr">
        <is>
          <t>Treino</t>
        </is>
      </c>
      <c r="R75" s="277" t="n">
        <v>5</v>
      </c>
      <c r="S75" s="276" t="inlineStr">
        <is>
          <t>MD-5</t>
        </is>
      </c>
      <c r="T75" s="277" t="n"/>
      <c r="U75" s="277" t="n"/>
      <c r="V75" s="279">
        <f>IF(_xlfn.MAXIFS(tblCarga[Data],tblCarga[Jogador],C75,tblCarga[Tipo],"Jogo",tblCarga[Data],"&lt;"&amp;A75)=0,"-",A75-_xlfn.MAXIFS(tblCarga[Data],tblCarga[Jogador],C75,tblCarga[Tipo],"Jogo",tblCarga[Data],"&lt;"&amp;A75))</f>
        <v/>
      </c>
      <c r="W75" s="277" t="n">
        <v>2</v>
      </c>
      <c r="X75" s="277" t="n">
        <v>1</v>
      </c>
      <c r="Y75" s="277" t="n">
        <v>2</v>
      </c>
      <c r="Z75" s="277" t="n">
        <v>1</v>
      </c>
      <c r="AA75" s="277" t="n">
        <v>6</v>
      </c>
    </row>
    <row r="76">
      <c r="A76" s="280" t="n">
        <v>46048</v>
      </c>
      <c r="B76" s="281" t="inlineStr">
        <is>
          <t>Belenenses</t>
        </is>
      </c>
      <c r="C76" s="281" t="inlineStr">
        <is>
          <t>Artur</t>
        </is>
      </c>
      <c r="D76" s="281" t="inlineStr">
        <is>
          <t>Médio</t>
        </is>
      </c>
      <c r="E76" s="282" t="n">
        <v>86</v>
      </c>
      <c r="F76" s="282" t="n">
        <v>7468</v>
      </c>
      <c r="G76" s="282" t="n">
        <v>207</v>
      </c>
      <c r="H76" s="282" t="n">
        <v>118</v>
      </c>
      <c r="I76" s="282" t="n">
        <v>69</v>
      </c>
      <c r="J76" s="282" t="n">
        <v>74</v>
      </c>
      <c r="K76" s="282" t="n">
        <v>6</v>
      </c>
      <c r="L76" s="283" t="n">
        <v>30.6</v>
      </c>
      <c r="M76" s="282" t="n">
        <v>5</v>
      </c>
      <c r="N76" s="282" t="n">
        <v>12</v>
      </c>
      <c r="O76" s="282" t="n">
        <v>7</v>
      </c>
      <c r="P76" s="282" t="n">
        <v>0</v>
      </c>
      <c r="Q76" s="281" t="inlineStr">
        <is>
          <t>Treino</t>
        </is>
      </c>
      <c r="R76" s="282" t="n">
        <v>5</v>
      </c>
      <c r="S76" s="281" t="inlineStr">
        <is>
          <t>MD-5</t>
        </is>
      </c>
      <c r="T76" s="282" t="n"/>
      <c r="U76" s="282" t="n"/>
      <c r="V76" s="284">
        <f>IF(_xlfn.MAXIFS(tblCarga[Data],tblCarga[Jogador],C76,tblCarga[Tipo],"Jogo",tblCarga[Data],"&lt;"&amp;A76)=0,"-",A76-_xlfn.MAXIFS(tblCarga[Data],tblCarga[Jogador],C76,tblCarga[Tipo],"Jogo",tblCarga[Data],"&lt;"&amp;A76))</f>
        <v/>
      </c>
      <c r="W76" s="282" t="n">
        <v>1</v>
      </c>
      <c r="X76" s="282" t="n">
        <v>2</v>
      </c>
      <c r="Y76" s="282" t="n">
        <v>3</v>
      </c>
      <c r="Z76" s="282" t="n">
        <v>1</v>
      </c>
      <c r="AA76" s="282" t="n">
        <v>7</v>
      </c>
    </row>
    <row r="77">
      <c r="A77" s="275" t="n">
        <v>46048</v>
      </c>
      <c r="B77" s="276" t="inlineStr">
        <is>
          <t>Belenenses</t>
        </is>
      </c>
      <c r="C77" s="276" t="inlineStr">
        <is>
          <t>Gomes</t>
        </is>
      </c>
      <c r="D77" s="276" t="inlineStr">
        <is>
          <t>Médio</t>
        </is>
      </c>
      <c r="E77" s="277" t="n">
        <v>88</v>
      </c>
      <c r="F77" s="277" t="n">
        <v>6438</v>
      </c>
      <c r="G77" s="277" t="n">
        <v>272</v>
      </c>
      <c r="H77" s="277" t="n">
        <v>63</v>
      </c>
      <c r="I77" s="277" t="n">
        <v>58</v>
      </c>
      <c r="J77" s="277" t="n">
        <v>92</v>
      </c>
      <c r="K77" s="277" t="n">
        <v>6</v>
      </c>
      <c r="L77" s="278" t="n">
        <v>29.2</v>
      </c>
      <c r="M77" s="277" t="n">
        <v>5</v>
      </c>
      <c r="N77" s="277" t="n">
        <v>6</v>
      </c>
      <c r="O77" s="277" t="n">
        <v>5</v>
      </c>
      <c r="P77" s="277" t="n">
        <v>2</v>
      </c>
      <c r="Q77" s="276" t="inlineStr">
        <is>
          <t>Treino</t>
        </is>
      </c>
      <c r="R77" s="277" t="n">
        <v>5</v>
      </c>
      <c r="S77" s="276" t="inlineStr">
        <is>
          <t>MD-5</t>
        </is>
      </c>
      <c r="T77" s="277" t="n"/>
      <c r="U77" s="277" t="n"/>
      <c r="V77" s="279">
        <f>IF(_xlfn.MAXIFS(tblCarga[Data],tblCarga[Jogador],C77,tblCarga[Tipo],"Jogo",tblCarga[Data],"&lt;"&amp;A77)=0,"-",A77-_xlfn.MAXIFS(tblCarga[Data],tblCarga[Jogador],C77,tblCarga[Tipo],"Jogo",tblCarga[Data],"&lt;"&amp;A77))</f>
        <v/>
      </c>
      <c r="W77" s="277" t="n">
        <v>2</v>
      </c>
      <c r="X77" s="277" t="n">
        <v>1</v>
      </c>
      <c r="Y77" s="277" t="n">
        <v>2</v>
      </c>
      <c r="Z77" s="277" t="n">
        <v>3</v>
      </c>
      <c r="AA77" s="277" t="n">
        <v>8</v>
      </c>
    </row>
    <row r="78">
      <c r="A78" s="280" t="n">
        <v>46048</v>
      </c>
      <c r="B78" s="281" t="inlineStr">
        <is>
          <t>Belenenses</t>
        </is>
      </c>
      <c r="C78" s="281" t="inlineStr">
        <is>
          <t>Sá</t>
        </is>
      </c>
      <c r="D78" s="281" t="inlineStr">
        <is>
          <t>Médio</t>
        </is>
      </c>
      <c r="E78" s="282" t="n">
        <v>97</v>
      </c>
      <c r="F78" s="282" t="n">
        <v>7567</v>
      </c>
      <c r="G78" s="282" t="n">
        <v>195</v>
      </c>
      <c r="H78" s="282" t="n">
        <v>150</v>
      </c>
      <c r="I78" s="282" t="n">
        <v>88</v>
      </c>
      <c r="J78" s="282" t="n">
        <v>103</v>
      </c>
      <c r="K78" s="282" t="n">
        <v>6</v>
      </c>
      <c r="L78" s="283" t="n">
        <v>31.7</v>
      </c>
      <c r="M78" s="282" t="n">
        <v>5</v>
      </c>
      <c r="N78" s="282" t="n">
        <v>13</v>
      </c>
      <c r="O78" s="282" t="n">
        <v>2</v>
      </c>
      <c r="P78" s="282" t="n">
        <v>4</v>
      </c>
      <c r="Q78" s="281" t="inlineStr">
        <is>
          <t>Treino</t>
        </is>
      </c>
      <c r="R78" s="282" t="n">
        <v>5</v>
      </c>
      <c r="S78" s="281" t="inlineStr">
        <is>
          <t>MD-5</t>
        </is>
      </c>
      <c r="T78" s="282" t="n"/>
      <c r="U78" s="282" t="n"/>
      <c r="V78" s="284">
        <f>IF(_xlfn.MAXIFS(tblCarga[Data],tblCarga[Jogador],C78,tblCarga[Tipo],"Jogo",tblCarga[Data],"&lt;"&amp;A78)=0,"-",A78-_xlfn.MAXIFS(tblCarga[Data],tblCarga[Jogador],C78,tblCarga[Tipo],"Jogo",tblCarga[Data],"&lt;"&amp;A78))</f>
        <v/>
      </c>
      <c r="W78" s="282" t="n">
        <v>1</v>
      </c>
      <c r="X78" s="282" t="n">
        <v>2</v>
      </c>
      <c r="Y78" s="282" t="n">
        <v>2</v>
      </c>
      <c r="Z78" s="282" t="n">
        <v>2</v>
      </c>
      <c r="AA78" s="282" t="n">
        <v>7</v>
      </c>
    </row>
    <row r="79">
      <c r="A79" s="275" t="n">
        <v>46048</v>
      </c>
      <c r="B79" s="276" t="inlineStr">
        <is>
          <t>Belenenses</t>
        </is>
      </c>
      <c r="C79" s="276" t="inlineStr">
        <is>
          <t>Varela</t>
        </is>
      </c>
      <c r="D79" s="276" t="inlineStr">
        <is>
          <t>Lateral</t>
        </is>
      </c>
      <c r="E79" s="277" t="n">
        <v>86</v>
      </c>
      <c r="F79" s="277" t="n">
        <v>11652</v>
      </c>
      <c r="G79" s="277" t="n">
        <v>383</v>
      </c>
      <c r="H79" s="277" t="n">
        <v>159</v>
      </c>
      <c r="I79" s="277" t="n">
        <v>80</v>
      </c>
      <c r="J79" s="277" t="n">
        <v>72</v>
      </c>
      <c r="K79" s="277" t="n">
        <v>8</v>
      </c>
      <c r="L79" s="278" t="n">
        <v>33.6</v>
      </c>
      <c r="M79" s="277" t="n">
        <v>5</v>
      </c>
      <c r="N79" s="277" t="n">
        <v>9</v>
      </c>
      <c r="O79" s="277" t="n">
        <v>6</v>
      </c>
      <c r="P79" s="277" t="n">
        <v>4</v>
      </c>
      <c r="Q79" s="276" t="inlineStr">
        <is>
          <t>Treino</t>
        </is>
      </c>
      <c r="R79" s="277" t="n">
        <v>5</v>
      </c>
      <c r="S79" s="276" t="inlineStr">
        <is>
          <t>MD-5</t>
        </is>
      </c>
      <c r="T79" s="277" t="n"/>
      <c r="U79" s="277" t="n"/>
      <c r="V79" s="279">
        <f>IF(_xlfn.MAXIFS(tblCarga[Data],tblCarga[Jogador],C79,tblCarga[Tipo],"Jogo",tblCarga[Data],"&lt;"&amp;A79)=0,"-",A79-_xlfn.MAXIFS(tblCarga[Data],tblCarga[Jogador],C79,tblCarga[Tipo],"Jogo",tblCarga[Data],"&lt;"&amp;A79))</f>
        <v/>
      </c>
      <c r="W79" s="277" t="n">
        <v>2</v>
      </c>
      <c r="X79" s="277" t="n">
        <v>1</v>
      </c>
      <c r="Y79" s="277" t="n">
        <v>2</v>
      </c>
      <c r="Z79" s="277" t="n">
        <v>2</v>
      </c>
      <c r="AA79" s="277" t="n">
        <v>7</v>
      </c>
    </row>
    <row r="80">
      <c r="A80" s="280" t="n">
        <v>46048</v>
      </c>
      <c r="B80" s="281" t="inlineStr">
        <is>
          <t>Belenenses</t>
        </is>
      </c>
      <c r="C80" s="281" t="inlineStr">
        <is>
          <t>Edu</t>
        </is>
      </c>
      <c r="D80" s="281" t="inlineStr">
        <is>
          <t>Lateral</t>
        </is>
      </c>
      <c r="E80" s="282" t="n">
        <v>90</v>
      </c>
      <c r="F80" s="282" t="n">
        <v>10925</v>
      </c>
      <c r="G80" s="282" t="n">
        <v>505</v>
      </c>
      <c r="H80" s="282" t="n">
        <v>177</v>
      </c>
      <c r="I80" s="282" t="n">
        <v>107</v>
      </c>
      <c r="J80" s="282" t="n">
        <v>105</v>
      </c>
      <c r="K80" s="282" t="n">
        <v>8</v>
      </c>
      <c r="L80" s="283" t="n">
        <v>32.5</v>
      </c>
      <c r="M80" s="282" t="n">
        <v>5</v>
      </c>
      <c r="N80" s="282" t="n">
        <v>5</v>
      </c>
      <c r="O80" s="282" t="n">
        <v>3</v>
      </c>
      <c r="P80" s="282" t="n">
        <v>3</v>
      </c>
      <c r="Q80" s="281" t="inlineStr">
        <is>
          <t>Treino</t>
        </is>
      </c>
      <c r="R80" s="282" t="n">
        <v>5</v>
      </c>
      <c r="S80" s="281" t="inlineStr">
        <is>
          <t>MD-5</t>
        </is>
      </c>
      <c r="T80" s="282" t="n"/>
      <c r="U80" s="282" t="n"/>
      <c r="V80" s="284">
        <f>IF(_xlfn.MAXIFS(tblCarga[Data],tblCarga[Jogador],C80,tblCarga[Tipo],"Jogo",tblCarga[Data],"&lt;"&amp;A80)=0,"-",A80-_xlfn.MAXIFS(tblCarga[Data],tblCarga[Jogador],C80,tblCarga[Tipo],"Jogo",tblCarga[Data],"&lt;"&amp;A80))</f>
        <v/>
      </c>
      <c r="W80" s="282" t="n">
        <v>1</v>
      </c>
      <c r="X80" s="282" t="n">
        <v>2</v>
      </c>
      <c r="Y80" s="282" t="n">
        <v>2</v>
      </c>
      <c r="Z80" s="282" t="n">
        <v>3</v>
      </c>
      <c r="AA80" s="282" t="n">
        <v>8</v>
      </c>
    </row>
    <row r="81">
      <c r="A81" s="275" t="n">
        <v>46048</v>
      </c>
      <c r="B81" s="276" t="inlineStr">
        <is>
          <t>Belenenses</t>
        </is>
      </c>
      <c r="C81" s="276" t="inlineStr">
        <is>
          <t>Capitulo</t>
        </is>
      </c>
      <c r="D81" s="276" t="inlineStr">
        <is>
          <t>Lateral</t>
        </is>
      </c>
      <c r="E81" s="277" t="n">
        <v>96</v>
      </c>
      <c r="F81" s="277" t="n">
        <v>11466</v>
      </c>
      <c r="G81" s="277" t="n">
        <v>352</v>
      </c>
      <c r="H81" s="277" t="n">
        <v>125</v>
      </c>
      <c r="I81" s="277" t="n">
        <v>85</v>
      </c>
      <c r="J81" s="277" t="n">
        <v>73</v>
      </c>
      <c r="K81" s="277" t="n">
        <v>7</v>
      </c>
      <c r="L81" s="278" t="n">
        <v>31.4</v>
      </c>
      <c r="M81" s="277" t="n">
        <v>5</v>
      </c>
      <c r="N81" s="277" t="n">
        <v>13</v>
      </c>
      <c r="O81" s="277" t="n">
        <v>8</v>
      </c>
      <c r="P81" s="277" t="n">
        <v>4</v>
      </c>
      <c r="Q81" s="276" t="inlineStr">
        <is>
          <t>Treino</t>
        </is>
      </c>
      <c r="R81" s="277" t="n">
        <v>5</v>
      </c>
      <c r="S81" s="276" t="inlineStr">
        <is>
          <t>MD-5</t>
        </is>
      </c>
      <c r="T81" s="277" t="n"/>
      <c r="U81" s="277" t="n"/>
      <c r="V81" s="279">
        <f>IF(_xlfn.MAXIFS(tblCarga[Data],tblCarga[Jogador],C81,tblCarga[Tipo],"Jogo",tblCarga[Data],"&lt;"&amp;A81)=0,"-",A81-_xlfn.MAXIFS(tblCarga[Data],tblCarga[Jogador],C81,tblCarga[Tipo],"Jogo",tblCarga[Data],"&lt;"&amp;A81))</f>
        <v/>
      </c>
      <c r="W81" s="277" t="n">
        <v>2</v>
      </c>
      <c r="X81" s="277" t="n">
        <v>2</v>
      </c>
      <c r="Y81" s="277" t="n">
        <v>2</v>
      </c>
      <c r="Z81" s="277" t="n">
        <v>1</v>
      </c>
      <c r="AA81" s="277" t="n">
        <v>7</v>
      </c>
    </row>
    <row r="82">
      <c r="A82" s="280" t="n">
        <v>46048</v>
      </c>
      <c r="B82" s="281" t="inlineStr">
        <is>
          <t>Belenenses</t>
        </is>
      </c>
      <c r="C82" s="281" t="inlineStr">
        <is>
          <t>Enzo Hugo</t>
        </is>
      </c>
      <c r="D82" s="281" t="inlineStr">
        <is>
          <t>Central</t>
        </is>
      </c>
      <c r="E82" s="282" t="n">
        <v>97</v>
      </c>
      <c r="F82" s="282" t="n">
        <v>7939</v>
      </c>
      <c r="G82" s="282" t="n">
        <v>266</v>
      </c>
      <c r="H82" s="282" t="n">
        <v>26</v>
      </c>
      <c r="I82" s="282" t="n">
        <v>72</v>
      </c>
      <c r="J82" s="282" t="n">
        <v>96</v>
      </c>
      <c r="K82" s="282" t="n">
        <v>6</v>
      </c>
      <c r="L82" s="283" t="n">
        <v>28.6</v>
      </c>
      <c r="M82" s="282" t="n">
        <v>5</v>
      </c>
      <c r="N82" s="282" t="n">
        <v>7</v>
      </c>
      <c r="O82" s="282" t="n">
        <v>8</v>
      </c>
      <c r="P82" s="282" t="n">
        <v>1</v>
      </c>
      <c r="Q82" s="281" t="inlineStr">
        <is>
          <t>Treino</t>
        </is>
      </c>
      <c r="R82" s="282" t="n">
        <v>5</v>
      </c>
      <c r="S82" s="281" t="inlineStr">
        <is>
          <t>MD-5</t>
        </is>
      </c>
      <c r="T82" s="282" t="n"/>
      <c r="U82" s="282" t="n"/>
      <c r="V82" s="284">
        <f>IF(_xlfn.MAXIFS(tblCarga[Data],tblCarga[Jogador],C82,tblCarga[Tipo],"Jogo",tblCarga[Data],"&lt;"&amp;A82)=0,"-",A82-_xlfn.MAXIFS(tblCarga[Data],tblCarga[Jogador],C82,tblCarga[Tipo],"Jogo",tblCarga[Data],"&lt;"&amp;A82))</f>
        <v/>
      </c>
      <c r="W82" s="282" t="n">
        <v>1</v>
      </c>
      <c r="X82" s="282" t="n">
        <v>3</v>
      </c>
      <c r="Y82" s="282" t="n">
        <v>2</v>
      </c>
      <c r="Z82" s="282" t="n">
        <v>2</v>
      </c>
      <c r="AA82" s="282" t="n">
        <v>8</v>
      </c>
    </row>
    <row r="83">
      <c r="A83" s="275" t="n">
        <v>46048</v>
      </c>
      <c r="B83" s="276" t="inlineStr">
        <is>
          <t>Belenenses</t>
        </is>
      </c>
      <c r="C83" s="276" t="inlineStr">
        <is>
          <t>Nogueira</t>
        </is>
      </c>
      <c r="D83" s="276" t="inlineStr">
        <is>
          <t>Central</t>
        </is>
      </c>
      <c r="E83" s="277" t="n">
        <v>83</v>
      </c>
      <c r="F83" s="277" t="n">
        <v>8071</v>
      </c>
      <c r="G83" s="277" t="n">
        <v>316</v>
      </c>
      <c r="H83" s="277" t="n">
        <v>45</v>
      </c>
      <c r="I83" s="277" t="n">
        <v>58</v>
      </c>
      <c r="J83" s="277" t="n">
        <v>119</v>
      </c>
      <c r="K83" s="277" t="n">
        <v>7</v>
      </c>
      <c r="L83" s="278" t="n">
        <v>29.6</v>
      </c>
      <c r="M83" s="277" t="n">
        <v>5</v>
      </c>
      <c r="N83" s="277" t="n">
        <v>10</v>
      </c>
      <c r="O83" s="277" t="n">
        <v>10</v>
      </c>
      <c r="P83" s="277" t="n">
        <v>3</v>
      </c>
      <c r="Q83" s="276" t="inlineStr">
        <is>
          <t>Treino</t>
        </is>
      </c>
      <c r="R83" s="277" t="n">
        <v>5</v>
      </c>
      <c r="S83" s="276" t="inlineStr">
        <is>
          <t>MD-5</t>
        </is>
      </c>
      <c r="T83" s="277" t="n"/>
      <c r="U83" s="277" t="n"/>
      <c r="V83" s="279">
        <f>IF(_xlfn.MAXIFS(tblCarga[Data],tblCarga[Jogador],C83,tblCarga[Tipo],"Jogo",tblCarga[Data],"&lt;"&amp;A83)=0,"-",A83-_xlfn.MAXIFS(tblCarga[Data],tblCarga[Jogador],C83,tblCarga[Tipo],"Jogo",tblCarga[Data],"&lt;"&amp;A83))</f>
        <v/>
      </c>
      <c r="W83" s="277" t="n">
        <v>2</v>
      </c>
      <c r="X83" s="277" t="n">
        <v>3</v>
      </c>
      <c r="Y83" s="277" t="n">
        <v>1</v>
      </c>
      <c r="Z83" s="277" t="n">
        <v>2</v>
      </c>
      <c r="AA83" s="277" t="n">
        <v>8</v>
      </c>
    </row>
    <row r="84">
      <c r="A84" s="280" t="n">
        <v>46049</v>
      </c>
      <c r="B84" s="281" t="inlineStr">
        <is>
          <t>Belenenses</t>
        </is>
      </c>
      <c r="C84" s="281" t="inlineStr">
        <is>
          <t>Paulino</t>
        </is>
      </c>
      <c r="D84" s="281" t="inlineStr">
        <is>
          <t>Médio</t>
        </is>
      </c>
      <c r="E84" s="282" t="n">
        <v>90</v>
      </c>
      <c r="F84" s="282" t="n">
        <v>8942</v>
      </c>
      <c r="G84" s="282" t="n">
        <v>346</v>
      </c>
      <c r="H84" s="282" t="n">
        <v>77</v>
      </c>
      <c r="I84" s="282" t="n">
        <v>69</v>
      </c>
      <c r="J84" s="282" t="n">
        <v>68</v>
      </c>
      <c r="K84" s="282" t="n">
        <v>9</v>
      </c>
      <c r="L84" s="283" t="n">
        <v>31.1</v>
      </c>
      <c r="M84" s="282" t="n">
        <v>5</v>
      </c>
      <c r="N84" s="282" t="n">
        <v>5</v>
      </c>
      <c r="O84" s="282" t="n">
        <v>4</v>
      </c>
      <c r="P84" s="282" t="n">
        <v>2</v>
      </c>
      <c r="Q84" s="281" t="inlineStr">
        <is>
          <t>Treino</t>
        </is>
      </c>
      <c r="R84" s="282" t="n">
        <v>5</v>
      </c>
      <c r="S84" s="281" t="inlineStr">
        <is>
          <t>MD-4</t>
        </is>
      </c>
      <c r="T84" s="282" t="n"/>
      <c r="U84" s="282" t="n"/>
      <c r="V84" s="284">
        <f>IF(_xlfn.MAXIFS(tblCarga[Data],tblCarga[Jogador],C84,tblCarga[Tipo],"Jogo",tblCarga[Data],"&lt;"&amp;A84)=0,"-",A84-_xlfn.MAXIFS(tblCarga[Data],tblCarga[Jogador],C84,tblCarga[Tipo],"Jogo",tblCarga[Data],"&lt;"&amp;A84))</f>
        <v/>
      </c>
      <c r="W84" s="282" t="n">
        <v>2</v>
      </c>
      <c r="X84" s="282" t="n">
        <v>2</v>
      </c>
      <c r="Y84" s="282" t="n">
        <v>2</v>
      </c>
      <c r="Z84" s="282" t="n">
        <v>2</v>
      </c>
      <c r="AA84" s="282" t="n">
        <v>8</v>
      </c>
    </row>
    <row r="85">
      <c r="A85" s="275" t="n">
        <v>46049</v>
      </c>
      <c r="B85" s="276" t="inlineStr">
        <is>
          <t>Belenenses</t>
        </is>
      </c>
      <c r="C85" s="276" t="inlineStr">
        <is>
          <t>Artur</t>
        </is>
      </c>
      <c r="D85" s="276" t="inlineStr">
        <is>
          <t>Médio</t>
        </is>
      </c>
      <c r="E85" s="277" t="n">
        <v>78</v>
      </c>
      <c r="F85" s="277" t="n">
        <v>8086</v>
      </c>
      <c r="G85" s="277" t="n">
        <v>360</v>
      </c>
      <c r="H85" s="277" t="n">
        <v>101</v>
      </c>
      <c r="I85" s="277" t="n">
        <v>71</v>
      </c>
      <c r="J85" s="277" t="n">
        <v>68</v>
      </c>
      <c r="K85" s="277" t="n">
        <v>8</v>
      </c>
      <c r="L85" s="278" t="n">
        <v>28.6</v>
      </c>
      <c r="M85" s="277" t="n">
        <v>5</v>
      </c>
      <c r="N85" s="277" t="n">
        <v>12</v>
      </c>
      <c r="O85" s="277" t="n">
        <v>5</v>
      </c>
      <c r="P85" s="277" t="n">
        <v>1</v>
      </c>
      <c r="Q85" s="276" t="inlineStr">
        <is>
          <t>Treino</t>
        </is>
      </c>
      <c r="R85" s="277" t="n">
        <v>5</v>
      </c>
      <c r="S85" s="276" t="inlineStr">
        <is>
          <t>MD-4</t>
        </is>
      </c>
      <c r="T85" s="277" t="n"/>
      <c r="U85" s="277" t="n"/>
      <c r="V85" s="279">
        <f>IF(_xlfn.MAXIFS(tblCarga[Data],tblCarga[Jogador],C85,tblCarga[Tipo],"Jogo",tblCarga[Data],"&lt;"&amp;A85)=0,"-",A85-_xlfn.MAXIFS(tblCarga[Data],tblCarga[Jogador],C85,tblCarga[Tipo],"Jogo",tblCarga[Data],"&lt;"&amp;A85))</f>
        <v/>
      </c>
      <c r="W85" s="277" t="n">
        <v>2</v>
      </c>
      <c r="X85" s="277" t="n">
        <v>2</v>
      </c>
      <c r="Y85" s="277" t="n">
        <v>2</v>
      </c>
      <c r="Z85" s="277" t="n">
        <v>3</v>
      </c>
      <c r="AA85" s="277" t="n">
        <v>9</v>
      </c>
    </row>
    <row r="86">
      <c r="A86" s="280" t="n">
        <v>46049</v>
      </c>
      <c r="B86" s="281" t="inlineStr">
        <is>
          <t>Belenenses</t>
        </is>
      </c>
      <c r="C86" s="281" t="inlineStr">
        <is>
          <t>Gomes</t>
        </is>
      </c>
      <c r="D86" s="281" t="inlineStr">
        <is>
          <t>Médio</t>
        </is>
      </c>
      <c r="E86" s="282" t="n">
        <v>87</v>
      </c>
      <c r="F86" s="282" t="n">
        <v>8285</v>
      </c>
      <c r="G86" s="282" t="n">
        <v>244</v>
      </c>
      <c r="H86" s="282" t="n">
        <v>116</v>
      </c>
      <c r="I86" s="282" t="n">
        <v>68</v>
      </c>
      <c r="J86" s="282" t="n">
        <v>72</v>
      </c>
      <c r="K86" s="282" t="n">
        <v>5</v>
      </c>
      <c r="L86" s="283" t="n">
        <v>28.9</v>
      </c>
      <c r="M86" s="282" t="n">
        <v>5</v>
      </c>
      <c r="N86" s="282" t="n">
        <v>9</v>
      </c>
      <c r="O86" s="282" t="n">
        <v>3</v>
      </c>
      <c r="P86" s="282" t="n">
        <v>2</v>
      </c>
      <c r="Q86" s="281" t="inlineStr">
        <is>
          <t>Treino</t>
        </is>
      </c>
      <c r="R86" s="282" t="n">
        <v>5</v>
      </c>
      <c r="S86" s="281" t="inlineStr">
        <is>
          <t>MD-4</t>
        </is>
      </c>
      <c r="T86" s="282" t="n"/>
      <c r="U86" s="282" t="n"/>
      <c r="V86" s="284">
        <f>IF(_xlfn.MAXIFS(tblCarga[Data],tblCarga[Jogador],C86,tblCarga[Tipo],"Jogo",tblCarga[Data],"&lt;"&amp;A86)=0,"-",A86-_xlfn.MAXIFS(tblCarga[Data],tblCarga[Jogador],C86,tblCarga[Tipo],"Jogo",tblCarga[Data],"&lt;"&amp;A86))</f>
        <v/>
      </c>
      <c r="W86" s="282" t="n">
        <v>1</v>
      </c>
      <c r="X86" s="282" t="n">
        <v>3</v>
      </c>
      <c r="Y86" s="282" t="n">
        <v>2</v>
      </c>
      <c r="Z86" s="282" t="n">
        <v>3</v>
      </c>
      <c r="AA86" s="282" t="n">
        <v>9</v>
      </c>
    </row>
    <row r="87">
      <c r="A87" s="275" t="n">
        <v>46049</v>
      </c>
      <c r="B87" s="276" t="inlineStr">
        <is>
          <t>Belenenses</t>
        </is>
      </c>
      <c r="C87" s="276" t="inlineStr">
        <is>
          <t>Sá</t>
        </is>
      </c>
      <c r="D87" s="276" t="inlineStr">
        <is>
          <t>Médio</t>
        </is>
      </c>
      <c r="E87" s="277" t="n">
        <v>77</v>
      </c>
      <c r="F87" s="277" t="n">
        <v>7838</v>
      </c>
      <c r="G87" s="277" t="n">
        <v>319</v>
      </c>
      <c r="H87" s="277" t="n">
        <v>168</v>
      </c>
      <c r="I87" s="277" t="n">
        <v>79</v>
      </c>
      <c r="J87" s="277" t="n">
        <v>101</v>
      </c>
      <c r="K87" s="277" t="n">
        <v>9</v>
      </c>
      <c r="L87" s="278" t="n">
        <v>30.1</v>
      </c>
      <c r="M87" s="277" t="n">
        <v>5</v>
      </c>
      <c r="N87" s="277" t="n">
        <v>6</v>
      </c>
      <c r="O87" s="277" t="n">
        <v>6</v>
      </c>
      <c r="P87" s="277" t="n">
        <v>1</v>
      </c>
      <c r="Q87" s="276" t="inlineStr">
        <is>
          <t>Treino</t>
        </is>
      </c>
      <c r="R87" s="277" t="n">
        <v>5</v>
      </c>
      <c r="S87" s="276" t="inlineStr">
        <is>
          <t>MD-4</t>
        </is>
      </c>
      <c r="T87" s="277" t="n"/>
      <c r="U87" s="277" t="n"/>
      <c r="V87" s="279">
        <f>IF(_xlfn.MAXIFS(tblCarga[Data],tblCarga[Jogador],C87,tblCarga[Tipo],"Jogo",tblCarga[Data],"&lt;"&amp;A87)=0,"-",A87-_xlfn.MAXIFS(tblCarga[Data],tblCarga[Jogador],C87,tblCarga[Tipo],"Jogo",tblCarga[Data],"&lt;"&amp;A87))</f>
        <v/>
      </c>
      <c r="W87" s="277" t="n">
        <v>3</v>
      </c>
      <c r="X87" s="277" t="n">
        <v>2</v>
      </c>
      <c r="Y87" s="277" t="n">
        <v>2</v>
      </c>
      <c r="Z87" s="277" t="n">
        <v>2</v>
      </c>
      <c r="AA87" s="277" t="n">
        <v>9</v>
      </c>
    </row>
    <row r="88">
      <c r="A88" s="280" t="n">
        <v>46049</v>
      </c>
      <c r="B88" s="281" t="inlineStr">
        <is>
          <t>Belenenses</t>
        </is>
      </c>
      <c r="C88" s="281" t="inlineStr">
        <is>
          <t>Varela</t>
        </is>
      </c>
      <c r="D88" s="281" t="inlineStr">
        <is>
          <t>Lateral</t>
        </is>
      </c>
      <c r="E88" s="282" t="n">
        <v>92</v>
      </c>
      <c r="F88" s="282" t="n">
        <v>13956</v>
      </c>
      <c r="G88" s="282" t="n">
        <v>465</v>
      </c>
      <c r="H88" s="282" t="n">
        <v>134</v>
      </c>
      <c r="I88" s="282" t="n">
        <v>70</v>
      </c>
      <c r="J88" s="282" t="n">
        <v>103</v>
      </c>
      <c r="K88" s="282" t="n">
        <v>6</v>
      </c>
      <c r="L88" s="283" t="n">
        <v>33.6</v>
      </c>
      <c r="M88" s="282" t="n">
        <v>5</v>
      </c>
      <c r="N88" s="282" t="n">
        <v>11</v>
      </c>
      <c r="O88" s="282" t="n">
        <v>10</v>
      </c>
      <c r="P88" s="282" t="n">
        <v>0</v>
      </c>
      <c r="Q88" s="281" t="inlineStr">
        <is>
          <t>Treino</t>
        </is>
      </c>
      <c r="R88" s="282" t="n">
        <v>5</v>
      </c>
      <c r="S88" s="281" t="inlineStr">
        <is>
          <t>MD-4</t>
        </is>
      </c>
      <c r="T88" s="282" t="n"/>
      <c r="U88" s="282" t="n"/>
      <c r="V88" s="284">
        <f>IF(_xlfn.MAXIFS(tblCarga[Data],tblCarga[Jogador],C88,tblCarga[Tipo],"Jogo",tblCarga[Data],"&lt;"&amp;A88)=0,"-",A88-_xlfn.MAXIFS(tblCarga[Data],tblCarga[Jogador],C88,tblCarga[Tipo],"Jogo",tblCarga[Data],"&lt;"&amp;A88))</f>
        <v/>
      </c>
      <c r="W88" s="282" t="n">
        <v>2</v>
      </c>
      <c r="X88" s="282" t="n">
        <v>2</v>
      </c>
      <c r="Y88" s="282" t="n">
        <v>1</v>
      </c>
      <c r="Z88" s="282" t="n">
        <v>1</v>
      </c>
      <c r="AA88" s="282" t="n">
        <v>6</v>
      </c>
    </row>
    <row r="89">
      <c r="A89" s="275" t="n">
        <v>46049</v>
      </c>
      <c r="B89" s="276" t="inlineStr">
        <is>
          <t>Belenenses</t>
        </is>
      </c>
      <c r="C89" s="276" t="inlineStr">
        <is>
          <t>Edu</t>
        </is>
      </c>
      <c r="D89" s="276" t="inlineStr">
        <is>
          <t>Lateral</t>
        </is>
      </c>
      <c r="E89" s="277" t="n">
        <v>99</v>
      </c>
      <c r="F89" s="277" t="n">
        <v>12355</v>
      </c>
      <c r="G89" s="277" t="n">
        <v>625</v>
      </c>
      <c r="H89" s="277" t="n">
        <v>173</v>
      </c>
      <c r="I89" s="277" t="n">
        <v>80</v>
      </c>
      <c r="J89" s="277" t="n">
        <v>67</v>
      </c>
      <c r="K89" s="277" t="n">
        <v>7</v>
      </c>
      <c r="L89" s="278" t="n">
        <v>30.2</v>
      </c>
      <c r="M89" s="277" t="n">
        <v>5</v>
      </c>
      <c r="N89" s="277" t="n">
        <v>15</v>
      </c>
      <c r="O89" s="277" t="n">
        <v>5</v>
      </c>
      <c r="P89" s="277" t="n">
        <v>2</v>
      </c>
      <c r="Q89" s="276" t="inlineStr">
        <is>
          <t>Treino</t>
        </is>
      </c>
      <c r="R89" s="277" t="n">
        <v>5</v>
      </c>
      <c r="S89" s="276" t="inlineStr">
        <is>
          <t>MD-4</t>
        </is>
      </c>
      <c r="T89" s="277" t="n"/>
      <c r="U89" s="277" t="n"/>
      <c r="V89" s="279">
        <f>IF(_xlfn.MAXIFS(tblCarga[Data],tblCarga[Jogador],C89,tblCarga[Tipo],"Jogo",tblCarga[Data],"&lt;"&amp;A89)=0,"-",A89-_xlfn.MAXIFS(tblCarga[Data],tblCarga[Jogador],C89,tblCarga[Tipo],"Jogo",tblCarga[Data],"&lt;"&amp;A89))</f>
        <v/>
      </c>
      <c r="W89" s="277" t="n">
        <v>3</v>
      </c>
      <c r="X89" s="277" t="n">
        <v>3</v>
      </c>
      <c r="Y89" s="277" t="n">
        <v>1</v>
      </c>
      <c r="Z89" s="277" t="n">
        <v>2</v>
      </c>
      <c r="AA89" s="277" t="n">
        <v>9</v>
      </c>
    </row>
    <row r="90">
      <c r="A90" s="280" t="n">
        <v>46049</v>
      </c>
      <c r="B90" s="281" t="inlineStr">
        <is>
          <t>Belenenses</t>
        </is>
      </c>
      <c r="C90" s="281" t="inlineStr">
        <is>
          <t>Capitulo</t>
        </is>
      </c>
      <c r="D90" s="281" t="inlineStr">
        <is>
          <t>Lateral</t>
        </is>
      </c>
      <c r="E90" s="282" t="n">
        <v>91</v>
      </c>
      <c r="F90" s="282" t="n">
        <v>12733</v>
      </c>
      <c r="G90" s="282" t="n">
        <v>365</v>
      </c>
      <c r="H90" s="282" t="n">
        <v>209</v>
      </c>
      <c r="I90" s="282" t="n">
        <v>103</v>
      </c>
      <c r="J90" s="282" t="n">
        <v>85</v>
      </c>
      <c r="K90" s="282" t="n">
        <v>7</v>
      </c>
      <c r="L90" s="283" t="n">
        <v>30.8</v>
      </c>
      <c r="M90" s="282" t="n">
        <v>5</v>
      </c>
      <c r="N90" s="282" t="n">
        <v>13</v>
      </c>
      <c r="O90" s="282" t="n">
        <v>6</v>
      </c>
      <c r="P90" s="282" t="n">
        <v>3</v>
      </c>
      <c r="Q90" s="281" t="inlineStr">
        <is>
          <t>Treino</t>
        </is>
      </c>
      <c r="R90" s="282" t="n">
        <v>5</v>
      </c>
      <c r="S90" s="281" t="inlineStr">
        <is>
          <t>MD-4</t>
        </is>
      </c>
      <c r="T90" s="282" t="n"/>
      <c r="U90" s="282" t="n"/>
      <c r="V90" s="284">
        <f>IF(_xlfn.MAXIFS(tblCarga[Data],tblCarga[Jogador],C90,tblCarga[Tipo],"Jogo",tblCarga[Data],"&lt;"&amp;A90)=0,"-",A90-_xlfn.MAXIFS(tblCarga[Data],tblCarga[Jogador],C90,tblCarga[Tipo],"Jogo",tblCarga[Data],"&lt;"&amp;A90))</f>
        <v/>
      </c>
      <c r="W90" s="282" t="n">
        <v>1</v>
      </c>
      <c r="X90" s="282" t="n">
        <v>1</v>
      </c>
      <c r="Y90" s="282" t="n">
        <v>2</v>
      </c>
      <c r="Z90" s="282" t="n">
        <v>2</v>
      </c>
      <c r="AA90" s="282" t="n">
        <v>6</v>
      </c>
    </row>
    <row r="91">
      <c r="A91" s="275" t="n">
        <v>46049</v>
      </c>
      <c r="B91" s="276" t="inlineStr">
        <is>
          <t>Belenenses</t>
        </is>
      </c>
      <c r="C91" s="276" t="inlineStr">
        <is>
          <t>Enzo Hugo</t>
        </is>
      </c>
      <c r="D91" s="276" t="inlineStr">
        <is>
          <t>Central</t>
        </is>
      </c>
      <c r="E91" s="277" t="n">
        <v>92</v>
      </c>
      <c r="F91" s="277" t="n">
        <v>9236</v>
      </c>
      <c r="G91" s="277" t="n">
        <v>341</v>
      </c>
      <c r="H91" s="277" t="n">
        <v>66</v>
      </c>
      <c r="I91" s="277" t="n">
        <v>90</v>
      </c>
      <c r="J91" s="277" t="n">
        <v>97</v>
      </c>
      <c r="K91" s="277" t="n">
        <v>6</v>
      </c>
      <c r="L91" s="278" t="n">
        <v>28.7</v>
      </c>
      <c r="M91" s="277" t="n">
        <v>5</v>
      </c>
      <c r="N91" s="277" t="n">
        <v>15</v>
      </c>
      <c r="O91" s="277" t="n">
        <v>4</v>
      </c>
      <c r="P91" s="277" t="n">
        <v>4</v>
      </c>
      <c r="Q91" s="276" t="inlineStr">
        <is>
          <t>Treino</t>
        </is>
      </c>
      <c r="R91" s="277" t="n">
        <v>5</v>
      </c>
      <c r="S91" s="276" t="inlineStr">
        <is>
          <t>MD-4</t>
        </is>
      </c>
      <c r="T91" s="277" t="n"/>
      <c r="U91" s="277" t="n"/>
      <c r="V91" s="279">
        <f>IF(_xlfn.MAXIFS(tblCarga[Data],tblCarga[Jogador],C91,tblCarga[Tipo],"Jogo",tblCarga[Data],"&lt;"&amp;A91)=0,"-",A91-_xlfn.MAXIFS(tblCarga[Data],tblCarga[Jogador],C91,tblCarga[Tipo],"Jogo",tblCarga[Data],"&lt;"&amp;A91))</f>
        <v/>
      </c>
      <c r="W91" s="277" t="n">
        <v>1</v>
      </c>
      <c r="X91" s="277" t="n">
        <v>2</v>
      </c>
      <c r="Y91" s="277" t="n">
        <v>2</v>
      </c>
      <c r="Z91" s="277" t="n">
        <v>3</v>
      </c>
      <c r="AA91" s="277" t="n">
        <v>8</v>
      </c>
    </row>
    <row r="92">
      <c r="A92" s="280" t="n">
        <v>46049</v>
      </c>
      <c r="B92" s="281" t="inlineStr">
        <is>
          <t>Belenenses</t>
        </is>
      </c>
      <c r="C92" s="281" t="inlineStr">
        <is>
          <t>Nogueira</t>
        </is>
      </c>
      <c r="D92" s="281" t="inlineStr">
        <is>
          <t>Central</t>
        </is>
      </c>
      <c r="E92" s="282" t="n">
        <v>98</v>
      </c>
      <c r="F92" s="282" t="n">
        <v>10231</v>
      </c>
      <c r="G92" s="282" t="n">
        <v>315</v>
      </c>
      <c r="H92" s="282" t="n">
        <v>47</v>
      </c>
      <c r="I92" s="282" t="n">
        <v>53</v>
      </c>
      <c r="J92" s="282" t="n">
        <v>81</v>
      </c>
      <c r="K92" s="282" t="n">
        <v>7</v>
      </c>
      <c r="L92" s="283" t="n">
        <v>28.8</v>
      </c>
      <c r="M92" s="282" t="n">
        <v>5</v>
      </c>
      <c r="N92" s="282" t="n">
        <v>14</v>
      </c>
      <c r="O92" s="282" t="n">
        <v>7</v>
      </c>
      <c r="P92" s="282" t="n">
        <v>3</v>
      </c>
      <c r="Q92" s="281" t="inlineStr">
        <is>
          <t>Treino</t>
        </is>
      </c>
      <c r="R92" s="282" t="n">
        <v>5</v>
      </c>
      <c r="S92" s="281" t="inlineStr">
        <is>
          <t>MD-4</t>
        </is>
      </c>
      <c r="T92" s="282" t="n"/>
      <c r="U92" s="282" t="n"/>
      <c r="V92" s="284">
        <f>IF(_xlfn.MAXIFS(tblCarga[Data],tblCarga[Jogador],C92,tblCarga[Tipo],"Jogo",tblCarga[Data],"&lt;"&amp;A92)=0,"-",A92-_xlfn.MAXIFS(tblCarga[Data],tblCarga[Jogador],C92,tblCarga[Tipo],"Jogo",tblCarga[Data],"&lt;"&amp;A92))</f>
        <v/>
      </c>
      <c r="W92" s="282" t="n">
        <v>2</v>
      </c>
      <c r="X92" s="282" t="n">
        <v>1</v>
      </c>
      <c r="Y92" s="282" t="n">
        <v>2</v>
      </c>
      <c r="Z92" s="282" t="n">
        <v>2</v>
      </c>
      <c r="AA92" s="282" t="n">
        <v>7</v>
      </c>
    </row>
    <row r="93">
      <c r="A93" s="275" t="n">
        <v>46050</v>
      </c>
      <c r="B93" s="276" t="inlineStr">
        <is>
          <t>Belenenses</t>
        </is>
      </c>
      <c r="C93" s="276" t="inlineStr">
        <is>
          <t>Paulino</t>
        </is>
      </c>
      <c r="D93" s="276" t="inlineStr">
        <is>
          <t>Médio</t>
        </is>
      </c>
      <c r="E93" s="277" t="n">
        <v>82</v>
      </c>
      <c r="F93" s="277" t="n">
        <v>8209</v>
      </c>
      <c r="G93" s="277" t="n">
        <v>268</v>
      </c>
      <c r="H93" s="277" t="n">
        <v>92</v>
      </c>
      <c r="I93" s="277" t="n">
        <v>86</v>
      </c>
      <c r="J93" s="277" t="n">
        <v>88</v>
      </c>
      <c r="K93" s="277" t="n">
        <v>8</v>
      </c>
      <c r="L93" s="278" t="n">
        <v>31.7</v>
      </c>
      <c r="M93" s="277" t="n">
        <v>5</v>
      </c>
      <c r="N93" s="277" t="n">
        <v>15</v>
      </c>
      <c r="O93" s="277" t="n">
        <v>3</v>
      </c>
      <c r="P93" s="277" t="n">
        <v>2</v>
      </c>
      <c r="Q93" s="276" t="inlineStr">
        <is>
          <t>Treino</t>
        </is>
      </c>
      <c r="R93" s="277" t="n">
        <v>5</v>
      </c>
      <c r="S93" s="276" t="inlineStr">
        <is>
          <t>MD-3</t>
        </is>
      </c>
      <c r="T93" s="277" t="n"/>
      <c r="U93" s="277" t="n"/>
      <c r="V93" s="279">
        <f>IF(_xlfn.MAXIFS(tblCarga[Data],tblCarga[Jogador],C93,tblCarga[Tipo],"Jogo",tblCarga[Data],"&lt;"&amp;A93)=0,"-",A93-_xlfn.MAXIFS(tblCarga[Data],tblCarga[Jogador],C93,tblCarga[Tipo],"Jogo",tblCarga[Data],"&lt;"&amp;A93))</f>
        <v/>
      </c>
      <c r="W93" s="277" t="n">
        <v>2</v>
      </c>
      <c r="X93" s="277" t="n">
        <v>2</v>
      </c>
      <c r="Y93" s="277" t="n">
        <v>3</v>
      </c>
      <c r="Z93" s="277" t="n">
        <v>2</v>
      </c>
      <c r="AA93" s="277" t="n">
        <v>9</v>
      </c>
    </row>
    <row r="94">
      <c r="A94" s="280" t="n">
        <v>46050</v>
      </c>
      <c r="B94" s="281" t="inlineStr">
        <is>
          <t>Belenenses</t>
        </is>
      </c>
      <c r="C94" s="281" t="inlineStr">
        <is>
          <t>Artur</t>
        </is>
      </c>
      <c r="D94" s="281" t="inlineStr">
        <is>
          <t>Médio</t>
        </is>
      </c>
      <c r="E94" s="282" t="n">
        <v>83</v>
      </c>
      <c r="F94" s="282" t="n">
        <v>8511</v>
      </c>
      <c r="G94" s="282" t="n">
        <v>324</v>
      </c>
      <c r="H94" s="282" t="n">
        <v>123</v>
      </c>
      <c r="I94" s="282" t="n">
        <v>59</v>
      </c>
      <c r="J94" s="282" t="n">
        <v>73</v>
      </c>
      <c r="K94" s="282" t="n">
        <v>8</v>
      </c>
      <c r="L94" s="283" t="n">
        <v>29</v>
      </c>
      <c r="M94" s="282" t="n">
        <v>5</v>
      </c>
      <c r="N94" s="282" t="n">
        <v>7</v>
      </c>
      <c r="O94" s="282" t="n">
        <v>2</v>
      </c>
      <c r="P94" s="282" t="n">
        <v>0</v>
      </c>
      <c r="Q94" s="281" t="inlineStr">
        <is>
          <t>Treino</t>
        </is>
      </c>
      <c r="R94" s="282" t="n">
        <v>5</v>
      </c>
      <c r="S94" s="281" t="inlineStr">
        <is>
          <t>MD-3</t>
        </is>
      </c>
      <c r="T94" s="282" t="n"/>
      <c r="U94" s="282" t="n"/>
      <c r="V94" s="284">
        <f>IF(_xlfn.MAXIFS(tblCarga[Data],tblCarga[Jogador],C94,tblCarga[Tipo],"Jogo",tblCarga[Data],"&lt;"&amp;A94)=0,"-",A94-_xlfn.MAXIFS(tblCarga[Data],tblCarga[Jogador],C94,tblCarga[Tipo],"Jogo",tblCarga[Data],"&lt;"&amp;A94))</f>
        <v/>
      </c>
      <c r="W94" s="282" t="n">
        <v>1</v>
      </c>
      <c r="X94" s="282" t="n">
        <v>2</v>
      </c>
      <c r="Y94" s="282" t="n">
        <v>2</v>
      </c>
      <c r="Z94" s="282" t="n">
        <v>2</v>
      </c>
      <c r="AA94" s="282" t="n">
        <v>7</v>
      </c>
    </row>
    <row r="95">
      <c r="A95" s="275" t="n">
        <v>46050</v>
      </c>
      <c r="B95" s="276" t="inlineStr">
        <is>
          <t>Belenenses</t>
        </is>
      </c>
      <c r="C95" s="276" t="inlineStr">
        <is>
          <t>Gomes</t>
        </is>
      </c>
      <c r="D95" s="276" t="inlineStr">
        <is>
          <t>Médio</t>
        </is>
      </c>
      <c r="E95" s="277" t="n">
        <v>84</v>
      </c>
      <c r="F95" s="277" t="n">
        <v>6999</v>
      </c>
      <c r="G95" s="277" t="n">
        <v>209</v>
      </c>
      <c r="H95" s="277" t="n">
        <v>45</v>
      </c>
      <c r="I95" s="277" t="n">
        <v>92</v>
      </c>
      <c r="J95" s="277" t="n">
        <v>91</v>
      </c>
      <c r="K95" s="277" t="n">
        <v>7</v>
      </c>
      <c r="L95" s="278" t="n">
        <v>29.2</v>
      </c>
      <c r="M95" s="277" t="n">
        <v>5</v>
      </c>
      <c r="N95" s="277" t="n">
        <v>12</v>
      </c>
      <c r="O95" s="277" t="n">
        <v>7</v>
      </c>
      <c r="P95" s="277" t="n">
        <v>3</v>
      </c>
      <c r="Q95" s="276" t="inlineStr">
        <is>
          <t>Treino</t>
        </is>
      </c>
      <c r="R95" s="277" t="n">
        <v>5</v>
      </c>
      <c r="S95" s="276" t="inlineStr">
        <is>
          <t>MD-3</t>
        </is>
      </c>
      <c r="T95" s="277" t="n"/>
      <c r="U95" s="277" t="n"/>
      <c r="V95" s="279">
        <f>IF(_xlfn.MAXIFS(tblCarga[Data],tblCarga[Jogador],C95,tblCarga[Tipo],"Jogo",tblCarga[Data],"&lt;"&amp;A95)=0,"-",A95-_xlfn.MAXIFS(tblCarga[Data],tblCarga[Jogador],C95,tblCarga[Tipo],"Jogo",tblCarga[Data],"&lt;"&amp;A95))</f>
        <v/>
      </c>
      <c r="W95" s="277" t="n">
        <v>2</v>
      </c>
      <c r="X95" s="277" t="n">
        <v>3</v>
      </c>
      <c r="Y95" s="277" t="n">
        <v>1</v>
      </c>
      <c r="Z95" s="277" t="n">
        <v>1</v>
      </c>
      <c r="AA95" s="277" t="n">
        <v>7</v>
      </c>
    </row>
    <row r="96">
      <c r="A96" s="280" t="n">
        <v>46050</v>
      </c>
      <c r="B96" s="281" t="inlineStr">
        <is>
          <t>Belenenses</t>
        </is>
      </c>
      <c r="C96" s="281" t="inlineStr">
        <is>
          <t>Sá</t>
        </is>
      </c>
      <c r="D96" s="281" t="inlineStr">
        <is>
          <t>Médio</t>
        </is>
      </c>
      <c r="E96" s="282" t="n">
        <v>94</v>
      </c>
      <c r="F96" s="282" t="n">
        <v>7959</v>
      </c>
      <c r="G96" s="282" t="n">
        <v>309</v>
      </c>
      <c r="H96" s="282" t="n">
        <v>82</v>
      </c>
      <c r="I96" s="282" t="n">
        <v>60</v>
      </c>
      <c r="J96" s="282" t="n">
        <v>102</v>
      </c>
      <c r="K96" s="282" t="n">
        <v>4</v>
      </c>
      <c r="L96" s="283" t="n">
        <v>32.6</v>
      </c>
      <c r="M96" s="282" t="n">
        <v>5</v>
      </c>
      <c r="N96" s="282" t="n">
        <v>10</v>
      </c>
      <c r="O96" s="282" t="n">
        <v>5</v>
      </c>
      <c r="P96" s="282" t="n">
        <v>4</v>
      </c>
      <c r="Q96" s="281" t="inlineStr">
        <is>
          <t>Treino</t>
        </is>
      </c>
      <c r="R96" s="282" t="n">
        <v>5</v>
      </c>
      <c r="S96" s="281" t="inlineStr">
        <is>
          <t>MD-3</t>
        </is>
      </c>
      <c r="T96" s="282" t="n"/>
      <c r="U96" s="282" t="n"/>
      <c r="V96" s="284">
        <f>IF(_xlfn.MAXIFS(tblCarga[Data],tblCarga[Jogador],C96,tblCarga[Tipo],"Jogo",tblCarga[Data],"&lt;"&amp;A96)=0,"-",A96-_xlfn.MAXIFS(tblCarga[Data],tblCarga[Jogador],C96,tblCarga[Tipo],"Jogo",tblCarga[Data],"&lt;"&amp;A96))</f>
        <v/>
      </c>
      <c r="W96" s="282" t="n">
        <v>2</v>
      </c>
      <c r="X96" s="282" t="n">
        <v>3</v>
      </c>
      <c r="Y96" s="282" t="n">
        <v>1</v>
      </c>
      <c r="Z96" s="282" t="n">
        <v>2</v>
      </c>
      <c r="AA96" s="282" t="n">
        <v>8</v>
      </c>
    </row>
    <row r="97">
      <c r="A97" s="275" t="n">
        <v>46050</v>
      </c>
      <c r="B97" s="276" t="inlineStr">
        <is>
          <t>Belenenses</t>
        </is>
      </c>
      <c r="C97" s="276" t="inlineStr">
        <is>
          <t>Varela</t>
        </is>
      </c>
      <c r="D97" s="276" t="inlineStr">
        <is>
          <t>Lateral</t>
        </is>
      </c>
      <c r="E97" s="277" t="n">
        <v>85</v>
      </c>
      <c r="F97" s="277" t="n">
        <v>12270</v>
      </c>
      <c r="G97" s="277" t="n">
        <v>364</v>
      </c>
      <c r="H97" s="277" t="n">
        <v>191</v>
      </c>
      <c r="I97" s="277" t="n">
        <v>101</v>
      </c>
      <c r="J97" s="277" t="n">
        <v>65</v>
      </c>
      <c r="K97" s="277" t="n">
        <v>7</v>
      </c>
      <c r="L97" s="278" t="n">
        <v>30.5</v>
      </c>
      <c r="M97" s="277" t="n">
        <v>5</v>
      </c>
      <c r="N97" s="277" t="n">
        <v>14</v>
      </c>
      <c r="O97" s="277" t="n">
        <v>6</v>
      </c>
      <c r="P97" s="277" t="n">
        <v>2</v>
      </c>
      <c r="Q97" s="276" t="inlineStr">
        <is>
          <t>Treino</t>
        </is>
      </c>
      <c r="R97" s="277" t="n">
        <v>5</v>
      </c>
      <c r="S97" s="276" t="inlineStr">
        <is>
          <t>MD-3</t>
        </is>
      </c>
      <c r="T97" s="277" t="n"/>
      <c r="U97" s="277" t="n"/>
      <c r="V97" s="279">
        <f>IF(_xlfn.MAXIFS(tblCarga[Data],tblCarga[Jogador],C97,tblCarga[Tipo],"Jogo",tblCarga[Data],"&lt;"&amp;A97)=0,"-",A97-_xlfn.MAXIFS(tblCarga[Data],tblCarga[Jogador],C97,tblCarga[Tipo],"Jogo",tblCarga[Data],"&lt;"&amp;A97))</f>
        <v/>
      </c>
      <c r="W97" s="277" t="n">
        <v>1</v>
      </c>
      <c r="X97" s="277" t="n">
        <v>2</v>
      </c>
      <c r="Y97" s="277" t="n">
        <v>2</v>
      </c>
      <c r="Z97" s="277" t="n">
        <v>1</v>
      </c>
      <c r="AA97" s="277" t="n">
        <v>6</v>
      </c>
    </row>
    <row r="98">
      <c r="A98" s="280" t="n">
        <v>46050</v>
      </c>
      <c r="B98" s="281" t="inlineStr">
        <is>
          <t>Belenenses</t>
        </is>
      </c>
      <c r="C98" s="281" t="inlineStr">
        <is>
          <t>Edu</t>
        </is>
      </c>
      <c r="D98" s="281" t="inlineStr">
        <is>
          <t>Lateral</t>
        </is>
      </c>
      <c r="E98" s="282" t="n">
        <v>87</v>
      </c>
      <c r="F98" s="282" t="n">
        <v>9499</v>
      </c>
      <c r="G98" s="282" t="n">
        <v>341</v>
      </c>
      <c r="H98" s="282" t="n">
        <v>108</v>
      </c>
      <c r="I98" s="282" t="n">
        <v>90</v>
      </c>
      <c r="J98" s="282" t="n">
        <v>86</v>
      </c>
      <c r="K98" s="282" t="n">
        <v>8</v>
      </c>
      <c r="L98" s="283" t="n">
        <v>31.4</v>
      </c>
      <c r="M98" s="282" t="n">
        <v>5</v>
      </c>
      <c r="N98" s="282" t="n">
        <v>6</v>
      </c>
      <c r="O98" s="282" t="n">
        <v>3</v>
      </c>
      <c r="P98" s="282" t="n">
        <v>3</v>
      </c>
      <c r="Q98" s="281" t="inlineStr">
        <is>
          <t>Treino</t>
        </is>
      </c>
      <c r="R98" s="282" t="n">
        <v>5</v>
      </c>
      <c r="S98" s="281" t="inlineStr">
        <is>
          <t>MD-3</t>
        </is>
      </c>
      <c r="T98" s="282" t="n"/>
      <c r="U98" s="282" t="n"/>
      <c r="V98" s="284">
        <f>IF(_xlfn.MAXIFS(tblCarga[Data],tblCarga[Jogador],C98,tblCarga[Tipo],"Jogo",tblCarga[Data],"&lt;"&amp;A98)=0,"-",A98-_xlfn.MAXIFS(tblCarga[Data],tblCarga[Jogador],C98,tblCarga[Tipo],"Jogo",tblCarga[Data],"&lt;"&amp;A98))</f>
        <v/>
      </c>
      <c r="W98" s="282" t="n">
        <v>2</v>
      </c>
      <c r="X98" s="282" t="n">
        <v>1</v>
      </c>
      <c r="Y98" s="282" t="n">
        <v>3</v>
      </c>
      <c r="Z98" s="282" t="n">
        <v>2</v>
      </c>
      <c r="AA98" s="282" t="n">
        <v>8</v>
      </c>
    </row>
    <row r="99">
      <c r="A99" s="275" t="n">
        <v>46050</v>
      </c>
      <c r="B99" s="276" t="inlineStr">
        <is>
          <t>Belenenses</t>
        </is>
      </c>
      <c r="C99" s="276" t="inlineStr">
        <is>
          <t>Capitulo</t>
        </is>
      </c>
      <c r="D99" s="276" t="inlineStr">
        <is>
          <t>Lateral</t>
        </is>
      </c>
      <c r="E99" s="277" t="n">
        <v>95</v>
      </c>
      <c r="F99" s="277" t="n">
        <v>9798</v>
      </c>
      <c r="G99" s="277" t="n">
        <v>321</v>
      </c>
      <c r="H99" s="277" t="n">
        <v>206</v>
      </c>
      <c r="I99" s="277" t="n">
        <v>89</v>
      </c>
      <c r="J99" s="277" t="n">
        <v>101</v>
      </c>
      <c r="K99" s="277" t="n">
        <v>5</v>
      </c>
      <c r="L99" s="278" t="n">
        <v>31.2</v>
      </c>
      <c r="M99" s="277" t="n">
        <v>5</v>
      </c>
      <c r="N99" s="277" t="n">
        <v>7</v>
      </c>
      <c r="O99" s="277" t="n">
        <v>3</v>
      </c>
      <c r="P99" s="277" t="n">
        <v>1</v>
      </c>
      <c r="Q99" s="276" t="inlineStr">
        <is>
          <t>Treino</t>
        </is>
      </c>
      <c r="R99" s="277" t="n">
        <v>5</v>
      </c>
      <c r="S99" s="276" t="inlineStr">
        <is>
          <t>MD-3</t>
        </is>
      </c>
      <c r="T99" s="277" t="n"/>
      <c r="U99" s="277" t="n"/>
      <c r="V99" s="279">
        <f>IF(_xlfn.MAXIFS(tblCarga[Data],tblCarga[Jogador],C99,tblCarga[Tipo],"Jogo",tblCarga[Data],"&lt;"&amp;A99)=0,"-",A99-_xlfn.MAXIFS(tblCarga[Data],tblCarga[Jogador],C99,tblCarga[Tipo],"Jogo",tblCarga[Data],"&lt;"&amp;A99))</f>
        <v/>
      </c>
      <c r="W99" s="277" t="n">
        <v>3</v>
      </c>
      <c r="X99" s="277" t="n">
        <v>2</v>
      </c>
      <c r="Y99" s="277" t="n">
        <v>2</v>
      </c>
      <c r="Z99" s="277" t="n">
        <v>2</v>
      </c>
      <c r="AA99" s="277" t="n">
        <v>9</v>
      </c>
    </row>
    <row r="100">
      <c r="A100" s="280" t="n">
        <v>46050</v>
      </c>
      <c r="B100" s="281" t="inlineStr">
        <is>
          <t>Belenenses</t>
        </is>
      </c>
      <c r="C100" s="281" t="inlineStr">
        <is>
          <t>Enzo Hugo</t>
        </is>
      </c>
      <c r="D100" s="281" t="inlineStr">
        <is>
          <t>Central</t>
        </is>
      </c>
      <c r="E100" s="282" t="n">
        <v>87</v>
      </c>
      <c r="F100" s="282" t="n">
        <v>9389</v>
      </c>
      <c r="G100" s="282" t="n">
        <v>294</v>
      </c>
      <c r="H100" s="282" t="n">
        <v>71</v>
      </c>
      <c r="I100" s="282" t="n">
        <v>77</v>
      </c>
      <c r="J100" s="282" t="n">
        <v>67</v>
      </c>
      <c r="K100" s="282" t="n">
        <v>5</v>
      </c>
      <c r="L100" s="283" t="n">
        <v>29</v>
      </c>
      <c r="M100" s="282" t="n">
        <v>5</v>
      </c>
      <c r="N100" s="282" t="n">
        <v>9</v>
      </c>
      <c r="O100" s="282" t="n">
        <v>5</v>
      </c>
      <c r="P100" s="282" t="n">
        <v>4</v>
      </c>
      <c r="Q100" s="281" t="inlineStr">
        <is>
          <t>Treino</t>
        </is>
      </c>
      <c r="R100" s="282" t="n">
        <v>5</v>
      </c>
      <c r="S100" s="281" t="inlineStr">
        <is>
          <t>MD-3</t>
        </is>
      </c>
      <c r="T100" s="282" t="n"/>
      <c r="U100" s="282" t="n"/>
      <c r="V100" s="284">
        <f>IF(_xlfn.MAXIFS(tblCarga[Data],tblCarga[Jogador],C100,tblCarga[Tipo],"Jogo",tblCarga[Data],"&lt;"&amp;A100)=0,"-",A100-_xlfn.MAXIFS(tblCarga[Data],tblCarga[Jogador],C100,tblCarga[Tipo],"Jogo",tblCarga[Data],"&lt;"&amp;A100))</f>
        <v/>
      </c>
      <c r="W100" s="282" t="n">
        <v>2</v>
      </c>
      <c r="X100" s="282" t="n">
        <v>3</v>
      </c>
      <c r="Y100" s="282" t="n">
        <v>2</v>
      </c>
      <c r="Z100" s="282" t="n">
        <v>1</v>
      </c>
      <c r="AA100" s="282" t="n">
        <v>8</v>
      </c>
    </row>
    <row r="101">
      <c r="A101" s="270" t="n">
        <v>46050</v>
      </c>
      <c r="B101" s="271" t="inlineStr">
        <is>
          <t>Belenenses</t>
        </is>
      </c>
      <c r="C101" s="271" t="inlineStr">
        <is>
          <t>Nogueira</t>
        </is>
      </c>
      <c r="D101" s="271" t="inlineStr">
        <is>
          <t>Central</t>
        </is>
      </c>
      <c r="E101" s="272" t="n">
        <v>81</v>
      </c>
      <c r="F101" s="272" t="n">
        <v>8703</v>
      </c>
      <c r="G101" s="272" t="n">
        <v>404</v>
      </c>
      <c r="H101" s="272" t="n">
        <v>53</v>
      </c>
      <c r="I101" s="272" t="n">
        <v>75</v>
      </c>
      <c r="J101" s="272" t="n">
        <v>82</v>
      </c>
      <c r="K101" s="272" t="n">
        <v>5</v>
      </c>
      <c r="L101" s="273" t="n">
        <v>28.3</v>
      </c>
      <c r="M101" s="272" t="n">
        <v>5</v>
      </c>
      <c r="N101" s="272" t="n">
        <v>14</v>
      </c>
      <c r="O101" s="272" t="n">
        <v>6</v>
      </c>
      <c r="P101" s="272" t="n">
        <v>2</v>
      </c>
      <c r="Q101" s="271" t="inlineStr">
        <is>
          <t>Treino</t>
        </is>
      </c>
      <c r="R101" s="272" t="n">
        <v>5</v>
      </c>
      <c r="S101" s="271" t="inlineStr">
        <is>
          <t>MD-3</t>
        </is>
      </c>
      <c r="T101" s="272" t="n"/>
      <c r="U101" s="272" t="n"/>
      <c r="V101" s="274">
        <f>IF(_xlfn.MAXIFS(tblCarga[Data],tblCarga[Jogador],C101,tblCarga[Tipo],"Jogo",tblCarga[Data],"&lt;"&amp;A101)=0,"-",A101-_xlfn.MAXIFS(tblCarga[Data],tblCarga[Jogador],C101,tblCarga[Tipo],"Jogo",tblCarga[Data],"&lt;"&amp;A101))</f>
        <v/>
      </c>
      <c r="W101" s="272" t="n">
        <v>3</v>
      </c>
      <c r="X101" s="272" t="n">
        <v>3</v>
      </c>
      <c r="Y101" s="272" t="n">
        <v>1</v>
      </c>
      <c r="Z101" s="272" t="n">
        <v>3</v>
      </c>
      <c r="AA101" s="272" t="n">
        <v>10</v>
      </c>
    </row>
    <row r="102">
      <c r="A102" s="270" t="n">
        <v>46055</v>
      </c>
      <c r="B102" s="271" t="inlineStr">
        <is>
          <t>Belenenses</t>
        </is>
      </c>
      <c r="C102" s="271" t="inlineStr">
        <is>
          <t>Paulino</t>
        </is>
      </c>
      <c r="D102" s="271" t="inlineStr">
        <is>
          <t>Médio</t>
        </is>
      </c>
      <c r="E102" s="272" t="n">
        <v>83</v>
      </c>
      <c r="F102" s="272" t="n">
        <v>7447</v>
      </c>
      <c r="G102" s="272" t="n">
        <v>245</v>
      </c>
      <c r="H102" s="272" t="n">
        <v>83</v>
      </c>
      <c r="I102" s="272" t="n">
        <v>99</v>
      </c>
      <c r="J102" s="272" t="n">
        <v>75</v>
      </c>
      <c r="K102" s="272" t="n">
        <v>8</v>
      </c>
      <c r="L102" s="273" t="n">
        <v>28.6</v>
      </c>
      <c r="M102" s="272" t="n">
        <v>6</v>
      </c>
      <c r="N102" s="272" t="n">
        <v>10</v>
      </c>
      <c r="O102" s="272" t="n">
        <v>3</v>
      </c>
      <c r="P102" s="272" t="n">
        <v>2</v>
      </c>
      <c r="Q102" s="271" t="inlineStr">
        <is>
          <t>Treino</t>
        </is>
      </c>
      <c r="R102" s="272" t="n">
        <v>6</v>
      </c>
      <c r="S102" s="271" t="inlineStr">
        <is>
          <t>MD-5</t>
        </is>
      </c>
      <c r="T102" s="272" t="n"/>
      <c r="U102" s="272" t="n"/>
      <c r="V102" s="274">
        <f>IF(_xlfn.MAXIFS(tblCarga[Data],tblCarga[Jogador],C102,tblCarga[Tipo],"Jogo",tblCarga[Data],"&lt;"&amp;A102)=0,"-",A102-_xlfn.MAXIFS(tblCarga[Data],tblCarga[Jogador],C102,tblCarga[Tipo],"Jogo",tblCarga[Data],"&lt;"&amp;A102))</f>
        <v/>
      </c>
      <c r="W102" s="272" t="n">
        <v>2</v>
      </c>
      <c r="X102" s="272" t="n">
        <v>2</v>
      </c>
      <c r="Y102" s="272" t="n">
        <v>1</v>
      </c>
      <c r="Z102" s="272" t="n">
        <v>3</v>
      </c>
      <c r="AA102" s="272" t="n">
        <v>8</v>
      </c>
    </row>
    <row r="103">
      <c r="A103" s="270" t="n">
        <v>46055</v>
      </c>
      <c r="B103" s="271" t="inlineStr">
        <is>
          <t>Belenenses</t>
        </is>
      </c>
      <c r="C103" s="271" t="inlineStr">
        <is>
          <t>Artur</t>
        </is>
      </c>
      <c r="D103" s="271" t="inlineStr">
        <is>
          <t>Médio</t>
        </is>
      </c>
      <c r="E103" s="272" t="n">
        <v>88</v>
      </c>
      <c r="F103" s="272" t="n">
        <v>8127</v>
      </c>
      <c r="G103" s="272" t="n">
        <v>168</v>
      </c>
      <c r="H103" s="272" t="n">
        <v>113</v>
      </c>
      <c r="I103" s="272" t="n">
        <v>71</v>
      </c>
      <c r="J103" s="272" t="n">
        <v>77</v>
      </c>
      <c r="K103" s="272" t="n">
        <v>7</v>
      </c>
      <c r="L103" s="273" t="n">
        <v>30.4</v>
      </c>
      <c r="M103" s="272" t="n">
        <v>6</v>
      </c>
      <c r="N103" s="272" t="n">
        <v>15</v>
      </c>
      <c r="O103" s="272" t="n">
        <v>4</v>
      </c>
      <c r="P103" s="272" t="n">
        <v>3</v>
      </c>
      <c r="Q103" s="271" t="inlineStr">
        <is>
          <t>Treino</t>
        </is>
      </c>
      <c r="R103" s="272" t="n">
        <v>6</v>
      </c>
      <c r="S103" s="271" t="inlineStr">
        <is>
          <t>MD-5</t>
        </is>
      </c>
      <c r="T103" s="272" t="n"/>
      <c r="U103" s="272" t="n"/>
      <c r="V103" s="274">
        <f>IF(_xlfn.MAXIFS(tblCarga[Data],tblCarga[Jogador],C103,tblCarga[Tipo],"Jogo",tblCarga[Data],"&lt;"&amp;A103)=0,"-",A103-_xlfn.MAXIFS(tblCarga[Data],tblCarga[Jogador],C103,tblCarga[Tipo],"Jogo",tblCarga[Data],"&lt;"&amp;A103))</f>
        <v/>
      </c>
      <c r="W103" s="272" t="n">
        <v>2</v>
      </c>
      <c r="X103" s="272" t="n">
        <v>2</v>
      </c>
      <c r="Y103" s="272" t="n">
        <v>2</v>
      </c>
      <c r="Z103" s="272" t="n">
        <v>2</v>
      </c>
      <c r="AA103" s="272" t="n">
        <v>8</v>
      </c>
    </row>
    <row r="104">
      <c r="A104" s="270" t="n">
        <v>46055</v>
      </c>
      <c r="B104" s="271" t="inlineStr">
        <is>
          <t>Belenenses</t>
        </is>
      </c>
      <c r="C104" s="271" t="inlineStr">
        <is>
          <t>Gomes</t>
        </is>
      </c>
      <c r="D104" s="271" t="inlineStr">
        <is>
          <t>Médio</t>
        </is>
      </c>
      <c r="E104" s="272" t="n">
        <v>84</v>
      </c>
      <c r="F104" s="272" t="n">
        <v>9005</v>
      </c>
      <c r="G104" s="272" t="n">
        <v>361</v>
      </c>
      <c r="H104" s="272" t="n">
        <v>164</v>
      </c>
      <c r="I104" s="272" t="n">
        <v>88</v>
      </c>
      <c r="J104" s="272" t="n">
        <v>100</v>
      </c>
      <c r="K104" s="272" t="n">
        <v>4</v>
      </c>
      <c r="L104" s="273" t="n">
        <v>30.5</v>
      </c>
      <c r="M104" s="272" t="n">
        <v>6</v>
      </c>
      <c r="N104" s="272" t="n">
        <v>15</v>
      </c>
      <c r="O104" s="272" t="n">
        <v>5</v>
      </c>
      <c r="P104" s="272" t="n">
        <v>3</v>
      </c>
      <c r="Q104" s="271" t="inlineStr">
        <is>
          <t>Treino</t>
        </is>
      </c>
      <c r="R104" s="272" t="n">
        <v>6</v>
      </c>
      <c r="S104" s="271" t="inlineStr">
        <is>
          <t>MD-5</t>
        </is>
      </c>
      <c r="T104" s="272" t="n"/>
      <c r="U104" s="272" t="n"/>
      <c r="V104" s="274">
        <f>IF(_xlfn.MAXIFS(tblCarga[Data],tblCarga[Jogador],C104,tblCarga[Tipo],"Jogo",tblCarga[Data],"&lt;"&amp;A104)=0,"-",A104-_xlfn.MAXIFS(tblCarga[Data],tblCarga[Jogador],C104,tblCarga[Tipo],"Jogo",tblCarga[Data],"&lt;"&amp;A104))</f>
        <v/>
      </c>
      <c r="W104" s="272" t="n">
        <v>3</v>
      </c>
      <c r="X104" s="272" t="n">
        <v>2</v>
      </c>
      <c r="Y104" s="272" t="n">
        <v>2</v>
      </c>
      <c r="Z104" s="272" t="n">
        <v>1</v>
      </c>
      <c r="AA104" s="272" t="n">
        <v>8</v>
      </c>
    </row>
    <row r="105">
      <c r="A105" s="270" t="n">
        <v>46055</v>
      </c>
      <c r="B105" s="271" t="inlineStr">
        <is>
          <t>Belenenses</t>
        </is>
      </c>
      <c r="C105" s="271" t="inlineStr">
        <is>
          <t>Sá</t>
        </is>
      </c>
      <c r="D105" s="271" t="inlineStr">
        <is>
          <t>Médio</t>
        </is>
      </c>
      <c r="E105" s="272" t="n">
        <v>82</v>
      </c>
      <c r="F105" s="272" t="n">
        <v>7903</v>
      </c>
      <c r="G105" s="272" t="n">
        <v>216</v>
      </c>
      <c r="H105" s="272" t="n">
        <v>87</v>
      </c>
      <c r="I105" s="272" t="n">
        <v>69</v>
      </c>
      <c r="J105" s="272" t="n">
        <v>97</v>
      </c>
      <c r="K105" s="272" t="n">
        <v>5</v>
      </c>
      <c r="L105" s="273" t="n">
        <v>31.1</v>
      </c>
      <c r="M105" s="272" t="n">
        <v>6</v>
      </c>
      <c r="N105" s="272" t="n">
        <v>11</v>
      </c>
      <c r="O105" s="272" t="n">
        <v>3</v>
      </c>
      <c r="P105" s="272" t="n">
        <v>4</v>
      </c>
      <c r="Q105" s="271" t="inlineStr">
        <is>
          <t>Treino</t>
        </is>
      </c>
      <c r="R105" s="272" t="n">
        <v>6</v>
      </c>
      <c r="S105" s="271" t="inlineStr">
        <is>
          <t>MD-5</t>
        </is>
      </c>
      <c r="T105" s="272" t="n"/>
      <c r="U105" s="272" t="n"/>
      <c r="V105" s="274">
        <f>IF(_xlfn.MAXIFS(tblCarga[Data],tblCarga[Jogador],C105,tblCarga[Tipo],"Jogo",tblCarga[Data],"&lt;"&amp;A105)=0,"-",A105-_xlfn.MAXIFS(tblCarga[Data],tblCarga[Jogador],C105,tblCarga[Tipo],"Jogo",tblCarga[Data],"&lt;"&amp;A105))</f>
        <v/>
      </c>
      <c r="W105" s="272" t="n">
        <v>3</v>
      </c>
      <c r="X105" s="272" t="n">
        <v>2</v>
      </c>
      <c r="Y105" s="272" t="n">
        <v>2</v>
      </c>
      <c r="Z105" s="272" t="n">
        <v>2</v>
      </c>
      <c r="AA105" s="272" t="n">
        <v>9</v>
      </c>
    </row>
    <row r="106">
      <c r="A106" s="270" t="n">
        <v>46055</v>
      </c>
      <c r="B106" s="271" t="inlineStr">
        <is>
          <t>Belenenses</t>
        </is>
      </c>
      <c r="C106" s="271" t="inlineStr">
        <is>
          <t>Varela</t>
        </is>
      </c>
      <c r="D106" s="271" t="inlineStr">
        <is>
          <t>Lateral</t>
        </is>
      </c>
      <c r="E106" s="272" t="n">
        <v>85</v>
      </c>
      <c r="F106" s="272" t="n">
        <v>11614</v>
      </c>
      <c r="G106" s="272" t="n">
        <v>499</v>
      </c>
      <c r="H106" s="272" t="n">
        <v>146</v>
      </c>
      <c r="I106" s="272" t="n">
        <v>86</v>
      </c>
      <c r="J106" s="272" t="n">
        <v>73</v>
      </c>
      <c r="K106" s="272" t="n">
        <v>9</v>
      </c>
      <c r="L106" s="273" t="n">
        <v>32.2</v>
      </c>
      <c r="M106" s="272" t="n">
        <v>6</v>
      </c>
      <c r="N106" s="272" t="n">
        <v>10</v>
      </c>
      <c r="O106" s="272" t="n">
        <v>7</v>
      </c>
      <c r="P106" s="272" t="n">
        <v>2</v>
      </c>
      <c r="Q106" s="271" t="inlineStr">
        <is>
          <t>Treino</t>
        </is>
      </c>
      <c r="R106" s="272" t="n">
        <v>6</v>
      </c>
      <c r="S106" s="271" t="inlineStr">
        <is>
          <t>MD-5</t>
        </is>
      </c>
      <c r="T106" s="272" t="n"/>
      <c r="U106" s="272" t="n"/>
      <c r="V106" s="274">
        <f>IF(_xlfn.MAXIFS(tblCarga[Data],tblCarga[Jogador],C106,tblCarga[Tipo],"Jogo",tblCarga[Data],"&lt;"&amp;A106)=0,"-",A106-_xlfn.MAXIFS(tblCarga[Data],tblCarga[Jogador],C106,tblCarga[Tipo],"Jogo",tblCarga[Data],"&lt;"&amp;A106))</f>
        <v/>
      </c>
      <c r="W106" s="272" t="n">
        <v>3</v>
      </c>
      <c r="X106" s="272" t="n">
        <v>1</v>
      </c>
      <c r="Y106" s="272" t="n">
        <v>1</v>
      </c>
      <c r="Z106" s="272" t="n">
        <v>2</v>
      </c>
      <c r="AA106" s="272" t="n">
        <v>7</v>
      </c>
    </row>
    <row r="107">
      <c r="A107" s="270" t="n">
        <v>46055</v>
      </c>
      <c r="B107" s="271" t="inlineStr">
        <is>
          <t>Belenenses</t>
        </is>
      </c>
      <c r="C107" s="271" t="inlineStr">
        <is>
          <t>Edu</t>
        </is>
      </c>
      <c r="D107" s="271" t="inlineStr">
        <is>
          <t>Lateral</t>
        </is>
      </c>
      <c r="E107" s="272" t="n">
        <v>90</v>
      </c>
      <c r="F107" s="272" t="n">
        <v>9730</v>
      </c>
      <c r="G107" s="272" t="n">
        <v>449</v>
      </c>
      <c r="H107" s="272" t="n">
        <v>187</v>
      </c>
      <c r="I107" s="272" t="n">
        <v>86</v>
      </c>
      <c r="J107" s="272" t="n">
        <v>82</v>
      </c>
      <c r="K107" s="272" t="n">
        <v>5</v>
      </c>
      <c r="L107" s="273" t="n">
        <v>33.2</v>
      </c>
      <c r="M107" s="272" t="n">
        <v>6</v>
      </c>
      <c r="N107" s="272" t="n">
        <v>7</v>
      </c>
      <c r="O107" s="272" t="n">
        <v>5</v>
      </c>
      <c r="P107" s="272" t="n">
        <v>2</v>
      </c>
      <c r="Q107" s="271" t="inlineStr">
        <is>
          <t>Treino</t>
        </is>
      </c>
      <c r="R107" s="272" t="n">
        <v>6</v>
      </c>
      <c r="S107" s="271" t="inlineStr">
        <is>
          <t>MD-5</t>
        </is>
      </c>
      <c r="T107" s="272" t="n"/>
      <c r="U107" s="272" t="n"/>
      <c r="V107" s="274">
        <f>IF(_xlfn.MAXIFS(tblCarga[Data],tblCarga[Jogador],C107,tblCarga[Tipo],"Jogo",tblCarga[Data],"&lt;"&amp;A107)=0,"-",A107-_xlfn.MAXIFS(tblCarga[Data],tblCarga[Jogador],C107,tblCarga[Tipo],"Jogo",tblCarga[Data],"&lt;"&amp;A107))</f>
        <v/>
      </c>
      <c r="W107" s="272" t="n">
        <v>2</v>
      </c>
      <c r="X107" s="272" t="n">
        <v>2</v>
      </c>
      <c r="Y107" s="272" t="n">
        <v>1</v>
      </c>
      <c r="Z107" s="272" t="n">
        <v>3</v>
      </c>
      <c r="AA107" s="272" t="n">
        <v>8</v>
      </c>
    </row>
    <row r="108">
      <c r="A108" s="270" t="n">
        <v>46055</v>
      </c>
      <c r="B108" s="271" t="inlineStr">
        <is>
          <t>Belenenses</t>
        </is>
      </c>
      <c r="C108" s="271" t="inlineStr">
        <is>
          <t>Capitulo</t>
        </is>
      </c>
      <c r="D108" s="271" t="inlineStr">
        <is>
          <t>Lateral</t>
        </is>
      </c>
      <c r="E108" s="272" t="n">
        <v>97</v>
      </c>
      <c r="F108" s="272" t="n">
        <v>10456</v>
      </c>
      <c r="G108" s="272" t="n">
        <v>433</v>
      </c>
      <c r="H108" s="272" t="n">
        <v>211</v>
      </c>
      <c r="I108" s="272" t="n">
        <v>69</v>
      </c>
      <c r="J108" s="272" t="n">
        <v>109</v>
      </c>
      <c r="K108" s="272" t="n">
        <v>8</v>
      </c>
      <c r="L108" s="273" t="n">
        <v>30.3</v>
      </c>
      <c r="M108" s="272" t="n">
        <v>6</v>
      </c>
      <c r="N108" s="272" t="n">
        <v>8</v>
      </c>
      <c r="O108" s="272" t="n">
        <v>6</v>
      </c>
      <c r="P108" s="272" t="n">
        <v>2</v>
      </c>
      <c r="Q108" s="271" t="inlineStr">
        <is>
          <t>Treino</t>
        </is>
      </c>
      <c r="R108" s="272" t="n">
        <v>6</v>
      </c>
      <c r="S108" s="271" t="inlineStr">
        <is>
          <t>MD-5</t>
        </is>
      </c>
      <c r="T108" s="272" t="n"/>
      <c r="U108" s="272" t="n"/>
      <c r="V108" s="274">
        <f>IF(_xlfn.MAXIFS(tblCarga[Data],tblCarga[Jogador],C108,tblCarga[Tipo],"Jogo",tblCarga[Data],"&lt;"&amp;A108)=0,"-",A108-_xlfn.MAXIFS(tblCarga[Data],tblCarga[Jogador],C108,tblCarga[Tipo],"Jogo",tblCarga[Data],"&lt;"&amp;A108))</f>
        <v/>
      </c>
      <c r="W108" s="272" t="n">
        <v>3</v>
      </c>
      <c r="X108" s="272" t="n">
        <v>2</v>
      </c>
      <c r="Y108" s="272" t="n">
        <v>2</v>
      </c>
      <c r="Z108" s="272" t="n">
        <v>1</v>
      </c>
      <c r="AA108" s="272" t="n">
        <v>8</v>
      </c>
    </row>
    <row r="109">
      <c r="A109" s="270" t="n">
        <v>46055</v>
      </c>
      <c r="B109" s="271" t="inlineStr">
        <is>
          <t>Belenenses</t>
        </is>
      </c>
      <c r="C109" s="271" t="inlineStr">
        <is>
          <t>Enzo Hugo</t>
        </is>
      </c>
      <c r="D109" s="271" t="inlineStr">
        <is>
          <t>Central</t>
        </is>
      </c>
      <c r="E109" s="272" t="n">
        <v>93</v>
      </c>
      <c r="F109" s="272" t="n">
        <v>10024</v>
      </c>
      <c r="G109" s="272" t="n">
        <v>351</v>
      </c>
      <c r="H109" s="272" t="n">
        <v>75</v>
      </c>
      <c r="I109" s="272" t="n">
        <v>63</v>
      </c>
      <c r="J109" s="272" t="n">
        <v>85</v>
      </c>
      <c r="K109" s="272" t="n">
        <v>8</v>
      </c>
      <c r="L109" s="273" t="n">
        <v>28.2</v>
      </c>
      <c r="M109" s="272" t="n">
        <v>6</v>
      </c>
      <c r="N109" s="272" t="n">
        <v>7</v>
      </c>
      <c r="O109" s="272" t="n">
        <v>3</v>
      </c>
      <c r="P109" s="272" t="n">
        <v>2</v>
      </c>
      <c r="Q109" s="271" t="inlineStr">
        <is>
          <t>Treino</t>
        </is>
      </c>
      <c r="R109" s="272" t="n">
        <v>6</v>
      </c>
      <c r="S109" s="271" t="inlineStr">
        <is>
          <t>MD-5</t>
        </is>
      </c>
      <c r="T109" s="272" t="n"/>
      <c r="U109" s="272" t="n"/>
      <c r="V109" s="274">
        <f>IF(_xlfn.MAXIFS(tblCarga[Data],tblCarga[Jogador],C109,tblCarga[Tipo],"Jogo",tblCarga[Data],"&lt;"&amp;A109)=0,"-",A109-_xlfn.MAXIFS(tblCarga[Data],tblCarga[Jogador],C109,tblCarga[Tipo],"Jogo",tblCarga[Data],"&lt;"&amp;A109))</f>
        <v/>
      </c>
      <c r="W109" s="272" t="n">
        <v>1</v>
      </c>
      <c r="X109" s="272" t="n">
        <v>2</v>
      </c>
      <c r="Y109" s="272" t="n">
        <v>2</v>
      </c>
      <c r="Z109" s="272" t="n">
        <v>1</v>
      </c>
      <c r="AA109" s="272" t="n">
        <v>6</v>
      </c>
    </row>
    <row r="110">
      <c r="A110" s="270" t="n">
        <v>46055</v>
      </c>
      <c r="B110" s="271" t="inlineStr">
        <is>
          <t>Belenenses</t>
        </is>
      </c>
      <c r="C110" s="271" t="inlineStr">
        <is>
          <t>Nogueira</t>
        </is>
      </c>
      <c r="D110" s="271" t="inlineStr">
        <is>
          <t>Central</t>
        </is>
      </c>
      <c r="E110" s="272" t="n">
        <v>94</v>
      </c>
      <c r="F110" s="272" t="n">
        <v>9244</v>
      </c>
      <c r="G110" s="272" t="n">
        <v>321</v>
      </c>
      <c r="H110" s="272" t="n">
        <v>63</v>
      </c>
      <c r="I110" s="272" t="n">
        <v>66</v>
      </c>
      <c r="J110" s="272" t="n">
        <v>99</v>
      </c>
      <c r="K110" s="272" t="n">
        <v>10</v>
      </c>
      <c r="L110" s="273" t="n">
        <v>30.2</v>
      </c>
      <c r="M110" s="272" t="n">
        <v>6</v>
      </c>
      <c r="N110" s="272" t="n">
        <v>14</v>
      </c>
      <c r="O110" s="272" t="n">
        <v>3</v>
      </c>
      <c r="P110" s="272" t="n">
        <v>1</v>
      </c>
      <c r="Q110" s="271" t="inlineStr">
        <is>
          <t>Treino</t>
        </is>
      </c>
      <c r="R110" s="272" t="n">
        <v>6</v>
      </c>
      <c r="S110" s="271" t="inlineStr">
        <is>
          <t>MD-5</t>
        </is>
      </c>
      <c r="T110" s="272" t="n"/>
      <c r="U110" s="272" t="n"/>
      <c r="V110" s="274">
        <f>IF(_xlfn.MAXIFS(tblCarga[Data],tblCarga[Jogador],C110,tblCarga[Tipo],"Jogo",tblCarga[Data],"&lt;"&amp;A110)=0,"-",A110-_xlfn.MAXIFS(tblCarga[Data],tblCarga[Jogador],C110,tblCarga[Tipo],"Jogo",tblCarga[Data],"&lt;"&amp;A110))</f>
        <v/>
      </c>
      <c r="W110" s="272" t="n">
        <v>2</v>
      </c>
      <c r="X110" s="272" t="n">
        <v>1</v>
      </c>
      <c r="Y110" s="272" t="n">
        <v>2</v>
      </c>
      <c r="Z110" s="272" t="n">
        <v>2</v>
      </c>
      <c r="AA110" s="272" t="n">
        <v>7</v>
      </c>
    </row>
    <row r="111">
      <c r="A111" s="270" t="n">
        <v>46056</v>
      </c>
      <c r="B111" s="271" t="inlineStr">
        <is>
          <t>Belenenses</t>
        </is>
      </c>
      <c r="C111" s="271" t="inlineStr">
        <is>
          <t>Paulino</t>
        </is>
      </c>
      <c r="D111" s="271" t="inlineStr">
        <is>
          <t>Médio</t>
        </is>
      </c>
      <c r="E111" s="272" t="n">
        <v>96</v>
      </c>
      <c r="F111" s="272" t="n">
        <v>7764</v>
      </c>
      <c r="G111" s="272" t="n">
        <v>348</v>
      </c>
      <c r="H111" s="272" t="n">
        <v>96</v>
      </c>
      <c r="I111" s="272" t="n">
        <v>83</v>
      </c>
      <c r="J111" s="272" t="n">
        <v>68</v>
      </c>
      <c r="K111" s="272" t="n">
        <v>9</v>
      </c>
      <c r="L111" s="273" t="n">
        <v>31.2</v>
      </c>
      <c r="M111" s="272" t="n">
        <v>6</v>
      </c>
      <c r="N111" s="272" t="n">
        <v>13</v>
      </c>
      <c r="O111" s="272" t="n">
        <v>8</v>
      </c>
      <c r="P111" s="272" t="n">
        <v>4</v>
      </c>
      <c r="Q111" s="271" t="inlineStr">
        <is>
          <t>Treino</t>
        </is>
      </c>
      <c r="R111" s="272" t="n">
        <v>6</v>
      </c>
      <c r="S111" s="271" t="inlineStr">
        <is>
          <t>MD-4</t>
        </is>
      </c>
      <c r="T111" s="272" t="n"/>
      <c r="U111" s="272" t="n"/>
      <c r="V111" s="274">
        <f>IF(_xlfn.MAXIFS(tblCarga[Data],tblCarga[Jogador],C111,tblCarga[Tipo],"Jogo",tblCarga[Data],"&lt;"&amp;A111)=0,"-",A111-_xlfn.MAXIFS(tblCarga[Data],tblCarga[Jogador],C111,tblCarga[Tipo],"Jogo",tblCarga[Data],"&lt;"&amp;A111))</f>
        <v/>
      </c>
      <c r="W111" s="272" t="n">
        <v>1</v>
      </c>
      <c r="X111" s="272" t="n">
        <v>1</v>
      </c>
      <c r="Y111" s="272" t="n">
        <v>2</v>
      </c>
      <c r="Z111" s="272" t="n">
        <v>3</v>
      </c>
      <c r="AA111" s="272" t="n">
        <v>7</v>
      </c>
    </row>
    <row r="112">
      <c r="A112" s="270" t="n">
        <v>46056</v>
      </c>
      <c r="B112" s="271" t="inlineStr">
        <is>
          <t>Belenenses</t>
        </is>
      </c>
      <c r="C112" s="271" t="inlineStr">
        <is>
          <t>Artur</t>
        </is>
      </c>
      <c r="D112" s="271" t="inlineStr">
        <is>
          <t>Médio</t>
        </is>
      </c>
      <c r="E112" s="272" t="n">
        <v>93</v>
      </c>
      <c r="F112" s="272" t="n">
        <v>8534</v>
      </c>
      <c r="G112" s="272" t="n">
        <v>190</v>
      </c>
      <c r="H112" s="272" t="n">
        <v>62</v>
      </c>
      <c r="I112" s="272" t="n">
        <v>83</v>
      </c>
      <c r="J112" s="272" t="n">
        <v>83</v>
      </c>
      <c r="K112" s="272" t="n">
        <v>8</v>
      </c>
      <c r="L112" s="273" t="n">
        <v>30.3</v>
      </c>
      <c r="M112" s="272" t="n">
        <v>6</v>
      </c>
      <c r="N112" s="272" t="n">
        <v>7</v>
      </c>
      <c r="O112" s="272" t="n">
        <v>6</v>
      </c>
      <c r="P112" s="272" t="n">
        <v>1</v>
      </c>
      <c r="Q112" s="271" t="inlineStr">
        <is>
          <t>Treino</t>
        </is>
      </c>
      <c r="R112" s="272" t="n">
        <v>6</v>
      </c>
      <c r="S112" s="271" t="inlineStr">
        <is>
          <t>MD-4</t>
        </is>
      </c>
      <c r="T112" s="272" t="n"/>
      <c r="U112" s="272" t="n"/>
      <c r="V112" s="274">
        <f>IF(_xlfn.MAXIFS(tblCarga[Data],tblCarga[Jogador],C112,tblCarga[Tipo],"Jogo",tblCarga[Data],"&lt;"&amp;A112)=0,"-",A112-_xlfn.MAXIFS(tblCarga[Data],tblCarga[Jogador],C112,tblCarga[Tipo],"Jogo",tblCarga[Data],"&lt;"&amp;A112))</f>
        <v/>
      </c>
      <c r="W112" s="272" t="n">
        <v>2</v>
      </c>
      <c r="X112" s="272" t="n">
        <v>2</v>
      </c>
      <c r="Y112" s="272" t="n">
        <v>1</v>
      </c>
      <c r="Z112" s="272" t="n">
        <v>1</v>
      </c>
      <c r="AA112" s="272" t="n">
        <v>6</v>
      </c>
    </row>
    <row r="113">
      <c r="A113" s="270" t="n">
        <v>46056</v>
      </c>
      <c r="B113" s="271" t="inlineStr">
        <is>
          <t>Belenenses</t>
        </is>
      </c>
      <c r="C113" s="271" t="inlineStr">
        <is>
          <t>Gomes</t>
        </is>
      </c>
      <c r="D113" s="271" t="inlineStr">
        <is>
          <t>Médio</t>
        </is>
      </c>
      <c r="E113" s="272" t="n">
        <v>88</v>
      </c>
      <c r="F113" s="272" t="n">
        <v>10207</v>
      </c>
      <c r="G113" s="272" t="n">
        <v>283</v>
      </c>
      <c r="H113" s="272" t="n">
        <v>119</v>
      </c>
      <c r="I113" s="272" t="n">
        <v>77</v>
      </c>
      <c r="J113" s="272" t="n">
        <v>77</v>
      </c>
      <c r="K113" s="272" t="n">
        <v>7</v>
      </c>
      <c r="L113" s="273" t="n">
        <v>30</v>
      </c>
      <c r="M113" s="272" t="n">
        <v>6</v>
      </c>
      <c r="N113" s="272" t="n">
        <v>9</v>
      </c>
      <c r="O113" s="272" t="n">
        <v>6</v>
      </c>
      <c r="P113" s="272" t="n">
        <v>1</v>
      </c>
      <c r="Q113" s="271" t="inlineStr">
        <is>
          <t>Treino</t>
        </is>
      </c>
      <c r="R113" s="272" t="n">
        <v>6</v>
      </c>
      <c r="S113" s="271" t="inlineStr">
        <is>
          <t>MD-4</t>
        </is>
      </c>
      <c r="T113" s="272" t="n"/>
      <c r="U113" s="272" t="n"/>
      <c r="V113" s="274">
        <f>IF(_xlfn.MAXIFS(tblCarga[Data],tblCarga[Jogador],C113,tblCarga[Tipo],"Jogo",tblCarga[Data],"&lt;"&amp;A113)=0,"-",A113-_xlfn.MAXIFS(tblCarga[Data],tblCarga[Jogador],C113,tblCarga[Tipo],"Jogo",tblCarga[Data],"&lt;"&amp;A113))</f>
        <v/>
      </c>
      <c r="W113" s="272" t="n">
        <v>2</v>
      </c>
      <c r="X113" s="272" t="n">
        <v>2</v>
      </c>
      <c r="Y113" s="272" t="n">
        <v>1</v>
      </c>
      <c r="Z113" s="272" t="n">
        <v>2</v>
      </c>
      <c r="AA113" s="272" t="n">
        <v>7</v>
      </c>
    </row>
    <row r="114">
      <c r="A114" s="270" t="n">
        <v>46056</v>
      </c>
      <c r="B114" s="271" t="inlineStr">
        <is>
          <t>Belenenses</t>
        </is>
      </c>
      <c r="C114" s="271" t="inlineStr">
        <is>
          <t>Sá</t>
        </is>
      </c>
      <c r="D114" s="271" t="inlineStr">
        <is>
          <t>Médio</t>
        </is>
      </c>
      <c r="E114" s="272" t="n">
        <v>95</v>
      </c>
      <c r="F114" s="272" t="n">
        <v>6840</v>
      </c>
      <c r="G114" s="272" t="n">
        <v>374</v>
      </c>
      <c r="H114" s="272" t="n">
        <v>90</v>
      </c>
      <c r="I114" s="272" t="n">
        <v>83</v>
      </c>
      <c r="J114" s="272" t="n">
        <v>92</v>
      </c>
      <c r="K114" s="272" t="n">
        <v>7</v>
      </c>
      <c r="L114" s="273" t="n">
        <v>30.3</v>
      </c>
      <c r="M114" s="272" t="n">
        <v>6</v>
      </c>
      <c r="N114" s="272" t="n">
        <v>12</v>
      </c>
      <c r="O114" s="272" t="n">
        <v>8</v>
      </c>
      <c r="P114" s="272" t="n">
        <v>3</v>
      </c>
      <c r="Q114" s="271" t="inlineStr">
        <is>
          <t>Treino</t>
        </is>
      </c>
      <c r="R114" s="272" t="n">
        <v>6</v>
      </c>
      <c r="S114" s="271" t="inlineStr">
        <is>
          <t>MD-4</t>
        </is>
      </c>
      <c r="T114" s="272" t="n"/>
      <c r="U114" s="272" t="n"/>
      <c r="V114" s="274">
        <f>IF(_xlfn.MAXIFS(tblCarga[Data],tblCarga[Jogador],C114,tblCarga[Tipo],"Jogo",tblCarga[Data],"&lt;"&amp;A114)=0,"-",A114-_xlfn.MAXIFS(tblCarga[Data],tblCarga[Jogador],C114,tblCarga[Tipo],"Jogo",tblCarga[Data],"&lt;"&amp;A114))</f>
        <v/>
      </c>
      <c r="W114" s="272" t="n">
        <v>3</v>
      </c>
      <c r="X114" s="272" t="n">
        <v>3</v>
      </c>
      <c r="Y114" s="272" t="n">
        <v>2</v>
      </c>
      <c r="Z114" s="272" t="n">
        <v>2</v>
      </c>
      <c r="AA114" s="272" t="n">
        <v>10</v>
      </c>
    </row>
    <row r="115">
      <c r="A115" s="270" t="n">
        <v>46056</v>
      </c>
      <c r="B115" s="271" t="inlineStr">
        <is>
          <t>Belenenses</t>
        </is>
      </c>
      <c r="C115" s="271" t="inlineStr">
        <is>
          <t>Varela</t>
        </is>
      </c>
      <c r="D115" s="271" t="inlineStr">
        <is>
          <t>Lateral</t>
        </is>
      </c>
      <c r="E115" s="272" t="n">
        <v>97</v>
      </c>
      <c r="F115" s="272" t="n">
        <v>10747</v>
      </c>
      <c r="G115" s="272" t="n">
        <v>408</v>
      </c>
      <c r="H115" s="272" t="n">
        <v>145</v>
      </c>
      <c r="I115" s="272" t="n">
        <v>86</v>
      </c>
      <c r="J115" s="272" t="n">
        <v>108</v>
      </c>
      <c r="K115" s="272" t="n">
        <v>5</v>
      </c>
      <c r="L115" s="273" t="n">
        <v>31.3</v>
      </c>
      <c r="M115" s="272" t="n">
        <v>6</v>
      </c>
      <c r="N115" s="272" t="n">
        <v>7</v>
      </c>
      <c r="O115" s="272" t="n">
        <v>2</v>
      </c>
      <c r="P115" s="272" t="n">
        <v>0</v>
      </c>
      <c r="Q115" s="271" t="inlineStr">
        <is>
          <t>Treino</t>
        </is>
      </c>
      <c r="R115" s="272" t="n">
        <v>6</v>
      </c>
      <c r="S115" s="271" t="inlineStr">
        <is>
          <t>MD-4</t>
        </is>
      </c>
      <c r="T115" s="272" t="n"/>
      <c r="U115" s="272" t="n"/>
      <c r="V115" s="274">
        <f>IF(_xlfn.MAXIFS(tblCarga[Data],tblCarga[Jogador],C115,tblCarga[Tipo],"Jogo",tblCarga[Data],"&lt;"&amp;A115)=0,"-",A115-_xlfn.MAXIFS(tblCarga[Data],tblCarga[Jogador],C115,tblCarga[Tipo],"Jogo",tblCarga[Data],"&lt;"&amp;A115))</f>
        <v/>
      </c>
      <c r="W115" s="272" t="n">
        <v>2</v>
      </c>
      <c r="X115" s="272" t="n">
        <v>2</v>
      </c>
      <c r="Y115" s="272" t="n">
        <v>1</v>
      </c>
      <c r="Z115" s="272" t="n">
        <v>2</v>
      </c>
      <c r="AA115" s="272" t="n">
        <v>7</v>
      </c>
    </row>
    <row r="116">
      <c r="A116" s="270" t="n">
        <v>46056</v>
      </c>
      <c r="B116" s="271" t="inlineStr">
        <is>
          <t>Belenenses</t>
        </is>
      </c>
      <c r="C116" s="271" t="inlineStr">
        <is>
          <t>Edu</t>
        </is>
      </c>
      <c r="D116" s="271" t="inlineStr">
        <is>
          <t>Lateral</t>
        </is>
      </c>
      <c r="E116" s="272" t="n">
        <v>95</v>
      </c>
      <c r="F116" s="272" t="n">
        <v>9296</v>
      </c>
      <c r="G116" s="272" t="n">
        <v>358</v>
      </c>
      <c r="H116" s="272" t="n">
        <v>182</v>
      </c>
      <c r="I116" s="272" t="n">
        <v>78</v>
      </c>
      <c r="J116" s="272" t="n">
        <v>87</v>
      </c>
      <c r="K116" s="272" t="n">
        <v>4</v>
      </c>
      <c r="L116" s="273" t="n">
        <v>32.2</v>
      </c>
      <c r="M116" s="272" t="n">
        <v>6</v>
      </c>
      <c r="N116" s="272" t="n">
        <v>6</v>
      </c>
      <c r="O116" s="272" t="n">
        <v>2</v>
      </c>
      <c r="P116" s="272" t="n">
        <v>2</v>
      </c>
      <c r="Q116" s="271" t="inlineStr">
        <is>
          <t>Treino</t>
        </is>
      </c>
      <c r="R116" s="272" t="n">
        <v>6</v>
      </c>
      <c r="S116" s="271" t="inlineStr">
        <is>
          <t>MD-4</t>
        </is>
      </c>
      <c r="T116" s="272" t="n"/>
      <c r="U116" s="272" t="n"/>
      <c r="V116" s="274">
        <f>IF(_xlfn.MAXIFS(tblCarga[Data],tblCarga[Jogador],C116,tblCarga[Tipo],"Jogo",tblCarga[Data],"&lt;"&amp;A116)=0,"-",A116-_xlfn.MAXIFS(tblCarga[Data],tblCarga[Jogador],C116,tblCarga[Tipo],"Jogo",tblCarga[Data],"&lt;"&amp;A116))</f>
        <v/>
      </c>
      <c r="W116" s="272" t="n">
        <v>3</v>
      </c>
      <c r="X116" s="272" t="n">
        <v>3</v>
      </c>
      <c r="Y116" s="272" t="n">
        <v>2</v>
      </c>
      <c r="Z116" s="272" t="n">
        <v>2</v>
      </c>
      <c r="AA116" s="272" t="n">
        <v>10</v>
      </c>
    </row>
    <row r="117">
      <c r="A117" s="270" t="n">
        <v>46056</v>
      </c>
      <c r="B117" s="271" t="inlineStr">
        <is>
          <t>Belenenses</t>
        </is>
      </c>
      <c r="C117" s="271" t="inlineStr">
        <is>
          <t>Capitulo</t>
        </is>
      </c>
      <c r="D117" s="271" t="inlineStr">
        <is>
          <t>Lateral</t>
        </is>
      </c>
      <c r="E117" s="272" t="n">
        <v>85</v>
      </c>
      <c r="F117" s="272" t="n">
        <v>10791</v>
      </c>
      <c r="G117" s="272" t="n">
        <v>461</v>
      </c>
      <c r="H117" s="272" t="n">
        <v>210</v>
      </c>
      <c r="I117" s="272" t="n">
        <v>64</v>
      </c>
      <c r="J117" s="272" t="n">
        <v>90</v>
      </c>
      <c r="K117" s="272" t="n">
        <v>9</v>
      </c>
      <c r="L117" s="273" t="n">
        <v>33.1</v>
      </c>
      <c r="M117" s="272" t="n">
        <v>6</v>
      </c>
      <c r="N117" s="272" t="n">
        <v>10</v>
      </c>
      <c r="O117" s="272" t="n">
        <v>7</v>
      </c>
      <c r="P117" s="272" t="n">
        <v>3</v>
      </c>
      <c r="Q117" s="271" t="inlineStr">
        <is>
          <t>Treino</t>
        </is>
      </c>
      <c r="R117" s="272" t="n">
        <v>6</v>
      </c>
      <c r="S117" s="271" t="inlineStr">
        <is>
          <t>MD-4</t>
        </is>
      </c>
      <c r="T117" s="272" t="n"/>
      <c r="U117" s="272" t="n"/>
      <c r="V117" s="274">
        <f>IF(_xlfn.MAXIFS(tblCarga[Data],tblCarga[Jogador],C117,tblCarga[Tipo],"Jogo",tblCarga[Data],"&lt;"&amp;A117)=0,"-",A117-_xlfn.MAXIFS(tblCarga[Data],tblCarga[Jogador],C117,tblCarga[Tipo],"Jogo",tblCarga[Data],"&lt;"&amp;A117))</f>
        <v/>
      </c>
      <c r="W117" s="272" t="n">
        <v>1</v>
      </c>
      <c r="X117" s="272" t="n">
        <v>2</v>
      </c>
      <c r="Y117" s="272" t="n">
        <v>2</v>
      </c>
      <c r="Z117" s="272" t="n">
        <v>3</v>
      </c>
      <c r="AA117" s="272" t="n">
        <v>8</v>
      </c>
    </row>
    <row r="118">
      <c r="A118" s="270" t="n">
        <v>46056</v>
      </c>
      <c r="B118" s="271" t="inlineStr">
        <is>
          <t>Belenenses</t>
        </is>
      </c>
      <c r="C118" s="271" t="inlineStr">
        <is>
          <t>Enzo Hugo</t>
        </is>
      </c>
      <c r="D118" s="271" t="inlineStr">
        <is>
          <t>Central</t>
        </is>
      </c>
      <c r="E118" s="272" t="n">
        <v>80</v>
      </c>
      <c r="F118" s="272" t="n">
        <v>8399</v>
      </c>
      <c r="G118" s="272" t="n">
        <v>322</v>
      </c>
      <c r="H118" s="272" t="n">
        <v>26</v>
      </c>
      <c r="I118" s="272" t="n">
        <v>72</v>
      </c>
      <c r="J118" s="272" t="n">
        <v>97</v>
      </c>
      <c r="K118" s="272" t="n">
        <v>9</v>
      </c>
      <c r="L118" s="273" t="n">
        <v>28.3</v>
      </c>
      <c r="M118" s="272" t="n">
        <v>6</v>
      </c>
      <c r="N118" s="272" t="n">
        <v>11</v>
      </c>
      <c r="O118" s="272" t="n">
        <v>8</v>
      </c>
      <c r="P118" s="272" t="n">
        <v>4</v>
      </c>
      <c r="Q118" s="271" t="inlineStr">
        <is>
          <t>Treino</t>
        </is>
      </c>
      <c r="R118" s="272" t="n">
        <v>6</v>
      </c>
      <c r="S118" s="271" t="inlineStr">
        <is>
          <t>MD-4</t>
        </is>
      </c>
      <c r="T118" s="272" t="n"/>
      <c r="U118" s="272" t="n"/>
      <c r="V118" s="274">
        <f>IF(_xlfn.MAXIFS(tblCarga[Data],tblCarga[Jogador],C118,tblCarga[Tipo],"Jogo",tblCarga[Data],"&lt;"&amp;A118)=0,"-",A118-_xlfn.MAXIFS(tblCarga[Data],tblCarga[Jogador],C118,tblCarga[Tipo],"Jogo",tblCarga[Data],"&lt;"&amp;A118))</f>
        <v/>
      </c>
      <c r="W118" s="272" t="n">
        <v>3</v>
      </c>
      <c r="X118" s="272" t="n">
        <v>2</v>
      </c>
      <c r="Y118" s="272" t="n">
        <v>2</v>
      </c>
      <c r="Z118" s="272" t="n">
        <v>3</v>
      </c>
      <c r="AA118" s="272" t="n">
        <v>10</v>
      </c>
    </row>
    <row r="119">
      <c r="A119" s="270" t="n">
        <v>46056</v>
      </c>
      <c r="B119" s="271" t="inlineStr">
        <is>
          <t>Belenenses</t>
        </is>
      </c>
      <c r="C119" s="271" t="inlineStr">
        <is>
          <t>Nogueira</t>
        </is>
      </c>
      <c r="D119" s="271" t="inlineStr">
        <is>
          <t>Central</t>
        </is>
      </c>
      <c r="E119" s="272" t="n">
        <v>88</v>
      </c>
      <c r="F119" s="272" t="n">
        <v>10139</v>
      </c>
      <c r="G119" s="272" t="n">
        <v>252</v>
      </c>
      <c r="H119" s="272" t="n">
        <v>55</v>
      </c>
      <c r="I119" s="272" t="n">
        <v>57</v>
      </c>
      <c r="J119" s="272" t="n">
        <v>110</v>
      </c>
      <c r="K119" s="272" t="n">
        <v>4</v>
      </c>
      <c r="L119" s="273" t="n">
        <v>29.7</v>
      </c>
      <c r="M119" s="272" t="n">
        <v>6</v>
      </c>
      <c r="N119" s="272" t="n">
        <v>14</v>
      </c>
      <c r="O119" s="272" t="n">
        <v>3</v>
      </c>
      <c r="P119" s="272" t="n">
        <v>4</v>
      </c>
      <c r="Q119" s="271" t="inlineStr">
        <is>
          <t>Treino</t>
        </is>
      </c>
      <c r="R119" s="272" t="n">
        <v>6</v>
      </c>
      <c r="S119" s="271" t="inlineStr">
        <is>
          <t>MD-4</t>
        </is>
      </c>
      <c r="T119" s="272" t="n"/>
      <c r="U119" s="272" t="n"/>
      <c r="V119" s="274">
        <f>IF(_xlfn.MAXIFS(tblCarga[Data],tblCarga[Jogador],C119,tblCarga[Tipo],"Jogo",tblCarga[Data],"&lt;"&amp;A119)=0,"-",A119-_xlfn.MAXIFS(tblCarga[Data],tblCarga[Jogador],C119,tblCarga[Tipo],"Jogo",tblCarga[Data],"&lt;"&amp;A119))</f>
        <v/>
      </c>
      <c r="W119" s="272" t="n">
        <v>2</v>
      </c>
      <c r="X119" s="272" t="n">
        <v>1</v>
      </c>
      <c r="Y119" s="272" t="n">
        <v>2</v>
      </c>
      <c r="Z119" s="272" t="n">
        <v>3</v>
      </c>
      <c r="AA119" s="272" t="n">
        <v>8</v>
      </c>
    </row>
    <row r="120">
      <c r="A120" s="270" t="n">
        <v>46057</v>
      </c>
      <c r="B120" s="271" t="inlineStr">
        <is>
          <t>Belenenses</t>
        </is>
      </c>
      <c r="C120" s="271" t="inlineStr">
        <is>
          <t>Paulino</t>
        </is>
      </c>
      <c r="D120" s="271" t="inlineStr">
        <is>
          <t>Médio</t>
        </is>
      </c>
      <c r="E120" s="272" t="n">
        <v>95</v>
      </c>
      <c r="F120" s="272" t="n">
        <v>5764</v>
      </c>
      <c r="G120" s="272" t="n">
        <v>267</v>
      </c>
      <c r="H120" s="272" t="n">
        <v>114</v>
      </c>
      <c r="I120" s="272" t="n">
        <v>99</v>
      </c>
      <c r="J120" s="272" t="n">
        <v>79</v>
      </c>
      <c r="K120" s="272" t="n">
        <v>8</v>
      </c>
      <c r="L120" s="273" t="n">
        <v>30.2</v>
      </c>
      <c r="M120" s="272" t="n">
        <v>6</v>
      </c>
      <c r="N120" s="272" t="n">
        <v>13</v>
      </c>
      <c r="O120" s="272" t="n">
        <v>9</v>
      </c>
      <c r="P120" s="272" t="n">
        <v>0</v>
      </c>
      <c r="Q120" s="271" t="inlineStr">
        <is>
          <t>Treino</t>
        </is>
      </c>
      <c r="R120" s="272" t="n">
        <v>6</v>
      </c>
      <c r="S120" s="271" t="inlineStr">
        <is>
          <t>MD-3</t>
        </is>
      </c>
      <c r="T120" s="272" t="n"/>
      <c r="U120" s="272" t="n"/>
      <c r="V120" s="274">
        <f>IF(_xlfn.MAXIFS(tblCarga[Data],tblCarga[Jogador],C120,tblCarga[Tipo],"Jogo",tblCarga[Data],"&lt;"&amp;A120)=0,"-",A120-_xlfn.MAXIFS(tblCarga[Data],tblCarga[Jogador],C120,tblCarga[Tipo],"Jogo",tblCarga[Data],"&lt;"&amp;A120))</f>
        <v/>
      </c>
      <c r="W120" s="272" t="n">
        <v>3</v>
      </c>
      <c r="X120" s="272" t="n">
        <v>1</v>
      </c>
      <c r="Y120" s="272" t="n">
        <v>2</v>
      </c>
      <c r="Z120" s="272" t="n">
        <v>3</v>
      </c>
      <c r="AA120" s="272" t="n">
        <v>9</v>
      </c>
    </row>
    <row r="121">
      <c r="A121" s="270" t="n">
        <v>46057</v>
      </c>
      <c r="B121" s="271" t="inlineStr">
        <is>
          <t>Belenenses</t>
        </is>
      </c>
      <c r="C121" s="271" t="inlineStr">
        <is>
          <t>Artur</t>
        </is>
      </c>
      <c r="D121" s="271" t="inlineStr">
        <is>
          <t>Médio</t>
        </is>
      </c>
      <c r="E121" s="272" t="n">
        <v>92</v>
      </c>
      <c r="F121" s="272" t="n">
        <v>8199</v>
      </c>
      <c r="G121" s="272" t="n">
        <v>213</v>
      </c>
      <c r="H121" s="272" t="n">
        <v>66</v>
      </c>
      <c r="I121" s="272" t="n">
        <v>62</v>
      </c>
      <c r="J121" s="272" t="n">
        <v>93</v>
      </c>
      <c r="K121" s="272" t="n">
        <v>5</v>
      </c>
      <c r="L121" s="273" t="n">
        <v>28.3</v>
      </c>
      <c r="M121" s="272" t="n">
        <v>6</v>
      </c>
      <c r="N121" s="272" t="n">
        <v>9</v>
      </c>
      <c r="O121" s="272" t="n">
        <v>2</v>
      </c>
      <c r="P121" s="272" t="n">
        <v>2</v>
      </c>
      <c r="Q121" s="271" t="inlineStr">
        <is>
          <t>Treino</t>
        </is>
      </c>
      <c r="R121" s="272" t="n">
        <v>6</v>
      </c>
      <c r="S121" s="271" t="inlineStr">
        <is>
          <t>MD-3</t>
        </is>
      </c>
      <c r="T121" s="272" t="n"/>
      <c r="U121" s="272" t="n"/>
      <c r="V121" s="274">
        <f>IF(_xlfn.MAXIFS(tblCarga[Data],tblCarga[Jogador],C121,tblCarga[Tipo],"Jogo",tblCarga[Data],"&lt;"&amp;A121)=0,"-",A121-_xlfn.MAXIFS(tblCarga[Data],tblCarga[Jogador],C121,tblCarga[Tipo],"Jogo",tblCarga[Data],"&lt;"&amp;A121))</f>
        <v/>
      </c>
      <c r="W121" s="272" t="n">
        <v>2</v>
      </c>
      <c r="X121" s="272" t="n">
        <v>2</v>
      </c>
      <c r="Y121" s="272" t="n">
        <v>2</v>
      </c>
      <c r="Z121" s="272" t="n">
        <v>2</v>
      </c>
      <c r="AA121" s="272" t="n">
        <v>8</v>
      </c>
    </row>
    <row r="122">
      <c r="A122" s="270" t="n">
        <v>46057</v>
      </c>
      <c r="B122" s="271" t="inlineStr">
        <is>
          <t>Belenenses</t>
        </is>
      </c>
      <c r="C122" s="271" t="inlineStr">
        <is>
          <t>Gomes</t>
        </is>
      </c>
      <c r="D122" s="271" t="inlineStr">
        <is>
          <t>Médio</t>
        </is>
      </c>
      <c r="E122" s="272" t="n">
        <v>87</v>
      </c>
      <c r="F122" s="272" t="n">
        <v>9614</v>
      </c>
      <c r="G122" s="272" t="n">
        <v>296</v>
      </c>
      <c r="H122" s="272" t="n">
        <v>131</v>
      </c>
      <c r="I122" s="272" t="n">
        <v>73</v>
      </c>
      <c r="J122" s="272" t="n">
        <v>73</v>
      </c>
      <c r="K122" s="272" t="n">
        <v>7</v>
      </c>
      <c r="L122" s="273" t="n">
        <v>29.1</v>
      </c>
      <c r="M122" s="272" t="n">
        <v>6</v>
      </c>
      <c r="N122" s="272" t="n">
        <v>5</v>
      </c>
      <c r="O122" s="272" t="n">
        <v>5</v>
      </c>
      <c r="P122" s="272" t="n">
        <v>4</v>
      </c>
      <c r="Q122" s="271" t="inlineStr">
        <is>
          <t>Treino</t>
        </is>
      </c>
      <c r="R122" s="272" t="n">
        <v>6</v>
      </c>
      <c r="S122" s="271" t="inlineStr">
        <is>
          <t>MD-3</t>
        </is>
      </c>
      <c r="T122" s="272" t="n"/>
      <c r="U122" s="272" t="n"/>
      <c r="V122" s="274">
        <f>IF(_xlfn.MAXIFS(tblCarga[Data],tblCarga[Jogador],C122,tblCarga[Tipo],"Jogo",tblCarga[Data],"&lt;"&amp;A122)=0,"-",A122-_xlfn.MAXIFS(tblCarga[Data],tblCarga[Jogador],C122,tblCarga[Tipo],"Jogo",tblCarga[Data],"&lt;"&amp;A122))</f>
        <v/>
      </c>
      <c r="W122" s="272" t="n">
        <v>1</v>
      </c>
      <c r="X122" s="272" t="n">
        <v>1</v>
      </c>
      <c r="Y122" s="272" t="n">
        <v>2</v>
      </c>
      <c r="Z122" s="272" t="n">
        <v>2</v>
      </c>
      <c r="AA122" s="272" t="n">
        <v>6</v>
      </c>
    </row>
    <row r="123">
      <c r="A123" s="270" t="n">
        <v>46057</v>
      </c>
      <c r="B123" s="271" t="inlineStr">
        <is>
          <t>Belenenses</t>
        </is>
      </c>
      <c r="C123" s="271" t="inlineStr">
        <is>
          <t>Sá</t>
        </is>
      </c>
      <c r="D123" s="271" t="inlineStr">
        <is>
          <t>Médio</t>
        </is>
      </c>
      <c r="E123" s="272" t="n">
        <v>93</v>
      </c>
      <c r="F123" s="272" t="n">
        <v>5892</v>
      </c>
      <c r="G123" s="272" t="n">
        <v>264</v>
      </c>
      <c r="H123" s="272" t="n">
        <v>107</v>
      </c>
      <c r="I123" s="272" t="n">
        <v>99</v>
      </c>
      <c r="J123" s="272" t="n">
        <v>77</v>
      </c>
      <c r="K123" s="272" t="n">
        <v>10</v>
      </c>
      <c r="L123" s="273" t="n">
        <v>32.3</v>
      </c>
      <c r="M123" s="272" t="n">
        <v>6</v>
      </c>
      <c r="N123" s="272" t="n">
        <v>15</v>
      </c>
      <c r="O123" s="272" t="n">
        <v>3</v>
      </c>
      <c r="P123" s="272" t="n">
        <v>2</v>
      </c>
      <c r="Q123" s="271" t="inlineStr">
        <is>
          <t>Treino</t>
        </is>
      </c>
      <c r="R123" s="272" t="n">
        <v>6</v>
      </c>
      <c r="S123" s="271" t="inlineStr">
        <is>
          <t>MD-3</t>
        </is>
      </c>
      <c r="T123" s="272" t="n"/>
      <c r="U123" s="272" t="n"/>
      <c r="V123" s="274">
        <f>IF(_xlfn.MAXIFS(tblCarga[Data],tblCarga[Jogador],C123,tblCarga[Tipo],"Jogo",tblCarga[Data],"&lt;"&amp;A123)=0,"-",A123-_xlfn.MAXIFS(tblCarga[Data],tblCarga[Jogador],C123,tblCarga[Tipo],"Jogo",tblCarga[Data],"&lt;"&amp;A123))</f>
        <v/>
      </c>
      <c r="W123" s="272" t="n">
        <v>2</v>
      </c>
      <c r="X123" s="272" t="n">
        <v>2</v>
      </c>
      <c r="Y123" s="272" t="n">
        <v>3</v>
      </c>
      <c r="Z123" s="272" t="n">
        <v>3</v>
      </c>
      <c r="AA123" s="272" t="n">
        <v>10</v>
      </c>
    </row>
    <row r="124">
      <c r="A124" s="270" t="n">
        <v>46057</v>
      </c>
      <c r="B124" s="271" t="inlineStr">
        <is>
          <t>Belenenses</t>
        </is>
      </c>
      <c r="C124" s="271" t="inlineStr">
        <is>
          <t>Varela</t>
        </is>
      </c>
      <c r="D124" s="271" t="inlineStr">
        <is>
          <t>Lateral</t>
        </is>
      </c>
      <c r="E124" s="272" t="n">
        <v>81</v>
      </c>
      <c r="F124" s="272" t="n">
        <v>10997</v>
      </c>
      <c r="G124" s="272" t="n">
        <v>463</v>
      </c>
      <c r="H124" s="272" t="n">
        <v>195</v>
      </c>
      <c r="I124" s="272" t="n">
        <v>60</v>
      </c>
      <c r="J124" s="272" t="n">
        <v>104</v>
      </c>
      <c r="K124" s="272" t="n">
        <v>7</v>
      </c>
      <c r="L124" s="273" t="n">
        <v>33.3</v>
      </c>
      <c r="M124" s="272" t="n">
        <v>6</v>
      </c>
      <c r="N124" s="272" t="n">
        <v>12</v>
      </c>
      <c r="O124" s="272" t="n">
        <v>6</v>
      </c>
      <c r="P124" s="272" t="n">
        <v>1</v>
      </c>
      <c r="Q124" s="271" t="inlineStr">
        <is>
          <t>Treino</t>
        </is>
      </c>
      <c r="R124" s="272" t="n">
        <v>6</v>
      </c>
      <c r="S124" s="271" t="inlineStr">
        <is>
          <t>MD-3</t>
        </is>
      </c>
      <c r="T124" s="272" t="n"/>
      <c r="U124" s="272" t="n"/>
      <c r="V124" s="274">
        <f>IF(_xlfn.MAXIFS(tblCarga[Data],tblCarga[Jogador],C124,tblCarga[Tipo],"Jogo",tblCarga[Data],"&lt;"&amp;A124)=0,"-",A124-_xlfn.MAXIFS(tblCarga[Data],tblCarga[Jogador],C124,tblCarga[Tipo],"Jogo",tblCarga[Data],"&lt;"&amp;A124))</f>
        <v/>
      </c>
      <c r="W124" s="272" t="n">
        <v>1</v>
      </c>
      <c r="X124" s="272" t="n">
        <v>1</v>
      </c>
      <c r="Y124" s="272" t="n">
        <v>2</v>
      </c>
      <c r="Z124" s="272" t="n">
        <v>1</v>
      </c>
      <c r="AA124" s="272" t="n">
        <v>5</v>
      </c>
    </row>
    <row r="125">
      <c r="A125" s="270" t="n">
        <v>46057</v>
      </c>
      <c r="B125" s="271" t="inlineStr">
        <is>
          <t>Belenenses</t>
        </is>
      </c>
      <c r="C125" s="271" t="inlineStr">
        <is>
          <t>Edu</t>
        </is>
      </c>
      <c r="D125" s="271" t="inlineStr">
        <is>
          <t>Lateral</t>
        </is>
      </c>
      <c r="E125" s="272" t="n">
        <v>90</v>
      </c>
      <c r="F125" s="272" t="n">
        <v>10432</v>
      </c>
      <c r="G125" s="272" t="n">
        <v>314</v>
      </c>
      <c r="H125" s="272" t="n">
        <v>225</v>
      </c>
      <c r="I125" s="272" t="n">
        <v>71</v>
      </c>
      <c r="J125" s="272" t="n">
        <v>90</v>
      </c>
      <c r="K125" s="272" t="n">
        <v>8</v>
      </c>
      <c r="L125" s="273" t="n">
        <v>33.3</v>
      </c>
      <c r="M125" s="272" t="n">
        <v>6</v>
      </c>
      <c r="N125" s="272" t="n">
        <v>11</v>
      </c>
      <c r="O125" s="272" t="n">
        <v>5</v>
      </c>
      <c r="P125" s="272" t="n">
        <v>1</v>
      </c>
      <c r="Q125" s="271" t="inlineStr">
        <is>
          <t>Treino</t>
        </is>
      </c>
      <c r="R125" s="272" t="n">
        <v>6</v>
      </c>
      <c r="S125" s="271" t="inlineStr">
        <is>
          <t>MD-3</t>
        </is>
      </c>
      <c r="T125" s="272" t="n"/>
      <c r="U125" s="272" t="n"/>
      <c r="V125" s="274">
        <f>IF(_xlfn.MAXIFS(tblCarga[Data],tblCarga[Jogador],C125,tblCarga[Tipo],"Jogo",tblCarga[Data],"&lt;"&amp;A125)=0,"-",A125-_xlfn.MAXIFS(tblCarga[Data],tblCarga[Jogador],C125,tblCarga[Tipo],"Jogo",tblCarga[Data],"&lt;"&amp;A125))</f>
        <v/>
      </c>
      <c r="W125" s="272" t="n">
        <v>3</v>
      </c>
      <c r="X125" s="272" t="n">
        <v>2</v>
      </c>
      <c r="Y125" s="272" t="n">
        <v>3</v>
      </c>
      <c r="Z125" s="272" t="n">
        <v>1</v>
      </c>
      <c r="AA125" s="272" t="n">
        <v>9</v>
      </c>
    </row>
    <row r="126">
      <c r="A126" s="270" t="n">
        <v>46057</v>
      </c>
      <c r="B126" s="271" t="inlineStr">
        <is>
          <t>Belenenses</t>
        </is>
      </c>
      <c r="C126" s="271" t="inlineStr">
        <is>
          <t>Capitulo</t>
        </is>
      </c>
      <c r="D126" s="271" t="inlineStr">
        <is>
          <t>Lateral</t>
        </is>
      </c>
      <c r="E126" s="272" t="n">
        <v>88</v>
      </c>
      <c r="F126" s="272" t="n">
        <v>10990</v>
      </c>
      <c r="G126" s="272" t="n">
        <v>472</v>
      </c>
      <c r="H126" s="272" t="n">
        <v>163</v>
      </c>
      <c r="I126" s="272" t="n">
        <v>101</v>
      </c>
      <c r="J126" s="272" t="n">
        <v>79</v>
      </c>
      <c r="K126" s="272" t="n">
        <v>4</v>
      </c>
      <c r="L126" s="273" t="n">
        <v>30.2</v>
      </c>
      <c r="M126" s="272" t="n">
        <v>6</v>
      </c>
      <c r="N126" s="272" t="n">
        <v>7</v>
      </c>
      <c r="O126" s="272" t="n">
        <v>5</v>
      </c>
      <c r="P126" s="272" t="n">
        <v>2</v>
      </c>
      <c r="Q126" s="271" t="inlineStr">
        <is>
          <t>Treino</t>
        </is>
      </c>
      <c r="R126" s="272" t="n">
        <v>6</v>
      </c>
      <c r="S126" s="271" t="inlineStr">
        <is>
          <t>MD-3</t>
        </is>
      </c>
      <c r="T126" s="272" t="n"/>
      <c r="U126" s="272" t="n"/>
      <c r="V126" s="274">
        <f>IF(_xlfn.MAXIFS(tblCarga[Data],tblCarga[Jogador],C126,tblCarga[Tipo],"Jogo",tblCarga[Data],"&lt;"&amp;A126)=0,"-",A126-_xlfn.MAXIFS(tblCarga[Data],tblCarga[Jogador],C126,tblCarga[Tipo],"Jogo",tblCarga[Data],"&lt;"&amp;A126))</f>
        <v/>
      </c>
      <c r="W126" s="272" t="n">
        <v>2</v>
      </c>
      <c r="X126" s="272" t="n">
        <v>2</v>
      </c>
      <c r="Y126" s="272" t="n">
        <v>1</v>
      </c>
      <c r="Z126" s="272" t="n">
        <v>2</v>
      </c>
      <c r="AA126" s="272" t="n">
        <v>7</v>
      </c>
    </row>
    <row r="127">
      <c r="A127" s="270" t="n">
        <v>46057</v>
      </c>
      <c r="B127" s="271" t="inlineStr">
        <is>
          <t>Belenenses</t>
        </is>
      </c>
      <c r="C127" s="271" t="inlineStr">
        <is>
          <t>Enzo Hugo</t>
        </is>
      </c>
      <c r="D127" s="271" t="inlineStr">
        <is>
          <t>Central</t>
        </is>
      </c>
      <c r="E127" s="272" t="n">
        <v>98</v>
      </c>
      <c r="F127" s="272" t="n">
        <v>10296</v>
      </c>
      <c r="G127" s="272" t="n">
        <v>385</v>
      </c>
      <c r="H127" s="272" t="n">
        <v>39</v>
      </c>
      <c r="I127" s="272" t="n">
        <v>80</v>
      </c>
      <c r="J127" s="272" t="n">
        <v>83</v>
      </c>
      <c r="K127" s="272" t="n">
        <v>7</v>
      </c>
      <c r="L127" s="273" t="n">
        <v>29.3</v>
      </c>
      <c r="M127" s="272" t="n">
        <v>6</v>
      </c>
      <c r="N127" s="272" t="n">
        <v>13</v>
      </c>
      <c r="O127" s="272" t="n">
        <v>7</v>
      </c>
      <c r="P127" s="272" t="n">
        <v>3</v>
      </c>
      <c r="Q127" s="271" t="inlineStr">
        <is>
          <t>Treino</t>
        </is>
      </c>
      <c r="R127" s="272" t="n">
        <v>6</v>
      </c>
      <c r="S127" s="271" t="inlineStr">
        <is>
          <t>MD-3</t>
        </is>
      </c>
      <c r="T127" s="272" t="n"/>
      <c r="U127" s="272" t="n"/>
      <c r="V127" s="274">
        <f>IF(_xlfn.MAXIFS(tblCarga[Data],tblCarga[Jogador],C127,tblCarga[Tipo],"Jogo",tblCarga[Data],"&lt;"&amp;A127)=0,"-",A127-_xlfn.MAXIFS(tblCarga[Data],tblCarga[Jogador],C127,tblCarga[Tipo],"Jogo",tblCarga[Data],"&lt;"&amp;A127))</f>
        <v/>
      </c>
      <c r="W127" s="272" t="n">
        <v>3</v>
      </c>
      <c r="X127" s="272" t="n">
        <v>2</v>
      </c>
      <c r="Y127" s="272" t="n">
        <v>2</v>
      </c>
      <c r="Z127" s="272" t="n">
        <v>2</v>
      </c>
      <c r="AA127" s="272" t="n">
        <v>9</v>
      </c>
    </row>
    <row r="128">
      <c r="A128" s="270" t="n">
        <v>46057</v>
      </c>
      <c r="B128" s="271" t="inlineStr">
        <is>
          <t>Belenenses</t>
        </is>
      </c>
      <c r="C128" s="271" t="inlineStr">
        <is>
          <t>Nogueira</t>
        </is>
      </c>
      <c r="D128" s="271" t="inlineStr">
        <is>
          <t>Central</t>
        </is>
      </c>
      <c r="E128" s="272" t="n">
        <v>80</v>
      </c>
      <c r="F128" s="272" t="n">
        <v>9455</v>
      </c>
      <c r="G128" s="272" t="n">
        <v>318</v>
      </c>
      <c r="H128" s="272" t="n">
        <v>28</v>
      </c>
      <c r="I128" s="272" t="n">
        <v>87</v>
      </c>
      <c r="J128" s="272" t="n">
        <v>71</v>
      </c>
      <c r="K128" s="272" t="n">
        <v>9</v>
      </c>
      <c r="L128" s="273" t="n">
        <v>29.2</v>
      </c>
      <c r="M128" s="272" t="n">
        <v>6</v>
      </c>
      <c r="N128" s="272" t="n">
        <v>16</v>
      </c>
      <c r="O128" s="272" t="n">
        <v>7</v>
      </c>
      <c r="P128" s="272" t="n">
        <v>3</v>
      </c>
      <c r="Q128" s="271" t="inlineStr">
        <is>
          <t>Treino</t>
        </is>
      </c>
      <c r="R128" s="272" t="n">
        <v>6</v>
      </c>
      <c r="S128" s="271" t="inlineStr">
        <is>
          <t>MD-3</t>
        </is>
      </c>
      <c r="T128" s="272" t="n"/>
      <c r="U128" s="272" t="n"/>
      <c r="V128" s="274">
        <f>IF(_xlfn.MAXIFS(tblCarga[Data],tblCarga[Jogador],C128,tblCarga[Tipo],"Jogo",tblCarga[Data],"&lt;"&amp;A128)=0,"-",A128-_xlfn.MAXIFS(tblCarga[Data],tblCarga[Jogador],C128,tblCarga[Tipo],"Jogo",tblCarga[Data],"&lt;"&amp;A128))</f>
        <v/>
      </c>
      <c r="W128" s="272" t="n">
        <v>2</v>
      </c>
      <c r="X128" s="272" t="n">
        <v>3</v>
      </c>
      <c r="Y128" s="272" t="n">
        <v>1</v>
      </c>
      <c r="Z128" s="272" t="n">
        <v>2</v>
      </c>
      <c r="AA128" s="272" t="n">
        <v>8</v>
      </c>
    </row>
    <row r="129">
      <c r="A129" s="270" t="n">
        <v>46062</v>
      </c>
      <c r="B129" s="271" t="inlineStr">
        <is>
          <t>Belenenses</t>
        </is>
      </c>
      <c r="C129" s="271" t="inlineStr">
        <is>
          <t>Paulino</t>
        </is>
      </c>
      <c r="D129" s="271" t="inlineStr">
        <is>
          <t>Médio</t>
        </is>
      </c>
      <c r="E129" s="272" t="n">
        <v>86</v>
      </c>
      <c r="F129" s="272" t="n">
        <v>8295</v>
      </c>
      <c r="G129" s="272" t="n">
        <v>261</v>
      </c>
      <c r="H129" s="272" t="n">
        <v>116</v>
      </c>
      <c r="I129" s="272" t="n">
        <v>81</v>
      </c>
      <c r="J129" s="272" t="n">
        <v>60</v>
      </c>
      <c r="K129" s="272" t="n">
        <v>6</v>
      </c>
      <c r="L129" s="273" t="n">
        <v>30</v>
      </c>
      <c r="M129" s="272" t="n">
        <v>7</v>
      </c>
      <c r="N129" s="272" t="n">
        <v>10</v>
      </c>
      <c r="O129" s="272" t="n">
        <v>7</v>
      </c>
      <c r="P129" s="272" t="n">
        <v>2</v>
      </c>
      <c r="Q129" s="271" t="inlineStr">
        <is>
          <t>Treino</t>
        </is>
      </c>
      <c r="R129" s="272" t="n">
        <v>7</v>
      </c>
      <c r="S129" s="271" t="inlineStr">
        <is>
          <t>MD-5</t>
        </is>
      </c>
      <c r="T129" s="272" t="n"/>
      <c r="U129" s="272" t="n"/>
      <c r="V129" s="274">
        <f>IF(_xlfn.MAXIFS(tblCarga[Data],tblCarga[Jogador],C129,tblCarga[Tipo],"Jogo",tblCarga[Data],"&lt;"&amp;A129)=0,"-",A129-_xlfn.MAXIFS(tblCarga[Data],tblCarga[Jogador],C129,tblCarga[Tipo],"Jogo",tblCarga[Data],"&lt;"&amp;A129))</f>
        <v/>
      </c>
      <c r="W129" s="272" t="n">
        <v>2</v>
      </c>
      <c r="X129" s="272" t="n">
        <v>1</v>
      </c>
      <c r="Y129" s="272" t="n">
        <v>1</v>
      </c>
      <c r="Z129" s="272" t="n">
        <v>1</v>
      </c>
      <c r="AA129" s="272" t="n">
        <v>5</v>
      </c>
    </row>
    <row r="130">
      <c r="A130" s="270" t="n">
        <v>46062</v>
      </c>
      <c r="B130" s="271" t="inlineStr">
        <is>
          <t>Belenenses</t>
        </is>
      </c>
      <c r="C130" s="271" t="inlineStr">
        <is>
          <t>Artur</t>
        </is>
      </c>
      <c r="D130" s="271" t="inlineStr">
        <is>
          <t>Médio</t>
        </is>
      </c>
      <c r="E130" s="272" t="n">
        <v>87</v>
      </c>
      <c r="F130" s="272" t="n">
        <v>8523</v>
      </c>
      <c r="G130" s="272" t="n">
        <v>160</v>
      </c>
      <c r="H130" s="272" t="n">
        <v>51</v>
      </c>
      <c r="I130" s="272" t="n">
        <v>72</v>
      </c>
      <c r="J130" s="272" t="n">
        <v>98</v>
      </c>
      <c r="K130" s="272" t="n">
        <v>8</v>
      </c>
      <c r="L130" s="273" t="n">
        <v>28.1</v>
      </c>
      <c r="M130" s="272" t="n">
        <v>7</v>
      </c>
      <c r="N130" s="272" t="n">
        <v>11</v>
      </c>
      <c r="O130" s="272" t="n">
        <v>7</v>
      </c>
      <c r="P130" s="272" t="n">
        <v>3</v>
      </c>
      <c r="Q130" s="271" t="inlineStr">
        <is>
          <t>Treino</t>
        </is>
      </c>
      <c r="R130" s="272" t="n">
        <v>7</v>
      </c>
      <c r="S130" s="271" t="inlineStr">
        <is>
          <t>MD-5</t>
        </is>
      </c>
      <c r="T130" s="272" t="n"/>
      <c r="U130" s="272" t="n"/>
      <c r="V130" s="274">
        <f>IF(_xlfn.MAXIFS(tblCarga[Data],tblCarga[Jogador],C130,tblCarga[Tipo],"Jogo",tblCarga[Data],"&lt;"&amp;A130)=0,"-",A130-_xlfn.MAXIFS(tblCarga[Data],tblCarga[Jogador],C130,tblCarga[Tipo],"Jogo",tblCarga[Data],"&lt;"&amp;A130))</f>
        <v/>
      </c>
      <c r="W130" s="272" t="n">
        <v>1</v>
      </c>
      <c r="X130" s="272" t="n">
        <v>2</v>
      </c>
      <c r="Y130" s="272" t="n">
        <v>3</v>
      </c>
      <c r="Z130" s="272" t="n">
        <v>1</v>
      </c>
      <c r="AA130" s="272" t="n">
        <v>7</v>
      </c>
    </row>
    <row r="131">
      <c r="A131" s="270" t="n">
        <v>46062</v>
      </c>
      <c r="B131" s="271" t="inlineStr">
        <is>
          <t>Belenenses</t>
        </is>
      </c>
      <c r="C131" s="271" t="inlineStr">
        <is>
          <t>Gomes</t>
        </is>
      </c>
      <c r="D131" s="271" t="inlineStr">
        <is>
          <t>Médio</t>
        </is>
      </c>
      <c r="E131" s="272" t="n">
        <v>96</v>
      </c>
      <c r="F131" s="272" t="n">
        <v>7474</v>
      </c>
      <c r="G131" s="272" t="n">
        <v>271</v>
      </c>
      <c r="H131" s="272" t="n">
        <v>118</v>
      </c>
      <c r="I131" s="272" t="n">
        <v>57</v>
      </c>
      <c r="J131" s="272" t="n">
        <v>66</v>
      </c>
      <c r="K131" s="272" t="n">
        <v>7</v>
      </c>
      <c r="L131" s="273" t="n">
        <v>29.2</v>
      </c>
      <c r="M131" s="272" t="n">
        <v>7</v>
      </c>
      <c r="N131" s="272" t="n">
        <v>14</v>
      </c>
      <c r="O131" s="272" t="n">
        <v>7</v>
      </c>
      <c r="P131" s="272" t="n">
        <v>2</v>
      </c>
      <c r="Q131" s="271" t="inlineStr">
        <is>
          <t>Treino</t>
        </is>
      </c>
      <c r="R131" s="272" t="n">
        <v>7</v>
      </c>
      <c r="S131" s="271" t="inlineStr">
        <is>
          <t>MD-5</t>
        </is>
      </c>
      <c r="T131" s="272" t="n"/>
      <c r="U131" s="272" t="n"/>
      <c r="V131" s="274">
        <f>IF(_xlfn.MAXIFS(tblCarga[Data],tblCarga[Jogador],C131,tblCarga[Tipo],"Jogo",tblCarga[Data],"&lt;"&amp;A131)=0,"-",A131-_xlfn.MAXIFS(tblCarga[Data],tblCarga[Jogador],C131,tblCarga[Tipo],"Jogo",tblCarga[Data],"&lt;"&amp;A131))</f>
        <v/>
      </c>
      <c r="W131" s="272" t="n">
        <v>2</v>
      </c>
      <c r="X131" s="272" t="n">
        <v>2</v>
      </c>
      <c r="Y131" s="272" t="n">
        <v>2</v>
      </c>
      <c r="Z131" s="272" t="n">
        <v>1</v>
      </c>
      <c r="AA131" s="272" t="n">
        <v>7</v>
      </c>
    </row>
    <row r="132">
      <c r="A132" s="270" t="n">
        <v>46062</v>
      </c>
      <c r="B132" s="271" t="inlineStr">
        <is>
          <t>Belenenses</t>
        </is>
      </c>
      <c r="C132" s="271" t="inlineStr">
        <is>
          <t>Sá</t>
        </is>
      </c>
      <c r="D132" s="271" t="inlineStr">
        <is>
          <t>Médio</t>
        </is>
      </c>
      <c r="E132" s="272" t="n">
        <v>85</v>
      </c>
      <c r="F132" s="272" t="n">
        <v>7740</v>
      </c>
      <c r="G132" s="272" t="n">
        <v>281</v>
      </c>
      <c r="H132" s="272" t="n">
        <v>127</v>
      </c>
      <c r="I132" s="272" t="n">
        <v>66</v>
      </c>
      <c r="J132" s="272" t="n">
        <v>84</v>
      </c>
      <c r="K132" s="272" t="n">
        <v>6</v>
      </c>
      <c r="L132" s="273" t="n">
        <v>30.3</v>
      </c>
      <c r="M132" s="272" t="n">
        <v>7</v>
      </c>
      <c r="N132" s="272" t="n">
        <v>15</v>
      </c>
      <c r="O132" s="272" t="n">
        <v>5</v>
      </c>
      <c r="P132" s="272" t="n">
        <v>4</v>
      </c>
      <c r="Q132" s="271" t="inlineStr">
        <is>
          <t>Treino</t>
        </is>
      </c>
      <c r="R132" s="272" t="n">
        <v>7</v>
      </c>
      <c r="S132" s="271" t="inlineStr">
        <is>
          <t>MD-5</t>
        </is>
      </c>
      <c r="T132" s="272" t="n"/>
      <c r="U132" s="272" t="n"/>
      <c r="V132" s="274">
        <f>IF(_xlfn.MAXIFS(tblCarga[Data],tblCarga[Jogador],C132,tblCarga[Tipo],"Jogo",tblCarga[Data],"&lt;"&amp;A132)=0,"-",A132-_xlfn.MAXIFS(tblCarga[Data],tblCarga[Jogador],C132,tblCarga[Tipo],"Jogo",tblCarga[Data],"&lt;"&amp;A132))</f>
        <v/>
      </c>
      <c r="W132" s="272" t="n">
        <v>2</v>
      </c>
      <c r="X132" s="272" t="n">
        <v>1</v>
      </c>
      <c r="Y132" s="272" t="n">
        <v>2</v>
      </c>
      <c r="Z132" s="272" t="n">
        <v>2</v>
      </c>
      <c r="AA132" s="272" t="n">
        <v>7</v>
      </c>
    </row>
    <row r="133">
      <c r="A133" s="270" t="n">
        <v>46062</v>
      </c>
      <c r="B133" s="271" t="inlineStr">
        <is>
          <t>Belenenses</t>
        </is>
      </c>
      <c r="C133" s="271" t="inlineStr">
        <is>
          <t>Varela</t>
        </is>
      </c>
      <c r="D133" s="271" t="inlineStr">
        <is>
          <t>Lateral</t>
        </is>
      </c>
      <c r="E133" s="272" t="n">
        <v>99</v>
      </c>
      <c r="F133" s="272" t="n">
        <v>10413</v>
      </c>
      <c r="G133" s="272" t="n">
        <v>372</v>
      </c>
      <c r="H133" s="272" t="n">
        <v>253</v>
      </c>
      <c r="I133" s="272" t="n">
        <v>105</v>
      </c>
      <c r="J133" s="272" t="n">
        <v>90</v>
      </c>
      <c r="K133" s="272" t="n">
        <v>4</v>
      </c>
      <c r="L133" s="273" t="n">
        <v>31.7</v>
      </c>
      <c r="M133" s="272" t="n">
        <v>7</v>
      </c>
      <c r="N133" s="272" t="n">
        <v>17</v>
      </c>
      <c r="O133" s="272" t="n">
        <v>3</v>
      </c>
      <c r="P133" s="272" t="n">
        <v>0</v>
      </c>
      <c r="Q133" s="271" t="inlineStr">
        <is>
          <t>Treino</t>
        </is>
      </c>
      <c r="R133" s="272" t="n">
        <v>7</v>
      </c>
      <c r="S133" s="271" t="inlineStr">
        <is>
          <t>MD-5</t>
        </is>
      </c>
      <c r="T133" s="272" t="n"/>
      <c r="U133" s="272" t="n"/>
      <c r="V133" s="274">
        <f>IF(_xlfn.MAXIFS(tblCarga[Data],tblCarga[Jogador],C133,tblCarga[Tipo],"Jogo",tblCarga[Data],"&lt;"&amp;A133)=0,"-",A133-_xlfn.MAXIFS(tblCarga[Data],tblCarga[Jogador],C133,tblCarga[Tipo],"Jogo",tblCarga[Data],"&lt;"&amp;A133))</f>
        <v/>
      </c>
      <c r="W133" s="272" t="n">
        <v>2</v>
      </c>
      <c r="X133" s="272" t="n">
        <v>2</v>
      </c>
      <c r="Y133" s="272" t="n">
        <v>3</v>
      </c>
      <c r="Z133" s="272" t="n">
        <v>2</v>
      </c>
      <c r="AA133" s="272" t="n">
        <v>9</v>
      </c>
    </row>
    <row r="134">
      <c r="A134" s="270" t="n">
        <v>46062</v>
      </c>
      <c r="B134" s="271" t="inlineStr">
        <is>
          <t>Belenenses</t>
        </is>
      </c>
      <c r="C134" s="271" t="inlineStr">
        <is>
          <t>Edu</t>
        </is>
      </c>
      <c r="D134" s="271" t="inlineStr">
        <is>
          <t>Lateral</t>
        </is>
      </c>
      <c r="E134" s="272" t="n">
        <v>96</v>
      </c>
      <c r="F134" s="272" t="n">
        <v>10652</v>
      </c>
      <c r="G134" s="272" t="n">
        <v>380</v>
      </c>
      <c r="H134" s="272" t="n">
        <v>226</v>
      </c>
      <c r="I134" s="272" t="n">
        <v>87</v>
      </c>
      <c r="J134" s="272" t="n">
        <v>83</v>
      </c>
      <c r="K134" s="272" t="n">
        <v>8</v>
      </c>
      <c r="L134" s="273" t="n">
        <v>32</v>
      </c>
      <c r="M134" s="272" t="n">
        <v>7</v>
      </c>
      <c r="N134" s="272" t="n">
        <v>16</v>
      </c>
      <c r="O134" s="272" t="n">
        <v>3</v>
      </c>
      <c r="P134" s="272" t="n">
        <v>1</v>
      </c>
      <c r="Q134" s="271" t="inlineStr">
        <is>
          <t>Treino</t>
        </is>
      </c>
      <c r="R134" s="272" t="n">
        <v>7</v>
      </c>
      <c r="S134" s="271" t="inlineStr">
        <is>
          <t>MD-5</t>
        </is>
      </c>
      <c r="T134" s="272" t="n"/>
      <c r="U134" s="272" t="n"/>
      <c r="V134" s="274">
        <f>IF(_xlfn.MAXIFS(tblCarga[Data],tblCarga[Jogador],C134,tblCarga[Tipo],"Jogo",tblCarga[Data],"&lt;"&amp;A134)=0,"-",A134-_xlfn.MAXIFS(tblCarga[Data],tblCarga[Jogador],C134,tblCarga[Tipo],"Jogo",tblCarga[Data],"&lt;"&amp;A134))</f>
        <v/>
      </c>
      <c r="W134" s="272" t="n">
        <v>1</v>
      </c>
      <c r="X134" s="272" t="n">
        <v>2</v>
      </c>
      <c r="Y134" s="272" t="n">
        <v>2</v>
      </c>
      <c r="Z134" s="272" t="n">
        <v>3</v>
      </c>
      <c r="AA134" s="272" t="n">
        <v>8</v>
      </c>
    </row>
    <row r="135">
      <c r="A135" s="270" t="n">
        <v>46062</v>
      </c>
      <c r="B135" s="271" t="inlineStr">
        <is>
          <t>Belenenses</t>
        </is>
      </c>
      <c r="C135" s="271" t="inlineStr">
        <is>
          <t>Capitulo</t>
        </is>
      </c>
      <c r="D135" s="271" t="inlineStr">
        <is>
          <t>Lateral</t>
        </is>
      </c>
      <c r="E135" s="272" t="n">
        <v>93</v>
      </c>
      <c r="F135" s="272" t="n">
        <v>10508</v>
      </c>
      <c r="G135" s="272" t="n">
        <v>309</v>
      </c>
      <c r="H135" s="272" t="n">
        <v>131</v>
      </c>
      <c r="I135" s="272" t="n">
        <v>63</v>
      </c>
      <c r="J135" s="272" t="n">
        <v>82</v>
      </c>
      <c r="K135" s="272" t="n">
        <v>5</v>
      </c>
      <c r="L135" s="273" t="n">
        <v>32.4</v>
      </c>
      <c r="M135" s="272" t="n">
        <v>7</v>
      </c>
      <c r="N135" s="272" t="n">
        <v>13</v>
      </c>
      <c r="O135" s="272" t="n">
        <v>5</v>
      </c>
      <c r="P135" s="272" t="n">
        <v>3</v>
      </c>
      <c r="Q135" s="271" t="inlineStr">
        <is>
          <t>Treino</t>
        </is>
      </c>
      <c r="R135" s="272" t="n">
        <v>7</v>
      </c>
      <c r="S135" s="271" t="inlineStr">
        <is>
          <t>MD-5</t>
        </is>
      </c>
      <c r="T135" s="272" t="n"/>
      <c r="U135" s="272" t="n"/>
      <c r="V135" s="274">
        <f>IF(_xlfn.MAXIFS(tblCarga[Data],tblCarga[Jogador],C135,tblCarga[Tipo],"Jogo",tblCarga[Data],"&lt;"&amp;A135)=0,"-",A135-_xlfn.MAXIFS(tblCarga[Data],tblCarga[Jogador],C135,tblCarga[Tipo],"Jogo",tblCarga[Data],"&lt;"&amp;A135))</f>
        <v/>
      </c>
      <c r="W135" s="272" t="n">
        <v>2</v>
      </c>
      <c r="X135" s="272" t="n">
        <v>1</v>
      </c>
      <c r="Y135" s="272" t="n">
        <v>2</v>
      </c>
      <c r="Z135" s="272" t="n">
        <v>2</v>
      </c>
      <c r="AA135" s="272" t="n">
        <v>7</v>
      </c>
    </row>
    <row r="136">
      <c r="A136" s="270" t="n">
        <v>46062</v>
      </c>
      <c r="B136" s="271" t="inlineStr">
        <is>
          <t>Belenenses</t>
        </is>
      </c>
      <c r="C136" s="271" t="inlineStr">
        <is>
          <t>Enzo Hugo</t>
        </is>
      </c>
      <c r="D136" s="271" t="inlineStr">
        <is>
          <t>Central</t>
        </is>
      </c>
      <c r="E136" s="272" t="n">
        <v>95</v>
      </c>
      <c r="F136" s="272" t="n">
        <v>8937</v>
      </c>
      <c r="G136" s="272" t="n">
        <v>308</v>
      </c>
      <c r="H136" s="272" t="n">
        <v>29</v>
      </c>
      <c r="I136" s="272" t="n">
        <v>93</v>
      </c>
      <c r="J136" s="272" t="n">
        <v>102</v>
      </c>
      <c r="K136" s="272" t="n">
        <v>7</v>
      </c>
      <c r="L136" s="273" t="n">
        <v>28.7</v>
      </c>
      <c r="M136" s="272" t="n">
        <v>7</v>
      </c>
      <c r="N136" s="272" t="n">
        <v>11</v>
      </c>
      <c r="O136" s="272" t="n">
        <v>5</v>
      </c>
      <c r="P136" s="272" t="n">
        <v>4</v>
      </c>
      <c r="Q136" s="271" t="inlineStr">
        <is>
          <t>Treino</t>
        </is>
      </c>
      <c r="R136" s="272" t="n">
        <v>7</v>
      </c>
      <c r="S136" s="271" t="inlineStr">
        <is>
          <t>MD-5</t>
        </is>
      </c>
      <c r="T136" s="272" t="n"/>
      <c r="U136" s="272" t="n"/>
      <c r="V136" s="274">
        <f>IF(_xlfn.MAXIFS(tblCarga[Data],tblCarga[Jogador],C136,tblCarga[Tipo],"Jogo",tblCarga[Data],"&lt;"&amp;A136)=0,"-",A136-_xlfn.MAXIFS(tblCarga[Data],tblCarga[Jogador],C136,tblCarga[Tipo],"Jogo",tblCarga[Data],"&lt;"&amp;A136))</f>
        <v/>
      </c>
      <c r="W136" s="272" t="n">
        <v>1</v>
      </c>
      <c r="X136" s="272" t="n">
        <v>3</v>
      </c>
      <c r="Y136" s="272" t="n">
        <v>2</v>
      </c>
      <c r="Z136" s="272" t="n">
        <v>2</v>
      </c>
      <c r="AA136" s="272" t="n">
        <v>8</v>
      </c>
    </row>
    <row r="137">
      <c r="A137" s="270" t="n">
        <v>46062</v>
      </c>
      <c r="B137" s="271" t="inlineStr">
        <is>
          <t>Belenenses</t>
        </is>
      </c>
      <c r="C137" s="271" t="inlineStr">
        <is>
          <t>Nogueira</t>
        </is>
      </c>
      <c r="D137" s="271" t="inlineStr">
        <is>
          <t>Central</t>
        </is>
      </c>
      <c r="E137" s="272" t="n">
        <v>86</v>
      </c>
      <c r="F137" s="272" t="n">
        <v>9290</v>
      </c>
      <c r="G137" s="272" t="n">
        <v>355</v>
      </c>
      <c r="H137" s="272" t="n">
        <v>53</v>
      </c>
      <c r="I137" s="272" t="n">
        <v>60</v>
      </c>
      <c r="J137" s="272" t="n">
        <v>82</v>
      </c>
      <c r="K137" s="272" t="n">
        <v>5</v>
      </c>
      <c r="L137" s="273" t="n">
        <v>29.2</v>
      </c>
      <c r="M137" s="272" t="n">
        <v>7</v>
      </c>
      <c r="N137" s="272" t="n">
        <v>7</v>
      </c>
      <c r="O137" s="272" t="n">
        <v>3</v>
      </c>
      <c r="P137" s="272" t="n">
        <v>0</v>
      </c>
      <c r="Q137" s="271" t="inlineStr">
        <is>
          <t>Treino</t>
        </is>
      </c>
      <c r="R137" s="272" t="n">
        <v>7</v>
      </c>
      <c r="S137" s="271" t="inlineStr">
        <is>
          <t>MD-5</t>
        </is>
      </c>
      <c r="T137" s="272" t="n"/>
      <c r="U137" s="272" t="n"/>
      <c r="V137" s="274">
        <f>IF(_xlfn.MAXIFS(tblCarga[Data],tblCarga[Jogador],C137,tblCarga[Tipo],"Jogo",tblCarga[Data],"&lt;"&amp;A137)=0,"-",A137-_xlfn.MAXIFS(tblCarga[Data],tblCarga[Jogador],C137,tblCarga[Tipo],"Jogo",tblCarga[Data],"&lt;"&amp;A137))</f>
        <v/>
      </c>
      <c r="W137" s="272" t="n">
        <v>1</v>
      </c>
      <c r="X137" s="272" t="n">
        <v>3</v>
      </c>
      <c r="Y137" s="272" t="n">
        <v>1</v>
      </c>
      <c r="Z137" s="272" t="n">
        <v>3</v>
      </c>
      <c r="AA137" s="272" t="n">
        <v>8</v>
      </c>
    </row>
    <row r="138">
      <c r="A138" s="270" t="n">
        <v>46063</v>
      </c>
      <c r="B138" s="271" t="inlineStr">
        <is>
          <t>Belenenses</t>
        </is>
      </c>
      <c r="C138" s="271" t="inlineStr">
        <is>
          <t>Paulino</t>
        </is>
      </c>
      <c r="D138" s="271" t="inlineStr">
        <is>
          <t>Médio</t>
        </is>
      </c>
      <c r="E138" s="272" t="n">
        <v>82</v>
      </c>
      <c r="F138" s="272" t="n">
        <v>6945</v>
      </c>
      <c r="G138" s="272" t="n">
        <v>261</v>
      </c>
      <c r="H138" s="272" t="n">
        <v>77</v>
      </c>
      <c r="I138" s="272" t="n">
        <v>74</v>
      </c>
      <c r="J138" s="272" t="n">
        <v>70</v>
      </c>
      <c r="K138" s="272" t="n">
        <v>6</v>
      </c>
      <c r="L138" s="273" t="n">
        <v>29.1</v>
      </c>
      <c r="M138" s="272" t="n">
        <v>7</v>
      </c>
      <c r="N138" s="272" t="n">
        <v>11</v>
      </c>
      <c r="O138" s="272" t="n">
        <v>6</v>
      </c>
      <c r="P138" s="272" t="n">
        <v>1</v>
      </c>
      <c r="Q138" s="271" t="inlineStr">
        <is>
          <t>Treino</t>
        </is>
      </c>
      <c r="R138" s="272" t="n">
        <v>7</v>
      </c>
      <c r="S138" s="271" t="inlineStr">
        <is>
          <t>MD-4</t>
        </is>
      </c>
      <c r="T138" s="272" t="n"/>
      <c r="U138" s="272" t="n"/>
      <c r="V138" s="274">
        <f>IF(_xlfn.MAXIFS(tblCarga[Data],tblCarga[Jogador],C138,tblCarga[Tipo],"Jogo",tblCarga[Data],"&lt;"&amp;A138)=0,"-",A138-_xlfn.MAXIFS(tblCarga[Data],tblCarga[Jogador],C138,tblCarga[Tipo],"Jogo",tblCarga[Data],"&lt;"&amp;A138))</f>
        <v/>
      </c>
      <c r="W138" s="272" t="n">
        <v>1</v>
      </c>
      <c r="X138" s="272" t="n">
        <v>2</v>
      </c>
      <c r="Y138" s="272" t="n">
        <v>2</v>
      </c>
      <c r="Z138" s="272" t="n">
        <v>2</v>
      </c>
      <c r="AA138" s="272" t="n">
        <v>7</v>
      </c>
    </row>
    <row r="139">
      <c r="A139" s="270" t="n">
        <v>46063</v>
      </c>
      <c r="B139" s="271" t="inlineStr">
        <is>
          <t>Belenenses</t>
        </is>
      </c>
      <c r="C139" s="271" t="inlineStr">
        <is>
          <t>Artur</t>
        </is>
      </c>
      <c r="D139" s="271" t="inlineStr">
        <is>
          <t>Médio</t>
        </is>
      </c>
      <c r="E139" s="272" t="n">
        <v>86</v>
      </c>
      <c r="F139" s="272" t="n">
        <v>7791</v>
      </c>
      <c r="G139" s="272" t="n">
        <v>214</v>
      </c>
      <c r="H139" s="272" t="n">
        <v>42</v>
      </c>
      <c r="I139" s="272" t="n">
        <v>57</v>
      </c>
      <c r="J139" s="272" t="n">
        <v>95</v>
      </c>
      <c r="K139" s="272" t="n">
        <v>7</v>
      </c>
      <c r="L139" s="273" t="n">
        <v>30.3</v>
      </c>
      <c r="M139" s="272" t="n">
        <v>7</v>
      </c>
      <c r="N139" s="272" t="n">
        <v>14</v>
      </c>
      <c r="O139" s="272" t="n">
        <v>3</v>
      </c>
      <c r="P139" s="272" t="n">
        <v>2</v>
      </c>
      <c r="Q139" s="271" t="inlineStr">
        <is>
          <t>Treino</t>
        </is>
      </c>
      <c r="R139" s="272" t="n">
        <v>7</v>
      </c>
      <c r="S139" s="271" t="inlineStr">
        <is>
          <t>MD-4</t>
        </is>
      </c>
      <c r="T139" s="272" t="n"/>
      <c r="U139" s="272" t="n"/>
      <c r="V139" s="274">
        <f>IF(_xlfn.MAXIFS(tblCarga[Data],tblCarga[Jogador],C139,tblCarga[Tipo],"Jogo",tblCarga[Data],"&lt;"&amp;A139)=0,"-",A139-_xlfn.MAXIFS(tblCarga[Data],tblCarga[Jogador],C139,tblCarga[Tipo],"Jogo",tblCarga[Data],"&lt;"&amp;A139))</f>
        <v/>
      </c>
      <c r="W139" s="272" t="n">
        <v>2</v>
      </c>
      <c r="X139" s="272" t="n">
        <v>3</v>
      </c>
      <c r="Y139" s="272" t="n">
        <v>2</v>
      </c>
      <c r="Z139" s="272" t="n">
        <v>3</v>
      </c>
      <c r="AA139" s="272" t="n">
        <v>10</v>
      </c>
    </row>
    <row r="140">
      <c r="A140" s="270" t="n">
        <v>46063</v>
      </c>
      <c r="B140" s="271" t="inlineStr">
        <is>
          <t>Belenenses</t>
        </is>
      </c>
      <c r="C140" s="271" t="inlineStr">
        <is>
          <t>Gomes</t>
        </is>
      </c>
      <c r="D140" s="271" t="inlineStr">
        <is>
          <t>Médio</t>
        </is>
      </c>
      <c r="E140" s="272" t="n">
        <v>96</v>
      </c>
      <c r="F140" s="272" t="n">
        <v>10090</v>
      </c>
      <c r="G140" s="272" t="n">
        <v>253</v>
      </c>
      <c r="H140" s="272" t="n">
        <v>120</v>
      </c>
      <c r="I140" s="272" t="n">
        <v>88</v>
      </c>
      <c r="J140" s="272" t="n">
        <v>60</v>
      </c>
      <c r="K140" s="272" t="n">
        <v>9</v>
      </c>
      <c r="L140" s="273" t="n">
        <v>29.6</v>
      </c>
      <c r="M140" s="272" t="n">
        <v>7</v>
      </c>
      <c r="N140" s="272" t="n">
        <v>12</v>
      </c>
      <c r="O140" s="272" t="n">
        <v>3</v>
      </c>
      <c r="P140" s="272" t="n">
        <v>2</v>
      </c>
      <c r="Q140" s="271" t="inlineStr">
        <is>
          <t>Treino</t>
        </is>
      </c>
      <c r="R140" s="272" t="n">
        <v>7</v>
      </c>
      <c r="S140" s="271" t="inlineStr">
        <is>
          <t>MD-4</t>
        </is>
      </c>
      <c r="T140" s="272" t="n"/>
      <c r="U140" s="272" t="n"/>
      <c r="V140" s="274">
        <f>IF(_xlfn.MAXIFS(tblCarga[Data],tblCarga[Jogador],C140,tblCarga[Tipo],"Jogo",tblCarga[Data],"&lt;"&amp;A140)=0,"-",A140-_xlfn.MAXIFS(tblCarga[Data],tblCarga[Jogador],C140,tblCarga[Tipo],"Jogo",tblCarga[Data],"&lt;"&amp;A140))</f>
        <v/>
      </c>
      <c r="W140" s="272" t="n">
        <v>3</v>
      </c>
      <c r="X140" s="272" t="n">
        <v>2</v>
      </c>
      <c r="Y140" s="272" t="n">
        <v>2</v>
      </c>
      <c r="Z140" s="272" t="n">
        <v>1</v>
      </c>
      <c r="AA140" s="272" t="n">
        <v>8</v>
      </c>
    </row>
    <row r="141">
      <c r="A141" s="270" t="n">
        <v>46063</v>
      </c>
      <c r="B141" s="271" t="inlineStr">
        <is>
          <t>Belenenses</t>
        </is>
      </c>
      <c r="C141" s="271" t="inlineStr">
        <is>
          <t>Sá</t>
        </is>
      </c>
      <c r="D141" s="271" t="inlineStr">
        <is>
          <t>Médio</t>
        </is>
      </c>
      <c r="E141" s="272" t="n">
        <v>92</v>
      </c>
      <c r="F141" s="272" t="n">
        <v>9530</v>
      </c>
      <c r="G141" s="272" t="n">
        <v>245</v>
      </c>
      <c r="H141" s="272" t="n">
        <v>80</v>
      </c>
      <c r="I141" s="272" t="n">
        <v>97</v>
      </c>
      <c r="J141" s="272" t="n">
        <v>77</v>
      </c>
      <c r="K141" s="272" t="n">
        <v>8</v>
      </c>
      <c r="L141" s="273" t="n">
        <v>31.2</v>
      </c>
      <c r="M141" s="272" t="n">
        <v>7</v>
      </c>
      <c r="N141" s="272" t="n">
        <v>11</v>
      </c>
      <c r="O141" s="272" t="n">
        <v>4</v>
      </c>
      <c r="P141" s="272" t="n">
        <v>3</v>
      </c>
      <c r="Q141" s="271" t="inlineStr">
        <is>
          <t>Treino</t>
        </is>
      </c>
      <c r="R141" s="272" t="n">
        <v>7</v>
      </c>
      <c r="S141" s="271" t="inlineStr">
        <is>
          <t>MD-4</t>
        </is>
      </c>
      <c r="T141" s="272" t="n"/>
      <c r="U141" s="272" t="n"/>
      <c r="V141" s="274">
        <f>IF(_xlfn.MAXIFS(tblCarga[Data],tblCarga[Jogador],C141,tblCarga[Tipo],"Jogo",tblCarga[Data],"&lt;"&amp;A141)=0,"-",A141-_xlfn.MAXIFS(tblCarga[Data],tblCarga[Jogador],C141,tblCarga[Tipo],"Jogo",tblCarga[Data],"&lt;"&amp;A141))</f>
        <v/>
      </c>
      <c r="W141" s="272" t="n">
        <v>3</v>
      </c>
      <c r="X141" s="272" t="n">
        <v>3</v>
      </c>
      <c r="Y141" s="272" t="n">
        <v>1</v>
      </c>
      <c r="Z141" s="272" t="n">
        <v>3</v>
      </c>
      <c r="AA141" s="272" t="n">
        <v>10</v>
      </c>
    </row>
    <row r="142">
      <c r="A142" s="270" t="n">
        <v>46063</v>
      </c>
      <c r="B142" s="271" t="inlineStr">
        <is>
          <t>Belenenses</t>
        </is>
      </c>
      <c r="C142" s="271" t="inlineStr">
        <is>
          <t>Varela</t>
        </is>
      </c>
      <c r="D142" s="271" t="inlineStr">
        <is>
          <t>Lateral</t>
        </is>
      </c>
      <c r="E142" s="272" t="n">
        <v>90</v>
      </c>
      <c r="F142" s="272" t="n">
        <v>11773</v>
      </c>
      <c r="G142" s="272" t="n">
        <v>285</v>
      </c>
      <c r="H142" s="272" t="n">
        <v>187</v>
      </c>
      <c r="I142" s="272" t="n">
        <v>65</v>
      </c>
      <c r="J142" s="272" t="n">
        <v>107</v>
      </c>
      <c r="K142" s="272" t="n">
        <v>9</v>
      </c>
      <c r="L142" s="273" t="n">
        <v>32.8</v>
      </c>
      <c r="M142" s="272" t="n">
        <v>7</v>
      </c>
      <c r="N142" s="272" t="n">
        <v>16</v>
      </c>
      <c r="O142" s="272" t="n">
        <v>9</v>
      </c>
      <c r="P142" s="272" t="n">
        <v>0</v>
      </c>
      <c r="Q142" s="271" t="inlineStr">
        <is>
          <t>Treino</t>
        </is>
      </c>
      <c r="R142" s="272" t="n">
        <v>7</v>
      </c>
      <c r="S142" s="271" t="inlineStr">
        <is>
          <t>MD-4</t>
        </is>
      </c>
      <c r="T142" s="272" t="n"/>
      <c r="U142" s="272" t="n"/>
      <c r="V142" s="274">
        <f>IF(_xlfn.MAXIFS(tblCarga[Data],tblCarga[Jogador],C142,tblCarga[Tipo],"Jogo",tblCarga[Data],"&lt;"&amp;A142)=0,"-",A142-_xlfn.MAXIFS(tblCarga[Data],tblCarga[Jogador],C142,tblCarga[Tipo],"Jogo",tblCarga[Data],"&lt;"&amp;A142))</f>
        <v/>
      </c>
      <c r="W142" s="272" t="n">
        <v>3</v>
      </c>
      <c r="X142" s="272" t="n">
        <v>2</v>
      </c>
      <c r="Y142" s="272" t="n">
        <v>1</v>
      </c>
      <c r="Z142" s="272" t="n">
        <v>1</v>
      </c>
      <c r="AA142" s="272" t="n">
        <v>7</v>
      </c>
    </row>
    <row r="143">
      <c r="A143" s="270" t="n">
        <v>46063</v>
      </c>
      <c r="B143" s="271" t="inlineStr">
        <is>
          <t>Belenenses</t>
        </is>
      </c>
      <c r="C143" s="271" t="inlineStr">
        <is>
          <t>Edu</t>
        </is>
      </c>
      <c r="D143" s="271" t="inlineStr">
        <is>
          <t>Lateral</t>
        </is>
      </c>
      <c r="E143" s="272" t="n">
        <v>92</v>
      </c>
      <c r="F143" s="272" t="n">
        <v>11556</v>
      </c>
      <c r="G143" s="272" t="n">
        <v>449</v>
      </c>
      <c r="H143" s="272" t="n">
        <v>233</v>
      </c>
      <c r="I143" s="272" t="n">
        <v>80</v>
      </c>
      <c r="J143" s="272" t="n">
        <v>89</v>
      </c>
      <c r="K143" s="272" t="n">
        <v>8</v>
      </c>
      <c r="L143" s="273" t="n">
        <v>32.9</v>
      </c>
      <c r="M143" s="272" t="n">
        <v>7</v>
      </c>
      <c r="N143" s="272" t="n">
        <v>6</v>
      </c>
      <c r="O143" s="272" t="n">
        <v>8</v>
      </c>
      <c r="P143" s="272" t="n">
        <v>4</v>
      </c>
      <c r="Q143" s="271" t="inlineStr">
        <is>
          <t>Treino</t>
        </is>
      </c>
      <c r="R143" s="272" t="n">
        <v>7</v>
      </c>
      <c r="S143" s="271" t="inlineStr">
        <is>
          <t>MD-4</t>
        </is>
      </c>
      <c r="T143" s="272" t="n"/>
      <c r="U143" s="272" t="n"/>
      <c r="V143" s="274">
        <f>IF(_xlfn.MAXIFS(tblCarga[Data],tblCarga[Jogador],C143,tblCarga[Tipo],"Jogo",tblCarga[Data],"&lt;"&amp;A143)=0,"-",A143-_xlfn.MAXIFS(tblCarga[Data],tblCarga[Jogador],C143,tblCarga[Tipo],"Jogo",tblCarga[Data],"&lt;"&amp;A143))</f>
        <v/>
      </c>
      <c r="W143" s="272" t="n">
        <v>2</v>
      </c>
      <c r="X143" s="272" t="n">
        <v>2</v>
      </c>
      <c r="Y143" s="272" t="n">
        <v>2</v>
      </c>
      <c r="Z143" s="272" t="n">
        <v>2</v>
      </c>
      <c r="AA143" s="272" t="n">
        <v>8</v>
      </c>
    </row>
    <row r="144">
      <c r="A144" s="270" t="n">
        <v>46063</v>
      </c>
      <c r="B144" s="271" t="inlineStr">
        <is>
          <t>Belenenses</t>
        </is>
      </c>
      <c r="C144" s="271" t="inlineStr">
        <is>
          <t>Capitulo</t>
        </is>
      </c>
      <c r="D144" s="271" t="inlineStr">
        <is>
          <t>Lateral</t>
        </is>
      </c>
      <c r="E144" s="272" t="n">
        <v>88</v>
      </c>
      <c r="F144" s="272" t="n">
        <v>12153</v>
      </c>
      <c r="G144" s="272" t="n">
        <v>506</v>
      </c>
      <c r="H144" s="272" t="n">
        <v>259</v>
      </c>
      <c r="I144" s="272" t="n">
        <v>96</v>
      </c>
      <c r="J144" s="272" t="n">
        <v>95</v>
      </c>
      <c r="K144" s="272" t="n">
        <v>7</v>
      </c>
      <c r="L144" s="273" t="n">
        <v>31.4</v>
      </c>
      <c r="M144" s="272" t="n">
        <v>7</v>
      </c>
      <c r="N144" s="272" t="n">
        <v>10</v>
      </c>
      <c r="O144" s="272" t="n">
        <v>7</v>
      </c>
      <c r="P144" s="272" t="n">
        <v>3</v>
      </c>
      <c r="Q144" s="271" t="inlineStr">
        <is>
          <t>Treino</t>
        </is>
      </c>
      <c r="R144" s="272" t="n">
        <v>7</v>
      </c>
      <c r="S144" s="271" t="inlineStr">
        <is>
          <t>MD-4</t>
        </is>
      </c>
      <c r="T144" s="272" t="n"/>
      <c r="U144" s="272" t="n"/>
      <c r="V144" s="274">
        <f>IF(_xlfn.MAXIFS(tblCarga[Data],tblCarga[Jogador],C144,tblCarga[Tipo],"Jogo",tblCarga[Data],"&lt;"&amp;A144)=0,"-",A144-_xlfn.MAXIFS(tblCarga[Data],tblCarga[Jogador],C144,tblCarga[Tipo],"Jogo",tblCarga[Data],"&lt;"&amp;A144))</f>
        <v/>
      </c>
      <c r="W144" s="272" t="n">
        <v>1</v>
      </c>
      <c r="X144" s="272" t="n">
        <v>2</v>
      </c>
      <c r="Y144" s="272" t="n">
        <v>2</v>
      </c>
      <c r="Z144" s="272" t="n">
        <v>2</v>
      </c>
      <c r="AA144" s="272" t="n">
        <v>7</v>
      </c>
    </row>
    <row r="145">
      <c r="A145" s="270" t="n">
        <v>46063</v>
      </c>
      <c r="B145" s="271" t="inlineStr">
        <is>
          <t>Belenenses</t>
        </is>
      </c>
      <c r="C145" s="271" t="inlineStr">
        <is>
          <t>Enzo Hugo</t>
        </is>
      </c>
      <c r="D145" s="271" t="inlineStr">
        <is>
          <t>Central</t>
        </is>
      </c>
      <c r="E145" s="272" t="n">
        <v>84</v>
      </c>
      <c r="F145" s="272" t="n">
        <v>9804</v>
      </c>
      <c r="G145" s="272" t="n">
        <v>346</v>
      </c>
      <c r="H145" s="272" t="n">
        <v>27</v>
      </c>
      <c r="I145" s="272" t="n">
        <v>102</v>
      </c>
      <c r="J145" s="272" t="n">
        <v>74</v>
      </c>
      <c r="K145" s="272" t="n">
        <v>5</v>
      </c>
      <c r="L145" s="273" t="n">
        <v>28.2</v>
      </c>
      <c r="M145" s="272" t="n">
        <v>7</v>
      </c>
      <c r="N145" s="272" t="n">
        <v>11</v>
      </c>
      <c r="O145" s="272" t="n">
        <v>6</v>
      </c>
      <c r="P145" s="272" t="n">
        <v>1</v>
      </c>
      <c r="Q145" s="271" t="inlineStr">
        <is>
          <t>Treino</t>
        </is>
      </c>
      <c r="R145" s="272" t="n">
        <v>7</v>
      </c>
      <c r="S145" s="271" t="inlineStr">
        <is>
          <t>MD-4</t>
        </is>
      </c>
      <c r="T145" s="272" t="n"/>
      <c r="U145" s="272" t="n"/>
      <c r="V145" s="274">
        <f>IF(_xlfn.MAXIFS(tblCarga[Data],tblCarga[Jogador],C145,tblCarga[Tipo],"Jogo",tblCarga[Data],"&lt;"&amp;A145)=0,"-",A145-_xlfn.MAXIFS(tblCarga[Data],tblCarga[Jogador],C145,tblCarga[Tipo],"Jogo",tblCarga[Data],"&lt;"&amp;A145))</f>
        <v/>
      </c>
      <c r="W145" s="272" t="n">
        <v>2</v>
      </c>
      <c r="X145" s="272" t="n">
        <v>2</v>
      </c>
      <c r="Y145" s="272" t="n">
        <v>2</v>
      </c>
      <c r="Z145" s="272" t="n">
        <v>2</v>
      </c>
      <c r="AA145" s="272" t="n">
        <v>8</v>
      </c>
    </row>
    <row r="146">
      <c r="A146" s="270" t="n">
        <v>46063</v>
      </c>
      <c r="B146" s="271" t="inlineStr">
        <is>
          <t>Belenenses</t>
        </is>
      </c>
      <c r="C146" s="271" t="inlineStr">
        <is>
          <t>Nogueira</t>
        </is>
      </c>
      <c r="D146" s="271" t="inlineStr">
        <is>
          <t>Central</t>
        </is>
      </c>
      <c r="E146" s="272" t="n">
        <v>95</v>
      </c>
      <c r="F146" s="272" t="n">
        <v>8197</v>
      </c>
      <c r="G146" s="272" t="n">
        <v>259</v>
      </c>
      <c r="H146" s="272" t="n">
        <v>32</v>
      </c>
      <c r="I146" s="272" t="n">
        <v>57</v>
      </c>
      <c r="J146" s="272" t="n">
        <v>86</v>
      </c>
      <c r="K146" s="272" t="n">
        <v>9</v>
      </c>
      <c r="L146" s="273" t="n">
        <v>29.5</v>
      </c>
      <c r="M146" s="272" t="n">
        <v>7</v>
      </c>
      <c r="N146" s="272" t="n">
        <v>12</v>
      </c>
      <c r="O146" s="272" t="n">
        <v>4</v>
      </c>
      <c r="P146" s="272" t="n">
        <v>2</v>
      </c>
      <c r="Q146" s="271" t="inlineStr">
        <is>
          <t>Treino</t>
        </is>
      </c>
      <c r="R146" s="272" t="n">
        <v>7</v>
      </c>
      <c r="S146" s="271" t="inlineStr">
        <is>
          <t>MD-4</t>
        </is>
      </c>
      <c r="T146" s="272" t="n"/>
      <c r="U146" s="272" t="n"/>
      <c r="V146" s="274">
        <f>IF(_xlfn.MAXIFS(tblCarga[Data],tblCarga[Jogador],C146,tblCarga[Tipo],"Jogo",tblCarga[Data],"&lt;"&amp;A146)=0,"-",A146-_xlfn.MAXIFS(tblCarga[Data],tblCarga[Jogador],C146,tblCarga[Tipo],"Jogo",tblCarga[Data],"&lt;"&amp;A146))</f>
        <v/>
      </c>
      <c r="W146" s="272" t="n">
        <v>2</v>
      </c>
      <c r="X146" s="272" t="n">
        <v>2</v>
      </c>
      <c r="Y146" s="272" t="n">
        <v>1</v>
      </c>
      <c r="Z146" s="272" t="n">
        <v>3</v>
      </c>
      <c r="AA146" s="272" t="n">
        <v>8</v>
      </c>
    </row>
    <row r="147">
      <c r="A147" s="270" t="n">
        <v>46064</v>
      </c>
      <c r="B147" s="271" t="inlineStr">
        <is>
          <t>Belenenses</t>
        </is>
      </c>
      <c r="C147" s="271" t="inlineStr">
        <is>
          <t>Paulino</t>
        </is>
      </c>
      <c r="D147" s="271" t="inlineStr">
        <is>
          <t>Médio</t>
        </is>
      </c>
      <c r="E147" s="272" t="n">
        <v>82</v>
      </c>
      <c r="F147" s="272" t="n">
        <v>7259</v>
      </c>
      <c r="G147" s="272" t="n">
        <v>252</v>
      </c>
      <c r="H147" s="272" t="n">
        <v>98</v>
      </c>
      <c r="I147" s="272" t="n">
        <v>72</v>
      </c>
      <c r="J147" s="272" t="n">
        <v>67</v>
      </c>
      <c r="K147" s="272" t="n">
        <v>5</v>
      </c>
      <c r="L147" s="273" t="n">
        <v>30.3</v>
      </c>
      <c r="M147" s="272" t="n">
        <v>7</v>
      </c>
      <c r="N147" s="272" t="n">
        <v>9</v>
      </c>
      <c r="O147" s="272" t="n">
        <v>3</v>
      </c>
      <c r="P147" s="272" t="n">
        <v>1</v>
      </c>
      <c r="Q147" s="271" t="inlineStr">
        <is>
          <t>Treino</t>
        </is>
      </c>
      <c r="R147" s="272" t="n">
        <v>7</v>
      </c>
      <c r="S147" s="271" t="inlineStr">
        <is>
          <t>MD-3</t>
        </is>
      </c>
      <c r="T147" s="272" t="n"/>
      <c r="U147" s="272" t="n"/>
      <c r="V147" s="274">
        <f>IF(_xlfn.MAXIFS(tblCarga[Data],tblCarga[Jogador],C147,tblCarga[Tipo],"Jogo",tblCarga[Data],"&lt;"&amp;A147)=0,"-",A147-_xlfn.MAXIFS(tblCarga[Data],tblCarga[Jogador],C147,tblCarga[Tipo],"Jogo",tblCarga[Data],"&lt;"&amp;A147))</f>
        <v/>
      </c>
      <c r="W147" s="272" t="n">
        <v>2</v>
      </c>
      <c r="X147" s="272" t="n">
        <v>2</v>
      </c>
      <c r="Y147" s="272" t="n">
        <v>3</v>
      </c>
      <c r="Z147" s="272" t="n">
        <v>1</v>
      </c>
      <c r="AA147" s="272" t="n">
        <v>8</v>
      </c>
    </row>
    <row r="148">
      <c r="A148" s="270" t="n">
        <v>46064</v>
      </c>
      <c r="B148" s="271" t="inlineStr">
        <is>
          <t>Belenenses</t>
        </is>
      </c>
      <c r="C148" s="271" t="inlineStr">
        <is>
          <t>Artur</t>
        </is>
      </c>
      <c r="D148" s="271" t="inlineStr">
        <is>
          <t>Médio</t>
        </is>
      </c>
      <c r="E148" s="272" t="n">
        <v>91</v>
      </c>
      <c r="F148" s="272" t="n">
        <v>8613</v>
      </c>
      <c r="G148" s="272" t="n">
        <v>197</v>
      </c>
      <c r="H148" s="272" t="n">
        <v>67</v>
      </c>
      <c r="I148" s="272" t="n">
        <v>81</v>
      </c>
      <c r="J148" s="272" t="n">
        <v>69</v>
      </c>
      <c r="K148" s="272" t="n">
        <v>7</v>
      </c>
      <c r="L148" s="273" t="n">
        <v>29.2</v>
      </c>
      <c r="M148" s="272" t="n">
        <v>7</v>
      </c>
      <c r="N148" s="272" t="n">
        <v>6</v>
      </c>
      <c r="O148" s="272" t="n">
        <v>3</v>
      </c>
      <c r="P148" s="272" t="n">
        <v>3</v>
      </c>
      <c r="Q148" s="271" t="inlineStr">
        <is>
          <t>Treino</t>
        </is>
      </c>
      <c r="R148" s="272" t="n">
        <v>7</v>
      </c>
      <c r="S148" s="271" t="inlineStr">
        <is>
          <t>MD-3</t>
        </is>
      </c>
      <c r="T148" s="272" t="n"/>
      <c r="U148" s="272" t="n"/>
      <c r="V148" s="274">
        <f>IF(_xlfn.MAXIFS(tblCarga[Data],tblCarga[Jogador],C148,tblCarga[Tipo],"Jogo",tblCarga[Data],"&lt;"&amp;A148)=0,"-",A148-_xlfn.MAXIFS(tblCarga[Data],tblCarga[Jogador],C148,tblCarga[Tipo],"Jogo",tblCarga[Data],"&lt;"&amp;A148))</f>
        <v/>
      </c>
      <c r="W148" s="272" t="n">
        <v>1</v>
      </c>
      <c r="X148" s="272" t="n">
        <v>1</v>
      </c>
      <c r="Y148" s="272" t="n">
        <v>2</v>
      </c>
      <c r="Z148" s="272" t="n">
        <v>2</v>
      </c>
      <c r="AA148" s="272" t="n">
        <v>6</v>
      </c>
    </row>
    <row r="149">
      <c r="A149" s="270" t="n">
        <v>46064</v>
      </c>
      <c r="B149" s="271" t="inlineStr">
        <is>
          <t>Belenenses</t>
        </is>
      </c>
      <c r="C149" s="271" t="inlineStr">
        <is>
          <t>Gomes</t>
        </is>
      </c>
      <c r="D149" s="271" t="inlineStr">
        <is>
          <t>Médio</t>
        </is>
      </c>
      <c r="E149" s="272" t="n">
        <v>92</v>
      </c>
      <c r="F149" s="272" t="n">
        <v>8779</v>
      </c>
      <c r="G149" s="272" t="n">
        <v>219</v>
      </c>
      <c r="H149" s="272" t="n">
        <v>81</v>
      </c>
      <c r="I149" s="272" t="n">
        <v>71</v>
      </c>
      <c r="J149" s="272" t="n">
        <v>89</v>
      </c>
      <c r="K149" s="272" t="n">
        <v>9</v>
      </c>
      <c r="L149" s="273" t="n">
        <v>28.2</v>
      </c>
      <c r="M149" s="272" t="n">
        <v>7</v>
      </c>
      <c r="N149" s="272" t="n">
        <v>10</v>
      </c>
      <c r="O149" s="272" t="n">
        <v>8</v>
      </c>
      <c r="P149" s="272" t="n">
        <v>2</v>
      </c>
      <c r="Q149" s="271" t="inlineStr">
        <is>
          <t>Treino</t>
        </is>
      </c>
      <c r="R149" s="272" t="n">
        <v>7</v>
      </c>
      <c r="S149" s="271" t="inlineStr">
        <is>
          <t>MD-3</t>
        </is>
      </c>
      <c r="T149" s="272" t="n"/>
      <c r="U149" s="272" t="n"/>
      <c r="V149" s="274">
        <f>IF(_xlfn.MAXIFS(tblCarga[Data],tblCarga[Jogador],C149,tblCarga[Tipo],"Jogo",tblCarga[Data],"&lt;"&amp;A149)=0,"-",A149-_xlfn.MAXIFS(tblCarga[Data],tblCarga[Jogador],C149,tblCarga[Tipo],"Jogo",tblCarga[Data],"&lt;"&amp;A149))</f>
        <v/>
      </c>
      <c r="W149" s="272" t="n">
        <v>1</v>
      </c>
      <c r="X149" s="272" t="n">
        <v>2</v>
      </c>
      <c r="Y149" s="272" t="n">
        <v>2</v>
      </c>
      <c r="Z149" s="272" t="n">
        <v>2</v>
      </c>
      <c r="AA149" s="272" t="n">
        <v>7</v>
      </c>
    </row>
    <row r="150">
      <c r="A150" s="270" t="n">
        <v>46064</v>
      </c>
      <c r="B150" s="271" t="inlineStr">
        <is>
          <t>Belenenses</t>
        </is>
      </c>
      <c r="C150" s="271" t="inlineStr">
        <is>
          <t>Sá</t>
        </is>
      </c>
      <c r="D150" s="271" t="inlineStr">
        <is>
          <t>Médio</t>
        </is>
      </c>
      <c r="E150" s="272" t="n">
        <v>88</v>
      </c>
      <c r="F150" s="272" t="n">
        <v>8564</v>
      </c>
      <c r="G150" s="272" t="n">
        <v>335</v>
      </c>
      <c r="H150" s="272" t="n">
        <v>75</v>
      </c>
      <c r="I150" s="272" t="n">
        <v>59</v>
      </c>
      <c r="J150" s="272" t="n">
        <v>79</v>
      </c>
      <c r="K150" s="272" t="n">
        <v>6</v>
      </c>
      <c r="L150" s="273" t="n">
        <v>30.2</v>
      </c>
      <c r="M150" s="272" t="n">
        <v>7</v>
      </c>
      <c r="N150" s="272" t="n">
        <v>9</v>
      </c>
      <c r="O150" s="272" t="n">
        <v>5</v>
      </c>
      <c r="P150" s="272" t="n">
        <v>2</v>
      </c>
      <c r="Q150" s="271" t="inlineStr">
        <is>
          <t>Treino</t>
        </is>
      </c>
      <c r="R150" s="272" t="n">
        <v>7</v>
      </c>
      <c r="S150" s="271" t="inlineStr">
        <is>
          <t>MD-3</t>
        </is>
      </c>
      <c r="T150" s="272" t="n"/>
      <c r="U150" s="272" t="n"/>
      <c r="V150" s="274">
        <f>IF(_xlfn.MAXIFS(tblCarga[Data],tblCarga[Jogador],C150,tblCarga[Tipo],"Jogo",tblCarga[Data],"&lt;"&amp;A150)=0,"-",A150-_xlfn.MAXIFS(tblCarga[Data],tblCarga[Jogador],C150,tblCarga[Tipo],"Jogo",tblCarga[Data],"&lt;"&amp;A150))</f>
        <v/>
      </c>
      <c r="W150" s="272" t="n">
        <v>3</v>
      </c>
      <c r="X150" s="272" t="n">
        <v>2</v>
      </c>
      <c r="Y150" s="272" t="n">
        <v>1</v>
      </c>
      <c r="Z150" s="272" t="n">
        <v>2</v>
      </c>
      <c r="AA150" s="272" t="n">
        <v>8</v>
      </c>
    </row>
    <row r="151">
      <c r="A151" s="270" t="n">
        <v>46064</v>
      </c>
      <c r="B151" s="271" t="inlineStr">
        <is>
          <t>Belenenses</t>
        </is>
      </c>
      <c r="C151" s="271" t="inlineStr">
        <is>
          <t>Varela</t>
        </is>
      </c>
      <c r="D151" s="271" t="inlineStr">
        <is>
          <t>Lateral</t>
        </is>
      </c>
      <c r="E151" s="272" t="n">
        <v>87</v>
      </c>
      <c r="F151" s="272" t="n">
        <v>10929</v>
      </c>
      <c r="G151" s="272" t="n">
        <v>326</v>
      </c>
      <c r="H151" s="272" t="n">
        <v>91</v>
      </c>
      <c r="I151" s="272" t="n">
        <v>71</v>
      </c>
      <c r="J151" s="272" t="n">
        <v>109</v>
      </c>
      <c r="K151" s="272" t="n">
        <v>4</v>
      </c>
      <c r="L151" s="273" t="n">
        <v>32.6</v>
      </c>
      <c r="M151" s="272" t="n">
        <v>7</v>
      </c>
      <c r="N151" s="272" t="n">
        <v>8</v>
      </c>
      <c r="O151" s="272" t="n">
        <v>8</v>
      </c>
      <c r="P151" s="272" t="n">
        <v>0</v>
      </c>
      <c r="Q151" s="271" t="inlineStr">
        <is>
          <t>Treino</t>
        </is>
      </c>
      <c r="R151" s="272" t="n">
        <v>7</v>
      </c>
      <c r="S151" s="271" t="inlineStr">
        <is>
          <t>MD-3</t>
        </is>
      </c>
      <c r="T151" s="272" t="n"/>
      <c r="U151" s="272" t="n"/>
      <c r="V151" s="274">
        <f>IF(_xlfn.MAXIFS(tblCarga[Data],tblCarga[Jogador],C151,tblCarga[Tipo],"Jogo",tblCarga[Data],"&lt;"&amp;A151)=0,"-",A151-_xlfn.MAXIFS(tblCarga[Data],tblCarga[Jogador],C151,tblCarga[Tipo],"Jogo",tblCarga[Data],"&lt;"&amp;A151))</f>
        <v/>
      </c>
      <c r="W151" s="272" t="n">
        <v>3</v>
      </c>
      <c r="X151" s="272" t="n">
        <v>1</v>
      </c>
      <c r="Y151" s="272" t="n">
        <v>3</v>
      </c>
      <c r="Z151" s="272" t="n">
        <v>2</v>
      </c>
      <c r="AA151" s="272" t="n">
        <v>9</v>
      </c>
    </row>
    <row r="152">
      <c r="A152" s="270" t="n">
        <v>46064</v>
      </c>
      <c r="B152" s="271" t="inlineStr">
        <is>
          <t>Belenenses</t>
        </is>
      </c>
      <c r="C152" s="271" t="inlineStr">
        <is>
          <t>Edu</t>
        </is>
      </c>
      <c r="D152" s="271" t="inlineStr">
        <is>
          <t>Lateral</t>
        </is>
      </c>
      <c r="E152" s="272" t="n">
        <v>95</v>
      </c>
      <c r="F152" s="272" t="n">
        <v>12127</v>
      </c>
      <c r="G152" s="272" t="n">
        <v>365</v>
      </c>
      <c r="H152" s="272" t="n">
        <v>199</v>
      </c>
      <c r="I152" s="272" t="n">
        <v>56</v>
      </c>
      <c r="J152" s="272" t="n">
        <v>71</v>
      </c>
      <c r="K152" s="272" t="n">
        <v>5</v>
      </c>
      <c r="L152" s="273" t="n">
        <v>32.1</v>
      </c>
      <c r="M152" s="272" t="n">
        <v>7</v>
      </c>
      <c r="N152" s="272" t="n">
        <v>9</v>
      </c>
      <c r="O152" s="272" t="n">
        <v>7</v>
      </c>
      <c r="P152" s="272" t="n">
        <v>2</v>
      </c>
      <c r="Q152" s="271" t="inlineStr">
        <is>
          <t>Treino</t>
        </is>
      </c>
      <c r="R152" s="272" t="n">
        <v>7</v>
      </c>
      <c r="S152" s="271" t="inlineStr">
        <is>
          <t>MD-3</t>
        </is>
      </c>
      <c r="T152" s="272" t="n"/>
      <c r="U152" s="272" t="n"/>
      <c r="V152" s="274">
        <f>IF(_xlfn.MAXIFS(tblCarga[Data],tblCarga[Jogador],C152,tblCarga[Tipo],"Jogo",tblCarga[Data],"&lt;"&amp;A152)=0,"-",A152-_xlfn.MAXIFS(tblCarga[Data],tblCarga[Jogador],C152,tblCarga[Tipo],"Jogo",tblCarga[Data],"&lt;"&amp;A152))</f>
        <v/>
      </c>
      <c r="W152" s="272" t="n">
        <v>1</v>
      </c>
      <c r="X152" s="272" t="n">
        <v>1</v>
      </c>
      <c r="Y152" s="272" t="n">
        <v>3</v>
      </c>
      <c r="Z152" s="272" t="n">
        <v>2</v>
      </c>
      <c r="AA152" s="272" t="n">
        <v>7</v>
      </c>
    </row>
    <row r="153">
      <c r="A153" s="270" t="n">
        <v>46064</v>
      </c>
      <c r="B153" s="271" t="inlineStr">
        <is>
          <t>Belenenses</t>
        </is>
      </c>
      <c r="C153" s="271" t="inlineStr">
        <is>
          <t>Capitulo</t>
        </is>
      </c>
      <c r="D153" s="271" t="inlineStr">
        <is>
          <t>Lateral</t>
        </is>
      </c>
      <c r="E153" s="272" t="n">
        <v>87</v>
      </c>
      <c r="F153" s="272" t="n">
        <v>13119</v>
      </c>
      <c r="G153" s="272" t="n">
        <v>500</v>
      </c>
      <c r="H153" s="272" t="n">
        <v>274</v>
      </c>
      <c r="I153" s="272" t="n">
        <v>101</v>
      </c>
      <c r="J153" s="272" t="n">
        <v>64</v>
      </c>
      <c r="K153" s="272" t="n">
        <v>4</v>
      </c>
      <c r="L153" s="273" t="n">
        <v>30.2</v>
      </c>
      <c r="M153" s="272" t="n">
        <v>7</v>
      </c>
      <c r="N153" s="272" t="n">
        <v>6</v>
      </c>
      <c r="O153" s="272" t="n">
        <v>2</v>
      </c>
      <c r="P153" s="272" t="n">
        <v>3</v>
      </c>
      <c r="Q153" s="271" t="inlineStr">
        <is>
          <t>Treino</t>
        </is>
      </c>
      <c r="R153" s="272" t="n">
        <v>7</v>
      </c>
      <c r="S153" s="271" t="inlineStr">
        <is>
          <t>MD-3</t>
        </is>
      </c>
      <c r="T153" s="272" t="n"/>
      <c r="U153" s="272" t="n"/>
      <c r="V153" s="274">
        <f>IF(_xlfn.MAXIFS(tblCarga[Data],tblCarga[Jogador],C153,tblCarga[Tipo],"Jogo",tblCarga[Data],"&lt;"&amp;A153)=0,"-",A153-_xlfn.MAXIFS(tblCarga[Data],tblCarga[Jogador],C153,tblCarga[Tipo],"Jogo",tblCarga[Data],"&lt;"&amp;A153))</f>
        <v/>
      </c>
      <c r="W153" s="272" t="n">
        <v>3</v>
      </c>
      <c r="X153" s="272" t="n">
        <v>3</v>
      </c>
      <c r="Y153" s="272" t="n">
        <v>2</v>
      </c>
      <c r="Z153" s="272" t="n">
        <v>1</v>
      </c>
      <c r="AA153" s="272" t="n">
        <v>9</v>
      </c>
    </row>
    <row r="154">
      <c r="A154" s="270" t="n">
        <v>46064</v>
      </c>
      <c r="B154" s="271" t="inlineStr">
        <is>
          <t>Belenenses</t>
        </is>
      </c>
      <c r="C154" s="271" t="inlineStr">
        <is>
          <t>Enzo Hugo</t>
        </is>
      </c>
      <c r="D154" s="271" t="inlineStr">
        <is>
          <t>Central</t>
        </is>
      </c>
      <c r="E154" s="272" t="n">
        <v>91</v>
      </c>
      <c r="F154" s="272" t="n">
        <v>10066</v>
      </c>
      <c r="G154" s="272" t="n">
        <v>260</v>
      </c>
      <c r="H154" s="272" t="n">
        <v>36</v>
      </c>
      <c r="I154" s="272" t="n">
        <v>86</v>
      </c>
      <c r="J154" s="272" t="n">
        <v>94</v>
      </c>
      <c r="K154" s="272" t="n">
        <v>4</v>
      </c>
      <c r="L154" s="273" t="n">
        <v>28.6</v>
      </c>
      <c r="M154" s="272" t="n">
        <v>7</v>
      </c>
      <c r="N154" s="272" t="n">
        <v>10</v>
      </c>
      <c r="O154" s="272" t="n">
        <v>6</v>
      </c>
      <c r="P154" s="272" t="n">
        <v>1</v>
      </c>
      <c r="Q154" s="271" t="inlineStr">
        <is>
          <t>Treino</t>
        </is>
      </c>
      <c r="R154" s="272" t="n">
        <v>7</v>
      </c>
      <c r="S154" s="271" t="inlineStr">
        <is>
          <t>MD-3</t>
        </is>
      </c>
      <c r="T154" s="272" t="n"/>
      <c r="U154" s="272" t="n"/>
      <c r="V154" s="274">
        <f>IF(_xlfn.MAXIFS(tblCarga[Data],tblCarga[Jogador],C154,tblCarga[Tipo],"Jogo",tblCarga[Data],"&lt;"&amp;A154)=0,"-",A154-_xlfn.MAXIFS(tblCarga[Data],tblCarga[Jogador],C154,tblCarga[Tipo],"Jogo",tblCarga[Data],"&lt;"&amp;A154))</f>
        <v/>
      </c>
      <c r="W154" s="272" t="n">
        <v>1</v>
      </c>
      <c r="X154" s="272" t="n">
        <v>3</v>
      </c>
      <c r="Y154" s="272" t="n">
        <v>2</v>
      </c>
      <c r="Z154" s="272" t="n">
        <v>2</v>
      </c>
      <c r="AA154" s="272" t="n">
        <v>8</v>
      </c>
    </row>
    <row r="155">
      <c r="A155" s="270" t="n">
        <v>46064</v>
      </c>
      <c r="B155" s="271" t="inlineStr">
        <is>
          <t>Belenenses</t>
        </is>
      </c>
      <c r="C155" s="271" t="inlineStr">
        <is>
          <t>Nogueira</t>
        </is>
      </c>
      <c r="D155" s="271" t="inlineStr">
        <is>
          <t>Central</t>
        </is>
      </c>
      <c r="E155" s="272" t="n">
        <v>82</v>
      </c>
      <c r="F155" s="272" t="n">
        <v>8479</v>
      </c>
      <c r="G155" s="272" t="n">
        <v>247</v>
      </c>
      <c r="H155" s="272" t="n">
        <v>72</v>
      </c>
      <c r="I155" s="272" t="n">
        <v>86</v>
      </c>
      <c r="J155" s="272" t="n">
        <v>70</v>
      </c>
      <c r="K155" s="272" t="n">
        <v>10</v>
      </c>
      <c r="L155" s="273" t="n">
        <v>29.3</v>
      </c>
      <c r="M155" s="272" t="n">
        <v>7</v>
      </c>
      <c r="N155" s="272" t="n">
        <v>15</v>
      </c>
      <c r="O155" s="272" t="n">
        <v>4</v>
      </c>
      <c r="P155" s="272" t="n">
        <v>1</v>
      </c>
      <c r="Q155" s="271" t="inlineStr">
        <is>
          <t>Treino</t>
        </is>
      </c>
      <c r="R155" s="272" t="n">
        <v>7</v>
      </c>
      <c r="S155" s="271" t="inlineStr">
        <is>
          <t>MD-3</t>
        </is>
      </c>
      <c r="T155" s="272" t="n"/>
      <c r="U155" s="272" t="n"/>
      <c r="V155" s="274">
        <f>IF(_xlfn.MAXIFS(tblCarga[Data],tblCarga[Jogador],C155,tblCarga[Tipo],"Jogo",tblCarga[Data],"&lt;"&amp;A155)=0,"-",A155-_xlfn.MAXIFS(tblCarga[Data],tblCarga[Jogador],C155,tblCarga[Tipo],"Jogo",tblCarga[Data],"&lt;"&amp;A155))</f>
        <v/>
      </c>
      <c r="W155" s="272" t="n">
        <v>1</v>
      </c>
      <c r="X155" s="272" t="n">
        <v>3</v>
      </c>
      <c r="Y155" s="272" t="n">
        <v>2</v>
      </c>
      <c r="Z155" s="272" t="n">
        <v>2</v>
      </c>
      <c r="AA155" s="272" t="n">
        <v>8</v>
      </c>
    </row>
    <row r="156">
      <c r="A156" s="270" t="n">
        <v>46069</v>
      </c>
      <c r="B156" s="271" t="inlineStr">
        <is>
          <t>Belenenses</t>
        </is>
      </c>
      <c r="C156" s="271" t="inlineStr">
        <is>
          <t>Paulino</t>
        </is>
      </c>
      <c r="D156" s="271" t="inlineStr">
        <is>
          <t>Médio</t>
        </is>
      </c>
      <c r="E156" s="272" t="n">
        <v>90</v>
      </c>
      <c r="F156" s="272" t="n">
        <v>7500</v>
      </c>
      <c r="G156" s="272" t="n">
        <v>300</v>
      </c>
      <c r="H156" s="272" t="n">
        <v>150</v>
      </c>
      <c r="I156" s="272" t="n">
        <v>75</v>
      </c>
      <c r="J156" s="272" t="n">
        <v>80</v>
      </c>
      <c r="K156" s="272" t="n">
        <v>6</v>
      </c>
      <c r="L156" s="273" t="n">
        <v>30</v>
      </c>
      <c r="M156" s="272" t="n">
        <v>8</v>
      </c>
      <c r="N156" s="272" t="n">
        <v>12</v>
      </c>
      <c r="O156" s="272" t="n">
        <v>7</v>
      </c>
      <c r="P156" s="272" t="n">
        <v>3</v>
      </c>
      <c r="Q156" s="271" t="inlineStr">
        <is>
          <t>Treino</t>
        </is>
      </c>
      <c r="R156" s="272" t="n">
        <v>8</v>
      </c>
      <c r="S156" s="271" t="inlineStr">
        <is>
          <t>MD-5</t>
        </is>
      </c>
      <c r="T156" s="272" t="n"/>
      <c r="U156" s="272" t="n"/>
      <c r="V156" s="274">
        <f>IF(_xlfn.MAXIFS(tblCarga[Data],tblCarga[Jogador],C156,tblCarga[Tipo],"Jogo",tblCarga[Data],"&lt;"&amp;A156)=0,"-",A156-_xlfn.MAXIFS(tblCarga[Data],tblCarga[Jogador],C156,tblCarga[Tipo],"Jogo",tblCarga[Data],"&lt;"&amp;A156))</f>
        <v/>
      </c>
      <c r="W156" s="272" t="n">
        <v>2</v>
      </c>
      <c r="X156" s="272" t="n">
        <v>2</v>
      </c>
      <c r="Y156" s="272" t="n">
        <v>2</v>
      </c>
      <c r="Z156" s="272" t="n">
        <v>3</v>
      </c>
      <c r="AA156" s="272" t="n">
        <v>9</v>
      </c>
    </row>
    <row r="157">
      <c r="A157" s="270" t="n">
        <v>46069</v>
      </c>
      <c r="B157" s="271" t="inlineStr">
        <is>
          <t>Belenenses</t>
        </is>
      </c>
      <c r="C157" s="271" t="inlineStr">
        <is>
          <t>Artur</t>
        </is>
      </c>
      <c r="D157" s="271" t="inlineStr">
        <is>
          <t>Médio</t>
        </is>
      </c>
      <c r="E157" s="272" t="n">
        <v>85</v>
      </c>
      <c r="F157" s="272" t="n">
        <v>7800</v>
      </c>
      <c r="G157" s="272" t="n">
        <v>200</v>
      </c>
      <c r="H157" s="272" t="n">
        <v>50</v>
      </c>
      <c r="I157" s="272" t="n">
        <v>75</v>
      </c>
      <c r="J157" s="272" t="n">
        <v>85</v>
      </c>
      <c r="K157" s="272" t="n">
        <v>7</v>
      </c>
      <c r="L157" s="273" t="n">
        <v>30</v>
      </c>
      <c r="M157" s="272" t="n">
        <v>8</v>
      </c>
      <c r="N157" s="272" t="n">
        <v>10</v>
      </c>
      <c r="O157" s="272" t="n">
        <v>5</v>
      </c>
      <c r="P157" s="272" t="n">
        <v>2</v>
      </c>
      <c r="Q157" s="271" t="inlineStr">
        <is>
          <t>Treino</t>
        </is>
      </c>
      <c r="R157" s="272" t="n">
        <v>8</v>
      </c>
      <c r="S157" s="271" t="inlineStr">
        <is>
          <t>MD-5</t>
        </is>
      </c>
      <c r="T157" s="272" t="n"/>
      <c r="U157" s="272" t="n"/>
      <c r="V157" s="274">
        <f>IF(_xlfn.MAXIFS(tblCarga[Data],tblCarga[Jogador],C157,tblCarga[Tipo],"Jogo",tblCarga[Data],"&lt;"&amp;A157)=0,"-",A157-_xlfn.MAXIFS(tblCarga[Data],tblCarga[Jogador],C157,tblCarga[Tipo],"Jogo",tblCarga[Data],"&lt;"&amp;A157))</f>
        <v/>
      </c>
      <c r="W157" s="272" t="n">
        <v>3</v>
      </c>
      <c r="X157" s="272" t="n">
        <v>3</v>
      </c>
      <c r="Y157" s="272" t="n">
        <v>3</v>
      </c>
      <c r="Z157" s="272" t="n">
        <v>1</v>
      </c>
      <c r="AA157" s="272" t="n">
        <v>10</v>
      </c>
    </row>
    <row r="158">
      <c r="A158" s="270" t="n">
        <v>46069</v>
      </c>
      <c r="B158" s="271" t="inlineStr">
        <is>
          <t>Belenenses</t>
        </is>
      </c>
      <c r="C158" s="271" t="inlineStr">
        <is>
          <t>Gomes</t>
        </is>
      </c>
      <c r="D158" s="271" t="inlineStr">
        <is>
          <t>Médio</t>
        </is>
      </c>
      <c r="E158" s="272" t="n">
        <v>88</v>
      </c>
      <c r="F158" s="272" t="n">
        <v>9200</v>
      </c>
      <c r="G158" s="272" t="n">
        <v>240</v>
      </c>
      <c r="H158" s="272" t="n">
        <v>95</v>
      </c>
      <c r="I158" s="272" t="n">
        <v>85</v>
      </c>
      <c r="J158" s="272" t="n">
        <v>88</v>
      </c>
      <c r="K158" s="272" t="n">
        <v>7</v>
      </c>
      <c r="L158" s="273" t="n">
        <v>29</v>
      </c>
      <c r="M158" s="272" t="n">
        <v>8</v>
      </c>
      <c r="N158" s="272" t="n">
        <v>11</v>
      </c>
      <c r="O158" s="272" t="n">
        <v>4</v>
      </c>
      <c r="P158" s="272" t="n">
        <v>2</v>
      </c>
      <c r="Q158" s="271" t="inlineStr">
        <is>
          <t>Treino</t>
        </is>
      </c>
      <c r="R158" s="272" t="n">
        <v>8</v>
      </c>
      <c r="S158" s="271" t="inlineStr">
        <is>
          <t>MD-5</t>
        </is>
      </c>
      <c r="T158" s="272" t="n"/>
      <c r="U158" s="272" t="n"/>
      <c r="V158" s="274">
        <f>IF(_xlfn.MAXIFS(tblCarga[Data],tblCarga[Jogador],C158,tblCarga[Tipo],"Jogo",tblCarga[Data],"&lt;"&amp;A158)=0,"-",A158-_xlfn.MAXIFS(tblCarga[Data],tblCarga[Jogador],C158,tblCarga[Tipo],"Jogo",tblCarga[Data],"&lt;"&amp;A158))</f>
        <v/>
      </c>
      <c r="W158" s="272" t="n">
        <v>3</v>
      </c>
      <c r="X158" s="272" t="n">
        <v>2</v>
      </c>
      <c r="Y158" s="272" t="n">
        <v>2</v>
      </c>
      <c r="Z158" s="272" t="n">
        <v>2</v>
      </c>
      <c r="AA158" s="272" t="n">
        <v>9</v>
      </c>
    </row>
    <row r="159">
      <c r="A159" s="270" t="n">
        <v>46069</v>
      </c>
      <c r="B159" s="271" t="inlineStr">
        <is>
          <t>Belenenses</t>
        </is>
      </c>
      <c r="C159" s="271" t="inlineStr">
        <is>
          <t>Sá</t>
        </is>
      </c>
      <c r="D159" s="271" t="inlineStr">
        <is>
          <t>Médio</t>
        </is>
      </c>
      <c r="E159" s="272" t="n">
        <v>92</v>
      </c>
      <c r="F159" s="272" t="n">
        <v>8500</v>
      </c>
      <c r="G159" s="272" t="n">
        <v>280</v>
      </c>
      <c r="H159" s="272" t="n">
        <v>45</v>
      </c>
      <c r="I159" s="272" t="n">
        <v>70</v>
      </c>
      <c r="J159" s="272" t="n">
        <v>85</v>
      </c>
      <c r="K159" s="272" t="n">
        <v>8</v>
      </c>
      <c r="L159" s="273" t="n">
        <v>31</v>
      </c>
      <c r="M159" s="272" t="n">
        <v>8</v>
      </c>
      <c r="N159" s="272" t="n">
        <v>13</v>
      </c>
      <c r="O159" s="272" t="n">
        <v>6</v>
      </c>
      <c r="P159" s="272" t="n">
        <v>2</v>
      </c>
      <c r="Q159" s="271" t="inlineStr">
        <is>
          <t>Treino</t>
        </is>
      </c>
      <c r="R159" s="272" t="n">
        <v>8</v>
      </c>
      <c r="S159" s="271" t="inlineStr">
        <is>
          <t>MD-5</t>
        </is>
      </c>
      <c r="T159" s="272" t="n"/>
      <c r="U159" s="272" t="n"/>
      <c r="V159" s="274">
        <f>IF(_xlfn.MAXIFS(tblCarga[Data],tblCarga[Jogador],C159,tblCarga[Tipo],"Jogo",tblCarga[Data],"&lt;"&amp;A159)=0,"-",A159-_xlfn.MAXIFS(tblCarga[Data],tblCarga[Jogador],C159,tblCarga[Tipo],"Jogo",tblCarga[Data],"&lt;"&amp;A159))</f>
        <v/>
      </c>
      <c r="W159" s="272" t="n">
        <v>3</v>
      </c>
      <c r="X159" s="272" t="n">
        <v>1</v>
      </c>
      <c r="Y159" s="272" t="n">
        <v>1</v>
      </c>
      <c r="Z159" s="272" t="n">
        <v>2</v>
      </c>
      <c r="AA159" s="272" t="n">
        <v>7</v>
      </c>
    </row>
    <row r="160">
      <c r="A160" s="270" t="n">
        <v>46069</v>
      </c>
      <c r="B160" s="271" t="inlineStr">
        <is>
          <t>Belenenses</t>
        </is>
      </c>
      <c r="C160" s="271" t="inlineStr">
        <is>
          <t>Varela</t>
        </is>
      </c>
      <c r="D160" s="271" t="inlineStr">
        <is>
          <t>Lateral</t>
        </is>
      </c>
      <c r="E160" s="272" t="n">
        <v>90</v>
      </c>
      <c r="F160" s="272" t="n">
        <v>10500</v>
      </c>
      <c r="G160" s="272" t="n">
        <v>380</v>
      </c>
      <c r="H160" s="272" t="n">
        <v>160</v>
      </c>
      <c r="I160" s="272" t="n">
        <v>85</v>
      </c>
      <c r="J160" s="272" t="n">
        <v>90</v>
      </c>
      <c r="K160" s="272" t="n">
        <v>7</v>
      </c>
      <c r="L160" s="273" t="n">
        <v>33</v>
      </c>
      <c r="M160" s="272" t="n">
        <v>8</v>
      </c>
      <c r="N160" s="272" t="n">
        <v>14</v>
      </c>
      <c r="O160" s="272" t="n">
        <v>7</v>
      </c>
      <c r="P160" s="272" t="n">
        <v>3</v>
      </c>
      <c r="Q160" s="271" t="inlineStr">
        <is>
          <t>Treino</t>
        </is>
      </c>
      <c r="R160" s="272" t="n">
        <v>8</v>
      </c>
      <c r="S160" s="271" t="inlineStr">
        <is>
          <t>MD-5</t>
        </is>
      </c>
      <c r="T160" s="272" t="n"/>
      <c r="U160" s="272" t="n"/>
      <c r="V160" s="274">
        <f>IF(_xlfn.MAXIFS(tblCarga[Data],tblCarga[Jogador],C160,tblCarga[Tipo],"Jogo",tblCarga[Data],"&lt;"&amp;A160)=0,"-",A160-_xlfn.MAXIFS(tblCarga[Data],tblCarga[Jogador],C160,tblCarga[Tipo],"Jogo",tblCarga[Data],"&lt;"&amp;A160))</f>
        <v/>
      </c>
      <c r="W160" s="272" t="n">
        <v>2</v>
      </c>
      <c r="X160" s="272" t="n">
        <v>3</v>
      </c>
      <c r="Y160" s="272" t="n">
        <v>2</v>
      </c>
      <c r="Z160" s="272" t="n">
        <v>2</v>
      </c>
      <c r="AA160" s="272" t="n">
        <v>9</v>
      </c>
    </row>
    <row r="161">
      <c r="A161" s="270" t="n">
        <v>46069</v>
      </c>
      <c r="B161" s="271" t="inlineStr">
        <is>
          <t>Belenenses</t>
        </is>
      </c>
      <c r="C161" s="271" t="inlineStr">
        <is>
          <t>Edu</t>
        </is>
      </c>
      <c r="D161" s="271" t="inlineStr">
        <is>
          <t>Lateral</t>
        </is>
      </c>
      <c r="E161" s="272" t="n">
        <v>88</v>
      </c>
      <c r="F161" s="272" t="n">
        <v>10800</v>
      </c>
      <c r="G161" s="272" t="n">
        <v>420</v>
      </c>
      <c r="H161" s="272" t="n">
        <v>190</v>
      </c>
      <c r="I161" s="272" t="n">
        <v>80</v>
      </c>
      <c r="J161" s="272" t="n">
        <v>85</v>
      </c>
      <c r="K161" s="272" t="n">
        <v>6</v>
      </c>
      <c r="L161" s="273" t="n">
        <v>32</v>
      </c>
      <c r="M161" s="272" t="n">
        <v>8</v>
      </c>
      <c r="N161" s="272" t="n">
        <v>12</v>
      </c>
      <c r="O161" s="272" t="n">
        <v>6</v>
      </c>
      <c r="P161" s="272" t="n">
        <v>3</v>
      </c>
      <c r="Q161" s="271" t="inlineStr">
        <is>
          <t>Treino</t>
        </is>
      </c>
      <c r="R161" s="272" t="n">
        <v>8</v>
      </c>
      <c r="S161" s="271" t="inlineStr">
        <is>
          <t>MD-5</t>
        </is>
      </c>
      <c r="T161" s="272" t="n"/>
      <c r="U161" s="272" t="n"/>
      <c r="V161" s="274">
        <f>IF(_xlfn.MAXIFS(tblCarga[Data],tblCarga[Jogador],C161,tblCarga[Tipo],"Jogo",tblCarga[Data],"&lt;"&amp;A161)=0,"-",A161-_xlfn.MAXIFS(tblCarga[Data],tblCarga[Jogador],C161,tblCarga[Tipo],"Jogo",tblCarga[Data],"&lt;"&amp;A161))</f>
        <v/>
      </c>
      <c r="W161" s="272" t="n">
        <v>2</v>
      </c>
      <c r="X161" s="272" t="n">
        <v>1</v>
      </c>
      <c r="Y161" s="272" t="n">
        <v>1</v>
      </c>
      <c r="Z161" s="272" t="n">
        <v>2</v>
      </c>
      <c r="AA161" s="272" t="n">
        <v>6</v>
      </c>
    </row>
    <row r="162">
      <c r="A162" s="270" t="n">
        <v>46069</v>
      </c>
      <c r="B162" s="271" t="inlineStr">
        <is>
          <t>Belenenses</t>
        </is>
      </c>
      <c r="C162" s="271" t="inlineStr">
        <is>
          <t>Capitulo</t>
        </is>
      </c>
      <c r="D162" s="271" t="inlineStr">
        <is>
          <t>Lateral</t>
        </is>
      </c>
      <c r="E162" s="272" t="n">
        <v>92</v>
      </c>
      <c r="F162" s="272" t="n">
        <v>11500</v>
      </c>
      <c r="G162" s="272" t="n">
        <v>460</v>
      </c>
      <c r="H162" s="272" t="n">
        <v>180</v>
      </c>
      <c r="I162" s="272" t="n">
        <v>88</v>
      </c>
      <c r="J162" s="272" t="n">
        <v>95</v>
      </c>
      <c r="K162" s="272" t="n">
        <v>5</v>
      </c>
      <c r="L162" s="273" t="n">
        <v>31</v>
      </c>
      <c r="M162" s="272" t="n">
        <v>8</v>
      </c>
      <c r="N162" s="272" t="n">
        <v>13</v>
      </c>
      <c r="O162" s="272" t="n">
        <v>8</v>
      </c>
      <c r="P162" s="272" t="n">
        <v>3</v>
      </c>
      <c r="Q162" s="271" t="inlineStr">
        <is>
          <t>Treino</t>
        </is>
      </c>
      <c r="R162" s="272" t="n">
        <v>8</v>
      </c>
      <c r="S162" s="271" t="inlineStr">
        <is>
          <t>MD-5</t>
        </is>
      </c>
      <c r="T162" s="272" t="n"/>
      <c r="U162" s="272" t="n"/>
      <c r="V162" s="274">
        <f>IF(_xlfn.MAXIFS(tblCarga[Data],tblCarga[Jogador],C162,tblCarga[Tipo],"Jogo",tblCarga[Data],"&lt;"&amp;A162)=0,"-",A162-_xlfn.MAXIFS(tblCarga[Data],tblCarga[Jogador],C162,tblCarga[Tipo],"Jogo",tblCarga[Data],"&lt;"&amp;A162))</f>
        <v/>
      </c>
      <c r="W162" s="272" t="n">
        <v>2</v>
      </c>
      <c r="X162" s="272" t="n">
        <v>3</v>
      </c>
      <c r="Y162" s="272" t="n">
        <v>1</v>
      </c>
      <c r="Z162" s="272" t="n">
        <v>3</v>
      </c>
      <c r="AA162" s="272" t="n">
        <v>9</v>
      </c>
    </row>
    <row r="163">
      <c r="A163" s="270" t="n">
        <v>46069</v>
      </c>
      <c r="B163" s="271" t="inlineStr">
        <is>
          <t>Belenenses</t>
        </is>
      </c>
      <c r="C163" s="271" t="inlineStr">
        <is>
          <t>Enzo Hugo</t>
        </is>
      </c>
      <c r="D163" s="271" t="inlineStr">
        <is>
          <t>Central</t>
        </is>
      </c>
      <c r="E163" s="272" t="n">
        <v>88</v>
      </c>
      <c r="F163" s="272" t="n">
        <v>9000</v>
      </c>
      <c r="G163" s="272" t="n">
        <v>310</v>
      </c>
      <c r="H163" s="272" t="n">
        <v>50</v>
      </c>
      <c r="I163" s="272" t="n">
        <v>90</v>
      </c>
      <c r="J163" s="272" t="n">
        <v>100</v>
      </c>
      <c r="K163" s="272" t="n">
        <v>7</v>
      </c>
      <c r="L163" s="273" t="n">
        <v>29</v>
      </c>
      <c r="M163" s="272" t="n">
        <v>8</v>
      </c>
      <c r="N163" s="272" t="n">
        <v>10</v>
      </c>
      <c r="O163" s="272" t="n">
        <v>4</v>
      </c>
      <c r="P163" s="272" t="n">
        <v>1</v>
      </c>
      <c r="Q163" s="271" t="inlineStr">
        <is>
          <t>Treino</t>
        </is>
      </c>
      <c r="R163" s="272" t="n">
        <v>8</v>
      </c>
      <c r="S163" s="271" t="inlineStr">
        <is>
          <t>MD-5</t>
        </is>
      </c>
      <c r="T163" s="272" t="n"/>
      <c r="U163" s="272" t="n"/>
      <c r="V163" s="274">
        <f>IF(_xlfn.MAXIFS(tblCarga[Data],tblCarga[Jogador],C163,tblCarga[Tipo],"Jogo",tblCarga[Data],"&lt;"&amp;A163)=0,"-",A163-_xlfn.MAXIFS(tblCarga[Data],tblCarga[Jogador],C163,tblCarga[Tipo],"Jogo",tblCarga[Data],"&lt;"&amp;A163))</f>
        <v/>
      </c>
      <c r="W163" s="272" t="n">
        <v>2</v>
      </c>
      <c r="X163" s="272" t="n">
        <v>2</v>
      </c>
      <c r="Y163" s="272" t="n">
        <v>1</v>
      </c>
      <c r="Z163" s="272" t="n">
        <v>2</v>
      </c>
      <c r="AA163" s="272" t="n">
        <v>7</v>
      </c>
    </row>
    <row r="164">
      <c r="A164" s="270" t="n">
        <v>46069</v>
      </c>
      <c r="B164" s="271" t="inlineStr">
        <is>
          <t>Belenenses</t>
        </is>
      </c>
      <c r="C164" s="271" t="inlineStr">
        <is>
          <t>Nogueira</t>
        </is>
      </c>
      <c r="D164" s="271" t="inlineStr">
        <is>
          <t>Central</t>
        </is>
      </c>
      <c r="E164" s="272" t="n">
        <v>87</v>
      </c>
      <c r="F164" s="272" t="n">
        <v>8800</v>
      </c>
      <c r="G164" s="272" t="n">
        <v>340</v>
      </c>
      <c r="H164" s="272" t="n">
        <v>35</v>
      </c>
      <c r="I164" s="272" t="n">
        <v>58</v>
      </c>
      <c r="J164" s="272" t="n">
        <v>78</v>
      </c>
      <c r="K164" s="272" t="n">
        <v>7</v>
      </c>
      <c r="L164" s="273" t="n">
        <v>29</v>
      </c>
      <c r="M164" s="272" t="n">
        <v>8</v>
      </c>
      <c r="N164" s="272" t="n">
        <v>9</v>
      </c>
      <c r="O164" s="272" t="n">
        <v>5</v>
      </c>
      <c r="P164" s="272" t="n">
        <v>2</v>
      </c>
      <c r="Q164" s="271" t="inlineStr">
        <is>
          <t>Treino</t>
        </is>
      </c>
      <c r="R164" s="272" t="n">
        <v>8</v>
      </c>
      <c r="S164" s="271" t="inlineStr">
        <is>
          <t>MD-5</t>
        </is>
      </c>
      <c r="T164" s="272" t="n"/>
      <c r="U164" s="272" t="n"/>
      <c r="V164" s="274">
        <f>IF(_xlfn.MAXIFS(tblCarga[Data],tblCarga[Jogador],C164,tblCarga[Tipo],"Jogo",tblCarga[Data],"&lt;"&amp;A164)=0,"-",A164-_xlfn.MAXIFS(tblCarga[Data],tblCarga[Jogador],C164,tblCarga[Tipo],"Jogo",tblCarga[Data],"&lt;"&amp;A164))</f>
        <v/>
      </c>
      <c r="W164" s="272" t="n">
        <v>2</v>
      </c>
      <c r="X164" s="272" t="n">
        <v>2</v>
      </c>
      <c r="Y164" s="272" t="n">
        <v>1</v>
      </c>
      <c r="Z164" s="272" t="n">
        <v>2</v>
      </c>
      <c r="AA164" s="272" t="n">
        <v>7</v>
      </c>
    </row>
    <row r="165">
      <c r="A165" s="270" t="n">
        <v>46070</v>
      </c>
      <c r="B165" s="271" t="inlineStr">
        <is>
          <t>Belenenses</t>
        </is>
      </c>
      <c r="C165" s="271" t="inlineStr">
        <is>
          <t>Paulino</t>
        </is>
      </c>
      <c r="D165" s="271" t="inlineStr">
        <is>
          <t>Médio</t>
        </is>
      </c>
      <c r="E165" s="272" t="n">
        <v>88</v>
      </c>
      <c r="F165" s="272" t="n">
        <v>7800</v>
      </c>
      <c r="G165" s="272" t="n">
        <v>310</v>
      </c>
      <c r="H165" s="272" t="n">
        <v>140</v>
      </c>
      <c r="I165" s="272" t="n">
        <v>75</v>
      </c>
      <c r="J165" s="272" t="n">
        <v>82</v>
      </c>
      <c r="K165" s="272" t="n">
        <v>7</v>
      </c>
      <c r="L165" s="273" t="n">
        <v>30</v>
      </c>
      <c r="M165" s="272" t="n">
        <v>8</v>
      </c>
      <c r="N165" s="272" t="n">
        <v>13</v>
      </c>
      <c r="O165" s="272" t="n">
        <v>8</v>
      </c>
      <c r="P165" s="272" t="n">
        <v>3</v>
      </c>
      <c r="Q165" s="271" t="inlineStr">
        <is>
          <t>Treino</t>
        </is>
      </c>
      <c r="R165" s="272" t="n">
        <v>8</v>
      </c>
      <c r="S165" s="271" t="inlineStr">
        <is>
          <t>MD-4</t>
        </is>
      </c>
      <c r="T165" s="272" t="n"/>
      <c r="U165" s="272" t="n"/>
      <c r="V165" s="274">
        <f>IF(_xlfn.MAXIFS(tblCarga[Data],tblCarga[Jogador],C165,tblCarga[Tipo],"Jogo",tblCarga[Data],"&lt;"&amp;A165)=0,"-",A165-_xlfn.MAXIFS(tblCarga[Data],tblCarga[Jogador],C165,tblCarga[Tipo],"Jogo",tblCarga[Data],"&lt;"&amp;A165))</f>
        <v/>
      </c>
      <c r="W165" s="272" t="n">
        <v>2</v>
      </c>
      <c r="X165" s="272" t="n">
        <v>2</v>
      </c>
      <c r="Y165" s="272" t="n">
        <v>2</v>
      </c>
      <c r="Z165" s="272" t="n">
        <v>2</v>
      </c>
      <c r="AA165" s="272" t="n">
        <v>8</v>
      </c>
    </row>
    <row r="166">
      <c r="A166" s="270" t="n">
        <v>46070</v>
      </c>
      <c r="B166" s="271" t="inlineStr">
        <is>
          <t>Belenenses</t>
        </is>
      </c>
      <c r="C166" s="271" t="inlineStr">
        <is>
          <t>Artur</t>
        </is>
      </c>
      <c r="D166" s="271" t="inlineStr">
        <is>
          <t>Médio</t>
        </is>
      </c>
      <c r="E166" s="272" t="n">
        <v>90</v>
      </c>
      <c r="F166" s="272" t="n">
        <v>8200</v>
      </c>
      <c r="G166" s="272" t="n">
        <v>210</v>
      </c>
      <c r="H166" s="272" t="n">
        <v>55</v>
      </c>
      <c r="I166" s="272" t="n">
        <v>78</v>
      </c>
      <c r="J166" s="272" t="n">
        <v>88</v>
      </c>
      <c r="K166" s="272" t="n">
        <v>7</v>
      </c>
      <c r="L166" s="273" t="n">
        <v>30</v>
      </c>
      <c r="M166" s="272" t="n">
        <v>8</v>
      </c>
      <c r="N166" s="272" t="n">
        <v>11</v>
      </c>
      <c r="O166" s="272" t="n">
        <v>6</v>
      </c>
      <c r="P166" s="272" t="n">
        <v>2</v>
      </c>
      <c r="Q166" s="271" t="inlineStr">
        <is>
          <t>Treino</t>
        </is>
      </c>
      <c r="R166" s="272" t="n">
        <v>8</v>
      </c>
      <c r="S166" s="271" t="inlineStr">
        <is>
          <t>MD-4</t>
        </is>
      </c>
      <c r="T166" s="272" t="n"/>
      <c r="U166" s="272" t="n"/>
      <c r="V166" s="274">
        <f>IF(_xlfn.MAXIFS(tblCarga[Data],tblCarga[Jogador],C166,tblCarga[Tipo],"Jogo",tblCarga[Data],"&lt;"&amp;A166)=0,"-",A166-_xlfn.MAXIFS(tblCarga[Data],tblCarga[Jogador],C166,tblCarga[Tipo],"Jogo",tblCarga[Data],"&lt;"&amp;A166))</f>
        <v/>
      </c>
      <c r="W166" s="272" t="n">
        <v>3</v>
      </c>
      <c r="X166" s="272" t="n">
        <v>3</v>
      </c>
      <c r="Y166" s="272" t="n">
        <v>3</v>
      </c>
      <c r="Z166" s="272" t="n">
        <v>3</v>
      </c>
      <c r="AA166" s="272" t="n">
        <v>12</v>
      </c>
    </row>
    <row r="167">
      <c r="A167" s="270" t="n">
        <v>46070</v>
      </c>
      <c r="B167" s="271" t="inlineStr">
        <is>
          <t>Belenenses</t>
        </is>
      </c>
      <c r="C167" s="271" t="inlineStr">
        <is>
          <t>Gomes</t>
        </is>
      </c>
      <c r="D167" s="271" t="inlineStr">
        <is>
          <t>Médio</t>
        </is>
      </c>
      <c r="E167" s="272" t="n">
        <v>92</v>
      </c>
      <c r="F167" s="272" t="n">
        <v>9800</v>
      </c>
      <c r="G167" s="272" t="n">
        <v>260</v>
      </c>
      <c r="H167" s="272" t="n">
        <v>105</v>
      </c>
      <c r="I167" s="272" t="n">
        <v>82</v>
      </c>
      <c r="J167" s="272" t="n">
        <v>92</v>
      </c>
      <c r="K167" s="272" t="n">
        <v>8</v>
      </c>
      <c r="L167" s="273" t="n">
        <v>29</v>
      </c>
      <c r="M167" s="272" t="n">
        <v>8</v>
      </c>
      <c r="N167" s="272" t="n">
        <v>12</v>
      </c>
      <c r="O167" s="272" t="n">
        <v>5</v>
      </c>
      <c r="P167" s="272" t="n">
        <v>2</v>
      </c>
      <c r="Q167" s="271" t="inlineStr">
        <is>
          <t>Treino</t>
        </is>
      </c>
      <c r="R167" s="272" t="n">
        <v>8</v>
      </c>
      <c r="S167" s="271" t="inlineStr">
        <is>
          <t>MD-4</t>
        </is>
      </c>
      <c r="T167" s="272" t="n"/>
      <c r="U167" s="272" t="n"/>
      <c r="V167" s="274">
        <f>IF(_xlfn.MAXIFS(tblCarga[Data],tblCarga[Jogador],C167,tblCarga[Tipo],"Jogo",tblCarga[Data],"&lt;"&amp;A167)=0,"-",A167-_xlfn.MAXIFS(tblCarga[Data],tblCarga[Jogador],C167,tblCarga[Tipo],"Jogo",tblCarga[Data],"&lt;"&amp;A167))</f>
        <v/>
      </c>
      <c r="W167" s="272" t="n">
        <v>2</v>
      </c>
      <c r="X167" s="272" t="n">
        <v>2</v>
      </c>
      <c r="Y167" s="272" t="n">
        <v>3</v>
      </c>
      <c r="Z167" s="272" t="n">
        <v>2</v>
      </c>
      <c r="AA167" s="272" t="n">
        <v>9</v>
      </c>
    </row>
    <row r="168">
      <c r="A168" s="270" t="n">
        <v>46070</v>
      </c>
      <c r="B168" s="271" t="inlineStr">
        <is>
          <t>Belenenses</t>
        </is>
      </c>
      <c r="C168" s="271" t="inlineStr">
        <is>
          <t>Sá</t>
        </is>
      </c>
      <c r="D168" s="271" t="inlineStr">
        <is>
          <t>Médio</t>
        </is>
      </c>
      <c r="E168" s="272" t="n">
        <v>90</v>
      </c>
      <c r="F168" s="272" t="n">
        <v>9200</v>
      </c>
      <c r="G168" s="272" t="n">
        <v>290</v>
      </c>
      <c r="H168" s="272" t="n">
        <v>50</v>
      </c>
      <c r="I168" s="272" t="n">
        <v>80</v>
      </c>
      <c r="J168" s="272" t="n">
        <v>92</v>
      </c>
      <c r="K168" s="272" t="n">
        <v>8</v>
      </c>
      <c r="L168" s="273" t="n">
        <v>31</v>
      </c>
      <c r="M168" s="272" t="n">
        <v>8</v>
      </c>
      <c r="N168" s="272" t="n">
        <v>14</v>
      </c>
      <c r="O168" s="272" t="n">
        <v>7</v>
      </c>
      <c r="P168" s="272" t="n">
        <v>2</v>
      </c>
      <c r="Q168" s="271" t="inlineStr">
        <is>
          <t>Treino</t>
        </is>
      </c>
      <c r="R168" s="272" t="n">
        <v>8</v>
      </c>
      <c r="S168" s="271" t="inlineStr">
        <is>
          <t>MD-4</t>
        </is>
      </c>
      <c r="T168" s="272" t="n"/>
      <c r="U168" s="272" t="n"/>
      <c r="V168" s="274">
        <f>IF(_xlfn.MAXIFS(tblCarga[Data],tblCarga[Jogador],C168,tblCarga[Tipo],"Jogo",tblCarga[Data],"&lt;"&amp;A168)=0,"-",A168-_xlfn.MAXIFS(tblCarga[Data],tblCarga[Jogador],C168,tblCarga[Tipo],"Jogo",tblCarga[Data],"&lt;"&amp;A168))</f>
        <v/>
      </c>
      <c r="W168" s="272" t="n">
        <v>1</v>
      </c>
      <c r="X168" s="272" t="n">
        <v>1</v>
      </c>
      <c r="Y168" s="272" t="n">
        <v>2</v>
      </c>
      <c r="Z168" s="272" t="n">
        <v>2</v>
      </c>
      <c r="AA168" s="272" t="n">
        <v>6</v>
      </c>
    </row>
    <row r="169">
      <c r="A169" s="270" t="n">
        <v>46070</v>
      </c>
      <c r="B169" s="271" t="inlineStr">
        <is>
          <t>Belenenses</t>
        </is>
      </c>
      <c r="C169" s="271" t="inlineStr">
        <is>
          <t>Varela</t>
        </is>
      </c>
      <c r="D169" s="271" t="inlineStr">
        <is>
          <t>Lateral</t>
        </is>
      </c>
      <c r="E169" s="272" t="n">
        <v>92</v>
      </c>
      <c r="F169" s="272" t="n">
        <v>10200</v>
      </c>
      <c r="G169" s="272" t="n">
        <v>360</v>
      </c>
      <c r="H169" s="272" t="n">
        <v>155</v>
      </c>
      <c r="I169" s="272" t="n">
        <v>82</v>
      </c>
      <c r="J169" s="272" t="n">
        <v>92</v>
      </c>
      <c r="K169" s="272" t="n">
        <v>7</v>
      </c>
      <c r="L169" s="273" t="n">
        <v>33</v>
      </c>
      <c r="M169" s="272" t="n">
        <v>8</v>
      </c>
      <c r="N169" s="272" t="n">
        <v>13</v>
      </c>
      <c r="O169" s="272" t="n">
        <v>8</v>
      </c>
      <c r="P169" s="272" t="n">
        <v>3</v>
      </c>
      <c r="Q169" s="271" t="inlineStr">
        <is>
          <t>Treino</t>
        </is>
      </c>
      <c r="R169" s="272" t="n">
        <v>8</v>
      </c>
      <c r="S169" s="271" t="inlineStr">
        <is>
          <t>MD-4</t>
        </is>
      </c>
      <c r="T169" s="272" t="n"/>
      <c r="U169" s="272" t="n"/>
      <c r="V169" s="274">
        <f>IF(_xlfn.MAXIFS(tblCarga[Data],tblCarga[Jogador],C169,tblCarga[Tipo],"Jogo",tblCarga[Data],"&lt;"&amp;A169)=0,"-",A169-_xlfn.MAXIFS(tblCarga[Data],tblCarga[Jogador],C169,tblCarga[Tipo],"Jogo",tblCarga[Data],"&lt;"&amp;A169))</f>
        <v/>
      </c>
      <c r="W169" s="272" t="n">
        <v>2</v>
      </c>
      <c r="X169" s="272" t="n">
        <v>1</v>
      </c>
      <c r="Y169" s="272" t="n">
        <v>3</v>
      </c>
      <c r="Z169" s="272" t="n">
        <v>3</v>
      </c>
      <c r="AA169" s="272" t="n">
        <v>9</v>
      </c>
    </row>
    <row r="170">
      <c r="A170" s="270" t="n">
        <v>46070</v>
      </c>
      <c r="B170" s="271" t="inlineStr">
        <is>
          <t>Belenenses</t>
        </is>
      </c>
      <c r="C170" s="271" t="inlineStr">
        <is>
          <t>Edu</t>
        </is>
      </c>
      <c r="D170" s="271" t="inlineStr">
        <is>
          <t>Lateral</t>
        </is>
      </c>
      <c r="E170" s="272" t="n">
        <v>90</v>
      </c>
      <c r="F170" s="272" t="n">
        <v>11200</v>
      </c>
      <c r="G170" s="272" t="n">
        <v>410</v>
      </c>
      <c r="H170" s="272" t="n">
        <v>210</v>
      </c>
      <c r="I170" s="272" t="n">
        <v>82</v>
      </c>
      <c r="J170" s="272" t="n">
        <v>92</v>
      </c>
      <c r="K170" s="272" t="n">
        <v>6</v>
      </c>
      <c r="L170" s="273" t="n">
        <v>32</v>
      </c>
      <c r="M170" s="272" t="n">
        <v>8</v>
      </c>
      <c r="N170" s="272" t="n">
        <v>15</v>
      </c>
      <c r="O170" s="272" t="n">
        <v>8</v>
      </c>
      <c r="P170" s="272" t="n">
        <v>4</v>
      </c>
      <c r="Q170" s="271" t="inlineStr">
        <is>
          <t>Treino</t>
        </is>
      </c>
      <c r="R170" s="272" t="n">
        <v>8</v>
      </c>
      <c r="S170" s="271" t="inlineStr">
        <is>
          <t>MD-4</t>
        </is>
      </c>
      <c r="T170" s="272" t="n"/>
      <c r="U170" s="272" t="n"/>
      <c r="V170" s="274">
        <f>IF(_xlfn.MAXIFS(tblCarga[Data],tblCarga[Jogador],C170,tblCarga[Tipo],"Jogo",tblCarga[Data],"&lt;"&amp;A170)=0,"-",A170-_xlfn.MAXIFS(tblCarga[Data],tblCarga[Jogador],C170,tblCarga[Tipo],"Jogo",tblCarga[Data],"&lt;"&amp;A170))</f>
        <v/>
      </c>
      <c r="W170" s="272" t="n">
        <v>2</v>
      </c>
      <c r="X170" s="272" t="n">
        <v>3</v>
      </c>
      <c r="Y170" s="272" t="n">
        <v>2</v>
      </c>
      <c r="Z170" s="272" t="n">
        <v>2</v>
      </c>
      <c r="AA170" s="272" t="n">
        <v>9</v>
      </c>
    </row>
    <row r="171">
      <c r="A171" s="270" t="n">
        <v>46070</v>
      </c>
      <c r="B171" s="271" t="inlineStr">
        <is>
          <t>Belenenses</t>
        </is>
      </c>
      <c r="C171" s="271" t="inlineStr">
        <is>
          <t>Capitulo</t>
        </is>
      </c>
      <c r="D171" s="271" t="inlineStr">
        <is>
          <t>Lateral</t>
        </is>
      </c>
      <c r="E171" s="272" t="n">
        <v>95</v>
      </c>
      <c r="F171" s="272" t="n">
        <v>12200</v>
      </c>
      <c r="G171" s="272" t="n">
        <v>480</v>
      </c>
      <c r="H171" s="272" t="n">
        <v>195</v>
      </c>
      <c r="I171" s="272" t="n">
        <v>92</v>
      </c>
      <c r="J171" s="272" t="n">
        <v>102</v>
      </c>
      <c r="K171" s="272" t="n">
        <v>5</v>
      </c>
      <c r="L171" s="273" t="n">
        <v>31</v>
      </c>
      <c r="M171" s="272" t="n">
        <v>8</v>
      </c>
      <c r="N171" s="272" t="n">
        <v>14</v>
      </c>
      <c r="O171" s="272" t="n">
        <v>9</v>
      </c>
      <c r="P171" s="272" t="n">
        <v>4</v>
      </c>
      <c r="Q171" s="271" t="inlineStr">
        <is>
          <t>Treino</t>
        </is>
      </c>
      <c r="R171" s="272" t="n">
        <v>8</v>
      </c>
      <c r="S171" s="271" t="inlineStr">
        <is>
          <t>MD-4</t>
        </is>
      </c>
      <c r="T171" s="272" t="n"/>
      <c r="U171" s="272" t="n"/>
      <c r="V171" s="274">
        <f>IF(_xlfn.MAXIFS(tblCarga[Data],tblCarga[Jogador],C171,tblCarga[Tipo],"Jogo",tblCarga[Data],"&lt;"&amp;A171)=0,"-",A171-_xlfn.MAXIFS(tblCarga[Data],tblCarga[Jogador],C171,tblCarga[Tipo],"Jogo",tblCarga[Data],"&lt;"&amp;A171))</f>
        <v/>
      </c>
      <c r="W171" s="272" t="n">
        <v>2</v>
      </c>
      <c r="X171" s="272" t="n">
        <v>3</v>
      </c>
      <c r="Y171" s="272" t="n">
        <v>2</v>
      </c>
      <c r="Z171" s="272" t="n">
        <v>3</v>
      </c>
      <c r="AA171" s="272" t="n">
        <v>10</v>
      </c>
    </row>
    <row r="172">
      <c r="A172" s="270" t="n">
        <v>46070</v>
      </c>
      <c r="B172" s="271" t="inlineStr">
        <is>
          <t>Belenenses</t>
        </is>
      </c>
      <c r="C172" s="271" t="inlineStr">
        <is>
          <t>Enzo Hugo</t>
        </is>
      </c>
      <c r="D172" s="271" t="inlineStr">
        <is>
          <t>Central</t>
        </is>
      </c>
      <c r="E172" s="272" t="n">
        <v>90</v>
      </c>
      <c r="F172" s="272" t="n">
        <v>8800</v>
      </c>
      <c r="G172" s="272" t="n">
        <v>310</v>
      </c>
      <c r="H172" s="272" t="n">
        <v>55</v>
      </c>
      <c r="I172" s="272" t="n">
        <v>92</v>
      </c>
      <c r="J172" s="272" t="n">
        <v>105</v>
      </c>
      <c r="K172" s="272" t="n">
        <v>8</v>
      </c>
      <c r="L172" s="273" t="n">
        <v>29</v>
      </c>
      <c r="M172" s="272" t="n">
        <v>8</v>
      </c>
      <c r="N172" s="272" t="n">
        <v>12</v>
      </c>
      <c r="O172" s="272" t="n">
        <v>5</v>
      </c>
      <c r="P172" s="272" t="n">
        <v>2</v>
      </c>
      <c r="Q172" s="271" t="inlineStr">
        <is>
          <t>Treino</t>
        </is>
      </c>
      <c r="R172" s="272" t="n">
        <v>8</v>
      </c>
      <c r="S172" s="271" t="inlineStr">
        <is>
          <t>MD-4</t>
        </is>
      </c>
      <c r="T172" s="272" t="n"/>
      <c r="U172" s="272" t="n"/>
      <c r="V172" s="274">
        <f>IF(_xlfn.MAXIFS(tblCarga[Data],tblCarga[Jogador],C172,tblCarga[Tipo],"Jogo",tblCarga[Data],"&lt;"&amp;A172)=0,"-",A172-_xlfn.MAXIFS(tblCarga[Data],tblCarga[Jogador],C172,tblCarga[Tipo],"Jogo",tblCarga[Data],"&lt;"&amp;A172))</f>
        <v/>
      </c>
      <c r="W172" s="272" t="n">
        <v>1</v>
      </c>
      <c r="X172" s="272" t="n">
        <v>1</v>
      </c>
      <c r="Y172" s="272" t="n">
        <v>3</v>
      </c>
      <c r="Z172" s="272" t="n">
        <v>2</v>
      </c>
      <c r="AA172" s="272" t="n">
        <v>7</v>
      </c>
    </row>
    <row r="173">
      <c r="A173" s="270" t="n">
        <v>46070</v>
      </c>
      <c r="B173" s="271" t="inlineStr">
        <is>
          <t>Belenenses</t>
        </is>
      </c>
      <c r="C173" s="271" t="inlineStr">
        <is>
          <t>Nogueira</t>
        </is>
      </c>
      <c r="D173" s="271" t="inlineStr">
        <is>
          <t>Central</t>
        </is>
      </c>
      <c r="E173" s="272" t="n">
        <v>88</v>
      </c>
      <c r="F173" s="272" t="n">
        <v>9200</v>
      </c>
      <c r="G173" s="272" t="n">
        <v>360</v>
      </c>
      <c r="H173" s="272" t="n">
        <v>35</v>
      </c>
      <c r="I173" s="272" t="n">
        <v>62</v>
      </c>
      <c r="J173" s="272" t="n">
        <v>82</v>
      </c>
      <c r="K173" s="272" t="n">
        <v>7</v>
      </c>
      <c r="L173" s="273" t="n">
        <v>29</v>
      </c>
      <c r="M173" s="272" t="n">
        <v>8</v>
      </c>
      <c r="N173" s="272" t="n">
        <v>11</v>
      </c>
      <c r="O173" s="272" t="n">
        <v>6</v>
      </c>
      <c r="P173" s="272" t="n">
        <v>3</v>
      </c>
      <c r="Q173" s="271" t="inlineStr">
        <is>
          <t>Treino</t>
        </is>
      </c>
      <c r="R173" s="272" t="n">
        <v>8</v>
      </c>
      <c r="S173" s="271" t="inlineStr">
        <is>
          <t>MD-4</t>
        </is>
      </c>
      <c r="T173" s="272" t="n"/>
      <c r="U173" s="272" t="n"/>
      <c r="V173" s="274">
        <f>IF(_xlfn.MAXIFS(tblCarga[Data],tblCarga[Jogador],C173,tblCarga[Tipo],"Jogo",tblCarga[Data],"&lt;"&amp;A173)=0,"-",A173-_xlfn.MAXIFS(tblCarga[Data],tblCarga[Jogador],C173,tblCarga[Tipo],"Jogo",tblCarga[Data],"&lt;"&amp;A173))</f>
        <v/>
      </c>
      <c r="W173" s="272" t="n">
        <v>1</v>
      </c>
      <c r="X173" s="272" t="n">
        <v>2</v>
      </c>
      <c r="Y173" s="272" t="n">
        <v>1</v>
      </c>
      <c r="Z173" s="272" t="n">
        <v>2</v>
      </c>
      <c r="AA173" s="272" t="n">
        <v>6</v>
      </c>
    </row>
    <row r="174">
      <c r="A174" s="270" t="n">
        <v>46071</v>
      </c>
      <c r="B174" s="271" t="inlineStr">
        <is>
          <t>Belenenses</t>
        </is>
      </c>
      <c r="C174" s="271" t="inlineStr">
        <is>
          <t>Paulino</t>
        </is>
      </c>
      <c r="D174" s="271" t="inlineStr">
        <is>
          <t>Médio</t>
        </is>
      </c>
      <c r="E174" s="272" t="n">
        <v>85</v>
      </c>
      <c r="F174" s="272" t="n">
        <v>7200</v>
      </c>
      <c r="G174" s="272" t="n">
        <v>280</v>
      </c>
      <c r="H174" s="272" t="n">
        <v>130</v>
      </c>
      <c r="I174" s="272" t="n">
        <v>72</v>
      </c>
      <c r="J174" s="272" t="n">
        <v>78</v>
      </c>
      <c r="K174" s="272" t="n">
        <v>6</v>
      </c>
      <c r="L174" s="273" t="n">
        <v>30</v>
      </c>
      <c r="M174" s="272" t="n">
        <v>8</v>
      </c>
      <c r="N174" s="272" t="n">
        <v>11</v>
      </c>
      <c r="O174" s="272" t="n">
        <v>7</v>
      </c>
      <c r="P174" s="272" t="n">
        <v>3</v>
      </c>
      <c r="Q174" s="271" t="inlineStr">
        <is>
          <t>Treino</t>
        </is>
      </c>
      <c r="R174" s="272" t="n">
        <v>8</v>
      </c>
      <c r="S174" s="271" t="inlineStr">
        <is>
          <t>MD-3</t>
        </is>
      </c>
      <c r="T174" s="272" t="n"/>
      <c r="U174" s="272" t="n"/>
      <c r="V174" s="274">
        <f>IF(_xlfn.MAXIFS(tblCarga[Data],tblCarga[Jogador],C174,tblCarga[Tipo],"Jogo",tblCarga[Data],"&lt;"&amp;A174)=0,"-",A174-_xlfn.MAXIFS(tblCarga[Data],tblCarga[Jogador],C174,tblCarga[Tipo],"Jogo",tblCarga[Data],"&lt;"&amp;A174))</f>
        <v/>
      </c>
      <c r="W174" s="272" t="n">
        <v>3</v>
      </c>
      <c r="X174" s="272" t="n">
        <v>1</v>
      </c>
      <c r="Y174" s="272" t="n">
        <v>1</v>
      </c>
      <c r="Z174" s="272" t="n">
        <v>3</v>
      </c>
      <c r="AA174" s="272" t="n">
        <v>8</v>
      </c>
    </row>
    <row r="175">
      <c r="A175" s="270" t="n">
        <v>46071</v>
      </c>
      <c r="B175" s="271" t="inlineStr">
        <is>
          <t>Belenenses</t>
        </is>
      </c>
      <c r="C175" s="271" t="inlineStr">
        <is>
          <t>Artur</t>
        </is>
      </c>
      <c r="D175" s="271" t="inlineStr">
        <is>
          <t>Médio</t>
        </is>
      </c>
      <c r="E175" s="272" t="n">
        <v>88</v>
      </c>
      <c r="F175" s="272" t="n">
        <v>7600</v>
      </c>
      <c r="G175" s="272" t="n">
        <v>190</v>
      </c>
      <c r="H175" s="272" t="n">
        <v>48</v>
      </c>
      <c r="I175" s="272" t="n">
        <v>76</v>
      </c>
      <c r="J175" s="272" t="n">
        <v>86</v>
      </c>
      <c r="K175" s="272" t="n">
        <v>7</v>
      </c>
      <c r="L175" s="273" t="n">
        <v>30</v>
      </c>
      <c r="M175" s="272" t="n">
        <v>8</v>
      </c>
      <c r="N175" s="272" t="n">
        <v>10</v>
      </c>
      <c r="O175" s="272" t="n">
        <v>5</v>
      </c>
      <c r="P175" s="272" t="n">
        <v>2</v>
      </c>
      <c r="Q175" s="271" t="inlineStr">
        <is>
          <t>Treino</t>
        </is>
      </c>
      <c r="R175" s="272" t="n">
        <v>8</v>
      </c>
      <c r="S175" s="271" t="inlineStr">
        <is>
          <t>MD-3</t>
        </is>
      </c>
      <c r="T175" s="272" t="n"/>
      <c r="U175" s="272" t="n"/>
      <c r="V175" s="274">
        <f>IF(_xlfn.MAXIFS(tblCarga[Data],tblCarga[Jogador],C175,tblCarga[Tipo],"Jogo",tblCarga[Data],"&lt;"&amp;A175)=0,"-",A175-_xlfn.MAXIFS(tblCarga[Data],tblCarga[Jogador],C175,tblCarga[Tipo],"Jogo",tblCarga[Data],"&lt;"&amp;A175))</f>
        <v/>
      </c>
      <c r="W175" s="272" t="n">
        <v>3</v>
      </c>
      <c r="X175" s="272" t="n">
        <v>1</v>
      </c>
      <c r="Y175" s="272" t="n">
        <v>2</v>
      </c>
      <c r="Z175" s="272" t="n">
        <v>2</v>
      </c>
      <c r="AA175" s="272" t="n">
        <v>8</v>
      </c>
    </row>
    <row r="176">
      <c r="A176" s="270" t="n">
        <v>46071</v>
      </c>
      <c r="B176" s="271" t="inlineStr">
        <is>
          <t>Belenenses</t>
        </is>
      </c>
      <c r="C176" s="271" t="inlineStr">
        <is>
          <t>Gomes</t>
        </is>
      </c>
      <c r="D176" s="271" t="inlineStr">
        <is>
          <t>Médio</t>
        </is>
      </c>
      <c r="E176" s="272" t="n">
        <v>87</v>
      </c>
      <c r="F176" s="272" t="n">
        <v>9000</v>
      </c>
      <c r="G176" s="272" t="n">
        <v>230</v>
      </c>
      <c r="H176" s="272" t="n">
        <v>90</v>
      </c>
      <c r="I176" s="272" t="n">
        <v>78</v>
      </c>
      <c r="J176" s="272" t="n">
        <v>88</v>
      </c>
      <c r="K176" s="272" t="n">
        <v>7</v>
      </c>
      <c r="L176" s="273" t="n">
        <v>29</v>
      </c>
      <c r="M176" s="272" t="n">
        <v>8</v>
      </c>
      <c r="N176" s="272" t="n">
        <v>10</v>
      </c>
      <c r="O176" s="272" t="n">
        <v>4</v>
      </c>
      <c r="P176" s="272" t="n">
        <v>1</v>
      </c>
      <c r="Q176" s="271" t="inlineStr">
        <is>
          <t>Treino</t>
        </is>
      </c>
      <c r="R176" s="272" t="n">
        <v>8</v>
      </c>
      <c r="S176" s="271" t="inlineStr">
        <is>
          <t>MD-3</t>
        </is>
      </c>
      <c r="T176" s="272" t="n"/>
      <c r="U176" s="272" t="n"/>
      <c r="V176" s="274">
        <f>IF(_xlfn.MAXIFS(tblCarga[Data],tblCarga[Jogador],C176,tblCarga[Tipo],"Jogo",tblCarga[Data],"&lt;"&amp;A176)=0,"-",A176-_xlfn.MAXIFS(tblCarga[Data],tblCarga[Jogador],C176,tblCarga[Tipo],"Jogo",tblCarga[Data],"&lt;"&amp;A176))</f>
        <v/>
      </c>
      <c r="W176" s="272" t="n">
        <v>2</v>
      </c>
      <c r="X176" s="272" t="n">
        <v>1</v>
      </c>
      <c r="Y176" s="272" t="n">
        <v>2</v>
      </c>
      <c r="Z176" s="272" t="n">
        <v>1</v>
      </c>
      <c r="AA176" s="272" t="n">
        <v>6</v>
      </c>
    </row>
    <row r="177">
      <c r="A177" s="270" t="n">
        <v>46071</v>
      </c>
      <c r="B177" s="271" t="inlineStr">
        <is>
          <t>Belenenses</t>
        </is>
      </c>
      <c r="C177" s="271" t="inlineStr">
        <is>
          <t>Sá</t>
        </is>
      </c>
      <c r="D177" s="271" t="inlineStr">
        <is>
          <t>Médio</t>
        </is>
      </c>
      <c r="E177" s="272" t="n">
        <v>88</v>
      </c>
      <c r="F177" s="272" t="n">
        <v>8700</v>
      </c>
      <c r="G177" s="272" t="n">
        <v>270</v>
      </c>
      <c r="H177" s="272" t="n">
        <v>45</v>
      </c>
      <c r="I177" s="272" t="n">
        <v>78</v>
      </c>
      <c r="J177" s="272" t="n">
        <v>88</v>
      </c>
      <c r="K177" s="272" t="n">
        <v>8</v>
      </c>
      <c r="L177" s="273" t="n">
        <v>31</v>
      </c>
      <c r="M177" s="272" t="n">
        <v>8</v>
      </c>
      <c r="N177" s="272" t="n">
        <v>12</v>
      </c>
      <c r="O177" s="272" t="n">
        <v>6</v>
      </c>
      <c r="P177" s="272" t="n">
        <v>2</v>
      </c>
      <c r="Q177" s="271" t="inlineStr">
        <is>
          <t>Treino</t>
        </is>
      </c>
      <c r="R177" s="272" t="n">
        <v>8</v>
      </c>
      <c r="S177" s="271" t="inlineStr">
        <is>
          <t>MD-3</t>
        </is>
      </c>
      <c r="T177" s="272" t="n"/>
      <c r="U177" s="272" t="n"/>
      <c r="V177" s="274">
        <f>IF(_xlfn.MAXIFS(tblCarga[Data],tblCarga[Jogador],C177,tblCarga[Tipo],"Jogo",tblCarga[Data],"&lt;"&amp;A177)=0,"-",A177-_xlfn.MAXIFS(tblCarga[Data],tblCarga[Jogador],C177,tblCarga[Tipo],"Jogo",tblCarga[Data],"&lt;"&amp;A177))</f>
        <v/>
      </c>
      <c r="W177" s="272" t="n">
        <v>1</v>
      </c>
      <c r="X177" s="272" t="n">
        <v>2</v>
      </c>
      <c r="Y177" s="272" t="n">
        <v>2</v>
      </c>
      <c r="Z177" s="272" t="n">
        <v>2</v>
      </c>
      <c r="AA177" s="272" t="n">
        <v>7</v>
      </c>
    </row>
    <row r="178">
      <c r="A178" s="270" t="n">
        <v>46071</v>
      </c>
      <c r="B178" s="271" t="inlineStr">
        <is>
          <t>Belenenses</t>
        </is>
      </c>
      <c r="C178" s="271" t="inlineStr">
        <is>
          <t>Varela</t>
        </is>
      </c>
      <c r="D178" s="271" t="inlineStr">
        <is>
          <t>Lateral</t>
        </is>
      </c>
      <c r="E178" s="272" t="n">
        <v>88</v>
      </c>
      <c r="F178" s="272" t="n">
        <v>9800</v>
      </c>
      <c r="G178" s="272" t="n">
        <v>340</v>
      </c>
      <c r="H178" s="272" t="n">
        <v>145</v>
      </c>
      <c r="I178" s="272" t="n">
        <v>78</v>
      </c>
      <c r="J178" s="272" t="n">
        <v>88</v>
      </c>
      <c r="K178" s="272" t="n">
        <v>7</v>
      </c>
      <c r="L178" s="273" t="n">
        <v>33</v>
      </c>
      <c r="M178" s="272" t="n">
        <v>8</v>
      </c>
      <c r="N178" s="272" t="n">
        <v>12</v>
      </c>
      <c r="O178" s="272" t="n">
        <v>7</v>
      </c>
      <c r="P178" s="272" t="n">
        <v>3</v>
      </c>
      <c r="Q178" s="271" t="inlineStr">
        <is>
          <t>Treino</t>
        </is>
      </c>
      <c r="R178" s="272" t="n">
        <v>8</v>
      </c>
      <c r="S178" s="271" t="inlineStr">
        <is>
          <t>MD-3</t>
        </is>
      </c>
      <c r="T178" s="272" t="n"/>
      <c r="U178" s="272" t="n"/>
      <c r="V178" s="274">
        <f>IF(_xlfn.MAXIFS(tblCarga[Data],tblCarga[Jogador],C178,tblCarga[Tipo],"Jogo",tblCarga[Data],"&lt;"&amp;A178)=0,"-",A178-_xlfn.MAXIFS(tblCarga[Data],tblCarga[Jogador],C178,tblCarga[Tipo],"Jogo",tblCarga[Data],"&lt;"&amp;A178))</f>
        <v/>
      </c>
      <c r="W178" s="272" t="n">
        <v>2</v>
      </c>
      <c r="X178" s="272" t="n">
        <v>2</v>
      </c>
      <c r="Y178" s="272" t="n">
        <v>2</v>
      </c>
      <c r="Z178" s="272" t="n">
        <v>3</v>
      </c>
      <c r="AA178" s="272" t="n">
        <v>9</v>
      </c>
    </row>
    <row r="179">
      <c r="A179" s="270" t="n">
        <v>46071</v>
      </c>
      <c r="B179" s="271" t="inlineStr">
        <is>
          <t>Belenenses</t>
        </is>
      </c>
      <c r="C179" s="271" t="inlineStr">
        <is>
          <t>Edu</t>
        </is>
      </c>
      <c r="D179" s="271" t="inlineStr">
        <is>
          <t>Lateral</t>
        </is>
      </c>
      <c r="E179" s="272" t="n">
        <v>85</v>
      </c>
      <c r="F179" s="272" t="n">
        <v>10500</v>
      </c>
      <c r="G179" s="272" t="n">
        <v>380</v>
      </c>
      <c r="H179" s="272" t="n">
        <v>185</v>
      </c>
      <c r="I179" s="272" t="n">
        <v>78</v>
      </c>
      <c r="J179" s="272" t="n">
        <v>88</v>
      </c>
      <c r="K179" s="272" t="n">
        <v>6</v>
      </c>
      <c r="L179" s="273" t="n">
        <v>32</v>
      </c>
      <c r="M179" s="272" t="n">
        <v>8</v>
      </c>
      <c r="N179" s="272" t="n">
        <v>14</v>
      </c>
      <c r="O179" s="272" t="n">
        <v>7</v>
      </c>
      <c r="P179" s="272" t="n">
        <v>3</v>
      </c>
      <c r="Q179" s="271" t="inlineStr">
        <is>
          <t>Treino</t>
        </is>
      </c>
      <c r="R179" s="272" t="n">
        <v>8</v>
      </c>
      <c r="S179" s="271" t="inlineStr">
        <is>
          <t>MD-3</t>
        </is>
      </c>
      <c r="T179" s="272" t="n"/>
      <c r="U179" s="272" t="n"/>
      <c r="V179" s="274">
        <f>IF(_xlfn.MAXIFS(tblCarga[Data],tblCarga[Jogador],C179,tblCarga[Tipo],"Jogo",tblCarga[Data],"&lt;"&amp;A179)=0,"-",A179-_xlfn.MAXIFS(tblCarga[Data],tblCarga[Jogador],C179,tblCarga[Tipo],"Jogo",tblCarga[Data],"&lt;"&amp;A179))</f>
        <v/>
      </c>
      <c r="W179" s="272" t="n">
        <v>3</v>
      </c>
      <c r="X179" s="272" t="n">
        <v>2</v>
      </c>
      <c r="Y179" s="272" t="n">
        <v>2</v>
      </c>
      <c r="Z179" s="272" t="n">
        <v>3</v>
      </c>
      <c r="AA179" s="272" t="n">
        <v>10</v>
      </c>
    </row>
    <row r="180">
      <c r="A180" s="270" t="n">
        <v>46071</v>
      </c>
      <c r="B180" s="271" t="inlineStr">
        <is>
          <t>Belenenses</t>
        </is>
      </c>
      <c r="C180" s="271" t="inlineStr">
        <is>
          <t>Capitulo</t>
        </is>
      </c>
      <c r="D180" s="271" t="inlineStr">
        <is>
          <t>Lateral</t>
        </is>
      </c>
      <c r="E180" s="272" t="n">
        <v>90</v>
      </c>
      <c r="F180" s="272" t="n">
        <v>11500</v>
      </c>
      <c r="G180" s="272" t="n">
        <v>470</v>
      </c>
      <c r="H180" s="272" t="n">
        <v>190</v>
      </c>
      <c r="I180" s="272" t="n">
        <v>88</v>
      </c>
      <c r="J180" s="272" t="n">
        <v>98</v>
      </c>
      <c r="K180" s="272" t="n">
        <v>5</v>
      </c>
      <c r="L180" s="273" t="n">
        <v>31</v>
      </c>
      <c r="M180" s="272" t="n">
        <v>8</v>
      </c>
      <c r="N180" s="272" t="n">
        <v>13</v>
      </c>
      <c r="O180" s="272" t="n">
        <v>8</v>
      </c>
      <c r="P180" s="272" t="n">
        <v>3</v>
      </c>
      <c r="Q180" s="271" t="inlineStr">
        <is>
          <t>Treino</t>
        </is>
      </c>
      <c r="R180" s="272" t="n">
        <v>8</v>
      </c>
      <c r="S180" s="271" t="inlineStr">
        <is>
          <t>MD-3</t>
        </is>
      </c>
      <c r="T180" s="272" t="n"/>
      <c r="U180" s="272" t="n"/>
      <c r="V180" s="274">
        <f>IF(_xlfn.MAXIFS(tblCarga[Data],tblCarga[Jogador],C180,tblCarga[Tipo],"Jogo",tblCarga[Data],"&lt;"&amp;A180)=0,"-",A180-_xlfn.MAXIFS(tblCarga[Data],tblCarga[Jogador],C180,tblCarga[Tipo],"Jogo",tblCarga[Data],"&lt;"&amp;A180))</f>
        <v/>
      </c>
      <c r="W180" s="272" t="n">
        <v>3</v>
      </c>
      <c r="X180" s="272" t="n">
        <v>2</v>
      </c>
      <c r="Y180" s="272" t="n">
        <v>2</v>
      </c>
      <c r="Z180" s="272" t="n">
        <v>2</v>
      </c>
      <c r="AA180" s="272" t="n">
        <v>9</v>
      </c>
    </row>
    <row r="181">
      <c r="A181" s="270" t="n">
        <v>46071</v>
      </c>
      <c r="B181" s="271" t="inlineStr">
        <is>
          <t>Belenenses</t>
        </is>
      </c>
      <c r="C181" s="271" t="inlineStr">
        <is>
          <t>Enzo Hugo</t>
        </is>
      </c>
      <c r="D181" s="271" t="inlineStr">
        <is>
          <t>Central</t>
        </is>
      </c>
      <c r="E181" s="272" t="n">
        <v>87</v>
      </c>
      <c r="F181" s="272" t="n">
        <v>8400</v>
      </c>
      <c r="G181" s="272" t="n">
        <v>290</v>
      </c>
      <c r="H181" s="272" t="n">
        <v>48</v>
      </c>
      <c r="I181" s="272" t="n">
        <v>88</v>
      </c>
      <c r="J181" s="272" t="n">
        <v>98</v>
      </c>
      <c r="K181" s="272" t="n">
        <v>7</v>
      </c>
      <c r="L181" s="273" t="n">
        <v>29</v>
      </c>
      <c r="M181" s="272" t="n">
        <v>8</v>
      </c>
      <c r="N181" s="272" t="n">
        <v>10</v>
      </c>
      <c r="O181" s="272" t="n">
        <v>4</v>
      </c>
      <c r="P181" s="272" t="n">
        <v>1</v>
      </c>
      <c r="Q181" s="271" t="inlineStr">
        <is>
          <t>Treino</t>
        </is>
      </c>
      <c r="R181" s="272" t="n">
        <v>8</v>
      </c>
      <c r="S181" s="271" t="inlineStr">
        <is>
          <t>MD-3</t>
        </is>
      </c>
      <c r="T181" s="272" t="n"/>
      <c r="U181" s="272" t="n"/>
      <c r="V181" s="274">
        <f>IF(_xlfn.MAXIFS(tblCarga[Data],tblCarga[Jogador],C181,tblCarga[Tipo],"Jogo",tblCarga[Data],"&lt;"&amp;A181)=0,"-",A181-_xlfn.MAXIFS(tblCarga[Data],tblCarga[Jogador],C181,tblCarga[Tipo],"Jogo",tblCarga[Data],"&lt;"&amp;A181))</f>
        <v/>
      </c>
      <c r="W181" s="272" t="n">
        <v>3</v>
      </c>
      <c r="X181" s="272" t="n">
        <v>2</v>
      </c>
      <c r="Y181" s="272" t="n">
        <v>2</v>
      </c>
      <c r="Z181" s="272" t="n">
        <v>2</v>
      </c>
      <c r="AA181" s="272" t="n">
        <v>9</v>
      </c>
    </row>
    <row r="182">
      <c r="A182" s="270" t="n">
        <v>46071</v>
      </c>
      <c r="B182" s="271" t="inlineStr">
        <is>
          <t>Belenenses</t>
        </is>
      </c>
      <c r="C182" s="271" t="inlineStr">
        <is>
          <t>Nogueira</t>
        </is>
      </c>
      <c r="D182" s="271" t="inlineStr">
        <is>
          <t>Central</t>
        </is>
      </c>
      <c r="E182" s="272" t="n">
        <v>85</v>
      </c>
      <c r="F182" s="272" t="n">
        <v>8600</v>
      </c>
      <c r="G182" s="272" t="n">
        <v>330</v>
      </c>
      <c r="H182" s="272" t="n">
        <v>30</v>
      </c>
      <c r="I182" s="272" t="n">
        <v>56</v>
      </c>
      <c r="J182" s="272" t="n">
        <v>76</v>
      </c>
      <c r="K182" s="272" t="n">
        <v>7</v>
      </c>
      <c r="L182" s="273" t="n">
        <v>29</v>
      </c>
      <c r="M182" s="272" t="n">
        <v>8</v>
      </c>
      <c r="N182" s="272" t="n">
        <v>9</v>
      </c>
      <c r="O182" s="272" t="n">
        <v>5</v>
      </c>
      <c r="P182" s="272" t="n">
        <v>2</v>
      </c>
      <c r="Q182" s="271" t="inlineStr">
        <is>
          <t>Treino</t>
        </is>
      </c>
      <c r="R182" s="272" t="n">
        <v>8</v>
      </c>
      <c r="S182" s="271" t="inlineStr">
        <is>
          <t>MD-3</t>
        </is>
      </c>
      <c r="T182" s="272" t="n"/>
      <c r="U182" s="272" t="n"/>
      <c r="V182" s="274">
        <f>IF(_xlfn.MAXIFS(tblCarga[Data],tblCarga[Jogador],C182,tblCarga[Tipo],"Jogo",tblCarga[Data],"&lt;"&amp;A182)=0,"-",A182-_xlfn.MAXIFS(tblCarga[Data],tblCarga[Jogador],C182,tblCarga[Tipo],"Jogo",tblCarga[Data],"&lt;"&amp;A182))</f>
        <v/>
      </c>
      <c r="W182" s="272" t="n">
        <v>1</v>
      </c>
      <c r="X182" s="272" t="n">
        <v>3</v>
      </c>
      <c r="Y182" s="272" t="n">
        <v>2</v>
      </c>
      <c r="Z182" s="272" t="n">
        <v>1</v>
      </c>
      <c r="AA182" s="272" t="n">
        <v>7</v>
      </c>
    </row>
    <row r="183">
      <c r="A183" s="270" t="n">
        <v>46072</v>
      </c>
      <c r="B183" s="271" t="inlineStr">
        <is>
          <t>Belenenses</t>
        </is>
      </c>
      <c r="C183" s="271" t="inlineStr">
        <is>
          <t>Paulino</t>
        </is>
      </c>
      <c r="D183" s="271" t="inlineStr">
        <is>
          <t>Médio</t>
        </is>
      </c>
      <c r="E183" s="272" t="n">
        <v>85</v>
      </c>
      <c r="F183" s="272" t="n">
        <v>7000</v>
      </c>
      <c r="G183" s="272" t="n">
        <v>260</v>
      </c>
      <c r="H183" s="272" t="n">
        <v>120</v>
      </c>
      <c r="I183" s="272" t="n">
        <v>68</v>
      </c>
      <c r="J183" s="272" t="n">
        <v>75</v>
      </c>
      <c r="K183" s="272" t="n">
        <v>6</v>
      </c>
      <c r="L183" s="273" t="n">
        <v>30</v>
      </c>
      <c r="M183" s="272" t="n">
        <v>8</v>
      </c>
      <c r="N183" s="272" t="n">
        <v>10</v>
      </c>
      <c r="O183" s="272" t="n">
        <v>6</v>
      </c>
      <c r="P183" s="272" t="n">
        <v>3</v>
      </c>
      <c r="Q183" s="271" t="inlineStr">
        <is>
          <t>Treino</t>
        </is>
      </c>
      <c r="R183" s="272" t="n">
        <v>8</v>
      </c>
      <c r="S183" s="271" t="inlineStr">
        <is>
          <t>MD-2</t>
        </is>
      </c>
      <c r="T183" s="272" t="n"/>
      <c r="U183" s="272" t="n"/>
      <c r="V183" s="274">
        <f>IF(_xlfn.MAXIFS(tblCarga[Data],tblCarga[Jogador],C183,tblCarga[Tipo],"Jogo",tblCarga[Data],"&lt;"&amp;A183)=0,"-",A183-_xlfn.MAXIFS(tblCarga[Data],tblCarga[Jogador],C183,tblCarga[Tipo],"Jogo",tblCarga[Data],"&lt;"&amp;A183))</f>
        <v/>
      </c>
      <c r="W183" s="272" t="n">
        <v>2</v>
      </c>
      <c r="X183" s="272" t="n">
        <v>2</v>
      </c>
      <c r="Y183" s="272" t="n">
        <v>2</v>
      </c>
      <c r="Z183" s="272" t="n">
        <v>2</v>
      </c>
      <c r="AA183" s="272" t="n">
        <v>8</v>
      </c>
    </row>
    <row r="184">
      <c r="A184" s="270" t="n">
        <v>46072</v>
      </c>
      <c r="B184" s="271" t="inlineStr">
        <is>
          <t>Belenenses</t>
        </is>
      </c>
      <c r="C184" s="271" t="inlineStr">
        <is>
          <t>Artur</t>
        </is>
      </c>
      <c r="D184" s="271" t="inlineStr">
        <is>
          <t>Médio</t>
        </is>
      </c>
      <c r="E184" s="272" t="n">
        <v>85</v>
      </c>
      <c r="F184" s="272" t="n">
        <v>7400</v>
      </c>
      <c r="G184" s="272" t="n">
        <v>180</v>
      </c>
      <c r="H184" s="272" t="n">
        <v>45</v>
      </c>
      <c r="I184" s="272" t="n">
        <v>74</v>
      </c>
      <c r="J184" s="272" t="n">
        <v>84</v>
      </c>
      <c r="K184" s="272" t="n">
        <v>6</v>
      </c>
      <c r="L184" s="273" t="n">
        <v>30</v>
      </c>
      <c r="M184" s="272" t="n">
        <v>8</v>
      </c>
      <c r="N184" s="272" t="n">
        <v>9</v>
      </c>
      <c r="O184" s="272" t="n">
        <v>5</v>
      </c>
      <c r="P184" s="272" t="n">
        <v>2</v>
      </c>
      <c r="Q184" s="271" t="inlineStr">
        <is>
          <t>Treino</t>
        </is>
      </c>
      <c r="R184" s="272" t="n">
        <v>8</v>
      </c>
      <c r="S184" s="271" t="inlineStr">
        <is>
          <t>MD-2</t>
        </is>
      </c>
      <c r="T184" s="272" t="n"/>
      <c r="U184" s="272" t="n"/>
      <c r="V184" s="274">
        <f>IF(_xlfn.MAXIFS(tblCarga[Data],tblCarga[Jogador],C184,tblCarga[Tipo],"Jogo",tblCarga[Data],"&lt;"&amp;A184)=0,"-",A184-_xlfn.MAXIFS(tblCarga[Data],tblCarga[Jogador],C184,tblCarga[Tipo],"Jogo",tblCarga[Data],"&lt;"&amp;A184))</f>
        <v/>
      </c>
      <c r="W184" s="272" t="n">
        <v>1</v>
      </c>
      <c r="X184" s="272" t="n">
        <v>2</v>
      </c>
      <c r="Y184" s="272" t="n">
        <v>2</v>
      </c>
      <c r="Z184" s="272" t="n">
        <v>1</v>
      </c>
      <c r="AA184" s="272" t="n">
        <v>6</v>
      </c>
    </row>
    <row r="185">
      <c r="A185" s="270" t="n">
        <v>46072</v>
      </c>
      <c r="B185" s="271" t="inlineStr">
        <is>
          <t>Belenenses</t>
        </is>
      </c>
      <c r="C185" s="271" t="inlineStr">
        <is>
          <t>Gomes</t>
        </is>
      </c>
      <c r="D185" s="271" t="inlineStr">
        <is>
          <t>Médio</t>
        </is>
      </c>
      <c r="E185" s="272" t="n">
        <v>85</v>
      </c>
      <c r="F185" s="272" t="n">
        <v>8800</v>
      </c>
      <c r="G185" s="272" t="n">
        <v>220</v>
      </c>
      <c r="H185" s="272" t="n">
        <v>85</v>
      </c>
      <c r="I185" s="272" t="n">
        <v>76</v>
      </c>
      <c r="J185" s="272" t="n">
        <v>86</v>
      </c>
      <c r="K185" s="272" t="n">
        <v>7</v>
      </c>
      <c r="L185" s="273" t="n">
        <v>29</v>
      </c>
      <c r="M185" s="272" t="n">
        <v>8</v>
      </c>
      <c r="N185" s="272" t="n">
        <v>9</v>
      </c>
      <c r="O185" s="272" t="n">
        <v>3</v>
      </c>
      <c r="P185" s="272" t="n">
        <v>1</v>
      </c>
      <c r="Q185" s="271" t="inlineStr">
        <is>
          <t>Treino</t>
        </is>
      </c>
      <c r="R185" s="272" t="n">
        <v>8</v>
      </c>
      <c r="S185" s="271" t="inlineStr">
        <is>
          <t>MD-2</t>
        </is>
      </c>
      <c r="T185" s="272" t="n"/>
      <c r="U185" s="272" t="n"/>
      <c r="V185" s="274">
        <f>IF(_xlfn.MAXIFS(tblCarga[Data],tblCarga[Jogador],C185,tblCarga[Tipo],"Jogo",tblCarga[Data],"&lt;"&amp;A185)=0,"-",A185-_xlfn.MAXIFS(tblCarga[Data],tblCarga[Jogador],C185,tblCarga[Tipo],"Jogo",tblCarga[Data],"&lt;"&amp;A185))</f>
        <v/>
      </c>
      <c r="W185" s="272" t="n">
        <v>2</v>
      </c>
      <c r="X185" s="272" t="n">
        <v>2</v>
      </c>
      <c r="Y185" s="272" t="n">
        <v>2</v>
      </c>
      <c r="Z185" s="272" t="n">
        <v>3</v>
      </c>
      <c r="AA185" s="272" t="n">
        <v>9</v>
      </c>
    </row>
    <row r="186">
      <c r="A186" s="270" t="n">
        <v>46072</v>
      </c>
      <c r="B186" s="271" t="inlineStr">
        <is>
          <t>Belenenses</t>
        </is>
      </c>
      <c r="C186" s="271" t="inlineStr">
        <is>
          <t>Sá</t>
        </is>
      </c>
      <c r="D186" s="271" t="inlineStr">
        <is>
          <t>Médio</t>
        </is>
      </c>
      <c r="E186" s="272" t="n">
        <v>85</v>
      </c>
      <c r="F186" s="272" t="n">
        <v>8400</v>
      </c>
      <c r="G186" s="272" t="n">
        <v>260</v>
      </c>
      <c r="H186" s="272" t="n">
        <v>42</v>
      </c>
      <c r="I186" s="272" t="n">
        <v>76</v>
      </c>
      <c r="J186" s="272" t="n">
        <v>86</v>
      </c>
      <c r="K186" s="272" t="n">
        <v>8</v>
      </c>
      <c r="L186" s="273" t="n">
        <v>31</v>
      </c>
      <c r="M186" s="272" t="n">
        <v>8</v>
      </c>
      <c r="N186" s="272" t="n">
        <v>11</v>
      </c>
      <c r="O186" s="272" t="n">
        <v>5</v>
      </c>
      <c r="P186" s="272" t="n">
        <v>2</v>
      </c>
      <c r="Q186" s="271" t="inlineStr">
        <is>
          <t>Treino</t>
        </is>
      </c>
      <c r="R186" s="272" t="n">
        <v>8</v>
      </c>
      <c r="S186" s="271" t="inlineStr">
        <is>
          <t>MD-2</t>
        </is>
      </c>
      <c r="T186" s="272" t="n"/>
      <c r="U186" s="272" t="n"/>
      <c r="V186" s="274">
        <f>IF(_xlfn.MAXIFS(tblCarga[Data],tblCarga[Jogador],C186,tblCarga[Tipo],"Jogo",tblCarga[Data],"&lt;"&amp;A186)=0,"-",A186-_xlfn.MAXIFS(tblCarga[Data],tblCarga[Jogador],C186,tblCarga[Tipo],"Jogo",tblCarga[Data],"&lt;"&amp;A186))</f>
        <v/>
      </c>
      <c r="W186" s="272" t="n">
        <v>2</v>
      </c>
      <c r="X186" s="272" t="n">
        <v>2</v>
      </c>
      <c r="Y186" s="272" t="n">
        <v>2</v>
      </c>
      <c r="Z186" s="272" t="n">
        <v>1</v>
      </c>
      <c r="AA186" s="272" t="n">
        <v>7</v>
      </c>
    </row>
    <row r="187">
      <c r="A187" s="270" t="n">
        <v>46072</v>
      </c>
      <c r="B187" s="271" t="inlineStr">
        <is>
          <t>Belenenses</t>
        </is>
      </c>
      <c r="C187" s="271" t="inlineStr">
        <is>
          <t>Varela</t>
        </is>
      </c>
      <c r="D187" s="271" t="inlineStr">
        <is>
          <t>Lateral</t>
        </is>
      </c>
      <c r="E187" s="272" t="n">
        <v>85</v>
      </c>
      <c r="F187" s="272" t="n">
        <v>9600</v>
      </c>
      <c r="G187" s="272" t="n">
        <v>330</v>
      </c>
      <c r="H187" s="272" t="n">
        <v>140</v>
      </c>
      <c r="I187" s="272" t="n">
        <v>76</v>
      </c>
      <c r="J187" s="272" t="n">
        <v>86</v>
      </c>
      <c r="K187" s="272" t="n">
        <v>7</v>
      </c>
      <c r="L187" s="273" t="n">
        <v>33</v>
      </c>
      <c r="M187" s="272" t="n">
        <v>8</v>
      </c>
      <c r="N187" s="272" t="n">
        <v>11</v>
      </c>
      <c r="O187" s="272" t="n">
        <v>7</v>
      </c>
      <c r="P187" s="272" t="n">
        <v>3</v>
      </c>
      <c r="Q187" s="271" t="inlineStr">
        <is>
          <t>Treino</t>
        </is>
      </c>
      <c r="R187" s="272" t="n">
        <v>8</v>
      </c>
      <c r="S187" s="271" t="inlineStr">
        <is>
          <t>MD-2</t>
        </is>
      </c>
      <c r="T187" s="272" t="n"/>
      <c r="U187" s="272" t="n"/>
      <c r="V187" s="274">
        <f>IF(_xlfn.MAXIFS(tblCarga[Data],tblCarga[Jogador],C187,tblCarga[Tipo],"Jogo",tblCarga[Data],"&lt;"&amp;A187)=0,"-",A187-_xlfn.MAXIFS(tblCarga[Data],tblCarga[Jogador],C187,tblCarga[Tipo],"Jogo",tblCarga[Data],"&lt;"&amp;A187))</f>
        <v/>
      </c>
      <c r="W187" s="272" t="n">
        <v>2</v>
      </c>
      <c r="X187" s="272" t="n">
        <v>2</v>
      </c>
      <c r="Y187" s="272" t="n">
        <v>2</v>
      </c>
      <c r="Z187" s="272" t="n">
        <v>3</v>
      </c>
      <c r="AA187" s="272" t="n">
        <v>9</v>
      </c>
    </row>
    <row r="188">
      <c r="A188" s="270" t="n">
        <v>46072</v>
      </c>
      <c r="B188" s="271" t="inlineStr">
        <is>
          <t>Belenenses</t>
        </is>
      </c>
      <c r="C188" s="271" t="inlineStr">
        <is>
          <t>Edu</t>
        </is>
      </c>
      <c r="D188" s="271" t="inlineStr">
        <is>
          <t>Lateral</t>
        </is>
      </c>
      <c r="E188" s="272" t="n">
        <v>82</v>
      </c>
      <c r="F188" s="272" t="n">
        <v>10200</v>
      </c>
      <c r="G188" s="272" t="n">
        <v>370</v>
      </c>
      <c r="H188" s="272" t="n">
        <v>180</v>
      </c>
      <c r="I188" s="272" t="n">
        <v>76</v>
      </c>
      <c r="J188" s="272" t="n">
        <v>86</v>
      </c>
      <c r="K188" s="272" t="n">
        <v>5</v>
      </c>
      <c r="L188" s="273" t="n">
        <v>32</v>
      </c>
      <c r="M188" s="272" t="n">
        <v>8</v>
      </c>
      <c r="N188" s="272" t="n">
        <v>13</v>
      </c>
      <c r="O188" s="272" t="n">
        <v>7</v>
      </c>
      <c r="P188" s="272" t="n">
        <v>3</v>
      </c>
      <c r="Q188" s="271" t="inlineStr">
        <is>
          <t>Treino</t>
        </is>
      </c>
      <c r="R188" s="272" t="n">
        <v>8</v>
      </c>
      <c r="S188" s="271" t="inlineStr">
        <is>
          <t>MD-2</t>
        </is>
      </c>
      <c r="T188" s="272" t="n"/>
      <c r="U188" s="272" t="n"/>
      <c r="V188" s="274">
        <f>IF(_xlfn.MAXIFS(tblCarga[Data],tblCarga[Jogador],C188,tblCarga[Tipo],"Jogo",tblCarga[Data],"&lt;"&amp;A188)=0,"-",A188-_xlfn.MAXIFS(tblCarga[Data],tblCarga[Jogador],C188,tblCarga[Tipo],"Jogo",tblCarga[Data],"&lt;"&amp;A188))</f>
        <v/>
      </c>
      <c r="W188" s="272" t="n">
        <v>3</v>
      </c>
      <c r="X188" s="272" t="n">
        <v>3</v>
      </c>
      <c r="Y188" s="272" t="n">
        <v>3</v>
      </c>
      <c r="Z188" s="272" t="n">
        <v>3</v>
      </c>
      <c r="AA188" s="272" t="n">
        <v>12</v>
      </c>
    </row>
    <row r="189">
      <c r="A189" s="270" t="n">
        <v>46072</v>
      </c>
      <c r="B189" s="271" t="inlineStr">
        <is>
          <t>Belenenses</t>
        </is>
      </c>
      <c r="C189" s="271" t="inlineStr">
        <is>
          <t>Capitulo</t>
        </is>
      </c>
      <c r="D189" s="271" t="inlineStr">
        <is>
          <t>Lateral</t>
        </is>
      </c>
      <c r="E189" s="272" t="n">
        <v>88</v>
      </c>
      <c r="F189" s="272" t="n">
        <v>11200</v>
      </c>
      <c r="G189" s="272" t="n">
        <v>450</v>
      </c>
      <c r="H189" s="272" t="n">
        <v>185</v>
      </c>
      <c r="I189" s="272" t="n">
        <v>86</v>
      </c>
      <c r="J189" s="272" t="n">
        <v>96</v>
      </c>
      <c r="K189" s="272" t="n">
        <v>5</v>
      </c>
      <c r="L189" s="273" t="n">
        <v>31</v>
      </c>
      <c r="M189" s="272" t="n">
        <v>8</v>
      </c>
      <c r="N189" s="272" t="n">
        <v>12</v>
      </c>
      <c r="O189" s="272" t="n">
        <v>8</v>
      </c>
      <c r="P189" s="272" t="n">
        <v>3</v>
      </c>
      <c r="Q189" s="271" t="inlineStr">
        <is>
          <t>Treino</t>
        </is>
      </c>
      <c r="R189" s="272" t="n">
        <v>8</v>
      </c>
      <c r="S189" s="271" t="inlineStr">
        <is>
          <t>MD-2</t>
        </is>
      </c>
      <c r="T189" s="272" t="n"/>
      <c r="U189" s="272" t="n"/>
      <c r="V189" s="274">
        <f>IF(_xlfn.MAXIFS(tblCarga[Data],tblCarga[Jogador],C189,tblCarga[Tipo],"Jogo",tblCarga[Data],"&lt;"&amp;A189)=0,"-",A189-_xlfn.MAXIFS(tblCarga[Data],tblCarga[Jogador],C189,tblCarga[Tipo],"Jogo",tblCarga[Data],"&lt;"&amp;A189))</f>
        <v/>
      </c>
      <c r="W189" s="272" t="n">
        <v>1</v>
      </c>
      <c r="X189" s="272" t="n">
        <v>1</v>
      </c>
      <c r="Y189" s="272" t="n">
        <v>2</v>
      </c>
      <c r="Z189" s="272" t="n">
        <v>3</v>
      </c>
      <c r="AA189" s="272" t="n">
        <v>7</v>
      </c>
    </row>
    <row r="190">
      <c r="A190" s="270" t="n">
        <v>46072</v>
      </c>
      <c r="B190" s="271" t="inlineStr">
        <is>
          <t>Belenenses</t>
        </is>
      </c>
      <c r="C190" s="271" t="inlineStr">
        <is>
          <t>Enzo Hugo</t>
        </is>
      </c>
      <c r="D190" s="271" t="inlineStr">
        <is>
          <t>Central</t>
        </is>
      </c>
      <c r="E190" s="272" t="n">
        <v>85</v>
      </c>
      <c r="F190" s="272" t="n">
        <v>8200</v>
      </c>
      <c r="G190" s="272" t="n">
        <v>280</v>
      </c>
      <c r="H190" s="272" t="n">
        <v>45</v>
      </c>
      <c r="I190" s="272" t="n">
        <v>86</v>
      </c>
      <c r="J190" s="272" t="n">
        <v>96</v>
      </c>
      <c r="K190" s="272" t="n">
        <v>7</v>
      </c>
      <c r="L190" s="273" t="n">
        <v>29</v>
      </c>
      <c r="M190" s="272" t="n">
        <v>8</v>
      </c>
      <c r="N190" s="272" t="n">
        <v>9</v>
      </c>
      <c r="O190" s="272" t="n">
        <v>3</v>
      </c>
      <c r="P190" s="272" t="n">
        <v>1</v>
      </c>
      <c r="Q190" s="271" t="inlineStr">
        <is>
          <t>Treino</t>
        </is>
      </c>
      <c r="R190" s="272" t="n">
        <v>8</v>
      </c>
      <c r="S190" s="271" t="inlineStr">
        <is>
          <t>MD-2</t>
        </is>
      </c>
      <c r="T190" s="272" t="n"/>
      <c r="U190" s="272" t="n"/>
      <c r="V190" s="274">
        <f>IF(_xlfn.MAXIFS(tblCarga[Data],tblCarga[Jogador],C190,tblCarga[Tipo],"Jogo",tblCarga[Data],"&lt;"&amp;A190)=0,"-",A190-_xlfn.MAXIFS(tblCarga[Data],tblCarga[Jogador],C190,tblCarga[Tipo],"Jogo",tblCarga[Data],"&lt;"&amp;A190))</f>
        <v/>
      </c>
      <c r="W190" s="272" t="n">
        <v>1</v>
      </c>
      <c r="X190" s="272" t="n">
        <v>3</v>
      </c>
      <c r="Y190" s="272" t="n">
        <v>2</v>
      </c>
      <c r="Z190" s="272" t="n">
        <v>2</v>
      </c>
      <c r="AA190" s="272" t="n">
        <v>8</v>
      </c>
    </row>
    <row r="191">
      <c r="A191" s="270" t="n">
        <v>46072</v>
      </c>
      <c r="B191" s="271" t="inlineStr">
        <is>
          <t>Belenenses</t>
        </is>
      </c>
      <c r="C191" s="271" t="inlineStr">
        <is>
          <t>Nogueira</t>
        </is>
      </c>
      <c r="D191" s="271" t="inlineStr">
        <is>
          <t>Central</t>
        </is>
      </c>
      <c r="E191" s="272" t="n">
        <v>82</v>
      </c>
      <c r="F191" s="272" t="n">
        <v>8400</v>
      </c>
      <c r="G191" s="272" t="n">
        <v>320</v>
      </c>
      <c r="H191" s="272" t="n">
        <v>28</v>
      </c>
      <c r="I191" s="272" t="n">
        <v>54</v>
      </c>
      <c r="J191" s="272" t="n">
        <v>74</v>
      </c>
      <c r="K191" s="272" t="n">
        <v>6</v>
      </c>
      <c r="L191" s="273" t="n">
        <v>29</v>
      </c>
      <c r="M191" s="272" t="n">
        <v>8</v>
      </c>
      <c r="N191" s="272" t="n">
        <v>8</v>
      </c>
      <c r="O191" s="272" t="n">
        <v>5</v>
      </c>
      <c r="P191" s="272" t="n">
        <v>2</v>
      </c>
      <c r="Q191" s="271" t="inlineStr">
        <is>
          <t>Treino</t>
        </is>
      </c>
      <c r="R191" s="272" t="n">
        <v>8</v>
      </c>
      <c r="S191" s="271" t="inlineStr">
        <is>
          <t>MD-2</t>
        </is>
      </c>
      <c r="T191" s="272" t="n"/>
      <c r="U191" s="272" t="n"/>
      <c r="V191" s="274">
        <f>IF(_xlfn.MAXIFS(tblCarga[Data],tblCarga[Jogador],C191,tblCarga[Tipo],"Jogo",tblCarga[Data],"&lt;"&amp;A191)=0,"-",A191-_xlfn.MAXIFS(tblCarga[Data],tblCarga[Jogador],C191,tblCarga[Tipo],"Jogo",tblCarga[Data],"&lt;"&amp;A191))</f>
        <v/>
      </c>
      <c r="W191" s="272" t="n">
        <v>1</v>
      </c>
      <c r="X191" s="272" t="n">
        <v>3</v>
      </c>
      <c r="Y191" s="272" t="n">
        <v>3</v>
      </c>
      <c r="Z191" s="272" t="n">
        <v>2</v>
      </c>
      <c r="AA191" s="272" t="n">
        <v>9</v>
      </c>
    </row>
    <row r="192">
      <c r="A192" s="270" t="n">
        <v>46074</v>
      </c>
      <c r="B192" s="271" t="inlineStr">
        <is>
          <t>Belenenses</t>
        </is>
      </c>
      <c r="C192" s="271" t="inlineStr">
        <is>
          <t>Paulino</t>
        </is>
      </c>
      <c r="D192" s="271" t="inlineStr">
        <is>
          <t>Médio</t>
        </is>
      </c>
      <c r="E192" s="272" t="n">
        <v>90</v>
      </c>
      <c r="F192" s="272" t="n">
        <v>10000</v>
      </c>
      <c r="G192" s="272" t="n">
        <v>400</v>
      </c>
      <c r="H192" s="272" t="n">
        <v>200</v>
      </c>
      <c r="I192" s="272" t="n">
        <v>85</v>
      </c>
      <c r="J192" s="272" t="n">
        <v>90</v>
      </c>
      <c r="K192" s="272" t="n">
        <v>8</v>
      </c>
      <c r="L192" s="273" t="n">
        <v>30</v>
      </c>
      <c r="M192" s="272" t="n">
        <v>8</v>
      </c>
      <c r="N192" s="272" t="n">
        <v>14</v>
      </c>
      <c r="O192" s="272" t="n">
        <v>9</v>
      </c>
      <c r="P192" s="272" t="n">
        <v>4</v>
      </c>
      <c r="Q192" s="271" t="inlineStr">
        <is>
          <t>Jogo</t>
        </is>
      </c>
      <c r="R192" s="272" t="n">
        <v>8</v>
      </c>
      <c r="S192" s="271" t="inlineStr">
        <is>
          <t>MD</t>
        </is>
      </c>
      <c r="T192" s="272" t="n"/>
      <c r="U192" s="272" t="n"/>
      <c r="V192" s="274">
        <f>IF(_xlfn.MAXIFS(tblCarga[Data],tblCarga[Jogador],C192,tblCarga[Tipo],"Jogo",tblCarga[Data],"&lt;"&amp;A192)=0,"-",A192-_xlfn.MAXIFS(tblCarga[Data],tblCarga[Jogador],C192,tblCarga[Tipo],"Jogo",tblCarga[Data],"&lt;"&amp;A192))</f>
        <v/>
      </c>
      <c r="W192" s="272" t="n">
        <v>3</v>
      </c>
      <c r="X192" s="272" t="n">
        <v>3</v>
      </c>
      <c r="Y192" s="272" t="n">
        <v>3</v>
      </c>
      <c r="Z192" s="272" t="n">
        <v>1</v>
      </c>
      <c r="AA192" s="272" t="n">
        <v>10</v>
      </c>
    </row>
    <row r="193">
      <c r="A193" s="270" t="n">
        <v>46074</v>
      </c>
      <c r="B193" s="271" t="inlineStr">
        <is>
          <t>Belenenses</t>
        </is>
      </c>
      <c r="C193" s="271" t="inlineStr">
        <is>
          <t>Artur</t>
        </is>
      </c>
      <c r="D193" s="271" t="inlineStr">
        <is>
          <t>Médio</t>
        </is>
      </c>
      <c r="E193" s="272" t="n">
        <v>90</v>
      </c>
      <c r="F193" s="272" t="n">
        <v>10500</v>
      </c>
      <c r="G193" s="272" t="n">
        <v>300</v>
      </c>
      <c r="H193" s="272" t="n">
        <v>80</v>
      </c>
      <c r="I193" s="272" t="n">
        <v>95</v>
      </c>
      <c r="J193" s="272" t="n">
        <v>100</v>
      </c>
      <c r="K193" s="272" t="n">
        <v>8</v>
      </c>
      <c r="L193" s="273" t="n">
        <v>30</v>
      </c>
      <c r="M193" s="272" t="n">
        <v>8</v>
      </c>
      <c r="N193" s="272" t="n">
        <v>16</v>
      </c>
      <c r="O193" s="272" t="n">
        <v>10</v>
      </c>
      <c r="P193" s="272" t="n">
        <v>3</v>
      </c>
      <c r="Q193" s="271" t="inlineStr">
        <is>
          <t>Jogo</t>
        </is>
      </c>
      <c r="R193" s="272" t="n">
        <v>8</v>
      </c>
      <c r="S193" s="271" t="inlineStr">
        <is>
          <t>MD</t>
        </is>
      </c>
      <c r="T193" s="272" t="n"/>
      <c r="U193" s="272" t="n"/>
      <c r="V193" s="274">
        <f>IF(_xlfn.MAXIFS(tblCarga[Data],tblCarga[Jogador],C193,tblCarga[Tipo],"Jogo",tblCarga[Data],"&lt;"&amp;A193)=0,"-",A193-_xlfn.MAXIFS(tblCarga[Data],tblCarga[Jogador],C193,tblCarga[Tipo],"Jogo",tblCarga[Data],"&lt;"&amp;A193))</f>
        <v/>
      </c>
      <c r="W193" s="272" t="n">
        <v>3</v>
      </c>
      <c r="X193" s="272" t="n">
        <v>2</v>
      </c>
      <c r="Y193" s="272" t="n">
        <v>4</v>
      </c>
      <c r="Z193" s="272" t="n">
        <v>1</v>
      </c>
      <c r="AA193" s="272" t="n">
        <v>10</v>
      </c>
    </row>
    <row r="194">
      <c r="A194" s="270" t="n">
        <v>46074</v>
      </c>
      <c r="B194" s="271" t="inlineStr">
        <is>
          <t>Belenenses</t>
        </is>
      </c>
      <c r="C194" s="271" t="inlineStr">
        <is>
          <t>Gomes</t>
        </is>
      </c>
      <c r="D194" s="271" t="inlineStr">
        <is>
          <t>Médio</t>
        </is>
      </c>
      <c r="E194" s="272" t="n">
        <v>90</v>
      </c>
      <c r="F194" s="272" t="n">
        <v>11500</v>
      </c>
      <c r="G194" s="272" t="n">
        <v>350</v>
      </c>
      <c r="H194" s="272" t="n">
        <v>150</v>
      </c>
      <c r="I194" s="272" t="n">
        <v>90</v>
      </c>
      <c r="J194" s="272" t="n">
        <v>100</v>
      </c>
      <c r="K194" s="272" t="n">
        <v>9</v>
      </c>
      <c r="L194" s="273" t="n">
        <v>30</v>
      </c>
      <c r="M194" s="272" t="n">
        <v>8</v>
      </c>
      <c r="N194" s="272" t="n">
        <v>15</v>
      </c>
      <c r="O194" s="272" t="n">
        <v>8</v>
      </c>
      <c r="P194" s="272" t="n">
        <v>3</v>
      </c>
      <c r="Q194" s="271" t="inlineStr">
        <is>
          <t>Jogo</t>
        </is>
      </c>
      <c r="R194" s="272" t="n">
        <v>8</v>
      </c>
      <c r="S194" s="271" t="inlineStr">
        <is>
          <t>MD</t>
        </is>
      </c>
      <c r="T194" s="272" t="n"/>
      <c r="U194" s="272" t="n"/>
      <c r="V194" s="274">
        <f>IF(_xlfn.MAXIFS(tblCarga[Data],tblCarga[Jogador],C194,tblCarga[Tipo],"Jogo",tblCarga[Data],"&lt;"&amp;A194)=0,"-",A194-_xlfn.MAXIFS(tblCarga[Data],tblCarga[Jogador],C194,tblCarga[Tipo],"Jogo",tblCarga[Data],"&lt;"&amp;A194))</f>
        <v/>
      </c>
      <c r="W194" s="272" t="n">
        <v>3</v>
      </c>
      <c r="X194" s="272" t="n">
        <v>4</v>
      </c>
      <c r="Y194" s="272" t="n">
        <v>4</v>
      </c>
      <c r="Z194" s="272" t="n">
        <v>1</v>
      </c>
      <c r="AA194" s="272" t="n">
        <v>12</v>
      </c>
    </row>
    <row r="195">
      <c r="A195" s="270" t="n">
        <v>46074</v>
      </c>
      <c r="B195" s="271" t="inlineStr">
        <is>
          <t>Belenenses</t>
        </is>
      </c>
      <c r="C195" s="271" t="inlineStr">
        <is>
          <t>Sá</t>
        </is>
      </c>
      <c r="D195" s="271" t="inlineStr">
        <is>
          <t>Médio</t>
        </is>
      </c>
      <c r="E195" s="272" t="n">
        <v>90</v>
      </c>
      <c r="F195" s="272" t="n">
        <v>11000</v>
      </c>
      <c r="G195" s="272" t="n">
        <v>380</v>
      </c>
      <c r="H195" s="272" t="n">
        <v>70</v>
      </c>
      <c r="I195" s="272" t="n">
        <v>90</v>
      </c>
      <c r="J195" s="272" t="n">
        <v>100</v>
      </c>
      <c r="K195" s="272" t="n">
        <v>10</v>
      </c>
      <c r="L195" s="273" t="n">
        <v>32</v>
      </c>
      <c r="M195" s="272" t="n">
        <v>8</v>
      </c>
      <c r="N195" s="272" t="n">
        <v>16</v>
      </c>
      <c r="O195" s="272" t="n">
        <v>9</v>
      </c>
      <c r="P195" s="272" t="n">
        <v>3</v>
      </c>
      <c r="Q195" s="271" t="inlineStr">
        <is>
          <t>Jogo</t>
        </is>
      </c>
      <c r="R195" s="272" t="n">
        <v>8</v>
      </c>
      <c r="S195" s="271" t="inlineStr">
        <is>
          <t>MD</t>
        </is>
      </c>
      <c r="T195" s="272" t="n"/>
      <c r="U195" s="272" t="n"/>
      <c r="V195" s="274">
        <f>IF(_xlfn.MAXIFS(tblCarga[Data],tblCarga[Jogador],C195,tblCarga[Tipo],"Jogo",tblCarga[Data],"&lt;"&amp;A195)=0,"-",A195-_xlfn.MAXIFS(tblCarga[Data],tblCarga[Jogador],C195,tblCarga[Tipo],"Jogo",tblCarga[Data],"&lt;"&amp;A195))</f>
        <v/>
      </c>
      <c r="W195" s="272" t="n">
        <v>3</v>
      </c>
      <c r="X195" s="272" t="n">
        <v>3</v>
      </c>
      <c r="Y195" s="272" t="n">
        <v>4</v>
      </c>
      <c r="Z195" s="272" t="n">
        <v>2</v>
      </c>
      <c r="AA195" s="272" t="n">
        <v>12</v>
      </c>
    </row>
    <row r="196">
      <c r="A196" s="270" t="n">
        <v>46074</v>
      </c>
      <c r="B196" s="271" t="inlineStr">
        <is>
          <t>Belenenses</t>
        </is>
      </c>
      <c r="C196" s="271" t="inlineStr">
        <is>
          <t>Varela</t>
        </is>
      </c>
      <c r="D196" s="271" t="inlineStr">
        <is>
          <t>Lateral</t>
        </is>
      </c>
      <c r="E196" s="272" t="n">
        <v>90</v>
      </c>
      <c r="F196" s="272" t="n">
        <v>12000</v>
      </c>
      <c r="G196" s="272" t="n">
        <v>500</v>
      </c>
      <c r="H196" s="272" t="n">
        <v>250</v>
      </c>
      <c r="I196" s="272" t="n">
        <v>95</v>
      </c>
      <c r="J196" s="272" t="n">
        <v>105</v>
      </c>
      <c r="K196" s="272" t="n">
        <v>8</v>
      </c>
      <c r="L196" s="273" t="n">
        <v>34</v>
      </c>
      <c r="M196" s="272" t="n">
        <v>8</v>
      </c>
      <c r="N196" s="272" t="n">
        <v>18</v>
      </c>
      <c r="O196" s="272" t="n">
        <v>12</v>
      </c>
      <c r="P196" s="272" t="n">
        <v>5</v>
      </c>
      <c r="Q196" s="271" t="inlineStr">
        <is>
          <t>Jogo</t>
        </is>
      </c>
      <c r="R196" s="272" t="n">
        <v>8</v>
      </c>
      <c r="S196" s="271" t="inlineStr">
        <is>
          <t>MD</t>
        </is>
      </c>
      <c r="T196" s="272" t="n"/>
      <c r="U196" s="272" t="n"/>
      <c r="V196" s="274">
        <f>IF(_xlfn.MAXIFS(tblCarga[Data],tblCarga[Jogador],C196,tblCarga[Tipo],"Jogo",tblCarga[Data],"&lt;"&amp;A196)=0,"-",A196-_xlfn.MAXIFS(tblCarga[Data],tblCarga[Jogador],C196,tblCarga[Tipo],"Jogo",tblCarga[Data],"&lt;"&amp;A196))</f>
        <v/>
      </c>
      <c r="W196" s="272" t="n">
        <v>3</v>
      </c>
      <c r="X196" s="272" t="n">
        <v>3</v>
      </c>
      <c r="Y196" s="272" t="n">
        <v>3</v>
      </c>
      <c r="Z196" s="272" t="n">
        <v>1</v>
      </c>
      <c r="AA196" s="272" t="n">
        <v>10</v>
      </c>
    </row>
    <row r="197">
      <c r="A197" s="270" t="n">
        <v>46074</v>
      </c>
      <c r="B197" s="271" t="inlineStr">
        <is>
          <t>Belenenses</t>
        </is>
      </c>
      <c r="C197" s="271" t="inlineStr">
        <is>
          <t>Edu</t>
        </is>
      </c>
      <c r="D197" s="271" t="inlineStr">
        <is>
          <t>Lateral</t>
        </is>
      </c>
      <c r="E197" s="272" t="n">
        <v>90</v>
      </c>
      <c r="F197" s="272" t="n">
        <v>12500</v>
      </c>
      <c r="G197" s="272" t="n">
        <v>550</v>
      </c>
      <c r="H197" s="272" t="n">
        <v>300</v>
      </c>
      <c r="I197" s="272" t="n">
        <v>90</v>
      </c>
      <c r="J197" s="272" t="n">
        <v>100</v>
      </c>
      <c r="K197" s="272" t="n">
        <v>7</v>
      </c>
      <c r="L197" s="273" t="n">
        <v>33</v>
      </c>
      <c r="M197" s="272" t="n">
        <v>8</v>
      </c>
      <c r="N197" s="272" t="n">
        <v>20</v>
      </c>
      <c r="O197" s="272" t="n">
        <v>13</v>
      </c>
      <c r="P197" s="272" t="n">
        <v>6</v>
      </c>
      <c r="Q197" s="271" t="inlineStr">
        <is>
          <t>Jogo</t>
        </is>
      </c>
      <c r="R197" s="272" t="n">
        <v>8</v>
      </c>
      <c r="S197" s="271" t="inlineStr">
        <is>
          <t>MD</t>
        </is>
      </c>
      <c r="T197" s="272" t="n"/>
      <c r="U197" s="272" t="n"/>
      <c r="V197" s="274">
        <f>IF(_xlfn.MAXIFS(tblCarga[Data],tblCarga[Jogador],C197,tblCarga[Tipo],"Jogo",tblCarga[Data],"&lt;"&amp;A197)=0,"-",A197-_xlfn.MAXIFS(tblCarga[Data],tblCarga[Jogador],C197,tblCarga[Tipo],"Jogo",tblCarga[Data],"&lt;"&amp;A197))</f>
        <v/>
      </c>
      <c r="W197" s="272" t="n">
        <v>3</v>
      </c>
      <c r="X197" s="272" t="n">
        <v>4</v>
      </c>
      <c r="Y197" s="272" t="n">
        <v>3</v>
      </c>
      <c r="Z197" s="272" t="n">
        <v>2</v>
      </c>
      <c r="AA197" s="272" t="n">
        <v>12</v>
      </c>
    </row>
    <row r="198">
      <c r="A198" s="270" t="n">
        <v>46074</v>
      </c>
      <c r="B198" s="271" t="inlineStr">
        <is>
          <t>Belenenses</t>
        </is>
      </c>
      <c r="C198" s="271" t="inlineStr">
        <is>
          <t>Capitulo</t>
        </is>
      </c>
      <c r="D198" s="271" t="inlineStr">
        <is>
          <t>Lateral</t>
        </is>
      </c>
      <c r="E198" s="272" t="n">
        <v>90</v>
      </c>
      <c r="F198" s="272" t="n">
        <v>13000</v>
      </c>
      <c r="G198" s="272" t="n">
        <v>600</v>
      </c>
      <c r="H198" s="272" t="n">
        <v>280</v>
      </c>
      <c r="I198" s="272" t="n">
        <v>100</v>
      </c>
      <c r="J198" s="272" t="n">
        <v>110</v>
      </c>
      <c r="K198" s="272" t="n">
        <v>6</v>
      </c>
      <c r="L198" s="273" t="n">
        <v>32</v>
      </c>
      <c r="M198" s="272" t="n">
        <v>8</v>
      </c>
      <c r="N198" s="272" t="n">
        <v>19</v>
      </c>
      <c r="O198" s="272" t="n">
        <v>11</v>
      </c>
      <c r="P198" s="272" t="n">
        <v>5</v>
      </c>
      <c r="Q198" s="271" t="inlineStr">
        <is>
          <t>Jogo</t>
        </is>
      </c>
      <c r="R198" s="272" t="n">
        <v>8</v>
      </c>
      <c r="S198" s="271" t="inlineStr">
        <is>
          <t>MD</t>
        </is>
      </c>
      <c r="T198" s="272" t="n"/>
      <c r="U198" s="272" t="n"/>
      <c r="V198" s="274">
        <f>IF(_xlfn.MAXIFS(tblCarga[Data],tblCarga[Jogador],C198,tblCarga[Tipo],"Jogo",tblCarga[Data],"&lt;"&amp;A198)=0,"-",A198-_xlfn.MAXIFS(tblCarga[Data],tblCarga[Jogador],C198,tblCarga[Tipo],"Jogo",tblCarga[Data],"&lt;"&amp;A198))</f>
        <v/>
      </c>
      <c r="W198" s="272" t="n">
        <v>3</v>
      </c>
      <c r="X198" s="272" t="n">
        <v>3</v>
      </c>
      <c r="Y198" s="272" t="n">
        <v>3</v>
      </c>
      <c r="Z198" s="272" t="n">
        <v>2</v>
      </c>
      <c r="AA198" s="272" t="n">
        <v>11</v>
      </c>
    </row>
    <row r="199">
      <c r="A199" s="270" t="n">
        <v>46074</v>
      </c>
      <c r="B199" s="271" t="inlineStr">
        <is>
          <t>Belenenses</t>
        </is>
      </c>
      <c r="C199" s="271" t="inlineStr">
        <is>
          <t>Enzo Hugo</t>
        </is>
      </c>
      <c r="D199" s="271" t="inlineStr">
        <is>
          <t>Central</t>
        </is>
      </c>
      <c r="E199" s="272" t="n">
        <v>90</v>
      </c>
      <c r="F199" s="272" t="n">
        <v>10500</v>
      </c>
      <c r="G199" s="272" t="n">
        <v>400</v>
      </c>
      <c r="H199" s="272" t="n">
        <v>70</v>
      </c>
      <c r="I199" s="272" t="n">
        <v>100</v>
      </c>
      <c r="J199" s="272" t="n">
        <v>115</v>
      </c>
      <c r="K199" s="272" t="n">
        <v>9</v>
      </c>
      <c r="L199" s="273" t="n">
        <v>30</v>
      </c>
      <c r="M199" s="272" t="n">
        <v>8</v>
      </c>
      <c r="N199" s="272" t="n">
        <v>14</v>
      </c>
      <c r="O199" s="272" t="n">
        <v>7</v>
      </c>
      <c r="P199" s="272" t="n">
        <v>2</v>
      </c>
      <c r="Q199" s="271" t="inlineStr">
        <is>
          <t>Jogo</t>
        </is>
      </c>
      <c r="R199" s="272" t="n">
        <v>8</v>
      </c>
      <c r="S199" s="271" t="inlineStr">
        <is>
          <t>MD</t>
        </is>
      </c>
      <c r="T199" s="272" t="n"/>
      <c r="U199" s="272" t="n"/>
      <c r="V199" s="274">
        <f>IF(_xlfn.MAXIFS(tblCarga[Data],tblCarga[Jogador],C199,tblCarga[Tipo],"Jogo",tblCarga[Data],"&lt;"&amp;A199)=0,"-",A199-_xlfn.MAXIFS(tblCarga[Data],tblCarga[Jogador],C199,tblCarga[Tipo],"Jogo",tblCarga[Data],"&lt;"&amp;A199))</f>
        <v/>
      </c>
      <c r="W199" s="272" t="n">
        <v>1</v>
      </c>
      <c r="X199" s="272" t="n">
        <v>3</v>
      </c>
      <c r="Y199" s="272" t="n">
        <v>3</v>
      </c>
      <c r="Z199" s="272" t="n">
        <v>1</v>
      </c>
      <c r="AA199" s="272" t="n">
        <v>8</v>
      </c>
    </row>
    <row r="200">
      <c r="A200" s="270" t="n">
        <v>46074</v>
      </c>
      <c r="B200" s="271" t="inlineStr">
        <is>
          <t>Belenenses</t>
        </is>
      </c>
      <c r="C200" s="271" t="inlineStr">
        <is>
          <t>Nogueira</t>
        </is>
      </c>
      <c r="D200" s="271" t="inlineStr">
        <is>
          <t>Central</t>
        </is>
      </c>
      <c r="E200" s="272" t="n">
        <v>90</v>
      </c>
      <c r="F200" s="272" t="n">
        <v>10800</v>
      </c>
      <c r="G200" s="272" t="n">
        <v>450</v>
      </c>
      <c r="H200" s="272" t="n">
        <v>50</v>
      </c>
      <c r="I200" s="272" t="n">
        <v>70</v>
      </c>
      <c r="J200" s="272" t="n">
        <v>90</v>
      </c>
      <c r="K200" s="272" t="n">
        <v>8</v>
      </c>
      <c r="L200" s="273" t="n">
        <v>30</v>
      </c>
      <c r="M200" s="272" t="n">
        <v>8</v>
      </c>
      <c r="N200" s="272" t="n">
        <v>13</v>
      </c>
      <c r="O200" s="272" t="n">
        <v>8</v>
      </c>
      <c r="P200" s="272" t="n">
        <v>3</v>
      </c>
      <c r="Q200" s="271" t="inlineStr">
        <is>
          <t>Jogo</t>
        </is>
      </c>
      <c r="R200" s="272" t="n">
        <v>8</v>
      </c>
      <c r="S200" s="271" t="inlineStr">
        <is>
          <t>MD</t>
        </is>
      </c>
      <c r="T200" s="272" t="n"/>
      <c r="U200" s="272" t="n"/>
      <c r="V200" s="274">
        <f>IF(_xlfn.MAXIFS(tblCarga[Data],tblCarga[Jogador],C200,tblCarga[Tipo],"Jogo",tblCarga[Data],"&lt;"&amp;A200)=0,"-",A200-_xlfn.MAXIFS(tblCarga[Data],tblCarga[Jogador],C200,tblCarga[Tipo],"Jogo",tblCarga[Data],"&lt;"&amp;A200))</f>
        <v/>
      </c>
      <c r="W200" s="272" t="n">
        <v>1</v>
      </c>
      <c r="X200" s="272" t="n">
        <v>3</v>
      </c>
      <c r="Y200" s="272" t="n">
        <v>3</v>
      </c>
      <c r="Z200" s="272" t="n">
        <v>2</v>
      </c>
      <c r="AA200" s="272" t="n">
        <v>9</v>
      </c>
    </row>
    <row r="201">
      <c r="A201" s="270" t="n">
        <v>46075</v>
      </c>
      <c r="B201" s="271" t="inlineStr">
        <is>
          <t>Belenenses</t>
        </is>
      </c>
      <c r="C201" s="271" t="inlineStr">
        <is>
          <t>Paulino</t>
        </is>
      </c>
      <c r="D201" s="271" t="inlineStr">
        <is>
          <t>Médio</t>
        </is>
      </c>
      <c r="E201" s="272" t="n">
        <v>30</v>
      </c>
      <c r="F201" s="272" t="n">
        <v>3500</v>
      </c>
      <c r="G201" s="272" t="n">
        <v>100</v>
      </c>
      <c r="H201" s="272" t="n">
        <v>50</v>
      </c>
      <c r="I201" s="272" t="n">
        <v>30</v>
      </c>
      <c r="J201" s="272" t="n">
        <v>35</v>
      </c>
      <c r="K201" s="272" t="n">
        <v>4</v>
      </c>
      <c r="L201" s="273" t="n">
        <v>28</v>
      </c>
      <c r="M201" s="272" t="n">
        <v>8</v>
      </c>
      <c r="N201" s="272" t="n">
        <v>5</v>
      </c>
      <c r="O201" s="272" t="n">
        <v>2</v>
      </c>
      <c r="P201" s="272" t="n">
        <v>1</v>
      </c>
      <c r="Q201" s="271" t="inlineStr">
        <is>
          <t>Treino</t>
        </is>
      </c>
      <c r="R201" s="272" t="n">
        <v>8</v>
      </c>
      <c r="S201" s="271" t="inlineStr">
        <is>
          <t>MD+1R</t>
        </is>
      </c>
      <c r="T201" s="272" t="n"/>
      <c r="U201" s="272" t="n"/>
      <c r="V201" s="274">
        <f>IF(_xlfn.MAXIFS(tblCarga[Data],tblCarga[Jogador],C201,tblCarga[Tipo],"Jogo",tblCarga[Data],"&lt;"&amp;A201)=0,"-",A201-_xlfn.MAXIFS(tblCarga[Data],tblCarga[Jogador],C201,tblCarga[Tipo],"Jogo",tblCarga[Data],"&lt;"&amp;A201))</f>
        <v/>
      </c>
      <c r="W201" s="272" t="n">
        <v>4</v>
      </c>
      <c r="X201" s="272" t="n">
        <v>4</v>
      </c>
      <c r="Y201" s="272" t="n">
        <v>2</v>
      </c>
      <c r="Z201" s="272" t="n">
        <v>3</v>
      </c>
      <c r="AA201" s="272" t="n">
        <v>13</v>
      </c>
    </row>
    <row r="202">
      <c r="A202" s="270" t="n">
        <v>46075</v>
      </c>
      <c r="B202" s="271" t="inlineStr">
        <is>
          <t>Belenenses</t>
        </is>
      </c>
      <c r="C202" s="271" t="inlineStr">
        <is>
          <t>Artur</t>
        </is>
      </c>
      <c r="D202" s="271" t="inlineStr">
        <is>
          <t>Médio</t>
        </is>
      </c>
      <c r="E202" s="272" t="n">
        <v>30</v>
      </c>
      <c r="F202" s="272" t="n">
        <v>3200</v>
      </c>
      <c r="G202" s="272" t="n">
        <v>80</v>
      </c>
      <c r="H202" s="272" t="n">
        <v>20</v>
      </c>
      <c r="I202" s="272" t="n">
        <v>35</v>
      </c>
      <c r="J202" s="272" t="n">
        <v>40</v>
      </c>
      <c r="K202" s="272" t="n">
        <v>4</v>
      </c>
      <c r="L202" s="273" t="n">
        <v>27</v>
      </c>
      <c r="M202" s="272" t="n">
        <v>8</v>
      </c>
      <c r="N202" s="272" t="n">
        <v>4</v>
      </c>
      <c r="O202" s="272" t="n">
        <v>2</v>
      </c>
      <c r="P202" s="272" t="n">
        <v>0</v>
      </c>
      <c r="Q202" s="271" t="inlineStr">
        <is>
          <t>Treino</t>
        </is>
      </c>
      <c r="R202" s="272" t="n">
        <v>8</v>
      </c>
      <c r="S202" s="271" t="inlineStr">
        <is>
          <t>MD+1R</t>
        </is>
      </c>
      <c r="T202" s="272" t="n"/>
      <c r="U202" s="272" t="n"/>
      <c r="V202" s="274">
        <f>IF(_xlfn.MAXIFS(tblCarga[Data],tblCarga[Jogador],C202,tblCarga[Tipo],"Jogo",tblCarga[Data],"&lt;"&amp;A202)=0,"-",A202-_xlfn.MAXIFS(tblCarga[Data],tblCarga[Jogador],C202,tblCarga[Tipo],"Jogo",tblCarga[Data],"&lt;"&amp;A202))</f>
        <v/>
      </c>
      <c r="W202" s="272" t="n">
        <v>2</v>
      </c>
      <c r="X202" s="272" t="n">
        <v>4</v>
      </c>
      <c r="Y202" s="272" t="n">
        <v>2</v>
      </c>
      <c r="Z202" s="272" t="n">
        <v>3</v>
      </c>
      <c r="AA202" s="272" t="n">
        <v>11</v>
      </c>
    </row>
    <row r="203">
      <c r="A203" s="270" t="n">
        <v>46075</v>
      </c>
      <c r="B203" s="271" t="inlineStr">
        <is>
          <t>Belenenses</t>
        </is>
      </c>
      <c r="C203" s="271" t="inlineStr">
        <is>
          <t>Gomes</t>
        </is>
      </c>
      <c r="D203" s="271" t="inlineStr">
        <is>
          <t>Médio</t>
        </is>
      </c>
      <c r="E203" s="272" t="n">
        <v>30</v>
      </c>
      <c r="F203" s="272" t="n">
        <v>3800</v>
      </c>
      <c r="G203" s="272" t="n">
        <v>90</v>
      </c>
      <c r="H203" s="272" t="n">
        <v>40</v>
      </c>
      <c r="I203" s="272" t="n">
        <v>35</v>
      </c>
      <c r="J203" s="272" t="n">
        <v>40</v>
      </c>
      <c r="K203" s="272" t="n">
        <v>5</v>
      </c>
      <c r="L203" s="273" t="n">
        <v>27</v>
      </c>
      <c r="M203" s="272" t="n">
        <v>8</v>
      </c>
      <c r="N203" s="272" t="n">
        <v>3</v>
      </c>
      <c r="O203" s="272" t="n">
        <v>1</v>
      </c>
      <c r="P203" s="272" t="n">
        <v>0</v>
      </c>
      <c r="Q203" s="271" t="inlineStr">
        <is>
          <t>Treino</t>
        </is>
      </c>
      <c r="R203" s="272" t="n">
        <v>8</v>
      </c>
      <c r="S203" s="271" t="inlineStr">
        <is>
          <t>MD+1R</t>
        </is>
      </c>
      <c r="T203" s="272" t="n"/>
      <c r="U203" s="272" t="n"/>
      <c r="V203" s="274">
        <f>IF(_xlfn.MAXIFS(tblCarga[Data],tblCarga[Jogador],C203,tblCarga[Tipo],"Jogo",tblCarga[Data],"&lt;"&amp;A203)=0,"-",A203-_xlfn.MAXIFS(tblCarga[Data],tblCarga[Jogador],C203,tblCarga[Tipo],"Jogo",tblCarga[Data],"&lt;"&amp;A203))</f>
        <v/>
      </c>
      <c r="W203" s="272" t="n">
        <v>3</v>
      </c>
      <c r="X203" s="272" t="n">
        <v>4</v>
      </c>
      <c r="Y203" s="272" t="n">
        <v>2</v>
      </c>
      <c r="Z203" s="272" t="n">
        <v>4</v>
      </c>
      <c r="AA203" s="272" t="n">
        <v>13</v>
      </c>
    </row>
    <row r="204">
      <c r="A204" s="270" t="n">
        <v>46075</v>
      </c>
      <c r="B204" s="271" t="inlineStr">
        <is>
          <t>Belenenses</t>
        </is>
      </c>
      <c r="C204" s="271" t="inlineStr">
        <is>
          <t>Sá</t>
        </is>
      </c>
      <c r="D204" s="271" t="inlineStr">
        <is>
          <t>Médio</t>
        </is>
      </c>
      <c r="E204" s="272" t="n">
        <v>30</v>
      </c>
      <c r="F204" s="272" t="n">
        <v>3400</v>
      </c>
      <c r="G204" s="272" t="n">
        <v>100</v>
      </c>
      <c r="H204" s="272" t="n">
        <v>20</v>
      </c>
      <c r="I204" s="272" t="n">
        <v>35</v>
      </c>
      <c r="J204" s="272" t="n">
        <v>40</v>
      </c>
      <c r="K204" s="272" t="n">
        <v>5</v>
      </c>
      <c r="L204" s="273" t="n">
        <v>29</v>
      </c>
      <c r="M204" s="272" t="n">
        <v>8</v>
      </c>
      <c r="N204" s="272" t="n">
        <v>5</v>
      </c>
      <c r="O204" s="272" t="n">
        <v>2</v>
      </c>
      <c r="P204" s="272" t="n">
        <v>1</v>
      </c>
      <c r="Q204" s="271" t="inlineStr">
        <is>
          <t>Treino</t>
        </is>
      </c>
      <c r="R204" s="272" t="n">
        <v>8</v>
      </c>
      <c r="S204" s="271" t="inlineStr">
        <is>
          <t>MD+1R</t>
        </is>
      </c>
      <c r="T204" s="272" t="n"/>
      <c r="U204" s="272" t="n"/>
      <c r="V204" s="274">
        <f>IF(_xlfn.MAXIFS(tblCarga[Data],tblCarga[Jogador],C204,tblCarga[Tipo],"Jogo",tblCarga[Data],"&lt;"&amp;A204)=0,"-",A204-_xlfn.MAXIFS(tblCarga[Data],tblCarga[Jogador],C204,tblCarga[Tipo],"Jogo",tblCarga[Data],"&lt;"&amp;A204))</f>
        <v/>
      </c>
      <c r="W204" s="272" t="n">
        <v>3</v>
      </c>
      <c r="X204" s="272" t="n">
        <v>5</v>
      </c>
      <c r="Y204" s="272" t="n">
        <v>1</v>
      </c>
      <c r="Z204" s="272" t="n">
        <v>3</v>
      </c>
      <c r="AA204" s="272" t="n">
        <v>12</v>
      </c>
    </row>
    <row r="205">
      <c r="A205" s="270" t="n">
        <v>46075</v>
      </c>
      <c r="B205" s="271" t="inlineStr">
        <is>
          <t>Belenenses</t>
        </is>
      </c>
      <c r="C205" s="271" t="inlineStr">
        <is>
          <t>Varela</t>
        </is>
      </c>
      <c r="D205" s="271" t="inlineStr">
        <is>
          <t>Lateral</t>
        </is>
      </c>
      <c r="E205" s="272" t="n">
        <v>30</v>
      </c>
      <c r="F205" s="272" t="n">
        <v>4000</v>
      </c>
      <c r="G205" s="272" t="n">
        <v>120</v>
      </c>
      <c r="H205" s="272" t="n">
        <v>60</v>
      </c>
      <c r="I205" s="272" t="n">
        <v>35</v>
      </c>
      <c r="J205" s="272" t="n">
        <v>40</v>
      </c>
      <c r="K205" s="272" t="n">
        <v>4</v>
      </c>
      <c r="L205" s="273" t="n">
        <v>30</v>
      </c>
      <c r="M205" s="272" t="n">
        <v>8</v>
      </c>
      <c r="N205" s="272" t="n">
        <v>5</v>
      </c>
      <c r="O205" s="272" t="n">
        <v>3</v>
      </c>
      <c r="P205" s="272" t="n">
        <v>1</v>
      </c>
      <c r="Q205" s="271" t="inlineStr">
        <is>
          <t>Treino</t>
        </is>
      </c>
      <c r="R205" s="272" t="n">
        <v>8</v>
      </c>
      <c r="S205" s="271" t="inlineStr">
        <is>
          <t>MD+1R</t>
        </is>
      </c>
      <c r="T205" s="272" t="n"/>
      <c r="U205" s="272" t="n"/>
      <c r="V205" s="274">
        <f>IF(_xlfn.MAXIFS(tblCarga[Data],tblCarga[Jogador],C205,tblCarga[Tipo],"Jogo",tblCarga[Data],"&lt;"&amp;A205)=0,"-",A205-_xlfn.MAXIFS(tblCarga[Data],tblCarga[Jogador],C205,tblCarga[Tipo],"Jogo",tblCarga[Data],"&lt;"&amp;A205))</f>
        <v/>
      </c>
      <c r="W205" s="272" t="n">
        <v>3</v>
      </c>
      <c r="X205" s="272" t="n">
        <v>3</v>
      </c>
      <c r="Y205" s="272" t="n">
        <v>2</v>
      </c>
      <c r="Z205" s="272" t="n">
        <v>3</v>
      </c>
      <c r="AA205" s="272" t="n">
        <v>11</v>
      </c>
    </row>
    <row r="206">
      <c r="A206" s="270" t="n">
        <v>46075</v>
      </c>
      <c r="B206" s="271" t="inlineStr">
        <is>
          <t>Belenenses</t>
        </is>
      </c>
      <c r="C206" s="271" t="inlineStr">
        <is>
          <t>Edu</t>
        </is>
      </c>
      <c r="D206" s="271" t="inlineStr">
        <is>
          <t>Lateral</t>
        </is>
      </c>
      <c r="E206" s="272" t="n">
        <v>30</v>
      </c>
      <c r="F206" s="272" t="n">
        <v>4200</v>
      </c>
      <c r="G206" s="272" t="n">
        <v>140</v>
      </c>
      <c r="H206" s="272" t="n">
        <v>70</v>
      </c>
      <c r="I206" s="272" t="n">
        <v>35</v>
      </c>
      <c r="J206" s="272" t="n">
        <v>40</v>
      </c>
      <c r="K206" s="272" t="n">
        <v>3</v>
      </c>
      <c r="L206" s="273" t="n">
        <v>30</v>
      </c>
      <c r="M206" s="272" t="n">
        <v>8</v>
      </c>
      <c r="N206" s="272" t="n">
        <v>6</v>
      </c>
      <c r="O206" s="272" t="n">
        <v>3</v>
      </c>
      <c r="P206" s="272" t="n">
        <v>1</v>
      </c>
      <c r="Q206" s="271" t="inlineStr">
        <is>
          <t>Treino</t>
        </is>
      </c>
      <c r="R206" s="272" t="n">
        <v>8</v>
      </c>
      <c r="S206" s="271" t="inlineStr">
        <is>
          <t>MD+1R</t>
        </is>
      </c>
      <c r="T206" s="272" t="n"/>
      <c r="U206" s="272" t="n"/>
      <c r="V206" s="274">
        <f>IF(_xlfn.MAXIFS(tblCarga[Data],tblCarga[Jogador],C206,tblCarga[Tipo],"Jogo",tblCarga[Data],"&lt;"&amp;A206)=0,"-",A206-_xlfn.MAXIFS(tblCarga[Data],tblCarga[Jogador],C206,tblCarga[Tipo],"Jogo",tblCarga[Data],"&lt;"&amp;A206))</f>
        <v/>
      </c>
      <c r="W206" s="272" t="n">
        <v>3</v>
      </c>
      <c r="X206" s="272" t="n">
        <v>3</v>
      </c>
      <c r="Y206" s="272" t="n">
        <v>1</v>
      </c>
      <c r="Z206" s="272" t="n">
        <v>2</v>
      </c>
      <c r="AA206" s="272" t="n">
        <v>9</v>
      </c>
    </row>
    <row r="207">
      <c r="A207" s="270" t="n">
        <v>46075</v>
      </c>
      <c r="B207" s="271" t="inlineStr">
        <is>
          <t>Belenenses</t>
        </is>
      </c>
      <c r="C207" s="271" t="inlineStr">
        <is>
          <t>Capitulo</t>
        </is>
      </c>
      <c r="D207" s="271" t="inlineStr">
        <is>
          <t>Lateral</t>
        </is>
      </c>
      <c r="E207" s="272" t="n">
        <v>30</v>
      </c>
      <c r="F207" s="272" t="n">
        <v>4500</v>
      </c>
      <c r="G207" s="272" t="n">
        <v>150</v>
      </c>
      <c r="H207" s="272" t="n">
        <v>70</v>
      </c>
      <c r="I207" s="272" t="n">
        <v>40</v>
      </c>
      <c r="J207" s="272" t="n">
        <v>45</v>
      </c>
      <c r="K207" s="272" t="n">
        <v>3</v>
      </c>
      <c r="L207" s="273" t="n">
        <v>29</v>
      </c>
      <c r="M207" s="272" t="n">
        <v>8</v>
      </c>
      <c r="N207" s="272" t="n">
        <v>6</v>
      </c>
      <c r="O207" s="272" t="n">
        <v>3</v>
      </c>
      <c r="P207" s="272" t="n">
        <v>1</v>
      </c>
      <c r="Q207" s="271" t="inlineStr">
        <is>
          <t>Treino</t>
        </is>
      </c>
      <c r="R207" s="272" t="n">
        <v>8</v>
      </c>
      <c r="S207" s="271" t="inlineStr">
        <is>
          <t>MD+1R</t>
        </is>
      </c>
      <c r="T207" s="272" t="n"/>
      <c r="U207" s="272" t="n"/>
      <c r="V207" s="274">
        <f>IF(_xlfn.MAXIFS(tblCarga[Data],tblCarga[Jogador],C207,tblCarga[Tipo],"Jogo",tblCarga[Data],"&lt;"&amp;A207)=0,"-",A207-_xlfn.MAXIFS(tblCarga[Data],tblCarga[Jogador],C207,tblCarga[Tipo],"Jogo",tblCarga[Data],"&lt;"&amp;A207))</f>
        <v/>
      </c>
      <c r="W207" s="272" t="n">
        <v>2</v>
      </c>
      <c r="X207" s="272" t="n">
        <v>5</v>
      </c>
      <c r="Y207" s="272" t="n">
        <v>1</v>
      </c>
      <c r="Z207" s="272" t="n">
        <v>3</v>
      </c>
      <c r="AA207" s="272" t="n">
        <v>11</v>
      </c>
    </row>
    <row r="208">
      <c r="A208" s="270" t="n">
        <v>46075</v>
      </c>
      <c r="B208" s="271" t="inlineStr">
        <is>
          <t>Belenenses</t>
        </is>
      </c>
      <c r="C208" s="271" t="inlineStr">
        <is>
          <t>Enzo Hugo</t>
        </is>
      </c>
      <c r="D208" s="271" t="inlineStr">
        <is>
          <t>Central</t>
        </is>
      </c>
      <c r="E208" s="272" t="n">
        <v>30</v>
      </c>
      <c r="F208" s="272" t="n">
        <v>3200</v>
      </c>
      <c r="G208" s="272" t="n">
        <v>90</v>
      </c>
      <c r="H208" s="272" t="n">
        <v>20</v>
      </c>
      <c r="I208" s="272" t="n">
        <v>40</v>
      </c>
      <c r="J208" s="272" t="n">
        <v>45</v>
      </c>
      <c r="K208" s="272" t="n">
        <v>4</v>
      </c>
      <c r="L208" s="273" t="n">
        <v>27</v>
      </c>
      <c r="M208" s="272" t="n">
        <v>8</v>
      </c>
      <c r="N208" s="272" t="n">
        <v>4</v>
      </c>
      <c r="O208" s="272" t="n">
        <v>1</v>
      </c>
      <c r="P208" s="272" t="n">
        <v>0</v>
      </c>
      <c r="Q208" s="271" t="inlineStr">
        <is>
          <t>Treino</t>
        </is>
      </c>
      <c r="R208" s="272" t="n">
        <v>8</v>
      </c>
      <c r="S208" s="271" t="inlineStr">
        <is>
          <t>MD+1R</t>
        </is>
      </c>
      <c r="T208" s="272" t="n"/>
      <c r="U208" s="272" t="n"/>
      <c r="V208" s="274">
        <f>IF(_xlfn.MAXIFS(tblCarga[Data],tblCarga[Jogador],C208,tblCarga[Tipo],"Jogo",tblCarga[Data],"&lt;"&amp;A208)=0,"-",A208-_xlfn.MAXIFS(tblCarga[Data],tblCarga[Jogador],C208,tblCarga[Tipo],"Jogo",tblCarga[Data],"&lt;"&amp;A208))</f>
        <v/>
      </c>
      <c r="W208" s="272" t="n">
        <v>4</v>
      </c>
      <c r="X208" s="272" t="n">
        <v>4</v>
      </c>
      <c r="Y208" s="272" t="n">
        <v>3</v>
      </c>
      <c r="Z208" s="272" t="n">
        <v>4</v>
      </c>
      <c r="AA208" s="272" t="n">
        <v>15</v>
      </c>
    </row>
    <row r="209">
      <c r="A209" s="270" t="n">
        <v>46075</v>
      </c>
      <c r="B209" s="271" t="inlineStr">
        <is>
          <t>Belenenses</t>
        </is>
      </c>
      <c r="C209" s="271" t="inlineStr">
        <is>
          <t>Nogueira</t>
        </is>
      </c>
      <c r="D209" s="271" t="inlineStr">
        <is>
          <t>Central</t>
        </is>
      </c>
      <c r="E209" s="272" t="n">
        <v>30</v>
      </c>
      <c r="F209" s="272" t="n">
        <v>3400</v>
      </c>
      <c r="G209" s="272" t="n">
        <v>110</v>
      </c>
      <c r="H209" s="272" t="n">
        <v>15</v>
      </c>
      <c r="I209" s="272" t="n">
        <v>25</v>
      </c>
      <c r="J209" s="272" t="n">
        <v>35</v>
      </c>
      <c r="K209" s="272" t="n">
        <v>4</v>
      </c>
      <c r="L209" s="273" t="n">
        <v>27</v>
      </c>
      <c r="M209" s="272" t="n">
        <v>8</v>
      </c>
      <c r="N209" s="272" t="n">
        <v>3</v>
      </c>
      <c r="O209" s="272" t="n">
        <v>2</v>
      </c>
      <c r="P209" s="272" t="n">
        <v>1</v>
      </c>
      <c r="Q209" s="271" t="inlineStr">
        <is>
          <t>Treino</t>
        </is>
      </c>
      <c r="R209" s="272" t="n">
        <v>8</v>
      </c>
      <c r="S209" s="271" t="inlineStr">
        <is>
          <t>MD+1R</t>
        </is>
      </c>
      <c r="T209" s="272" t="n"/>
      <c r="U209" s="272" t="n"/>
      <c r="V209" s="274">
        <f>IF(_xlfn.MAXIFS(tblCarga[Data],tblCarga[Jogador],C209,tblCarga[Tipo],"Jogo",tblCarga[Data],"&lt;"&amp;A209)=0,"-",A209-_xlfn.MAXIFS(tblCarga[Data],tblCarga[Jogador],C209,tblCarga[Tipo],"Jogo",tblCarga[Data],"&lt;"&amp;A209))</f>
        <v/>
      </c>
      <c r="W209" s="272" t="n">
        <v>2</v>
      </c>
      <c r="X209" s="272" t="n">
        <v>4</v>
      </c>
      <c r="Y209" s="272" t="n">
        <v>2</v>
      </c>
      <c r="Z209" s="272" t="n">
        <v>3</v>
      </c>
      <c r="AA209" s="272" t="n">
        <v>11</v>
      </c>
    </row>
    <row r="210">
      <c r="A210" s="270" t="n">
        <v>46076</v>
      </c>
      <c r="B210" s="271" t="inlineStr">
        <is>
          <t>Belenenses</t>
        </is>
      </c>
      <c r="C210" s="271" t="inlineStr">
        <is>
          <t>Paulino</t>
        </is>
      </c>
      <c r="D210" s="271" t="inlineStr">
        <is>
          <t>Médio</t>
        </is>
      </c>
      <c r="E210" s="272" t="n">
        <v>60</v>
      </c>
      <c r="F210" s="272" t="n">
        <v>5500</v>
      </c>
      <c r="G210" s="272" t="n">
        <v>180</v>
      </c>
      <c r="H210" s="272" t="n">
        <v>80</v>
      </c>
      <c r="I210" s="272" t="n">
        <v>50</v>
      </c>
      <c r="J210" s="272" t="n">
        <v>55</v>
      </c>
      <c r="K210" s="272" t="n">
        <v>5</v>
      </c>
      <c r="L210" s="273" t="n">
        <v>29</v>
      </c>
      <c r="M210" s="272" t="n">
        <v>8</v>
      </c>
      <c r="N210" s="272" t="n">
        <v>7</v>
      </c>
      <c r="O210" s="272" t="n">
        <v>4</v>
      </c>
      <c r="P210" s="272" t="n">
        <v>2</v>
      </c>
      <c r="Q210" s="271" t="inlineStr">
        <is>
          <t>Treino</t>
        </is>
      </c>
      <c r="R210" s="272" t="n">
        <v>8</v>
      </c>
      <c r="S210" s="271" t="inlineStr">
        <is>
          <t>MD+1C</t>
        </is>
      </c>
      <c r="T210" s="272" t="n"/>
      <c r="U210" s="272" t="n"/>
      <c r="V210" s="274">
        <f>IF(_xlfn.MAXIFS(tblCarga[Data],tblCarga[Jogador],C210,tblCarga[Tipo],"Jogo",tblCarga[Data],"&lt;"&amp;A210)=0,"-",A210-_xlfn.MAXIFS(tblCarga[Data],tblCarga[Jogador],C210,tblCarga[Tipo],"Jogo",tblCarga[Data],"&lt;"&amp;A210))</f>
        <v/>
      </c>
      <c r="W210" s="272" t="n">
        <v>4</v>
      </c>
      <c r="X210" s="272" t="n">
        <v>4</v>
      </c>
      <c r="Y210" s="272" t="n">
        <v>2</v>
      </c>
      <c r="Z210" s="272" t="n">
        <v>2</v>
      </c>
      <c r="AA210" s="272" t="n">
        <v>12</v>
      </c>
    </row>
    <row r="211">
      <c r="A211" s="270" t="n">
        <v>46076</v>
      </c>
      <c r="B211" s="271" t="inlineStr">
        <is>
          <t>Belenenses</t>
        </is>
      </c>
      <c r="C211" s="271" t="inlineStr">
        <is>
          <t>Artur</t>
        </is>
      </c>
      <c r="D211" s="271" t="inlineStr">
        <is>
          <t>Médio</t>
        </is>
      </c>
      <c r="E211" s="272" t="n">
        <v>60</v>
      </c>
      <c r="F211" s="272" t="n">
        <v>5000</v>
      </c>
      <c r="G211" s="272" t="n">
        <v>140</v>
      </c>
      <c r="H211" s="272" t="n">
        <v>35</v>
      </c>
      <c r="I211" s="272" t="n">
        <v>55</v>
      </c>
      <c r="J211" s="272" t="n">
        <v>60</v>
      </c>
      <c r="K211" s="272" t="n">
        <v>5</v>
      </c>
      <c r="L211" s="273" t="n">
        <v>28</v>
      </c>
      <c r="M211" s="272" t="n">
        <v>8</v>
      </c>
      <c r="N211" s="272" t="n">
        <v>6</v>
      </c>
      <c r="O211" s="272" t="n">
        <v>3</v>
      </c>
      <c r="P211" s="272" t="n">
        <v>1</v>
      </c>
      <c r="Q211" s="271" t="inlineStr">
        <is>
          <t>Treino</t>
        </is>
      </c>
      <c r="R211" s="272" t="n">
        <v>8</v>
      </c>
      <c r="S211" s="271" t="inlineStr">
        <is>
          <t>MD+1C</t>
        </is>
      </c>
      <c r="T211" s="272" t="n"/>
      <c r="U211" s="272" t="n"/>
      <c r="V211" s="274">
        <f>IF(_xlfn.MAXIFS(tblCarga[Data],tblCarga[Jogador],C211,tblCarga[Tipo],"Jogo",tblCarga[Data],"&lt;"&amp;A211)=0,"-",A211-_xlfn.MAXIFS(tblCarga[Data],tblCarga[Jogador],C211,tblCarga[Tipo],"Jogo",tblCarga[Data],"&lt;"&amp;A211))</f>
        <v/>
      </c>
      <c r="W211" s="272" t="n">
        <v>3</v>
      </c>
      <c r="X211" s="272" t="n">
        <v>5</v>
      </c>
      <c r="Y211" s="272" t="n">
        <v>2</v>
      </c>
      <c r="Z211" s="272" t="n">
        <v>3</v>
      </c>
      <c r="AA211" s="272" t="n">
        <v>13</v>
      </c>
    </row>
    <row r="212">
      <c r="A212" s="270" t="n">
        <v>46076</v>
      </c>
      <c r="B212" s="271" t="inlineStr">
        <is>
          <t>Belenenses</t>
        </is>
      </c>
      <c r="C212" s="271" t="inlineStr">
        <is>
          <t>Gomes</t>
        </is>
      </c>
      <c r="D212" s="271" t="inlineStr">
        <is>
          <t>Médio</t>
        </is>
      </c>
      <c r="E212" s="272" t="n">
        <v>60</v>
      </c>
      <c r="F212" s="272" t="n">
        <v>6200</v>
      </c>
      <c r="G212" s="272" t="n">
        <v>170</v>
      </c>
      <c r="H212" s="272" t="n">
        <v>70</v>
      </c>
      <c r="I212" s="272" t="n">
        <v>55</v>
      </c>
      <c r="J212" s="272" t="n">
        <v>60</v>
      </c>
      <c r="K212" s="272" t="n">
        <v>6</v>
      </c>
      <c r="L212" s="273" t="n">
        <v>28</v>
      </c>
      <c r="M212" s="272" t="n">
        <v>8</v>
      </c>
      <c r="N212" s="272" t="n">
        <v>5</v>
      </c>
      <c r="O212" s="272" t="n">
        <v>2</v>
      </c>
      <c r="P212" s="272" t="n">
        <v>1</v>
      </c>
      <c r="Q212" s="271" t="inlineStr">
        <is>
          <t>Treino</t>
        </is>
      </c>
      <c r="R212" s="272" t="n">
        <v>8</v>
      </c>
      <c r="S212" s="271" t="inlineStr">
        <is>
          <t>MD+1C</t>
        </is>
      </c>
      <c r="T212" s="272" t="n"/>
      <c r="U212" s="272" t="n"/>
      <c r="V212" s="274">
        <f>IF(_xlfn.MAXIFS(tblCarga[Data],tblCarga[Jogador],C212,tblCarga[Tipo],"Jogo",tblCarga[Data],"&lt;"&amp;A212)=0,"-",A212-_xlfn.MAXIFS(tblCarga[Data],tblCarga[Jogador],C212,tblCarga[Tipo],"Jogo",tblCarga[Data],"&lt;"&amp;A212))</f>
        <v/>
      </c>
      <c r="W212" s="272" t="n">
        <v>2</v>
      </c>
      <c r="X212" s="272" t="n">
        <v>4</v>
      </c>
      <c r="Y212" s="272" t="n">
        <v>2</v>
      </c>
      <c r="Z212" s="272" t="n">
        <v>3</v>
      </c>
      <c r="AA212" s="272" t="n">
        <v>11</v>
      </c>
    </row>
    <row r="213">
      <c r="A213" s="270" t="n">
        <v>46076</v>
      </c>
      <c r="B213" s="271" t="inlineStr">
        <is>
          <t>Belenenses</t>
        </is>
      </c>
      <c r="C213" s="271" t="inlineStr">
        <is>
          <t>Sá</t>
        </is>
      </c>
      <c r="D213" s="271" t="inlineStr">
        <is>
          <t>Médio</t>
        </is>
      </c>
      <c r="E213" s="272" t="n">
        <v>60</v>
      </c>
      <c r="F213" s="272" t="n">
        <v>5600</v>
      </c>
      <c r="G213" s="272" t="n">
        <v>180</v>
      </c>
      <c r="H213" s="272" t="n">
        <v>35</v>
      </c>
      <c r="I213" s="272" t="n">
        <v>55</v>
      </c>
      <c r="J213" s="272" t="n">
        <v>60</v>
      </c>
      <c r="K213" s="272" t="n">
        <v>6</v>
      </c>
      <c r="L213" s="273" t="n">
        <v>30</v>
      </c>
      <c r="M213" s="272" t="n">
        <v>8</v>
      </c>
      <c r="N213" s="272" t="n">
        <v>7</v>
      </c>
      <c r="O213" s="272" t="n">
        <v>3</v>
      </c>
      <c r="P213" s="272" t="n">
        <v>1</v>
      </c>
      <c r="Q213" s="271" t="inlineStr">
        <is>
          <t>Treino</t>
        </is>
      </c>
      <c r="R213" s="272" t="n">
        <v>8</v>
      </c>
      <c r="S213" s="271" t="inlineStr">
        <is>
          <t>MD+1C</t>
        </is>
      </c>
      <c r="T213" s="272" t="n"/>
      <c r="U213" s="272" t="n"/>
      <c r="V213" s="274">
        <f>IF(_xlfn.MAXIFS(tblCarga[Data],tblCarga[Jogador],C213,tblCarga[Tipo],"Jogo",tblCarga[Data],"&lt;"&amp;A213)=0,"-",A213-_xlfn.MAXIFS(tblCarga[Data],tblCarga[Jogador],C213,tblCarga[Tipo],"Jogo",tblCarga[Data],"&lt;"&amp;A213))</f>
        <v/>
      </c>
      <c r="W213" s="272" t="n">
        <v>2</v>
      </c>
      <c r="X213" s="272" t="n">
        <v>3</v>
      </c>
      <c r="Y213" s="272" t="n">
        <v>1</v>
      </c>
      <c r="Z213" s="272" t="n">
        <v>2</v>
      </c>
      <c r="AA213" s="272" t="n">
        <v>8</v>
      </c>
    </row>
    <row r="214">
      <c r="A214" s="270" t="n">
        <v>46076</v>
      </c>
      <c r="B214" s="271" t="inlineStr">
        <is>
          <t>Belenenses</t>
        </is>
      </c>
      <c r="C214" s="271" t="inlineStr">
        <is>
          <t>Varela</t>
        </is>
      </c>
      <c r="D214" s="271" t="inlineStr">
        <is>
          <t>Lateral</t>
        </is>
      </c>
      <c r="E214" s="272" t="n">
        <v>60</v>
      </c>
      <c r="F214" s="272" t="n">
        <v>6500</v>
      </c>
      <c r="G214" s="272" t="n">
        <v>210</v>
      </c>
      <c r="H214" s="272" t="n">
        <v>100</v>
      </c>
      <c r="I214" s="272" t="n">
        <v>55</v>
      </c>
      <c r="J214" s="272" t="n">
        <v>60</v>
      </c>
      <c r="K214" s="272" t="n">
        <v>5</v>
      </c>
      <c r="L214" s="273" t="n">
        <v>31</v>
      </c>
      <c r="M214" s="272" t="n">
        <v>8</v>
      </c>
      <c r="N214" s="272" t="n">
        <v>8</v>
      </c>
      <c r="O214" s="272" t="n">
        <v>4</v>
      </c>
      <c r="P214" s="272" t="n">
        <v>2</v>
      </c>
      <c r="Q214" s="271" t="inlineStr">
        <is>
          <t>Treino</t>
        </is>
      </c>
      <c r="R214" s="272" t="n">
        <v>8</v>
      </c>
      <c r="S214" s="271" t="inlineStr">
        <is>
          <t>MD+1C</t>
        </is>
      </c>
      <c r="T214" s="272" t="n"/>
      <c r="U214" s="272" t="n"/>
      <c r="V214" s="274">
        <f>IF(_xlfn.MAXIFS(tblCarga[Data],tblCarga[Jogador],C214,tblCarga[Tipo],"Jogo",tblCarga[Data],"&lt;"&amp;A214)=0,"-",A214-_xlfn.MAXIFS(tblCarga[Data],tblCarga[Jogador],C214,tblCarga[Tipo],"Jogo",tblCarga[Data],"&lt;"&amp;A214))</f>
        <v/>
      </c>
      <c r="W214" s="272" t="n">
        <v>4</v>
      </c>
      <c r="X214" s="272" t="n">
        <v>4</v>
      </c>
      <c r="Y214" s="272" t="n">
        <v>2</v>
      </c>
      <c r="Z214" s="272" t="n">
        <v>3</v>
      </c>
      <c r="AA214" s="272" t="n">
        <v>13</v>
      </c>
    </row>
    <row r="215">
      <c r="A215" s="270" t="n">
        <v>46076</v>
      </c>
      <c r="B215" s="271" t="inlineStr">
        <is>
          <t>Belenenses</t>
        </is>
      </c>
      <c r="C215" s="271" t="inlineStr">
        <is>
          <t>Edu</t>
        </is>
      </c>
      <c r="D215" s="271" t="inlineStr">
        <is>
          <t>Lateral</t>
        </is>
      </c>
      <c r="E215" s="272" t="n">
        <v>60</v>
      </c>
      <c r="F215" s="272" t="n">
        <v>6800</v>
      </c>
      <c r="G215" s="272" t="n">
        <v>230</v>
      </c>
      <c r="H215" s="272" t="n">
        <v>120</v>
      </c>
      <c r="I215" s="272" t="n">
        <v>55</v>
      </c>
      <c r="J215" s="272" t="n">
        <v>60</v>
      </c>
      <c r="K215" s="272" t="n">
        <v>4</v>
      </c>
      <c r="L215" s="273" t="n">
        <v>31</v>
      </c>
      <c r="M215" s="272" t="n">
        <v>8</v>
      </c>
      <c r="N215" s="272" t="n">
        <v>9</v>
      </c>
      <c r="O215" s="272" t="n">
        <v>5</v>
      </c>
      <c r="P215" s="272" t="n">
        <v>2</v>
      </c>
      <c r="Q215" s="271" t="inlineStr">
        <is>
          <t>Treino</t>
        </is>
      </c>
      <c r="R215" s="272" t="n">
        <v>8</v>
      </c>
      <c r="S215" s="271" t="inlineStr">
        <is>
          <t>MD+1C</t>
        </is>
      </c>
      <c r="T215" s="272" t="n"/>
      <c r="U215" s="272" t="n"/>
      <c r="V215" s="274">
        <f>IF(_xlfn.MAXIFS(tblCarga[Data],tblCarga[Jogador],C215,tblCarga[Tipo],"Jogo",tblCarga[Data],"&lt;"&amp;A215)=0,"-",A215-_xlfn.MAXIFS(tblCarga[Data],tblCarga[Jogador],C215,tblCarga[Tipo],"Jogo",tblCarga[Data],"&lt;"&amp;A215))</f>
        <v/>
      </c>
      <c r="W215" s="272" t="n">
        <v>3</v>
      </c>
      <c r="X215" s="272" t="n">
        <v>4</v>
      </c>
      <c r="Y215" s="272" t="n">
        <v>1</v>
      </c>
      <c r="Z215" s="272" t="n">
        <v>3</v>
      </c>
      <c r="AA215" s="272" t="n">
        <v>11</v>
      </c>
    </row>
    <row r="216">
      <c r="A216" s="270" t="n">
        <v>46076</v>
      </c>
      <c r="B216" s="271" t="inlineStr">
        <is>
          <t>Belenenses</t>
        </is>
      </c>
      <c r="C216" s="271" t="inlineStr">
        <is>
          <t>Capitulo</t>
        </is>
      </c>
      <c r="D216" s="271" t="inlineStr">
        <is>
          <t>Lateral</t>
        </is>
      </c>
      <c r="E216" s="272" t="n">
        <v>60</v>
      </c>
      <c r="F216" s="272" t="n">
        <v>7200</v>
      </c>
      <c r="G216" s="272" t="n">
        <v>260</v>
      </c>
      <c r="H216" s="272" t="n">
        <v>120</v>
      </c>
      <c r="I216" s="272" t="n">
        <v>60</v>
      </c>
      <c r="J216" s="272" t="n">
        <v>65</v>
      </c>
      <c r="K216" s="272" t="n">
        <v>4</v>
      </c>
      <c r="L216" s="273" t="n">
        <v>30</v>
      </c>
      <c r="M216" s="272" t="n">
        <v>8</v>
      </c>
      <c r="N216" s="272" t="n">
        <v>9</v>
      </c>
      <c r="O216" s="272" t="n">
        <v>5</v>
      </c>
      <c r="P216" s="272" t="n">
        <v>2</v>
      </c>
      <c r="Q216" s="271" t="inlineStr">
        <is>
          <t>Treino</t>
        </is>
      </c>
      <c r="R216" s="272" t="n">
        <v>8</v>
      </c>
      <c r="S216" s="271" t="inlineStr">
        <is>
          <t>MD+1C</t>
        </is>
      </c>
      <c r="T216" s="272" t="n"/>
      <c r="U216" s="272" t="n"/>
      <c r="V216" s="274">
        <f>IF(_xlfn.MAXIFS(tblCarga[Data],tblCarga[Jogador],C216,tblCarga[Tipo],"Jogo",tblCarga[Data],"&lt;"&amp;A216)=0,"-",A216-_xlfn.MAXIFS(tblCarga[Data],tblCarga[Jogador],C216,tblCarga[Tipo],"Jogo",tblCarga[Data],"&lt;"&amp;A216))</f>
        <v/>
      </c>
      <c r="W216" s="272" t="n">
        <v>2</v>
      </c>
      <c r="X216" s="272" t="n">
        <v>4</v>
      </c>
      <c r="Y216" s="272" t="n">
        <v>2</v>
      </c>
      <c r="Z216" s="272" t="n">
        <v>3</v>
      </c>
      <c r="AA216" s="272" t="n">
        <v>11</v>
      </c>
    </row>
    <row r="217">
      <c r="A217" s="270" t="n">
        <v>46076</v>
      </c>
      <c r="B217" s="271" t="inlineStr">
        <is>
          <t>Belenenses</t>
        </is>
      </c>
      <c r="C217" s="271" t="inlineStr">
        <is>
          <t>Enzo Hugo</t>
        </is>
      </c>
      <c r="D217" s="271" t="inlineStr">
        <is>
          <t>Central</t>
        </is>
      </c>
      <c r="E217" s="272" t="n">
        <v>60</v>
      </c>
      <c r="F217" s="272" t="n">
        <v>5200</v>
      </c>
      <c r="G217" s="272" t="n">
        <v>160</v>
      </c>
      <c r="H217" s="272" t="n">
        <v>35</v>
      </c>
      <c r="I217" s="272" t="n">
        <v>60</v>
      </c>
      <c r="J217" s="272" t="n">
        <v>65</v>
      </c>
      <c r="K217" s="272" t="n">
        <v>5</v>
      </c>
      <c r="L217" s="273" t="n">
        <v>28</v>
      </c>
      <c r="M217" s="272" t="n">
        <v>8</v>
      </c>
      <c r="N217" s="272" t="n">
        <v>6</v>
      </c>
      <c r="O217" s="272" t="n">
        <v>2</v>
      </c>
      <c r="P217" s="272" t="n">
        <v>1</v>
      </c>
      <c r="Q217" s="271" t="inlineStr">
        <is>
          <t>Treino</t>
        </is>
      </c>
      <c r="R217" s="272" t="n">
        <v>8</v>
      </c>
      <c r="S217" s="271" t="inlineStr">
        <is>
          <t>MD+1C</t>
        </is>
      </c>
      <c r="T217" s="272" t="n"/>
      <c r="U217" s="272" t="n"/>
      <c r="V217" s="274">
        <f>IF(_xlfn.MAXIFS(tblCarga[Data],tblCarga[Jogador],C217,tblCarga[Tipo],"Jogo",tblCarga[Data],"&lt;"&amp;A217)=0,"-",A217-_xlfn.MAXIFS(tblCarga[Data],tblCarga[Jogador],C217,tblCarga[Tipo],"Jogo",tblCarga[Data],"&lt;"&amp;A217))</f>
        <v/>
      </c>
      <c r="W217" s="272" t="n">
        <v>4</v>
      </c>
      <c r="X217" s="272" t="n">
        <v>5</v>
      </c>
      <c r="Y217" s="272" t="n">
        <v>1</v>
      </c>
      <c r="Z217" s="272" t="n">
        <v>3</v>
      </c>
      <c r="AA217" s="272" t="n">
        <v>13</v>
      </c>
    </row>
    <row r="218">
      <c r="A218" s="270" t="n">
        <v>46076</v>
      </c>
      <c r="B218" s="271" t="inlineStr">
        <is>
          <t>Belenenses</t>
        </is>
      </c>
      <c r="C218" s="271" t="inlineStr">
        <is>
          <t>Nogueira</t>
        </is>
      </c>
      <c r="D218" s="271" t="inlineStr">
        <is>
          <t>Central</t>
        </is>
      </c>
      <c r="E218" s="272" t="n">
        <v>60</v>
      </c>
      <c r="F218" s="272" t="n">
        <v>5500</v>
      </c>
      <c r="G218" s="272" t="n">
        <v>190</v>
      </c>
      <c r="H218" s="272" t="n">
        <v>25</v>
      </c>
      <c r="I218" s="272" t="n">
        <v>40</v>
      </c>
      <c r="J218" s="272" t="n">
        <v>50</v>
      </c>
      <c r="K218" s="272" t="n">
        <v>5</v>
      </c>
      <c r="L218" s="273" t="n">
        <v>28</v>
      </c>
      <c r="M218" s="272" t="n">
        <v>8</v>
      </c>
      <c r="N218" s="272" t="n">
        <v>5</v>
      </c>
      <c r="O218" s="272" t="n">
        <v>3</v>
      </c>
      <c r="P218" s="272" t="n">
        <v>1</v>
      </c>
      <c r="Q218" s="271" t="inlineStr">
        <is>
          <t>Treino</t>
        </is>
      </c>
      <c r="R218" s="272" t="n">
        <v>8</v>
      </c>
      <c r="S218" s="271" t="inlineStr">
        <is>
          <t>MD+1C</t>
        </is>
      </c>
      <c r="T218" s="272" t="n"/>
      <c r="U218" s="272" t="n"/>
      <c r="V218" s="274">
        <f>IF(_xlfn.MAXIFS(tblCarga[Data],tblCarga[Jogador],C218,tblCarga[Tipo],"Jogo",tblCarga[Data],"&lt;"&amp;A218)=0,"-",A218-_xlfn.MAXIFS(tblCarga[Data],tblCarga[Jogador],C218,tblCarga[Tipo],"Jogo",tblCarga[Data],"&lt;"&amp;A218))</f>
        <v/>
      </c>
      <c r="W218" s="272" t="n">
        <v>4</v>
      </c>
      <c r="X218" s="272" t="n">
        <v>4</v>
      </c>
      <c r="Y218" s="272" t="n">
        <v>1</v>
      </c>
      <c r="Z218" s="272" t="n">
        <v>3</v>
      </c>
      <c r="AA218" s="272" t="n">
        <v>12</v>
      </c>
    </row>
    <row r="219">
      <c r="A219" s="270" t="n">
        <v>46075</v>
      </c>
      <c r="B219" s="271" t="inlineStr">
        <is>
          <t>Belenenses</t>
        </is>
      </c>
      <c r="C219" s="271" t="inlineStr">
        <is>
          <t>Paulino</t>
        </is>
      </c>
      <c r="D219" s="271" t="inlineStr">
        <is>
          <t>Médio</t>
        </is>
      </c>
      <c r="E219" s="272" t="n">
        <v>30</v>
      </c>
      <c r="F219" s="272" t="n">
        <v>3510</v>
      </c>
      <c r="G219" s="272" t="n">
        <v>102</v>
      </c>
      <c r="H219" s="272" t="n">
        <v>52</v>
      </c>
      <c r="I219" s="272" t="n">
        <v>31</v>
      </c>
      <c r="J219" s="272" t="n">
        <v>36</v>
      </c>
      <c r="K219" s="272" t="n">
        <v>4</v>
      </c>
      <c r="L219" s="273" t="n">
        <v>28</v>
      </c>
      <c r="M219" s="272" t="n">
        <v>9</v>
      </c>
      <c r="N219" s="272" t="n">
        <v>5</v>
      </c>
      <c r="O219" s="272" t="n">
        <v>2</v>
      </c>
      <c r="P219" s="272" t="n">
        <v>1</v>
      </c>
      <c r="Q219" s="271" t="inlineStr">
        <is>
          <t>Treino</t>
        </is>
      </c>
      <c r="R219" s="272" t="n">
        <v>8</v>
      </c>
      <c r="S219" s="271" t="inlineStr">
        <is>
          <t>MD+1R</t>
        </is>
      </c>
      <c r="T219" s="272" t="n"/>
      <c r="U219" s="272" t="n"/>
      <c r="V219" s="274">
        <f>IF(_xlfn.MAXIFS(tblCarga[Data],tblCarga[Jogador],C219,tblCarga[Tipo],"Jogo",tblCarga[Data],"&lt;"&amp;A219)=0,"-",A219-_xlfn.MAXIFS(tblCarga[Data],tblCarga[Jogador],C219,tblCarga[Tipo],"Jogo",tblCarga[Data],"&lt;"&amp;A219))</f>
        <v/>
      </c>
      <c r="W219" s="272" t="n">
        <v>3</v>
      </c>
      <c r="X219" s="272" t="n">
        <v>4</v>
      </c>
      <c r="Y219" s="272" t="n">
        <v>2</v>
      </c>
      <c r="Z219" s="272" t="n">
        <v>3</v>
      </c>
      <c r="AA219" s="272" t="n">
        <v>12</v>
      </c>
    </row>
    <row r="220">
      <c r="A220" s="270" t="n">
        <v>46075</v>
      </c>
      <c r="B220" s="271" t="inlineStr">
        <is>
          <t>Belenenses</t>
        </is>
      </c>
      <c r="C220" s="271" t="inlineStr">
        <is>
          <t>Artur</t>
        </is>
      </c>
      <c r="D220" s="271" t="inlineStr">
        <is>
          <t>Médio</t>
        </is>
      </c>
      <c r="E220" s="272" t="n">
        <v>30</v>
      </c>
      <c r="F220" s="272" t="n">
        <v>3246</v>
      </c>
      <c r="G220" s="272" t="n">
        <v>82</v>
      </c>
      <c r="H220" s="272" t="n">
        <v>22</v>
      </c>
      <c r="I220" s="272" t="n">
        <v>36</v>
      </c>
      <c r="J220" s="272" t="n">
        <v>42</v>
      </c>
      <c r="K220" s="272" t="n">
        <v>4</v>
      </c>
      <c r="L220" s="273" t="n">
        <v>27</v>
      </c>
      <c r="M220" s="272" t="n">
        <v>9</v>
      </c>
      <c r="N220" s="272" t="n">
        <v>4</v>
      </c>
      <c r="O220" s="272" t="n">
        <v>2</v>
      </c>
      <c r="P220" s="272" t="n">
        <v>0</v>
      </c>
      <c r="Q220" s="271" t="inlineStr">
        <is>
          <t>Treino</t>
        </is>
      </c>
      <c r="R220" s="272" t="n">
        <v>8</v>
      </c>
      <c r="S220" s="271" t="inlineStr">
        <is>
          <t>MD+1R</t>
        </is>
      </c>
      <c r="T220" s="272" t="n"/>
      <c r="U220" s="272" t="n"/>
      <c r="V220" s="274">
        <f>IF(_xlfn.MAXIFS(tblCarga[Data],tblCarga[Jogador],C220,tblCarga[Tipo],"Jogo",tblCarga[Data],"&lt;"&amp;A220)=0,"-",A220-_xlfn.MAXIFS(tblCarga[Data],tblCarga[Jogador],C220,tblCarga[Tipo],"Jogo",tblCarga[Data],"&lt;"&amp;A220))</f>
        <v/>
      </c>
      <c r="W220" s="272" t="n">
        <v>3</v>
      </c>
      <c r="X220" s="272" t="n">
        <v>4</v>
      </c>
      <c r="Y220" s="272" t="n">
        <v>2</v>
      </c>
      <c r="Z220" s="272" t="n">
        <v>4</v>
      </c>
      <c r="AA220" s="272" t="n">
        <v>13</v>
      </c>
    </row>
    <row r="221">
      <c r="A221" s="270" t="n">
        <v>46075</v>
      </c>
      <c r="B221" s="271" t="inlineStr">
        <is>
          <t>Belenenses</t>
        </is>
      </c>
      <c r="C221" s="271" t="inlineStr">
        <is>
          <t>Gomes</t>
        </is>
      </c>
      <c r="D221" s="271" t="inlineStr">
        <is>
          <t>Médio</t>
        </is>
      </c>
      <c r="E221" s="272" t="n">
        <v>30</v>
      </c>
      <c r="F221" s="272" t="n">
        <v>3852</v>
      </c>
      <c r="G221" s="272" t="n">
        <v>91</v>
      </c>
      <c r="H221" s="272" t="n">
        <v>41</v>
      </c>
      <c r="I221" s="272" t="n">
        <v>36</v>
      </c>
      <c r="J221" s="272" t="n">
        <v>42</v>
      </c>
      <c r="K221" s="272" t="n">
        <v>5</v>
      </c>
      <c r="L221" s="273" t="n">
        <v>27</v>
      </c>
      <c r="M221" s="272" t="n">
        <v>9</v>
      </c>
      <c r="N221" s="272" t="n">
        <v>3</v>
      </c>
      <c r="O221" s="272" t="n">
        <v>1</v>
      </c>
      <c r="P221" s="272" t="n">
        <v>0</v>
      </c>
      <c r="Q221" s="271" t="inlineStr">
        <is>
          <t>Treino</t>
        </is>
      </c>
      <c r="R221" s="272" t="n">
        <v>8</v>
      </c>
      <c r="S221" s="271" t="inlineStr">
        <is>
          <t>MD+1R</t>
        </is>
      </c>
      <c r="T221" s="272" t="n"/>
      <c r="U221" s="272" t="n"/>
      <c r="V221" s="274">
        <f>IF(_xlfn.MAXIFS(tblCarga[Data],tblCarga[Jogador],C221,tblCarga[Tipo],"Jogo",tblCarga[Data],"&lt;"&amp;A221)=0,"-",A221-_xlfn.MAXIFS(tblCarga[Data],tblCarga[Jogador],C221,tblCarga[Tipo],"Jogo",tblCarga[Data],"&lt;"&amp;A221))</f>
        <v/>
      </c>
      <c r="W221" s="272" t="n">
        <v>2</v>
      </c>
      <c r="X221" s="272" t="n">
        <v>4</v>
      </c>
      <c r="Y221" s="272" t="n">
        <v>2</v>
      </c>
      <c r="Z221" s="272" t="n">
        <v>3</v>
      </c>
      <c r="AA221" s="272" t="n">
        <v>11</v>
      </c>
    </row>
    <row r="222">
      <c r="A222" s="270" t="n">
        <v>46075</v>
      </c>
      <c r="B222" s="271" t="inlineStr">
        <is>
          <t>Belenenses</t>
        </is>
      </c>
      <c r="C222" s="271" t="inlineStr">
        <is>
          <t>Sá</t>
        </is>
      </c>
      <c r="D222" s="271" t="inlineStr">
        <is>
          <t>Médio</t>
        </is>
      </c>
      <c r="E222" s="272" t="n">
        <v>30</v>
      </c>
      <c r="F222" s="272" t="n">
        <v>3420</v>
      </c>
      <c r="G222" s="272" t="n">
        <v>101</v>
      </c>
      <c r="H222" s="272" t="n">
        <v>21</v>
      </c>
      <c r="I222" s="272" t="n">
        <v>36</v>
      </c>
      <c r="J222" s="272" t="n">
        <v>41</v>
      </c>
      <c r="K222" s="272" t="n">
        <v>5</v>
      </c>
      <c r="L222" s="273" t="n">
        <v>29</v>
      </c>
      <c r="M222" s="272" t="n">
        <v>9</v>
      </c>
      <c r="N222" s="272" t="n">
        <v>5</v>
      </c>
      <c r="O222" s="272" t="n">
        <v>2</v>
      </c>
      <c r="P222" s="272" t="n">
        <v>1</v>
      </c>
      <c r="Q222" s="271" t="inlineStr">
        <is>
          <t>Treino</t>
        </is>
      </c>
      <c r="R222" s="272" t="n">
        <v>8</v>
      </c>
      <c r="S222" s="271" t="inlineStr">
        <is>
          <t>MD+1R</t>
        </is>
      </c>
      <c r="T222" s="272" t="n"/>
      <c r="U222" s="272" t="n"/>
      <c r="V222" s="274">
        <f>IF(_xlfn.MAXIFS(tblCarga[Data],tblCarga[Jogador],C222,tblCarga[Tipo],"Jogo",tblCarga[Data],"&lt;"&amp;A222)=0,"-",A222-_xlfn.MAXIFS(tblCarga[Data],tblCarga[Jogador],C222,tblCarga[Tipo],"Jogo",tblCarga[Data],"&lt;"&amp;A222))</f>
        <v/>
      </c>
      <c r="W222" s="272" t="n">
        <v>3</v>
      </c>
      <c r="X222" s="272" t="n">
        <v>5</v>
      </c>
      <c r="Y222" s="272" t="n">
        <v>2</v>
      </c>
      <c r="Z222" s="272" t="n">
        <v>2</v>
      </c>
      <c r="AA222" s="272" t="n">
        <v>12</v>
      </c>
    </row>
    <row r="223">
      <c r="A223" s="270" t="n">
        <v>46075</v>
      </c>
      <c r="B223" s="271" t="inlineStr">
        <is>
          <t>Belenenses</t>
        </is>
      </c>
      <c r="C223" s="271" t="inlineStr">
        <is>
          <t>Varela</t>
        </is>
      </c>
      <c r="D223" s="271" t="inlineStr">
        <is>
          <t>Lateral</t>
        </is>
      </c>
      <c r="E223" s="272" t="n">
        <v>30</v>
      </c>
      <c r="F223" s="272" t="n">
        <v>4030</v>
      </c>
      <c r="G223" s="272" t="n">
        <v>122</v>
      </c>
      <c r="H223" s="272" t="n">
        <v>61</v>
      </c>
      <c r="I223" s="272" t="n">
        <v>36</v>
      </c>
      <c r="J223" s="272" t="n">
        <v>42</v>
      </c>
      <c r="K223" s="272" t="n">
        <v>4</v>
      </c>
      <c r="L223" s="273" t="n">
        <v>30</v>
      </c>
      <c r="M223" s="272" t="n">
        <v>9</v>
      </c>
      <c r="N223" s="272" t="n">
        <v>5</v>
      </c>
      <c r="O223" s="272" t="n">
        <v>3</v>
      </c>
      <c r="P223" s="272" t="n">
        <v>1</v>
      </c>
      <c r="Q223" s="271" t="inlineStr">
        <is>
          <t>Treino</t>
        </is>
      </c>
      <c r="R223" s="272" t="n">
        <v>8</v>
      </c>
      <c r="S223" s="271" t="inlineStr">
        <is>
          <t>MD+1R</t>
        </is>
      </c>
      <c r="T223" s="272" t="n"/>
      <c r="U223" s="272" t="n"/>
      <c r="V223" s="274">
        <f>IF(_xlfn.MAXIFS(tblCarga[Data],tblCarga[Jogador],C223,tblCarga[Tipo],"Jogo",tblCarga[Data],"&lt;"&amp;A223)=0,"-",A223-_xlfn.MAXIFS(tblCarga[Data],tblCarga[Jogador],C223,tblCarga[Tipo],"Jogo",tblCarga[Data],"&lt;"&amp;A223))</f>
        <v/>
      </c>
      <c r="W223" s="272" t="n">
        <v>2</v>
      </c>
      <c r="X223" s="272" t="n">
        <v>3</v>
      </c>
      <c r="Y223" s="272" t="n">
        <v>3</v>
      </c>
      <c r="Z223" s="272" t="n">
        <v>2</v>
      </c>
      <c r="AA223" s="272" t="n">
        <v>10</v>
      </c>
    </row>
    <row r="224">
      <c r="A224" s="270" t="n">
        <v>46075</v>
      </c>
      <c r="B224" s="271" t="inlineStr">
        <is>
          <t>Belenenses</t>
        </is>
      </c>
      <c r="C224" s="271" t="inlineStr">
        <is>
          <t>Edu</t>
        </is>
      </c>
      <c r="D224" s="271" t="inlineStr">
        <is>
          <t>Lateral</t>
        </is>
      </c>
      <c r="E224" s="272" t="n">
        <v>30</v>
      </c>
      <c r="F224" s="272" t="n">
        <v>4246</v>
      </c>
      <c r="G224" s="272" t="n">
        <v>142</v>
      </c>
      <c r="H224" s="272" t="n">
        <v>72</v>
      </c>
      <c r="I224" s="272" t="n">
        <v>36</v>
      </c>
      <c r="J224" s="272" t="n">
        <v>42</v>
      </c>
      <c r="K224" s="272" t="n">
        <v>3</v>
      </c>
      <c r="L224" s="273" t="n">
        <v>30</v>
      </c>
      <c r="M224" s="272" t="n">
        <v>9</v>
      </c>
      <c r="N224" s="272" t="n">
        <v>6</v>
      </c>
      <c r="O224" s="272" t="n">
        <v>3</v>
      </c>
      <c r="P224" s="272" t="n">
        <v>1</v>
      </c>
      <c r="Q224" s="271" t="inlineStr">
        <is>
          <t>Treino</t>
        </is>
      </c>
      <c r="R224" s="272" t="n">
        <v>8</v>
      </c>
      <c r="S224" s="271" t="inlineStr">
        <is>
          <t>MD+1R</t>
        </is>
      </c>
      <c r="T224" s="272" t="n"/>
      <c r="U224" s="272" t="n"/>
      <c r="V224" s="274">
        <f>IF(_xlfn.MAXIFS(tblCarga[Data],tblCarga[Jogador],C224,tblCarga[Tipo],"Jogo",tblCarga[Data],"&lt;"&amp;A224)=0,"-",A224-_xlfn.MAXIFS(tblCarga[Data],tblCarga[Jogador],C224,tblCarga[Tipo],"Jogo",tblCarga[Data],"&lt;"&amp;A224))</f>
        <v/>
      </c>
      <c r="W224" s="272" t="n">
        <v>3</v>
      </c>
      <c r="X224" s="272" t="n">
        <v>3</v>
      </c>
      <c r="Y224" s="272" t="n">
        <v>2</v>
      </c>
      <c r="Z224" s="272" t="n">
        <v>3</v>
      </c>
      <c r="AA224" s="272" t="n">
        <v>11</v>
      </c>
    </row>
    <row r="225">
      <c r="A225" s="270" t="n">
        <v>46075</v>
      </c>
      <c r="B225" s="271" t="inlineStr">
        <is>
          <t>Belenenses</t>
        </is>
      </c>
      <c r="C225" s="271" t="inlineStr">
        <is>
          <t>Capitulo</t>
        </is>
      </c>
      <c r="D225" s="271" t="inlineStr">
        <is>
          <t>Lateral</t>
        </is>
      </c>
      <c r="E225" s="272" t="n">
        <v>30</v>
      </c>
      <c r="F225" s="272" t="n">
        <v>4530</v>
      </c>
      <c r="G225" s="272" t="n">
        <v>152</v>
      </c>
      <c r="H225" s="272" t="n">
        <v>72</v>
      </c>
      <c r="I225" s="272" t="n">
        <v>41</v>
      </c>
      <c r="J225" s="272" t="n">
        <v>46</v>
      </c>
      <c r="K225" s="272" t="n">
        <v>3</v>
      </c>
      <c r="L225" s="273" t="n">
        <v>29</v>
      </c>
      <c r="M225" s="272" t="n">
        <v>9</v>
      </c>
      <c r="N225" s="272" t="n">
        <v>6</v>
      </c>
      <c r="O225" s="272" t="n">
        <v>3</v>
      </c>
      <c r="P225" s="272" t="n">
        <v>1</v>
      </c>
      <c r="Q225" s="271" t="inlineStr">
        <is>
          <t>Treino</t>
        </is>
      </c>
      <c r="R225" s="272" t="n">
        <v>8</v>
      </c>
      <c r="S225" s="271" t="inlineStr">
        <is>
          <t>MD+1R</t>
        </is>
      </c>
      <c r="T225" s="272" t="n"/>
      <c r="U225" s="272" t="n"/>
      <c r="V225" s="274">
        <f>IF(_xlfn.MAXIFS(tblCarga[Data],tblCarga[Jogador],C225,tblCarga[Tipo],"Jogo",tblCarga[Data],"&lt;"&amp;A225)=0,"-",A225-_xlfn.MAXIFS(tblCarga[Data],tblCarga[Jogador],C225,tblCarga[Tipo],"Jogo",tblCarga[Data],"&lt;"&amp;A225))</f>
        <v/>
      </c>
      <c r="W225" s="272" t="n">
        <v>3</v>
      </c>
      <c r="X225" s="272" t="n">
        <v>5</v>
      </c>
      <c r="Y225" s="272" t="n">
        <v>2</v>
      </c>
      <c r="Z225" s="272" t="n">
        <v>3</v>
      </c>
      <c r="AA225" s="272" t="n">
        <v>13</v>
      </c>
    </row>
    <row r="226">
      <c r="A226" s="270" t="n">
        <v>46075</v>
      </c>
      <c r="B226" s="271" t="inlineStr">
        <is>
          <t>Belenenses</t>
        </is>
      </c>
      <c r="C226" s="271" t="inlineStr">
        <is>
          <t>Enzo Hugo</t>
        </is>
      </c>
      <c r="D226" s="271" t="inlineStr">
        <is>
          <t>Central</t>
        </is>
      </c>
      <c r="E226" s="272" t="n">
        <v>30</v>
      </c>
      <c r="F226" s="272" t="n">
        <v>3246</v>
      </c>
      <c r="G226" s="272" t="n">
        <v>91</v>
      </c>
      <c r="H226" s="272" t="n">
        <v>21</v>
      </c>
      <c r="I226" s="272" t="n">
        <v>41</v>
      </c>
      <c r="J226" s="272" t="n">
        <v>46</v>
      </c>
      <c r="K226" s="272" t="n">
        <v>4</v>
      </c>
      <c r="L226" s="273" t="n">
        <v>27</v>
      </c>
      <c r="M226" s="272" t="n">
        <v>9</v>
      </c>
      <c r="N226" s="272" t="n">
        <v>4</v>
      </c>
      <c r="O226" s="272" t="n">
        <v>1</v>
      </c>
      <c r="P226" s="272" t="n">
        <v>0</v>
      </c>
      <c r="Q226" s="271" t="inlineStr">
        <is>
          <t>Treino</t>
        </is>
      </c>
      <c r="R226" s="272" t="n">
        <v>8</v>
      </c>
      <c r="S226" s="271" t="inlineStr">
        <is>
          <t>MD+1R</t>
        </is>
      </c>
      <c r="T226" s="272" t="n"/>
      <c r="U226" s="272" t="n"/>
      <c r="V226" s="274">
        <f>IF(_xlfn.MAXIFS(tblCarga[Data],tblCarga[Jogador],C226,tblCarga[Tipo],"Jogo",tblCarga[Data],"&lt;"&amp;A226)=0,"-",A226-_xlfn.MAXIFS(tblCarga[Data],tblCarga[Jogador],C226,tblCarga[Tipo],"Jogo",tblCarga[Data],"&lt;"&amp;A226))</f>
        <v/>
      </c>
      <c r="W226" s="272" t="n">
        <v>2</v>
      </c>
      <c r="X226" s="272" t="n">
        <v>4</v>
      </c>
      <c r="Y226" s="272" t="n">
        <v>3</v>
      </c>
      <c r="Z226" s="272" t="n">
        <v>3</v>
      </c>
      <c r="AA226" s="272" t="n">
        <v>12</v>
      </c>
    </row>
    <row r="227">
      <c r="A227" s="270" t="n">
        <v>46075</v>
      </c>
      <c r="B227" s="271" t="inlineStr">
        <is>
          <t>Belenenses</t>
        </is>
      </c>
      <c r="C227" s="271" t="inlineStr">
        <is>
          <t>Nogueira</t>
        </is>
      </c>
      <c r="D227" s="271" t="inlineStr">
        <is>
          <t>Central</t>
        </is>
      </c>
      <c r="E227" s="272" t="n">
        <v>30</v>
      </c>
      <c r="F227" s="272" t="n">
        <v>3440</v>
      </c>
      <c r="G227" s="272" t="n">
        <v>112</v>
      </c>
      <c r="H227" s="272" t="n">
        <v>16</v>
      </c>
      <c r="I227" s="272" t="n">
        <v>26</v>
      </c>
      <c r="J227" s="272" t="n">
        <v>36</v>
      </c>
      <c r="K227" s="272" t="n">
        <v>4</v>
      </c>
      <c r="L227" s="273" t="n">
        <v>27</v>
      </c>
      <c r="M227" s="272" t="n">
        <v>9</v>
      </c>
      <c r="N227" s="272" t="n">
        <v>3</v>
      </c>
      <c r="O227" s="272" t="n">
        <v>2</v>
      </c>
      <c r="P227" s="272" t="n">
        <v>1</v>
      </c>
      <c r="Q227" s="271" t="inlineStr">
        <is>
          <t>Treino</t>
        </is>
      </c>
      <c r="R227" s="272" t="n">
        <v>8</v>
      </c>
      <c r="S227" s="271" t="inlineStr">
        <is>
          <t>MD+1R</t>
        </is>
      </c>
      <c r="T227" s="272" t="n"/>
      <c r="U227" s="272" t="n"/>
      <c r="V227" s="274">
        <f>IF(_xlfn.MAXIFS(tblCarga[Data],tblCarga[Jogador],C227,tblCarga[Tipo],"Jogo",tblCarga[Data],"&lt;"&amp;A227)=0,"-",A227-_xlfn.MAXIFS(tblCarga[Data],tblCarga[Jogador],C227,tblCarga[Tipo],"Jogo",tblCarga[Data],"&lt;"&amp;A227))</f>
        <v/>
      </c>
      <c r="W227" s="272" t="n">
        <v>2</v>
      </c>
      <c r="X227" s="272" t="n">
        <v>3</v>
      </c>
      <c r="Y227" s="272" t="n">
        <v>2</v>
      </c>
      <c r="Z227" s="272" t="n">
        <v>3</v>
      </c>
      <c r="AA227" s="272" t="n">
        <v>10</v>
      </c>
    </row>
    <row r="228">
      <c r="A228" s="270" t="n">
        <v>46076</v>
      </c>
      <c r="B228" s="271" t="inlineStr">
        <is>
          <t>Belenenses</t>
        </is>
      </c>
      <c r="C228" s="271" t="inlineStr">
        <is>
          <t>Paulino</t>
        </is>
      </c>
      <c r="D228" s="271" t="inlineStr">
        <is>
          <t>Médio</t>
        </is>
      </c>
      <c r="E228" s="272" t="n">
        <v>60</v>
      </c>
      <c r="F228" s="272" t="n">
        <v>5510</v>
      </c>
      <c r="G228" s="272" t="n">
        <v>182</v>
      </c>
      <c r="H228" s="272" t="n">
        <v>82</v>
      </c>
      <c r="I228" s="272" t="n">
        <v>51</v>
      </c>
      <c r="J228" s="272" t="n">
        <v>56</v>
      </c>
      <c r="K228" s="272" t="n">
        <v>5</v>
      </c>
      <c r="L228" s="273" t="n">
        <v>29</v>
      </c>
      <c r="M228" s="272" t="n">
        <v>9</v>
      </c>
      <c r="N228" s="272" t="n">
        <v>7</v>
      </c>
      <c r="O228" s="272" t="n">
        <v>4</v>
      </c>
      <c r="P228" s="272" t="n">
        <v>2</v>
      </c>
      <c r="Q228" s="271" t="inlineStr">
        <is>
          <t>Treino</t>
        </is>
      </c>
      <c r="R228" s="272" t="n">
        <v>8</v>
      </c>
      <c r="S228" s="271" t="inlineStr">
        <is>
          <t>MD+1C</t>
        </is>
      </c>
      <c r="T228" s="272" t="n"/>
      <c r="U228" s="272" t="n"/>
      <c r="V228" s="274">
        <f>IF(_xlfn.MAXIFS(tblCarga[Data],tblCarga[Jogador],C228,tblCarga[Tipo],"Jogo",tblCarga[Data],"&lt;"&amp;A228)=0,"-",A228-_xlfn.MAXIFS(tblCarga[Data],tblCarga[Jogador],C228,tblCarga[Tipo],"Jogo",tblCarga[Data],"&lt;"&amp;A228))</f>
        <v/>
      </c>
      <c r="W228" s="272" t="n">
        <v>3</v>
      </c>
      <c r="X228" s="272" t="n">
        <v>4</v>
      </c>
      <c r="Y228" s="272" t="n">
        <v>3</v>
      </c>
      <c r="Z228" s="272" t="n">
        <v>4</v>
      </c>
      <c r="AA228" s="272" t="n">
        <v>14</v>
      </c>
    </row>
    <row r="229">
      <c r="A229" s="270" t="n">
        <v>46076</v>
      </c>
      <c r="B229" s="271" t="inlineStr">
        <is>
          <t>Belenenses</t>
        </is>
      </c>
      <c r="C229" s="271" t="inlineStr">
        <is>
          <t>Artur</t>
        </is>
      </c>
      <c r="D229" s="271" t="inlineStr">
        <is>
          <t>Médio</t>
        </is>
      </c>
      <c r="E229" s="272" t="n">
        <v>60</v>
      </c>
      <c r="F229" s="272" t="n">
        <v>5050</v>
      </c>
      <c r="G229" s="272" t="n">
        <v>142</v>
      </c>
      <c r="H229" s="272" t="n">
        <v>37</v>
      </c>
      <c r="I229" s="272" t="n">
        <v>56</v>
      </c>
      <c r="J229" s="272" t="n">
        <v>62</v>
      </c>
      <c r="K229" s="272" t="n">
        <v>5</v>
      </c>
      <c r="L229" s="273" t="n">
        <v>28</v>
      </c>
      <c r="M229" s="272" t="n">
        <v>9</v>
      </c>
      <c r="N229" s="272" t="n">
        <v>6</v>
      </c>
      <c r="O229" s="272" t="n">
        <v>3</v>
      </c>
      <c r="P229" s="272" t="n">
        <v>1</v>
      </c>
      <c r="Q229" s="271" t="inlineStr">
        <is>
          <t>Treino</t>
        </is>
      </c>
      <c r="R229" s="272" t="n">
        <v>8</v>
      </c>
      <c r="S229" s="271" t="inlineStr">
        <is>
          <t>MD+1C</t>
        </is>
      </c>
      <c r="T229" s="272" t="n"/>
      <c r="U229" s="272" t="n"/>
      <c r="V229" s="274">
        <f>IF(_xlfn.MAXIFS(tblCarga[Data],tblCarga[Jogador],C229,tblCarga[Tipo],"Jogo",tblCarga[Data],"&lt;"&amp;A229)=0,"-",A229-_xlfn.MAXIFS(tblCarga[Data],tblCarga[Jogador],C229,tblCarga[Tipo],"Jogo",tblCarga[Data],"&lt;"&amp;A229))</f>
        <v/>
      </c>
      <c r="W229" s="272" t="n">
        <v>2</v>
      </c>
      <c r="X229" s="272" t="n">
        <v>4</v>
      </c>
      <c r="Y229" s="272" t="n">
        <v>3</v>
      </c>
      <c r="Z229" s="272" t="n">
        <v>4</v>
      </c>
      <c r="AA229" s="272" t="n">
        <v>13</v>
      </c>
    </row>
    <row r="230">
      <c r="A230" s="270" t="n">
        <v>46076</v>
      </c>
      <c r="B230" s="271" t="inlineStr">
        <is>
          <t>Belenenses</t>
        </is>
      </c>
      <c r="C230" s="271" t="inlineStr">
        <is>
          <t>Gomes</t>
        </is>
      </c>
      <c r="D230" s="271" t="inlineStr">
        <is>
          <t>Médio</t>
        </is>
      </c>
      <c r="E230" s="272" t="n">
        <v>60</v>
      </c>
      <c r="F230" s="272" t="n">
        <v>6260</v>
      </c>
      <c r="G230" s="272" t="n">
        <v>172</v>
      </c>
      <c r="H230" s="272" t="n">
        <v>72</v>
      </c>
      <c r="I230" s="272" t="n">
        <v>56</v>
      </c>
      <c r="J230" s="272" t="n">
        <v>62</v>
      </c>
      <c r="K230" s="272" t="n">
        <v>6</v>
      </c>
      <c r="L230" s="273" t="n">
        <v>28</v>
      </c>
      <c r="M230" s="272" t="n">
        <v>9</v>
      </c>
      <c r="N230" s="272" t="n">
        <v>5</v>
      </c>
      <c r="O230" s="272" t="n">
        <v>2</v>
      </c>
      <c r="P230" s="272" t="n">
        <v>1</v>
      </c>
      <c r="Q230" s="271" t="inlineStr">
        <is>
          <t>Treino</t>
        </is>
      </c>
      <c r="R230" s="272" t="n">
        <v>8</v>
      </c>
      <c r="S230" s="271" t="inlineStr">
        <is>
          <t>MD+1C</t>
        </is>
      </c>
      <c r="T230" s="272" t="n"/>
      <c r="U230" s="272" t="n"/>
      <c r="V230" s="274">
        <f>IF(_xlfn.MAXIFS(tblCarga[Data],tblCarga[Jogador],C230,tblCarga[Tipo],"Jogo",tblCarga[Data],"&lt;"&amp;A230)=0,"-",A230-_xlfn.MAXIFS(tblCarga[Data],tblCarga[Jogador],C230,tblCarga[Tipo],"Jogo",tblCarga[Data],"&lt;"&amp;A230))</f>
        <v/>
      </c>
      <c r="W230" s="272" t="n">
        <v>3</v>
      </c>
      <c r="X230" s="272" t="n">
        <v>3</v>
      </c>
      <c r="Y230" s="272" t="n">
        <v>2</v>
      </c>
      <c r="Z230" s="272" t="n">
        <v>3</v>
      </c>
      <c r="AA230" s="272" t="n">
        <v>11</v>
      </c>
    </row>
    <row r="231">
      <c r="A231" s="270" t="n">
        <v>46076</v>
      </c>
      <c r="B231" s="271" t="inlineStr">
        <is>
          <t>Belenenses</t>
        </is>
      </c>
      <c r="C231" s="271" t="inlineStr">
        <is>
          <t>Sá</t>
        </is>
      </c>
      <c r="D231" s="271" t="inlineStr">
        <is>
          <t>Médio</t>
        </is>
      </c>
      <c r="E231" s="272" t="n">
        <v>60</v>
      </c>
      <c r="F231" s="272" t="n">
        <v>5620</v>
      </c>
      <c r="G231" s="272" t="n">
        <v>182</v>
      </c>
      <c r="H231" s="272" t="n">
        <v>37</v>
      </c>
      <c r="I231" s="272" t="n">
        <v>56</v>
      </c>
      <c r="J231" s="272" t="n">
        <v>62</v>
      </c>
      <c r="K231" s="272" t="n">
        <v>6</v>
      </c>
      <c r="L231" s="273" t="n">
        <v>30</v>
      </c>
      <c r="M231" s="272" t="n">
        <v>9</v>
      </c>
      <c r="N231" s="272" t="n">
        <v>7</v>
      </c>
      <c r="O231" s="272" t="n">
        <v>3</v>
      </c>
      <c r="P231" s="272" t="n">
        <v>1</v>
      </c>
      <c r="Q231" s="271" t="inlineStr">
        <is>
          <t>Treino</t>
        </is>
      </c>
      <c r="R231" s="272" t="n">
        <v>8</v>
      </c>
      <c r="S231" s="271" t="inlineStr">
        <is>
          <t>MD+1C</t>
        </is>
      </c>
      <c r="T231" s="272" t="n"/>
      <c r="U231" s="272" t="n"/>
      <c r="V231" s="274">
        <f>IF(_xlfn.MAXIFS(tblCarga[Data],tblCarga[Jogador],C231,tblCarga[Tipo],"Jogo",tblCarga[Data],"&lt;"&amp;A231)=0,"-",A231-_xlfn.MAXIFS(tblCarga[Data],tblCarga[Jogador],C231,tblCarga[Tipo],"Jogo",tblCarga[Data],"&lt;"&amp;A231))</f>
        <v/>
      </c>
      <c r="W231" s="272" t="n">
        <v>3</v>
      </c>
      <c r="X231" s="272" t="n">
        <v>3</v>
      </c>
      <c r="Y231" s="272" t="n">
        <v>1</v>
      </c>
      <c r="Z231" s="272" t="n">
        <v>4</v>
      </c>
      <c r="AA231" s="272" t="n">
        <v>11</v>
      </c>
    </row>
    <row r="232">
      <c r="A232" s="270" t="n">
        <v>46076</v>
      </c>
      <c r="B232" s="271" t="inlineStr">
        <is>
          <t>Belenenses</t>
        </is>
      </c>
      <c r="C232" s="271" t="inlineStr">
        <is>
          <t>Varela</t>
        </is>
      </c>
      <c r="D232" s="271" t="inlineStr">
        <is>
          <t>Lateral</t>
        </is>
      </c>
      <c r="E232" s="272" t="n">
        <v>60</v>
      </c>
      <c r="F232" s="272" t="n">
        <v>6540</v>
      </c>
      <c r="G232" s="272" t="n">
        <v>212</v>
      </c>
      <c r="H232" s="272" t="n">
        <v>102</v>
      </c>
      <c r="I232" s="272" t="n">
        <v>56</v>
      </c>
      <c r="J232" s="272" t="n">
        <v>62</v>
      </c>
      <c r="K232" s="272" t="n">
        <v>5</v>
      </c>
      <c r="L232" s="273" t="n">
        <v>31</v>
      </c>
      <c r="M232" s="272" t="n">
        <v>9</v>
      </c>
      <c r="N232" s="272" t="n">
        <v>8</v>
      </c>
      <c r="O232" s="272" t="n">
        <v>4</v>
      </c>
      <c r="P232" s="272" t="n">
        <v>2</v>
      </c>
      <c r="Q232" s="271" t="inlineStr">
        <is>
          <t>Treino</t>
        </is>
      </c>
      <c r="R232" s="272" t="n">
        <v>8</v>
      </c>
      <c r="S232" s="271" t="inlineStr">
        <is>
          <t>MD+1C</t>
        </is>
      </c>
      <c r="T232" s="272" t="n"/>
      <c r="U232" s="272" t="n"/>
      <c r="V232" s="274">
        <f>IF(_xlfn.MAXIFS(tblCarga[Data],tblCarga[Jogador],C232,tblCarga[Tipo],"Jogo",tblCarga[Data],"&lt;"&amp;A232)=0,"-",A232-_xlfn.MAXIFS(tblCarga[Data],tblCarga[Jogador],C232,tblCarga[Tipo],"Jogo",tblCarga[Data],"&lt;"&amp;A232))</f>
        <v/>
      </c>
      <c r="W232" s="272" t="n">
        <v>3</v>
      </c>
      <c r="X232" s="272" t="n">
        <v>3</v>
      </c>
      <c r="Y232" s="272" t="n">
        <v>3</v>
      </c>
      <c r="Z232" s="272" t="n">
        <v>3</v>
      </c>
      <c r="AA232" s="272" t="n">
        <v>12</v>
      </c>
    </row>
    <row r="233">
      <c r="A233" s="270" t="n">
        <v>46076</v>
      </c>
      <c r="B233" s="271" t="inlineStr">
        <is>
          <t>Belenenses</t>
        </is>
      </c>
      <c r="C233" s="271" t="inlineStr">
        <is>
          <t>Edu</t>
        </is>
      </c>
      <c r="D233" s="271" t="inlineStr">
        <is>
          <t>Lateral</t>
        </is>
      </c>
      <c r="E233" s="272" t="n">
        <v>60</v>
      </c>
      <c r="F233" s="272" t="n">
        <v>6860</v>
      </c>
      <c r="G233" s="272" t="n">
        <v>233</v>
      </c>
      <c r="H233" s="272" t="n">
        <v>122</v>
      </c>
      <c r="I233" s="272" t="n">
        <v>56</v>
      </c>
      <c r="J233" s="272" t="n">
        <v>62</v>
      </c>
      <c r="K233" s="272" t="n">
        <v>4</v>
      </c>
      <c r="L233" s="273" t="n">
        <v>31</v>
      </c>
      <c r="M233" s="272" t="n">
        <v>9</v>
      </c>
      <c r="N233" s="272" t="n">
        <v>9</v>
      </c>
      <c r="O233" s="272" t="n">
        <v>5</v>
      </c>
      <c r="P233" s="272" t="n">
        <v>2</v>
      </c>
      <c r="Q233" s="271" t="inlineStr">
        <is>
          <t>Treino</t>
        </is>
      </c>
      <c r="R233" s="272" t="n">
        <v>8</v>
      </c>
      <c r="S233" s="271" t="inlineStr">
        <is>
          <t>MD+1C</t>
        </is>
      </c>
      <c r="T233" s="272" t="n"/>
      <c r="U233" s="272" t="n"/>
      <c r="V233" s="274">
        <f>IF(_xlfn.MAXIFS(tblCarga[Data],tblCarga[Jogador],C233,tblCarga[Tipo],"Jogo",tblCarga[Data],"&lt;"&amp;A233)=0,"-",A233-_xlfn.MAXIFS(tblCarga[Data],tblCarga[Jogador],C233,tblCarga[Tipo],"Jogo",tblCarga[Data],"&lt;"&amp;A233))</f>
        <v/>
      </c>
      <c r="W233" s="272" t="n">
        <v>2</v>
      </c>
      <c r="X233" s="272" t="n">
        <v>4</v>
      </c>
      <c r="Y233" s="272" t="n">
        <v>1</v>
      </c>
      <c r="Z233" s="272" t="n">
        <v>4</v>
      </c>
      <c r="AA233" s="272" t="n">
        <v>11</v>
      </c>
    </row>
    <row r="234">
      <c r="A234" s="270" t="n">
        <v>46076</v>
      </c>
      <c r="B234" s="271" t="inlineStr">
        <is>
          <t>Belenenses</t>
        </is>
      </c>
      <c r="C234" s="271" t="inlineStr">
        <is>
          <t>Capitulo</t>
        </is>
      </c>
      <c r="D234" s="271" t="inlineStr">
        <is>
          <t>Lateral</t>
        </is>
      </c>
      <c r="E234" s="272" t="n">
        <v>60</v>
      </c>
      <c r="F234" s="272" t="n">
        <v>7260</v>
      </c>
      <c r="G234" s="272" t="n">
        <v>262</v>
      </c>
      <c r="H234" s="272" t="n">
        <v>122</v>
      </c>
      <c r="I234" s="272" t="n">
        <v>62</v>
      </c>
      <c r="J234" s="272" t="n">
        <v>67</v>
      </c>
      <c r="K234" s="272" t="n">
        <v>4</v>
      </c>
      <c r="L234" s="273" t="n">
        <v>30</v>
      </c>
      <c r="M234" s="272" t="n">
        <v>9</v>
      </c>
      <c r="N234" s="272" t="n">
        <v>9</v>
      </c>
      <c r="O234" s="272" t="n">
        <v>5</v>
      </c>
      <c r="P234" s="272" t="n">
        <v>2</v>
      </c>
      <c r="Q234" s="271" t="inlineStr">
        <is>
          <t>Treino</t>
        </is>
      </c>
      <c r="R234" s="272" t="n">
        <v>8</v>
      </c>
      <c r="S234" s="271" t="inlineStr">
        <is>
          <t>MD+1C</t>
        </is>
      </c>
      <c r="T234" s="272" t="n"/>
      <c r="U234" s="272" t="n"/>
      <c r="V234" s="274">
        <f>IF(_xlfn.MAXIFS(tblCarga[Data],tblCarga[Jogador],C234,tblCarga[Tipo],"Jogo",tblCarga[Data],"&lt;"&amp;A234)=0,"-",A234-_xlfn.MAXIFS(tblCarga[Data],tblCarga[Jogador],C234,tblCarga[Tipo],"Jogo",tblCarga[Data],"&lt;"&amp;A234))</f>
        <v/>
      </c>
      <c r="W234" s="272" t="n">
        <v>2</v>
      </c>
      <c r="X234" s="272" t="n">
        <v>4</v>
      </c>
      <c r="Y234" s="272" t="n">
        <v>2</v>
      </c>
      <c r="Z234" s="272" t="n">
        <v>3</v>
      </c>
      <c r="AA234" s="272" t="n">
        <v>11</v>
      </c>
    </row>
    <row r="235">
      <c r="A235" s="270" t="n">
        <v>46076</v>
      </c>
      <c r="B235" s="271" t="inlineStr">
        <is>
          <t>Belenenses</t>
        </is>
      </c>
      <c r="C235" s="271" t="inlineStr">
        <is>
          <t>Enzo Hugo</t>
        </is>
      </c>
      <c r="D235" s="271" t="inlineStr">
        <is>
          <t>Central</t>
        </is>
      </c>
      <c r="E235" s="272" t="n">
        <v>60</v>
      </c>
      <c r="F235" s="272" t="n">
        <v>5260</v>
      </c>
      <c r="G235" s="272" t="n">
        <v>162</v>
      </c>
      <c r="H235" s="272" t="n">
        <v>37</v>
      </c>
      <c r="I235" s="272" t="n">
        <v>62</v>
      </c>
      <c r="J235" s="272" t="n">
        <v>67</v>
      </c>
      <c r="K235" s="272" t="n">
        <v>5</v>
      </c>
      <c r="L235" s="273" t="n">
        <v>28</v>
      </c>
      <c r="M235" s="272" t="n">
        <v>9</v>
      </c>
      <c r="N235" s="272" t="n">
        <v>6</v>
      </c>
      <c r="O235" s="272" t="n">
        <v>2</v>
      </c>
      <c r="P235" s="272" t="n">
        <v>1</v>
      </c>
      <c r="Q235" s="271" t="inlineStr">
        <is>
          <t>Treino</t>
        </is>
      </c>
      <c r="R235" s="272" t="n">
        <v>8</v>
      </c>
      <c r="S235" s="271" t="inlineStr">
        <is>
          <t>MD+1C</t>
        </is>
      </c>
      <c r="T235" s="272" t="n"/>
      <c r="U235" s="272" t="n"/>
      <c r="V235" s="274">
        <f>IF(_xlfn.MAXIFS(tblCarga[Data],tblCarga[Jogador],C235,tblCarga[Tipo],"Jogo",tblCarga[Data],"&lt;"&amp;A235)=0,"-",A235-_xlfn.MAXIFS(tblCarga[Data],tblCarga[Jogador],C235,tblCarga[Tipo],"Jogo",tblCarga[Data],"&lt;"&amp;A235))</f>
        <v/>
      </c>
      <c r="W235" s="272" t="n">
        <v>2</v>
      </c>
      <c r="X235" s="272" t="n">
        <v>5</v>
      </c>
      <c r="Y235" s="272" t="n">
        <v>1</v>
      </c>
      <c r="Z235" s="272" t="n">
        <v>3</v>
      </c>
      <c r="AA235" s="272" t="n">
        <v>11</v>
      </c>
    </row>
    <row r="236">
      <c r="A236" s="270" t="n">
        <v>46076</v>
      </c>
      <c r="B236" s="271" t="inlineStr">
        <is>
          <t>Belenenses</t>
        </is>
      </c>
      <c r="C236" s="271" t="inlineStr">
        <is>
          <t>Nogueira</t>
        </is>
      </c>
      <c r="D236" s="271" t="inlineStr">
        <is>
          <t>Central</t>
        </is>
      </c>
      <c r="E236" s="272" t="n">
        <v>60</v>
      </c>
      <c r="F236" s="272" t="n">
        <v>5550</v>
      </c>
      <c r="G236" s="272" t="n">
        <v>192</v>
      </c>
      <c r="H236" s="272" t="n">
        <v>27</v>
      </c>
      <c r="I236" s="272" t="n">
        <v>42</v>
      </c>
      <c r="J236" s="272" t="n">
        <v>52</v>
      </c>
      <c r="K236" s="272" t="n">
        <v>5</v>
      </c>
      <c r="L236" s="273" t="n">
        <v>28</v>
      </c>
      <c r="M236" s="272" t="n">
        <v>9</v>
      </c>
      <c r="N236" s="272" t="n">
        <v>5</v>
      </c>
      <c r="O236" s="272" t="n">
        <v>3</v>
      </c>
      <c r="P236" s="272" t="n">
        <v>1</v>
      </c>
      <c r="Q236" s="271" t="inlineStr">
        <is>
          <t>Treino</t>
        </is>
      </c>
      <c r="R236" s="272" t="n">
        <v>8</v>
      </c>
      <c r="S236" s="271" t="inlineStr">
        <is>
          <t>MD+1C</t>
        </is>
      </c>
      <c r="T236" s="272" t="n"/>
      <c r="U236" s="272" t="n"/>
      <c r="V236" s="274">
        <f>IF(_xlfn.MAXIFS(tblCarga[Data],tblCarga[Jogador],C236,tblCarga[Tipo],"Jogo",tblCarga[Data],"&lt;"&amp;A236)=0,"-",A236-_xlfn.MAXIFS(tblCarga[Data],tblCarga[Jogador],C236,tblCarga[Tipo],"Jogo",tblCarga[Data],"&lt;"&amp;A236))</f>
        <v/>
      </c>
      <c r="W236" s="272" t="n">
        <v>3</v>
      </c>
      <c r="X236" s="272" t="n">
        <v>4</v>
      </c>
      <c r="Y236" s="272" t="n">
        <v>1</v>
      </c>
      <c r="Z236" s="272" t="n">
        <v>3</v>
      </c>
      <c r="AA236" s="272" t="n">
        <v>11</v>
      </c>
    </row>
    <row r="237">
      <c r="A237" s="270" t="n">
        <v>46077</v>
      </c>
      <c r="B237" s="271" t="inlineStr">
        <is>
          <t>Belenenses</t>
        </is>
      </c>
      <c r="C237" s="271" t="inlineStr">
        <is>
          <t>Paulino</t>
        </is>
      </c>
      <c r="D237" s="271" t="inlineStr">
        <is>
          <t>Médio</t>
        </is>
      </c>
      <c r="E237" s="272" t="n">
        <v>90</v>
      </c>
      <c r="F237" s="272" t="n">
        <v>7600</v>
      </c>
      <c r="G237" s="272" t="n">
        <v>310</v>
      </c>
      <c r="H237" s="272" t="n">
        <v>145</v>
      </c>
      <c r="I237" s="272" t="n">
        <v>72</v>
      </c>
      <c r="J237" s="272" t="n">
        <v>82</v>
      </c>
      <c r="K237" s="272" t="n">
        <v>7</v>
      </c>
      <c r="L237" s="273" t="n">
        <v>30</v>
      </c>
      <c r="M237" s="272" t="n">
        <v>9</v>
      </c>
      <c r="N237" s="272" t="n">
        <v>12</v>
      </c>
      <c r="O237" s="272" t="n">
        <v>8</v>
      </c>
      <c r="P237" s="272" t="n">
        <v>4</v>
      </c>
      <c r="Q237" s="271" t="inlineStr">
        <is>
          <t>Treino</t>
        </is>
      </c>
      <c r="R237" s="272" t="n">
        <v>9</v>
      </c>
      <c r="S237" s="271" t="inlineStr">
        <is>
          <t>MD-5</t>
        </is>
      </c>
      <c r="T237" s="272" t="n"/>
      <c r="U237" s="272" t="n"/>
      <c r="V237" s="274">
        <f>IF(_xlfn.MAXIFS(tblCarga[Data],tblCarga[Jogador],C237,tblCarga[Tipo],"Jogo",tblCarga[Data],"&lt;"&amp;A237)=0,"-",A237-_xlfn.MAXIFS(tblCarga[Data],tblCarga[Jogador],C237,tblCarga[Tipo],"Jogo",tblCarga[Data],"&lt;"&amp;A237))</f>
        <v/>
      </c>
      <c r="W237" s="272" t="n">
        <v>2</v>
      </c>
      <c r="X237" s="272" t="n">
        <v>1</v>
      </c>
      <c r="Y237" s="272" t="n">
        <v>3</v>
      </c>
      <c r="Z237" s="272" t="n">
        <v>3</v>
      </c>
      <c r="AA237" s="272" t="n">
        <v>9</v>
      </c>
    </row>
    <row r="238">
      <c r="A238" s="270" t="n">
        <v>46077</v>
      </c>
      <c r="B238" s="271" t="inlineStr">
        <is>
          <t>Belenenses</t>
        </is>
      </c>
      <c r="C238" s="271" t="inlineStr">
        <is>
          <t>Artur</t>
        </is>
      </c>
      <c r="D238" s="271" t="inlineStr">
        <is>
          <t>Médio</t>
        </is>
      </c>
      <c r="E238" s="272" t="n">
        <v>88</v>
      </c>
      <c r="F238" s="272" t="n">
        <v>7900</v>
      </c>
      <c r="G238" s="272" t="n">
        <v>205</v>
      </c>
      <c r="H238" s="272" t="n">
        <v>52</v>
      </c>
      <c r="I238" s="272" t="n">
        <v>77</v>
      </c>
      <c r="J238" s="272" t="n">
        <v>88</v>
      </c>
      <c r="K238" s="272" t="n">
        <v>7</v>
      </c>
      <c r="L238" s="273" t="n">
        <v>30</v>
      </c>
      <c r="M238" s="272" t="n">
        <v>9</v>
      </c>
      <c r="N238" s="272" t="n">
        <v>11</v>
      </c>
      <c r="O238" s="272" t="n">
        <v>6</v>
      </c>
      <c r="P238" s="272" t="n">
        <v>2</v>
      </c>
      <c r="Q238" s="271" t="inlineStr">
        <is>
          <t>Treino</t>
        </is>
      </c>
      <c r="R238" s="272" t="n">
        <v>9</v>
      </c>
      <c r="S238" s="271" t="inlineStr">
        <is>
          <t>MD-5</t>
        </is>
      </c>
      <c r="T238" s="272" t="n"/>
      <c r="U238" s="272" t="n"/>
      <c r="V238" s="274">
        <f>IF(_xlfn.MAXIFS(tblCarga[Data],tblCarga[Jogador],C238,tblCarga[Tipo],"Jogo",tblCarga[Data],"&lt;"&amp;A238)=0,"-",A238-_xlfn.MAXIFS(tblCarga[Data],tblCarga[Jogador],C238,tblCarga[Tipo],"Jogo",tblCarga[Data],"&lt;"&amp;A238))</f>
        <v/>
      </c>
      <c r="W238" s="272" t="n">
        <v>2</v>
      </c>
      <c r="X238" s="272" t="n">
        <v>2</v>
      </c>
      <c r="Y238" s="272" t="n">
        <v>3</v>
      </c>
      <c r="Z238" s="272" t="n">
        <v>2</v>
      </c>
      <c r="AA238" s="272" t="n">
        <v>9</v>
      </c>
    </row>
    <row r="239">
      <c r="A239" s="270" t="n">
        <v>46077</v>
      </c>
      <c r="B239" s="271" t="inlineStr">
        <is>
          <t>Belenenses</t>
        </is>
      </c>
      <c r="C239" s="271" t="inlineStr">
        <is>
          <t>Gomes</t>
        </is>
      </c>
      <c r="D239" s="271" t="inlineStr">
        <is>
          <t>Médio</t>
        </is>
      </c>
      <c r="E239" s="272" t="n">
        <v>90</v>
      </c>
      <c r="F239" s="272" t="n">
        <v>9600</v>
      </c>
      <c r="G239" s="272" t="n">
        <v>255</v>
      </c>
      <c r="H239" s="272" t="n">
        <v>102</v>
      </c>
      <c r="I239" s="272" t="n">
        <v>82</v>
      </c>
      <c r="J239" s="272" t="n">
        <v>92</v>
      </c>
      <c r="K239" s="272" t="n">
        <v>8</v>
      </c>
      <c r="L239" s="273" t="n">
        <v>29</v>
      </c>
      <c r="M239" s="272" t="n">
        <v>9</v>
      </c>
      <c r="N239" s="272" t="n">
        <v>12</v>
      </c>
      <c r="O239" s="272" t="n">
        <v>5</v>
      </c>
      <c r="P239" s="272" t="n">
        <v>2</v>
      </c>
      <c r="Q239" s="271" t="inlineStr">
        <is>
          <t>Treino</t>
        </is>
      </c>
      <c r="R239" s="272" t="n">
        <v>9</v>
      </c>
      <c r="S239" s="271" t="inlineStr">
        <is>
          <t>MD-5</t>
        </is>
      </c>
      <c r="T239" s="272" t="n"/>
      <c r="U239" s="272" t="n"/>
      <c r="V239" s="274">
        <f>IF(_xlfn.MAXIFS(tblCarga[Data],tblCarga[Jogador],C239,tblCarga[Tipo],"Jogo",tblCarga[Data],"&lt;"&amp;A239)=0,"-",A239-_xlfn.MAXIFS(tblCarga[Data],tblCarga[Jogador],C239,tblCarga[Tipo],"Jogo",tblCarga[Data],"&lt;"&amp;A239))</f>
        <v/>
      </c>
      <c r="W239" s="272" t="n">
        <v>2</v>
      </c>
      <c r="X239" s="272" t="n">
        <v>1</v>
      </c>
      <c r="Y239" s="272" t="n">
        <v>3</v>
      </c>
      <c r="Z239" s="272" t="n">
        <v>2</v>
      </c>
      <c r="AA239" s="272" t="n">
        <v>8</v>
      </c>
    </row>
    <row r="240">
      <c r="A240" s="270" t="n">
        <v>46077</v>
      </c>
      <c r="B240" s="271" t="inlineStr">
        <is>
          <t>Belenenses</t>
        </is>
      </c>
      <c r="C240" s="271" t="inlineStr">
        <is>
          <t>Sá</t>
        </is>
      </c>
      <c r="D240" s="271" t="inlineStr">
        <is>
          <t>Médio</t>
        </is>
      </c>
      <c r="E240" s="272" t="n">
        <v>92</v>
      </c>
      <c r="F240" s="272" t="n">
        <v>8600</v>
      </c>
      <c r="G240" s="272" t="n">
        <v>285</v>
      </c>
      <c r="H240" s="272" t="n">
        <v>48</v>
      </c>
      <c r="I240" s="272" t="n">
        <v>78</v>
      </c>
      <c r="J240" s="272" t="n">
        <v>88</v>
      </c>
      <c r="K240" s="272" t="n">
        <v>8</v>
      </c>
      <c r="L240" s="273" t="n">
        <v>31</v>
      </c>
      <c r="M240" s="272" t="n">
        <v>9</v>
      </c>
      <c r="N240" s="272" t="n">
        <v>13</v>
      </c>
      <c r="O240" s="272" t="n">
        <v>6</v>
      </c>
      <c r="P240" s="272" t="n">
        <v>2</v>
      </c>
      <c r="Q240" s="271" t="inlineStr">
        <is>
          <t>Treino</t>
        </is>
      </c>
      <c r="R240" s="272" t="n">
        <v>9</v>
      </c>
      <c r="S240" s="271" t="inlineStr">
        <is>
          <t>MD-5</t>
        </is>
      </c>
      <c r="T240" s="272" t="n"/>
      <c r="U240" s="272" t="n"/>
      <c r="V240" s="274">
        <f>IF(_xlfn.MAXIFS(tblCarga[Data],tblCarga[Jogador],C240,tblCarga[Tipo],"Jogo",tblCarga[Data],"&lt;"&amp;A240)=0,"-",A240-_xlfn.MAXIFS(tblCarga[Data],tblCarga[Jogador],C240,tblCarga[Tipo],"Jogo",tblCarga[Data],"&lt;"&amp;A240))</f>
        <v/>
      </c>
      <c r="W240" s="272" t="n">
        <v>3</v>
      </c>
      <c r="X240" s="272" t="n">
        <v>3</v>
      </c>
      <c r="Y240" s="272" t="n">
        <v>2</v>
      </c>
      <c r="Z240" s="272" t="n">
        <v>2</v>
      </c>
      <c r="AA240" s="272" t="n">
        <v>10</v>
      </c>
    </row>
    <row r="241">
      <c r="A241" s="270" t="n">
        <v>46077</v>
      </c>
      <c r="B241" s="271" t="inlineStr">
        <is>
          <t>Belenenses</t>
        </is>
      </c>
      <c r="C241" s="271" t="inlineStr">
        <is>
          <t>Varela</t>
        </is>
      </c>
      <c r="D241" s="271" t="inlineStr">
        <is>
          <t>Lateral</t>
        </is>
      </c>
      <c r="E241" s="272" t="n">
        <v>92</v>
      </c>
      <c r="F241" s="272" t="n">
        <v>10600</v>
      </c>
      <c r="G241" s="272" t="n">
        <v>365</v>
      </c>
      <c r="H241" s="272" t="n">
        <v>155</v>
      </c>
      <c r="I241" s="272" t="n">
        <v>82</v>
      </c>
      <c r="J241" s="272" t="n">
        <v>92</v>
      </c>
      <c r="K241" s="272" t="n">
        <v>7</v>
      </c>
      <c r="L241" s="273" t="n">
        <v>33</v>
      </c>
      <c r="M241" s="272" t="n">
        <v>9</v>
      </c>
      <c r="N241" s="272" t="n">
        <v>14</v>
      </c>
      <c r="O241" s="272" t="n">
        <v>8</v>
      </c>
      <c r="P241" s="272" t="n">
        <v>4</v>
      </c>
      <c r="Q241" s="271" t="inlineStr">
        <is>
          <t>Treino</t>
        </is>
      </c>
      <c r="R241" s="272" t="n">
        <v>9</v>
      </c>
      <c r="S241" s="271" t="inlineStr">
        <is>
          <t>MD-5</t>
        </is>
      </c>
      <c r="T241" s="272" t="n"/>
      <c r="U241" s="272" t="n"/>
      <c r="V241" s="274">
        <f>IF(_xlfn.MAXIFS(tblCarga[Data],tblCarga[Jogador],C241,tblCarga[Tipo],"Jogo",tblCarga[Data],"&lt;"&amp;A241)=0,"-",A241-_xlfn.MAXIFS(tblCarga[Data],tblCarga[Jogador],C241,tblCarga[Tipo],"Jogo",tblCarga[Data],"&lt;"&amp;A241))</f>
        <v/>
      </c>
      <c r="W241" s="272" t="n">
        <v>2</v>
      </c>
      <c r="X241" s="272" t="n">
        <v>2</v>
      </c>
      <c r="Y241" s="272" t="n">
        <v>2</v>
      </c>
      <c r="Z241" s="272" t="n">
        <v>1</v>
      </c>
      <c r="AA241" s="272" t="n">
        <v>7</v>
      </c>
    </row>
    <row r="242">
      <c r="A242" s="270" t="n">
        <v>46077</v>
      </c>
      <c r="B242" s="271" t="inlineStr">
        <is>
          <t>Belenenses</t>
        </is>
      </c>
      <c r="C242" s="271" t="inlineStr">
        <is>
          <t>Edu</t>
        </is>
      </c>
      <c r="D242" s="271" t="inlineStr">
        <is>
          <t>Lateral</t>
        </is>
      </c>
      <c r="E242" s="272" t="n">
        <v>90</v>
      </c>
      <c r="F242" s="272" t="n">
        <v>10900</v>
      </c>
      <c r="G242" s="272" t="n">
        <v>410</v>
      </c>
      <c r="H242" s="272" t="n">
        <v>195</v>
      </c>
      <c r="I242" s="272" t="n">
        <v>82</v>
      </c>
      <c r="J242" s="272" t="n">
        <v>88</v>
      </c>
      <c r="K242" s="272" t="n">
        <v>6</v>
      </c>
      <c r="L242" s="273" t="n">
        <v>32</v>
      </c>
      <c r="M242" s="272" t="n">
        <v>9</v>
      </c>
      <c r="N242" s="272" t="n">
        <v>13</v>
      </c>
      <c r="O242" s="272" t="n">
        <v>7</v>
      </c>
      <c r="P242" s="272" t="n">
        <v>3</v>
      </c>
      <c r="Q242" s="271" t="inlineStr">
        <is>
          <t>Treino</t>
        </is>
      </c>
      <c r="R242" s="272" t="n">
        <v>9</v>
      </c>
      <c r="S242" s="271" t="inlineStr">
        <is>
          <t>MD-5</t>
        </is>
      </c>
      <c r="T242" s="272" t="n"/>
      <c r="U242" s="272" t="n"/>
      <c r="V242" s="274">
        <f>IF(_xlfn.MAXIFS(tblCarga[Data],tblCarga[Jogador],C242,tblCarga[Tipo],"Jogo",tblCarga[Data],"&lt;"&amp;A242)=0,"-",A242-_xlfn.MAXIFS(tblCarga[Data],tblCarga[Jogador],C242,tblCarga[Tipo],"Jogo",tblCarga[Data],"&lt;"&amp;A242))</f>
        <v/>
      </c>
      <c r="W242" s="272" t="n">
        <v>3</v>
      </c>
      <c r="X242" s="272" t="n">
        <v>1</v>
      </c>
      <c r="Y242" s="272" t="n">
        <v>3</v>
      </c>
      <c r="Z242" s="272" t="n">
        <v>2</v>
      </c>
      <c r="AA242" s="272" t="n">
        <v>9</v>
      </c>
    </row>
    <row r="243">
      <c r="A243" s="270" t="n">
        <v>46077</v>
      </c>
      <c r="B243" s="271" t="inlineStr">
        <is>
          <t>Belenenses</t>
        </is>
      </c>
      <c r="C243" s="271" t="inlineStr">
        <is>
          <t>Capitulo</t>
        </is>
      </c>
      <c r="D243" s="271" t="inlineStr">
        <is>
          <t>Lateral</t>
        </is>
      </c>
      <c r="E243" s="272" t="n">
        <v>92</v>
      </c>
      <c r="F243" s="272" t="n">
        <v>11600</v>
      </c>
      <c r="G243" s="272" t="n">
        <v>475</v>
      </c>
      <c r="H243" s="272" t="n">
        <v>185</v>
      </c>
      <c r="I243" s="272" t="n">
        <v>90</v>
      </c>
      <c r="J243" s="272" t="n">
        <v>98</v>
      </c>
      <c r="K243" s="272" t="n">
        <v>5</v>
      </c>
      <c r="L243" s="273" t="n">
        <v>31</v>
      </c>
      <c r="M243" s="272" t="n">
        <v>9</v>
      </c>
      <c r="N243" s="272" t="n">
        <v>14</v>
      </c>
      <c r="O243" s="272" t="n">
        <v>9</v>
      </c>
      <c r="P243" s="272" t="n">
        <v>4</v>
      </c>
      <c r="Q243" s="271" t="inlineStr">
        <is>
          <t>Treino</t>
        </is>
      </c>
      <c r="R243" s="272" t="n">
        <v>9</v>
      </c>
      <c r="S243" s="271" t="inlineStr">
        <is>
          <t>MD-5</t>
        </is>
      </c>
      <c r="T243" s="272" t="n"/>
      <c r="U243" s="272" t="n"/>
      <c r="V243" s="274">
        <f>IF(_xlfn.MAXIFS(tblCarga[Data],tblCarga[Jogador],C243,tblCarga[Tipo],"Jogo",tblCarga[Data],"&lt;"&amp;A243)=0,"-",A243-_xlfn.MAXIFS(tblCarga[Data],tblCarga[Jogador],C243,tblCarga[Tipo],"Jogo",tblCarga[Data],"&lt;"&amp;A243))</f>
        <v/>
      </c>
      <c r="W243" s="272" t="n">
        <v>1</v>
      </c>
      <c r="X243" s="272" t="n">
        <v>2</v>
      </c>
      <c r="Y243" s="272" t="n">
        <v>2</v>
      </c>
      <c r="Z243" s="272" t="n">
        <v>2</v>
      </c>
      <c r="AA243" s="272" t="n">
        <v>7</v>
      </c>
    </row>
    <row r="244">
      <c r="A244" s="270" t="n">
        <v>46077</v>
      </c>
      <c r="B244" s="271" t="inlineStr">
        <is>
          <t>Belenenses</t>
        </is>
      </c>
      <c r="C244" s="271" t="inlineStr">
        <is>
          <t>Enzo Hugo</t>
        </is>
      </c>
      <c r="D244" s="271" t="inlineStr">
        <is>
          <t>Central</t>
        </is>
      </c>
      <c r="E244" s="272" t="n">
        <v>90</v>
      </c>
      <c r="F244" s="272" t="n">
        <v>8700</v>
      </c>
      <c r="G244" s="272" t="n">
        <v>305</v>
      </c>
      <c r="H244" s="272" t="n">
        <v>48</v>
      </c>
      <c r="I244" s="272" t="n">
        <v>92</v>
      </c>
      <c r="J244" s="272" t="n">
        <v>102</v>
      </c>
      <c r="K244" s="272" t="n">
        <v>7</v>
      </c>
      <c r="L244" s="273" t="n">
        <v>29</v>
      </c>
      <c r="M244" s="272" t="n">
        <v>9</v>
      </c>
      <c r="N244" s="272" t="n">
        <v>11</v>
      </c>
      <c r="O244" s="272" t="n">
        <v>4</v>
      </c>
      <c r="P244" s="272" t="n">
        <v>1</v>
      </c>
      <c r="Q244" s="271" t="inlineStr">
        <is>
          <t>Treino</t>
        </is>
      </c>
      <c r="R244" s="272" t="n">
        <v>9</v>
      </c>
      <c r="S244" s="271" t="inlineStr">
        <is>
          <t>MD-5</t>
        </is>
      </c>
      <c r="T244" s="272" t="n"/>
      <c r="U244" s="272" t="n"/>
      <c r="V244" s="274">
        <f>IF(_xlfn.MAXIFS(tblCarga[Data],tblCarga[Jogador],C244,tblCarga[Tipo],"Jogo",tblCarga[Data],"&lt;"&amp;A244)=0,"-",A244-_xlfn.MAXIFS(tblCarga[Data],tblCarga[Jogador],C244,tblCarga[Tipo],"Jogo",tblCarga[Data],"&lt;"&amp;A244))</f>
        <v/>
      </c>
      <c r="W244" s="272" t="n">
        <v>3</v>
      </c>
      <c r="X244" s="272" t="n">
        <v>3</v>
      </c>
      <c r="Y244" s="272" t="n">
        <v>2</v>
      </c>
      <c r="Z244" s="272" t="n">
        <v>3</v>
      </c>
      <c r="AA244" s="272" t="n">
        <v>11</v>
      </c>
    </row>
    <row r="245">
      <c r="A245" s="270" t="n">
        <v>46077</v>
      </c>
      <c r="B245" s="271" t="inlineStr">
        <is>
          <t>Belenenses</t>
        </is>
      </c>
      <c r="C245" s="271" t="inlineStr">
        <is>
          <t>Nogueira</t>
        </is>
      </c>
      <c r="D245" s="271" t="inlineStr">
        <is>
          <t>Central</t>
        </is>
      </c>
      <c r="E245" s="272" t="n">
        <v>88</v>
      </c>
      <c r="F245" s="272" t="n">
        <v>8900</v>
      </c>
      <c r="G245" s="272" t="n">
        <v>345</v>
      </c>
      <c r="H245" s="272" t="n">
        <v>32</v>
      </c>
      <c r="I245" s="272" t="n">
        <v>60</v>
      </c>
      <c r="J245" s="272" t="n">
        <v>80</v>
      </c>
      <c r="K245" s="272" t="n">
        <v>7</v>
      </c>
      <c r="L245" s="273" t="n">
        <v>29</v>
      </c>
      <c r="M245" s="272" t="n">
        <v>9</v>
      </c>
      <c r="N245" s="272" t="n">
        <v>10</v>
      </c>
      <c r="O245" s="272" t="n">
        <v>6</v>
      </c>
      <c r="P245" s="272" t="n">
        <v>2</v>
      </c>
      <c r="Q245" s="271" t="inlineStr">
        <is>
          <t>Treino</t>
        </is>
      </c>
      <c r="R245" s="272" t="n">
        <v>9</v>
      </c>
      <c r="S245" s="271" t="inlineStr">
        <is>
          <t>MD-5</t>
        </is>
      </c>
      <c r="T245" s="272" t="n"/>
      <c r="U245" s="272" t="n"/>
      <c r="V245" s="274">
        <f>IF(_xlfn.MAXIFS(tblCarga[Data],tblCarga[Jogador],C245,tblCarga[Tipo],"Jogo",tblCarga[Data],"&lt;"&amp;A245)=0,"-",A245-_xlfn.MAXIFS(tblCarga[Data],tblCarga[Jogador],C245,tblCarga[Tipo],"Jogo",tblCarga[Data],"&lt;"&amp;A245))</f>
        <v/>
      </c>
      <c r="W245" s="272" t="n">
        <v>2</v>
      </c>
      <c r="X245" s="272" t="n">
        <v>1</v>
      </c>
      <c r="Y245" s="272" t="n">
        <v>1</v>
      </c>
      <c r="Z245" s="272" t="n">
        <v>1</v>
      </c>
      <c r="AA245" s="272" t="n">
        <v>5</v>
      </c>
    </row>
    <row r="246">
      <c r="A246" s="270" t="n">
        <v>46078</v>
      </c>
      <c r="B246" s="271" t="inlineStr">
        <is>
          <t>Belenenses</t>
        </is>
      </c>
      <c r="C246" s="271" t="inlineStr">
        <is>
          <t>Paulino</t>
        </is>
      </c>
      <c r="D246" s="271" t="inlineStr">
        <is>
          <t>Médio</t>
        </is>
      </c>
      <c r="E246" s="272" t="n">
        <v>90</v>
      </c>
      <c r="F246" s="272" t="n">
        <v>7900</v>
      </c>
      <c r="G246" s="272" t="n">
        <v>320</v>
      </c>
      <c r="H246" s="272" t="n">
        <v>150</v>
      </c>
      <c r="I246" s="272" t="n">
        <v>74</v>
      </c>
      <c r="J246" s="272" t="n">
        <v>84</v>
      </c>
      <c r="K246" s="272" t="n">
        <v>7</v>
      </c>
      <c r="L246" s="273" t="n">
        <v>30</v>
      </c>
      <c r="M246" s="272" t="n">
        <v>9</v>
      </c>
      <c r="N246" s="272" t="n">
        <v>13</v>
      </c>
      <c r="O246" s="272" t="n">
        <v>8</v>
      </c>
      <c r="P246" s="272" t="n">
        <v>4</v>
      </c>
      <c r="Q246" s="271" t="inlineStr">
        <is>
          <t>Treino</t>
        </is>
      </c>
      <c r="R246" s="272" t="n">
        <v>9</v>
      </c>
      <c r="S246" s="271" t="inlineStr">
        <is>
          <t>MD-4</t>
        </is>
      </c>
      <c r="T246" s="272" t="n"/>
      <c r="U246" s="272" t="n"/>
      <c r="V246" s="274">
        <f>IF(_xlfn.MAXIFS(tblCarga[Data],tblCarga[Jogador],C246,tblCarga[Tipo],"Jogo",tblCarga[Data],"&lt;"&amp;A246)=0,"-",A246-_xlfn.MAXIFS(tblCarga[Data],tblCarga[Jogador],C246,tblCarga[Tipo],"Jogo",tblCarga[Data],"&lt;"&amp;A246))</f>
        <v/>
      </c>
      <c r="W246" s="272" t="n">
        <v>2</v>
      </c>
      <c r="X246" s="272" t="n">
        <v>2</v>
      </c>
      <c r="Y246" s="272" t="n">
        <v>1</v>
      </c>
      <c r="Z246" s="272" t="n">
        <v>3</v>
      </c>
      <c r="AA246" s="272" t="n">
        <v>8</v>
      </c>
    </row>
    <row r="247">
      <c r="A247" s="270" t="n">
        <v>46075</v>
      </c>
      <c r="B247" s="271" t="inlineStr">
        <is>
          <t>Belenenses</t>
        </is>
      </c>
      <c r="C247" s="271" t="inlineStr">
        <is>
          <t>Artur</t>
        </is>
      </c>
      <c r="D247" s="271" t="inlineStr">
        <is>
          <t>Médio</t>
        </is>
      </c>
      <c r="E247" s="272" t="n">
        <v>95</v>
      </c>
      <c r="F247" s="272" t="n">
        <v>11413</v>
      </c>
      <c r="G247" s="272" t="n">
        <v>411</v>
      </c>
      <c r="H247" s="272" t="n">
        <v>175</v>
      </c>
      <c r="I247" s="272" t="n">
        <v>101</v>
      </c>
      <c r="J247" s="272" t="n">
        <v>81</v>
      </c>
      <c r="K247" s="272" t="n">
        <v>9</v>
      </c>
      <c r="L247" s="273" t="n">
        <v>33.2</v>
      </c>
      <c r="M247" s="272" t="n">
        <v>0</v>
      </c>
      <c r="N247" s="272" t="n">
        <v>21</v>
      </c>
      <c r="O247" s="272" t="n">
        <v>12</v>
      </c>
      <c r="P247" s="272" t="n">
        <v>7</v>
      </c>
      <c r="Q247" s="271" t="inlineStr">
        <is>
          <t>Jogo</t>
        </is>
      </c>
      <c r="R247" s="272" t="n">
        <v>8</v>
      </c>
      <c r="S247" s="271" t="inlineStr">
        <is>
          <t>MD</t>
        </is>
      </c>
      <c r="T247" s="272" t="n"/>
      <c r="U247" s="272" t="n"/>
      <c r="V247" s="274">
        <f>IF(_xlfn.MAXIFS(tblCarga[Data],tblCarga[Jogador],C247,tblCarga[Tipo],"Jogo",tblCarga[Data],"&lt;"&amp;A247)=0,"-",A247-_xlfn.MAXIFS(tblCarga[Data],tblCarga[Jogador],C247,tblCarga[Tipo],"Jogo",tblCarga[Data],"&lt;"&amp;A247))</f>
        <v/>
      </c>
      <c r="W247" s="272" t="n">
        <v>3</v>
      </c>
      <c r="X247" s="272" t="n">
        <v>2</v>
      </c>
      <c r="Y247" s="272" t="n">
        <v>3</v>
      </c>
      <c r="Z247" s="272" t="n">
        <v>1</v>
      </c>
      <c r="AA247" s="272" t="n">
        <v>9</v>
      </c>
    </row>
    <row r="248">
      <c r="A248" s="270" t="n">
        <v>46075</v>
      </c>
      <c r="B248" s="271" t="inlineStr">
        <is>
          <t>Belenenses</t>
        </is>
      </c>
      <c r="C248" s="271" t="inlineStr">
        <is>
          <t>Gomes</t>
        </is>
      </c>
      <c r="D248" s="271" t="inlineStr">
        <is>
          <t>Médio</t>
        </is>
      </c>
      <c r="E248" s="272" t="n">
        <v>92</v>
      </c>
      <c r="F248" s="272" t="n">
        <v>9109</v>
      </c>
      <c r="G248" s="272" t="n">
        <v>615</v>
      </c>
      <c r="H248" s="272" t="n">
        <v>276</v>
      </c>
      <c r="I248" s="272" t="n">
        <v>89</v>
      </c>
      <c r="J248" s="272" t="n">
        <v>102</v>
      </c>
      <c r="K248" s="272" t="n">
        <v>8</v>
      </c>
      <c r="L248" s="273" t="n">
        <v>32.3</v>
      </c>
      <c r="M248" s="272" t="n">
        <v>0</v>
      </c>
      <c r="N248" s="272" t="n">
        <v>22</v>
      </c>
      <c r="O248" s="272" t="n">
        <v>13</v>
      </c>
      <c r="P248" s="272" t="n">
        <v>5</v>
      </c>
      <c r="Q248" s="271" t="inlineStr">
        <is>
          <t>Jogo</t>
        </is>
      </c>
      <c r="R248" s="272" t="n">
        <v>8</v>
      </c>
      <c r="S248" s="271" t="inlineStr">
        <is>
          <t>MD</t>
        </is>
      </c>
      <c r="T248" s="272" t="n"/>
      <c r="U248" s="272" t="n"/>
      <c r="V248" s="274">
        <f>IF(_xlfn.MAXIFS(tblCarga[Data],tblCarga[Jogador],C248,tblCarga[Tipo],"Jogo",tblCarga[Data],"&lt;"&amp;A248)=0,"-",A248-_xlfn.MAXIFS(tblCarga[Data],tblCarga[Jogador],C248,tblCarga[Tipo],"Jogo",tblCarga[Data],"&lt;"&amp;A248))</f>
        <v/>
      </c>
      <c r="W248" s="272" t="n">
        <v>2</v>
      </c>
      <c r="X248" s="272" t="n">
        <v>3</v>
      </c>
      <c r="Y248" s="272" t="n">
        <v>3</v>
      </c>
      <c r="Z248" s="272" t="n">
        <v>1</v>
      </c>
      <c r="AA248" s="272" t="n">
        <v>9</v>
      </c>
    </row>
    <row r="249">
      <c r="A249" s="270" t="n">
        <v>46075</v>
      </c>
      <c r="B249" s="271" t="inlineStr">
        <is>
          <t>Belenenses</t>
        </is>
      </c>
      <c r="C249" s="271" t="inlineStr">
        <is>
          <t>Sá</t>
        </is>
      </c>
      <c r="D249" s="271" t="inlineStr">
        <is>
          <t>Médio</t>
        </is>
      </c>
      <c r="E249" s="272" t="n">
        <v>92</v>
      </c>
      <c r="F249" s="272" t="n">
        <v>9409</v>
      </c>
      <c r="G249" s="272" t="n">
        <v>522</v>
      </c>
      <c r="H249" s="272" t="n">
        <v>282</v>
      </c>
      <c r="I249" s="272" t="n">
        <v>87</v>
      </c>
      <c r="J249" s="272" t="n">
        <v>82</v>
      </c>
      <c r="K249" s="272" t="n">
        <v>10</v>
      </c>
      <c r="L249" s="273" t="n">
        <v>33.1</v>
      </c>
      <c r="M249" s="272" t="n">
        <v>0</v>
      </c>
      <c r="N249" s="272" t="n">
        <v>24</v>
      </c>
      <c r="O249" s="272" t="n">
        <v>9</v>
      </c>
      <c r="P249" s="272" t="n">
        <v>9</v>
      </c>
      <c r="Q249" s="271" t="inlineStr">
        <is>
          <t>Jogo</t>
        </is>
      </c>
      <c r="R249" s="272" t="n">
        <v>8</v>
      </c>
      <c r="S249" s="271" t="inlineStr">
        <is>
          <t>MD</t>
        </is>
      </c>
      <c r="T249" s="272" t="n"/>
      <c r="U249" s="272" t="n"/>
      <c r="V249" s="274">
        <f>IF(_xlfn.MAXIFS(tblCarga[Data],tblCarga[Jogador],C249,tblCarga[Tipo],"Jogo",tblCarga[Data],"&lt;"&amp;A249)=0,"-",A249-_xlfn.MAXIFS(tblCarga[Data],tblCarga[Jogador],C249,tblCarga[Tipo],"Jogo",tblCarga[Data],"&lt;"&amp;A249))</f>
        <v/>
      </c>
      <c r="W249" s="272" t="n">
        <v>2</v>
      </c>
      <c r="X249" s="272" t="n">
        <v>2</v>
      </c>
      <c r="Y249" s="272" t="n">
        <v>4</v>
      </c>
      <c r="Z249" s="272" t="n">
        <v>1</v>
      </c>
      <c r="AA249" s="272" t="n">
        <v>9</v>
      </c>
    </row>
    <row r="250">
      <c r="A250" s="270" t="n">
        <v>46075</v>
      </c>
      <c r="B250" s="271" t="inlineStr">
        <is>
          <t>Belenenses</t>
        </is>
      </c>
      <c r="C250" s="271" t="inlineStr">
        <is>
          <t>Varela</t>
        </is>
      </c>
      <c r="D250" s="271" t="inlineStr">
        <is>
          <t>Lateral</t>
        </is>
      </c>
      <c r="E250" s="272" t="n">
        <v>94</v>
      </c>
      <c r="F250" s="272" t="n">
        <v>12698</v>
      </c>
      <c r="G250" s="272" t="n">
        <v>1171</v>
      </c>
      <c r="H250" s="272" t="n">
        <v>458</v>
      </c>
      <c r="I250" s="272" t="n">
        <v>113</v>
      </c>
      <c r="J250" s="272" t="n">
        <v>125</v>
      </c>
      <c r="K250" s="272" t="n">
        <v>9</v>
      </c>
      <c r="L250" s="273" t="n">
        <v>32.7</v>
      </c>
      <c r="M250" s="272" t="n">
        <v>0</v>
      </c>
      <c r="N250" s="272" t="n">
        <v>27</v>
      </c>
      <c r="O250" s="272" t="n">
        <v>12</v>
      </c>
      <c r="P250" s="272" t="n">
        <v>7</v>
      </c>
      <c r="Q250" s="271" t="inlineStr">
        <is>
          <t>Jogo</t>
        </is>
      </c>
      <c r="R250" s="272" t="n">
        <v>8</v>
      </c>
      <c r="S250" s="271" t="inlineStr">
        <is>
          <t>MD</t>
        </is>
      </c>
      <c r="T250" s="272" t="n"/>
      <c r="U250" s="272" t="n"/>
      <c r="V250" s="274">
        <f>IF(_xlfn.MAXIFS(tblCarga[Data],tblCarga[Jogador],C250,tblCarga[Tipo],"Jogo",tblCarga[Data],"&lt;"&amp;A250)=0,"-",A250-_xlfn.MAXIFS(tblCarga[Data],tblCarga[Jogador],C250,tblCarga[Tipo],"Jogo",tblCarga[Data],"&lt;"&amp;A250))</f>
        <v/>
      </c>
      <c r="W250" s="272" t="n">
        <v>1</v>
      </c>
      <c r="X250" s="272" t="n">
        <v>3</v>
      </c>
      <c r="Y250" s="272" t="n">
        <v>3</v>
      </c>
      <c r="Z250" s="272" t="n">
        <v>2</v>
      </c>
      <c r="AA250" s="272" t="n">
        <v>9</v>
      </c>
    </row>
    <row r="251">
      <c r="A251" s="270" t="n">
        <v>46075</v>
      </c>
      <c r="B251" s="271" t="inlineStr">
        <is>
          <t>Belenenses</t>
        </is>
      </c>
      <c r="C251" s="271" t="inlineStr">
        <is>
          <t>Edu</t>
        </is>
      </c>
      <c r="D251" s="271" t="inlineStr">
        <is>
          <t>Lateral</t>
        </is>
      </c>
      <c r="E251" s="272" t="n">
        <v>95</v>
      </c>
      <c r="F251" s="272" t="n">
        <v>14566</v>
      </c>
      <c r="G251" s="272" t="n">
        <v>829</v>
      </c>
      <c r="H251" s="272" t="n">
        <v>428</v>
      </c>
      <c r="I251" s="272" t="n">
        <v>80</v>
      </c>
      <c r="J251" s="272" t="n">
        <v>93</v>
      </c>
      <c r="K251" s="272" t="n">
        <v>9</v>
      </c>
      <c r="L251" s="273" t="n">
        <v>31.7</v>
      </c>
      <c r="M251" s="272" t="n">
        <v>0</v>
      </c>
      <c r="N251" s="272" t="n">
        <v>23</v>
      </c>
      <c r="O251" s="272" t="n">
        <v>10</v>
      </c>
      <c r="P251" s="272" t="n">
        <v>9</v>
      </c>
      <c r="Q251" s="271" t="inlineStr">
        <is>
          <t>Jogo</t>
        </is>
      </c>
      <c r="R251" s="272" t="n">
        <v>8</v>
      </c>
      <c r="S251" s="271" t="inlineStr">
        <is>
          <t>MD</t>
        </is>
      </c>
      <c r="T251" s="272" t="n"/>
      <c r="U251" s="272" t="n"/>
      <c r="V251" s="274">
        <f>IF(_xlfn.MAXIFS(tblCarga[Data],tblCarga[Jogador],C251,tblCarga[Tipo],"Jogo",tblCarga[Data],"&lt;"&amp;A251)=0,"-",A251-_xlfn.MAXIFS(tblCarga[Data],tblCarga[Jogador],C251,tblCarga[Tipo],"Jogo",tblCarga[Data],"&lt;"&amp;A251))</f>
        <v/>
      </c>
      <c r="W251" s="272" t="n">
        <v>1</v>
      </c>
      <c r="X251" s="272" t="n">
        <v>3</v>
      </c>
      <c r="Y251" s="272" t="n">
        <v>3</v>
      </c>
      <c r="Z251" s="272" t="n">
        <v>2</v>
      </c>
      <c r="AA251" s="272" t="n">
        <v>9</v>
      </c>
    </row>
    <row r="252">
      <c r="A252" s="270" t="n">
        <v>46075</v>
      </c>
      <c r="B252" s="271" t="inlineStr">
        <is>
          <t>Belenenses</t>
        </is>
      </c>
      <c r="C252" s="271" t="inlineStr">
        <is>
          <t>Capitulo</t>
        </is>
      </c>
      <c r="D252" s="271" t="inlineStr">
        <is>
          <t>Lateral</t>
        </is>
      </c>
      <c r="E252" s="272" t="n">
        <v>91</v>
      </c>
      <c r="F252" s="272" t="n">
        <v>12276</v>
      </c>
      <c r="G252" s="272" t="n">
        <v>886</v>
      </c>
      <c r="H252" s="272" t="n">
        <v>555</v>
      </c>
      <c r="I252" s="272" t="n">
        <v>95</v>
      </c>
      <c r="J252" s="272" t="n">
        <v>110</v>
      </c>
      <c r="K252" s="272" t="n">
        <v>9</v>
      </c>
      <c r="L252" s="273" t="n">
        <v>32</v>
      </c>
      <c r="M252" s="272" t="n">
        <v>0</v>
      </c>
      <c r="N252" s="272" t="n">
        <v>16</v>
      </c>
      <c r="O252" s="272" t="n">
        <v>6</v>
      </c>
      <c r="P252" s="272" t="n">
        <v>5</v>
      </c>
      <c r="Q252" s="271" t="inlineStr">
        <is>
          <t>Jogo</t>
        </is>
      </c>
      <c r="R252" s="272" t="n">
        <v>8</v>
      </c>
      <c r="S252" s="271" t="inlineStr">
        <is>
          <t>MD</t>
        </is>
      </c>
      <c r="T252" s="272" t="n"/>
      <c r="U252" s="272" t="n"/>
      <c r="V252" s="274">
        <f>IF(_xlfn.MAXIFS(tblCarga[Data],tblCarga[Jogador],C252,tblCarga[Tipo],"Jogo",tblCarga[Data],"&lt;"&amp;A252)=0,"-",A252-_xlfn.MAXIFS(tblCarga[Data],tblCarga[Jogador],C252,tblCarga[Tipo],"Jogo",tblCarga[Data],"&lt;"&amp;A252))</f>
        <v/>
      </c>
      <c r="W252" s="272" t="n">
        <v>1</v>
      </c>
      <c r="X252" s="272" t="n">
        <v>3</v>
      </c>
      <c r="Y252" s="272" t="n">
        <v>4</v>
      </c>
      <c r="Z252" s="272" t="n">
        <v>2</v>
      </c>
      <c r="AA252" s="272" t="n">
        <v>10</v>
      </c>
    </row>
    <row r="253">
      <c r="A253" s="270" t="n">
        <v>46075</v>
      </c>
      <c r="B253" s="271" t="inlineStr">
        <is>
          <t>Belenenses</t>
        </is>
      </c>
      <c r="C253" s="271" t="inlineStr">
        <is>
          <t>Enzo Hugo</t>
        </is>
      </c>
      <c r="D253" s="271" t="inlineStr">
        <is>
          <t>Central</t>
        </is>
      </c>
      <c r="E253" s="272" t="n">
        <v>90</v>
      </c>
      <c r="F253" s="272" t="n">
        <v>12913</v>
      </c>
      <c r="G253" s="272" t="n">
        <v>444</v>
      </c>
      <c r="H253" s="272" t="n">
        <v>74</v>
      </c>
      <c r="I253" s="272" t="n">
        <v>88</v>
      </c>
      <c r="J253" s="272" t="n">
        <v>104</v>
      </c>
      <c r="K253" s="272" t="n">
        <v>8</v>
      </c>
      <c r="L253" s="273" t="n">
        <v>30.1</v>
      </c>
      <c r="M253" s="272" t="n">
        <v>0</v>
      </c>
      <c r="N253" s="272" t="n">
        <v>13</v>
      </c>
      <c r="O253" s="272" t="n">
        <v>14</v>
      </c>
      <c r="P253" s="272" t="n">
        <v>4</v>
      </c>
      <c r="Q253" s="271" t="inlineStr">
        <is>
          <t>Jogo</t>
        </is>
      </c>
      <c r="R253" s="272" t="n">
        <v>8</v>
      </c>
      <c r="S253" s="271" t="inlineStr">
        <is>
          <t>MD</t>
        </is>
      </c>
      <c r="T253" s="272" t="n"/>
      <c r="U253" s="272" t="n"/>
      <c r="V253" s="274">
        <f>IF(_xlfn.MAXIFS(tblCarga[Data],tblCarga[Jogador],C253,tblCarga[Tipo],"Jogo",tblCarga[Data],"&lt;"&amp;A253)=0,"-",A253-_xlfn.MAXIFS(tblCarga[Data],tblCarga[Jogador],C253,tblCarga[Tipo],"Jogo",tblCarga[Data],"&lt;"&amp;A253))</f>
        <v/>
      </c>
      <c r="W253" s="272" t="n">
        <v>2</v>
      </c>
      <c r="X253" s="272" t="n">
        <v>3</v>
      </c>
      <c r="Y253" s="272" t="n">
        <v>4</v>
      </c>
      <c r="Z253" s="272" t="n">
        <v>2</v>
      </c>
      <c r="AA253" s="272" t="n">
        <v>11</v>
      </c>
    </row>
    <row r="254">
      <c r="A254" s="270" t="n">
        <v>46075</v>
      </c>
      <c r="B254" s="271" t="inlineStr">
        <is>
          <t>Belenenses</t>
        </is>
      </c>
      <c r="C254" s="271" t="inlineStr">
        <is>
          <t>Nogueira</t>
        </is>
      </c>
      <c r="D254" s="271" t="inlineStr">
        <is>
          <t>Central</t>
        </is>
      </c>
      <c r="E254" s="272" t="n">
        <v>92</v>
      </c>
      <c r="F254" s="272" t="n">
        <v>11966</v>
      </c>
      <c r="G254" s="272" t="n">
        <v>568</v>
      </c>
      <c r="H254" s="272" t="n">
        <v>129</v>
      </c>
      <c r="I254" s="272" t="n">
        <v>123</v>
      </c>
      <c r="J254" s="272" t="n">
        <v>90</v>
      </c>
      <c r="K254" s="272" t="n">
        <v>9</v>
      </c>
      <c r="L254" s="273" t="n">
        <v>29.3</v>
      </c>
      <c r="M254" s="272" t="n">
        <v>0</v>
      </c>
      <c r="N254" s="272" t="n">
        <v>23</v>
      </c>
      <c r="O254" s="272" t="n">
        <v>6</v>
      </c>
      <c r="P254" s="272" t="n">
        <v>3</v>
      </c>
      <c r="Q254" s="271" t="inlineStr">
        <is>
          <t>Jogo</t>
        </is>
      </c>
      <c r="R254" s="272" t="n">
        <v>8</v>
      </c>
      <c r="S254" s="271" t="inlineStr">
        <is>
          <t>MD</t>
        </is>
      </c>
      <c r="T254" s="272" t="n"/>
      <c r="U254" s="272" t="n"/>
      <c r="V254" s="274">
        <f>IF(_xlfn.MAXIFS(tblCarga[Data],tblCarga[Jogador],C254,tblCarga[Tipo],"Jogo",tblCarga[Data],"&lt;"&amp;A254)=0,"-",A254-_xlfn.MAXIFS(tblCarga[Data],tblCarga[Jogador],C254,tblCarga[Tipo],"Jogo",tblCarga[Data],"&lt;"&amp;A254))</f>
        <v/>
      </c>
      <c r="W254" s="272" t="n">
        <v>2</v>
      </c>
      <c r="X254" s="272" t="n">
        <v>3</v>
      </c>
      <c r="Y254" s="272" t="n">
        <v>2</v>
      </c>
      <c r="Z254" s="272" t="n">
        <v>3</v>
      </c>
      <c r="AA254" s="272" t="n">
        <v>10</v>
      </c>
    </row>
    <row r="255">
      <c r="A255" s="270" t="n">
        <v>46046</v>
      </c>
      <c r="B255" s="271" t="inlineStr">
        <is>
          <t>Belenenses</t>
        </is>
      </c>
      <c r="C255" s="271" t="inlineStr">
        <is>
          <t>Paulino</t>
        </is>
      </c>
      <c r="D255" s="271" t="inlineStr">
        <is>
          <t>Médio</t>
        </is>
      </c>
      <c r="E255" s="272" t="n">
        <v>64</v>
      </c>
      <c r="F255" s="272" t="n">
        <v>4276</v>
      </c>
      <c r="G255" s="272" t="n">
        <v>104</v>
      </c>
      <c r="H255" s="272" t="n">
        <v>24</v>
      </c>
      <c r="I255" s="272" t="n">
        <v>36</v>
      </c>
      <c r="J255" s="272" t="n">
        <v>40</v>
      </c>
      <c r="K255" s="272" t="n">
        <v>2</v>
      </c>
      <c r="L255" s="273" t="n">
        <v>25.7</v>
      </c>
      <c r="M255" s="272" t="n">
        <v>4</v>
      </c>
      <c r="N255" s="272" t="n">
        <v>3</v>
      </c>
      <c r="O255" s="272" t="n">
        <v>1</v>
      </c>
      <c r="P255" s="272" t="n">
        <v>0</v>
      </c>
      <c r="Q255" s="271" t="inlineStr">
        <is>
          <t>Treino</t>
        </is>
      </c>
      <c r="R255" s="272" t="n">
        <v>4</v>
      </c>
      <c r="S255" s="271" t="inlineStr">
        <is>
          <t>MD-1</t>
        </is>
      </c>
      <c r="T255" s="272" t="n"/>
      <c r="U255" s="272" t="n"/>
      <c r="V255" s="274">
        <f>IF(_xlfn.MAXIFS(tblCarga[Data],tblCarga[Jogador],C255,tblCarga[Tipo],"Jogo",tblCarga[Data],"&lt;"&amp;A255)=0,"-",A255-_xlfn.MAXIFS(tblCarga[Data],tblCarga[Jogador],C255,tblCarga[Tipo],"Jogo",tblCarga[Data],"&lt;"&amp;A255))</f>
        <v/>
      </c>
      <c r="W255" s="272" t="n">
        <v>1</v>
      </c>
      <c r="X255" s="272" t="n">
        <v>1</v>
      </c>
      <c r="Y255" s="272" t="n">
        <v>3</v>
      </c>
      <c r="Z255" s="272" t="n">
        <v>1</v>
      </c>
      <c r="AA255" s="272" t="n">
        <v>6</v>
      </c>
    </row>
    <row r="256">
      <c r="A256" s="270" t="n">
        <v>46046</v>
      </c>
      <c r="B256" s="271" t="inlineStr">
        <is>
          <t>Belenenses</t>
        </is>
      </c>
      <c r="C256" s="271" t="inlineStr">
        <is>
          <t>Artur</t>
        </is>
      </c>
      <c r="D256" s="271" t="inlineStr">
        <is>
          <t>Médio</t>
        </is>
      </c>
      <c r="E256" s="272" t="n">
        <v>63</v>
      </c>
      <c r="F256" s="272" t="n">
        <v>3813</v>
      </c>
      <c r="G256" s="272" t="n">
        <v>97</v>
      </c>
      <c r="H256" s="272" t="n">
        <v>20</v>
      </c>
      <c r="I256" s="272" t="n">
        <v>40</v>
      </c>
      <c r="J256" s="272" t="n">
        <v>38</v>
      </c>
      <c r="K256" s="272" t="n">
        <v>3</v>
      </c>
      <c r="L256" s="273" t="n">
        <v>25.3</v>
      </c>
      <c r="M256" s="272" t="n">
        <v>4</v>
      </c>
      <c r="N256" s="272" t="n">
        <v>7</v>
      </c>
      <c r="O256" s="272" t="n">
        <v>3</v>
      </c>
      <c r="P256" s="272" t="n">
        <v>1</v>
      </c>
      <c r="Q256" s="271" t="inlineStr">
        <is>
          <t>Treino</t>
        </is>
      </c>
      <c r="R256" s="272" t="n">
        <v>4</v>
      </c>
      <c r="S256" s="271" t="inlineStr">
        <is>
          <t>MD-1</t>
        </is>
      </c>
      <c r="T256" s="272" t="n"/>
      <c r="U256" s="272" t="n"/>
      <c r="V256" s="274">
        <f>IF(_xlfn.MAXIFS(tblCarga[Data],tblCarga[Jogador],C256,tblCarga[Tipo],"Jogo",tblCarga[Data],"&lt;"&amp;A256)=0,"-",A256-_xlfn.MAXIFS(tblCarga[Data],tblCarga[Jogador],C256,tblCarga[Tipo],"Jogo",tblCarga[Data],"&lt;"&amp;A256))</f>
        <v/>
      </c>
      <c r="W256" s="272" t="n">
        <v>1</v>
      </c>
      <c r="X256" s="272" t="n">
        <v>1</v>
      </c>
      <c r="Y256" s="272" t="n">
        <v>3</v>
      </c>
      <c r="Z256" s="272" t="n">
        <v>1</v>
      </c>
      <c r="AA256" s="272" t="n">
        <v>6</v>
      </c>
    </row>
    <row r="257">
      <c r="A257" s="270" t="n">
        <v>46046</v>
      </c>
      <c r="B257" s="271" t="inlineStr">
        <is>
          <t>Belenenses</t>
        </is>
      </c>
      <c r="C257" s="271" t="inlineStr">
        <is>
          <t>Gomes</t>
        </is>
      </c>
      <c r="D257" s="271" t="inlineStr">
        <is>
          <t>Médio</t>
        </is>
      </c>
      <c r="E257" s="272" t="n">
        <v>62</v>
      </c>
      <c r="F257" s="272" t="n">
        <v>5107</v>
      </c>
      <c r="G257" s="272" t="n">
        <v>104</v>
      </c>
      <c r="H257" s="272" t="n">
        <v>20</v>
      </c>
      <c r="I257" s="272" t="n">
        <v>36</v>
      </c>
      <c r="J257" s="272" t="n">
        <v>45</v>
      </c>
      <c r="K257" s="272" t="n">
        <v>2</v>
      </c>
      <c r="L257" s="273" t="n">
        <v>26.6</v>
      </c>
      <c r="M257" s="272" t="n">
        <v>4</v>
      </c>
      <c r="N257" s="272" t="n">
        <v>7</v>
      </c>
      <c r="O257" s="272" t="n">
        <v>3</v>
      </c>
      <c r="P257" s="272" t="n">
        <v>1</v>
      </c>
      <c r="Q257" s="271" t="inlineStr">
        <is>
          <t>Treino</t>
        </is>
      </c>
      <c r="R257" s="272" t="n">
        <v>4</v>
      </c>
      <c r="S257" s="271" t="inlineStr">
        <is>
          <t>MD-1</t>
        </is>
      </c>
      <c r="T257" s="272" t="n"/>
      <c r="U257" s="272" t="n"/>
      <c r="V257" s="274">
        <f>IF(_xlfn.MAXIFS(tblCarga[Data],tblCarga[Jogador],C257,tblCarga[Tipo],"Jogo",tblCarga[Data],"&lt;"&amp;A257)=0,"-",A257-_xlfn.MAXIFS(tblCarga[Data],tblCarga[Jogador],C257,tblCarga[Tipo],"Jogo",tblCarga[Data],"&lt;"&amp;A257))</f>
        <v/>
      </c>
      <c r="W257" s="272" t="n">
        <v>1</v>
      </c>
      <c r="X257" s="272" t="n">
        <v>2</v>
      </c>
      <c r="Y257" s="272" t="n">
        <v>2</v>
      </c>
      <c r="Z257" s="272" t="n">
        <v>2</v>
      </c>
      <c r="AA257" s="272" t="n">
        <v>7</v>
      </c>
    </row>
    <row r="258">
      <c r="A258" s="270" t="n">
        <v>46046</v>
      </c>
      <c r="B258" s="271" t="inlineStr">
        <is>
          <t>Belenenses</t>
        </is>
      </c>
      <c r="C258" s="271" t="inlineStr">
        <is>
          <t>Sá</t>
        </is>
      </c>
      <c r="D258" s="271" t="inlineStr">
        <is>
          <t>Médio</t>
        </is>
      </c>
      <c r="E258" s="272" t="n">
        <v>59</v>
      </c>
      <c r="F258" s="272" t="n">
        <v>5099</v>
      </c>
      <c r="G258" s="272" t="n">
        <v>114</v>
      </c>
      <c r="H258" s="272" t="n">
        <v>23</v>
      </c>
      <c r="I258" s="272" t="n">
        <v>38</v>
      </c>
      <c r="J258" s="272" t="n">
        <v>45</v>
      </c>
      <c r="K258" s="272" t="n">
        <v>1</v>
      </c>
      <c r="L258" s="273" t="n">
        <v>26.5</v>
      </c>
      <c r="M258" s="272" t="n">
        <v>4</v>
      </c>
      <c r="N258" s="272" t="n">
        <v>4</v>
      </c>
      <c r="O258" s="272" t="n">
        <v>1</v>
      </c>
      <c r="P258" s="272" t="n">
        <v>0</v>
      </c>
      <c r="Q258" s="271" t="inlineStr">
        <is>
          <t>Treino</t>
        </is>
      </c>
      <c r="R258" s="272" t="n">
        <v>4</v>
      </c>
      <c r="S258" s="271" t="inlineStr">
        <is>
          <t>MD-1</t>
        </is>
      </c>
      <c r="T258" s="272" t="n"/>
      <c r="U258" s="272" t="n"/>
      <c r="V258" s="274">
        <f>IF(_xlfn.MAXIFS(tblCarga[Data],tblCarga[Jogador],C258,tblCarga[Tipo],"Jogo",tblCarga[Data],"&lt;"&amp;A258)=0,"-",A258-_xlfn.MAXIFS(tblCarga[Data],tblCarga[Jogador],C258,tblCarga[Tipo],"Jogo",tblCarga[Data],"&lt;"&amp;A258))</f>
        <v/>
      </c>
      <c r="W258" s="272" t="n">
        <v>2</v>
      </c>
      <c r="X258" s="272" t="n">
        <v>1</v>
      </c>
      <c r="Y258" s="272" t="n">
        <v>3</v>
      </c>
      <c r="Z258" s="272" t="n">
        <v>1</v>
      </c>
      <c r="AA258" s="272" t="n">
        <v>7</v>
      </c>
    </row>
    <row r="259">
      <c r="A259" s="270" t="n">
        <v>46046</v>
      </c>
      <c r="B259" s="271" t="inlineStr">
        <is>
          <t>Belenenses</t>
        </is>
      </c>
      <c r="C259" s="271" t="inlineStr">
        <is>
          <t>Varela</t>
        </is>
      </c>
      <c r="D259" s="271" t="inlineStr">
        <is>
          <t>Lateral</t>
        </is>
      </c>
      <c r="E259" s="272" t="n">
        <v>62</v>
      </c>
      <c r="F259" s="272" t="n">
        <v>6088</v>
      </c>
      <c r="G259" s="272" t="n">
        <v>179</v>
      </c>
      <c r="H259" s="272" t="n">
        <v>37</v>
      </c>
      <c r="I259" s="272" t="n">
        <v>40</v>
      </c>
      <c r="J259" s="272" t="n">
        <v>41</v>
      </c>
      <c r="K259" s="272" t="n">
        <v>2</v>
      </c>
      <c r="L259" s="273" t="n">
        <v>29.4</v>
      </c>
      <c r="M259" s="272" t="n">
        <v>4</v>
      </c>
      <c r="N259" s="272" t="n">
        <v>7</v>
      </c>
      <c r="O259" s="272" t="n">
        <v>3</v>
      </c>
      <c r="P259" s="272" t="n">
        <v>1</v>
      </c>
      <c r="Q259" s="271" t="inlineStr">
        <is>
          <t>Treino</t>
        </is>
      </c>
      <c r="R259" s="272" t="n">
        <v>4</v>
      </c>
      <c r="S259" s="271" t="inlineStr">
        <is>
          <t>MD-1</t>
        </is>
      </c>
      <c r="T259" s="272" t="n"/>
      <c r="U259" s="272" t="n"/>
      <c r="V259" s="274">
        <f>IF(_xlfn.MAXIFS(tblCarga[Data],tblCarga[Jogador],C259,tblCarga[Tipo],"Jogo",tblCarga[Data],"&lt;"&amp;A259)=0,"-",A259-_xlfn.MAXIFS(tblCarga[Data],tblCarga[Jogador],C259,tblCarga[Tipo],"Jogo",tblCarga[Data],"&lt;"&amp;A259))</f>
        <v/>
      </c>
      <c r="W259" s="272" t="n">
        <v>2</v>
      </c>
      <c r="X259" s="272" t="n">
        <v>1</v>
      </c>
      <c r="Y259" s="272" t="n">
        <v>3</v>
      </c>
      <c r="Z259" s="272" t="n">
        <v>1</v>
      </c>
      <c r="AA259" s="272" t="n">
        <v>7</v>
      </c>
    </row>
    <row r="260">
      <c r="A260" s="270" t="n">
        <v>46046</v>
      </c>
      <c r="B260" s="271" t="inlineStr">
        <is>
          <t>Belenenses</t>
        </is>
      </c>
      <c r="C260" s="271" t="inlineStr">
        <is>
          <t>Edu</t>
        </is>
      </c>
      <c r="D260" s="271" t="inlineStr">
        <is>
          <t>Lateral</t>
        </is>
      </c>
      <c r="E260" s="272" t="n">
        <v>57</v>
      </c>
      <c r="F260" s="272" t="n">
        <v>6736</v>
      </c>
      <c r="G260" s="272" t="n">
        <v>201</v>
      </c>
      <c r="H260" s="272" t="n">
        <v>42</v>
      </c>
      <c r="I260" s="272" t="n">
        <v>41</v>
      </c>
      <c r="J260" s="272" t="n">
        <v>45</v>
      </c>
      <c r="K260" s="272" t="n">
        <v>2</v>
      </c>
      <c r="L260" s="273" t="n">
        <v>27.3</v>
      </c>
      <c r="M260" s="272" t="n">
        <v>4</v>
      </c>
      <c r="N260" s="272" t="n">
        <v>5</v>
      </c>
      <c r="O260" s="272" t="n">
        <v>2</v>
      </c>
      <c r="P260" s="272" t="n">
        <v>1</v>
      </c>
      <c r="Q260" s="271" t="inlineStr">
        <is>
          <t>Treino</t>
        </is>
      </c>
      <c r="R260" s="272" t="n">
        <v>4</v>
      </c>
      <c r="S260" s="271" t="inlineStr">
        <is>
          <t>MD-1</t>
        </is>
      </c>
      <c r="T260" s="272" t="n"/>
      <c r="U260" s="272" t="n"/>
      <c r="V260" s="274">
        <f>IF(_xlfn.MAXIFS(tblCarga[Data],tblCarga[Jogador],C260,tblCarga[Tipo],"Jogo",tblCarga[Data],"&lt;"&amp;A260)=0,"-",A260-_xlfn.MAXIFS(tblCarga[Data],tblCarga[Jogador],C260,tblCarga[Tipo],"Jogo",tblCarga[Data],"&lt;"&amp;A260))</f>
        <v/>
      </c>
      <c r="W260" s="272" t="n">
        <v>1</v>
      </c>
      <c r="X260" s="272" t="n">
        <v>1</v>
      </c>
      <c r="Y260" s="272" t="n">
        <v>2</v>
      </c>
      <c r="Z260" s="272" t="n">
        <v>1</v>
      </c>
      <c r="AA260" s="272" t="n">
        <v>5</v>
      </c>
    </row>
    <row r="261">
      <c r="A261" s="270" t="n">
        <v>46046</v>
      </c>
      <c r="B261" s="271" t="inlineStr">
        <is>
          <t>Belenenses</t>
        </is>
      </c>
      <c r="C261" s="271" t="inlineStr">
        <is>
          <t>Capitulo</t>
        </is>
      </c>
      <c r="D261" s="271" t="inlineStr">
        <is>
          <t>Lateral</t>
        </is>
      </c>
      <c r="E261" s="272" t="n">
        <v>58</v>
      </c>
      <c r="F261" s="272" t="n">
        <v>6765</v>
      </c>
      <c r="G261" s="272" t="n">
        <v>196</v>
      </c>
      <c r="H261" s="272" t="n">
        <v>41</v>
      </c>
      <c r="I261" s="272" t="n">
        <v>44</v>
      </c>
      <c r="J261" s="272" t="n">
        <v>50</v>
      </c>
      <c r="K261" s="272" t="n">
        <v>2</v>
      </c>
      <c r="L261" s="273" t="n">
        <v>27</v>
      </c>
      <c r="M261" s="272" t="n">
        <v>4</v>
      </c>
      <c r="N261" s="272" t="n">
        <v>5</v>
      </c>
      <c r="O261" s="272" t="n">
        <v>2</v>
      </c>
      <c r="P261" s="272" t="n">
        <v>1</v>
      </c>
      <c r="Q261" s="271" t="inlineStr">
        <is>
          <t>Treino</t>
        </is>
      </c>
      <c r="R261" s="272" t="n">
        <v>4</v>
      </c>
      <c r="S261" s="271" t="inlineStr">
        <is>
          <t>MD-1</t>
        </is>
      </c>
      <c r="T261" s="272" t="n"/>
      <c r="U261" s="272" t="n"/>
      <c r="V261" s="274">
        <f>IF(_xlfn.MAXIFS(tblCarga[Data],tblCarga[Jogador],C261,tblCarga[Tipo],"Jogo",tblCarga[Data],"&lt;"&amp;A261)=0,"-",A261-_xlfn.MAXIFS(tblCarga[Data],tblCarga[Jogador],C261,tblCarga[Tipo],"Jogo",tblCarga[Data],"&lt;"&amp;A261))</f>
        <v/>
      </c>
      <c r="W261" s="272" t="n">
        <v>1</v>
      </c>
      <c r="X261" s="272" t="n">
        <v>2</v>
      </c>
      <c r="Y261" s="272" t="n">
        <v>2</v>
      </c>
      <c r="Z261" s="272" t="n">
        <v>1</v>
      </c>
      <c r="AA261" s="272" t="n">
        <v>6</v>
      </c>
    </row>
    <row r="262">
      <c r="A262" s="270" t="n">
        <v>46046</v>
      </c>
      <c r="B262" s="271" t="inlineStr">
        <is>
          <t>Belenenses</t>
        </is>
      </c>
      <c r="C262" s="271" t="inlineStr">
        <is>
          <t>Enzo Hugo</t>
        </is>
      </c>
      <c r="D262" s="271" t="inlineStr">
        <is>
          <t>Central</t>
        </is>
      </c>
      <c r="E262" s="272" t="n">
        <v>55</v>
      </c>
      <c r="F262" s="272" t="n">
        <v>4840</v>
      </c>
      <c r="G262" s="272" t="n">
        <v>124</v>
      </c>
      <c r="H262" s="272" t="n">
        <v>10</v>
      </c>
      <c r="I262" s="272" t="n">
        <v>44</v>
      </c>
      <c r="J262" s="272" t="n">
        <v>44</v>
      </c>
      <c r="K262" s="272" t="n">
        <v>3</v>
      </c>
      <c r="L262" s="273" t="n">
        <v>25.8</v>
      </c>
      <c r="M262" s="272" t="n">
        <v>4</v>
      </c>
      <c r="N262" s="272" t="n">
        <v>6</v>
      </c>
      <c r="O262" s="272" t="n">
        <v>2</v>
      </c>
      <c r="P262" s="272" t="n">
        <v>0</v>
      </c>
      <c r="Q262" s="271" t="inlineStr">
        <is>
          <t>Treino</t>
        </is>
      </c>
      <c r="R262" s="272" t="n">
        <v>4</v>
      </c>
      <c r="S262" s="271" t="inlineStr">
        <is>
          <t>MD-1</t>
        </is>
      </c>
      <c r="T262" s="272" t="n"/>
      <c r="U262" s="272" t="n"/>
      <c r="V262" s="274">
        <f>IF(_xlfn.MAXIFS(tblCarga[Data],tblCarga[Jogador],C262,tblCarga[Tipo],"Jogo",tblCarga[Data],"&lt;"&amp;A262)=0,"-",A262-_xlfn.MAXIFS(tblCarga[Data],tblCarga[Jogador],C262,tblCarga[Tipo],"Jogo",tblCarga[Data],"&lt;"&amp;A262))</f>
        <v/>
      </c>
      <c r="W262" s="272" t="n">
        <v>1</v>
      </c>
      <c r="X262" s="272" t="n">
        <v>2</v>
      </c>
      <c r="Y262" s="272" t="n">
        <v>2</v>
      </c>
      <c r="Z262" s="272" t="n">
        <v>2</v>
      </c>
      <c r="AA262" s="272" t="n">
        <v>7</v>
      </c>
    </row>
    <row r="263">
      <c r="A263" s="270" t="n">
        <v>46046</v>
      </c>
      <c r="B263" s="271" t="inlineStr">
        <is>
          <t>Belenenses</t>
        </is>
      </c>
      <c r="C263" s="271" t="inlineStr">
        <is>
          <t>Nogueira</t>
        </is>
      </c>
      <c r="D263" s="271" t="inlineStr">
        <is>
          <t>Central</t>
        </is>
      </c>
      <c r="E263" s="272" t="n">
        <v>62</v>
      </c>
      <c r="F263" s="272" t="n">
        <v>5658</v>
      </c>
      <c r="G263" s="272" t="n">
        <v>144</v>
      </c>
      <c r="H263" s="272" t="n">
        <v>10</v>
      </c>
      <c r="I263" s="272" t="n">
        <v>37</v>
      </c>
      <c r="J263" s="272" t="n">
        <v>40</v>
      </c>
      <c r="K263" s="272" t="n">
        <v>2</v>
      </c>
      <c r="L263" s="273" t="n">
        <v>25.9</v>
      </c>
      <c r="M263" s="272" t="n">
        <v>4</v>
      </c>
      <c r="N263" s="272" t="n">
        <v>6</v>
      </c>
      <c r="O263" s="272" t="n">
        <v>2</v>
      </c>
      <c r="P263" s="272" t="n">
        <v>0</v>
      </c>
      <c r="Q263" s="271" t="inlineStr">
        <is>
          <t>Treino</t>
        </is>
      </c>
      <c r="R263" s="272" t="n">
        <v>4</v>
      </c>
      <c r="S263" s="271" t="inlineStr">
        <is>
          <t>MD-1</t>
        </is>
      </c>
      <c r="T263" s="272" t="n"/>
      <c r="U263" s="272" t="n"/>
      <c r="V263" s="274">
        <f>IF(_xlfn.MAXIFS(tblCarga[Data],tblCarga[Jogador],C263,tblCarga[Tipo],"Jogo",tblCarga[Data],"&lt;"&amp;A263)=0,"-",A263-_xlfn.MAXIFS(tblCarga[Data],tblCarga[Jogador],C263,tblCarga[Tipo],"Jogo",tblCarga[Data],"&lt;"&amp;A263))</f>
        <v/>
      </c>
      <c r="W263" s="272" t="n">
        <v>2</v>
      </c>
      <c r="X263" s="272" t="n">
        <v>2</v>
      </c>
      <c r="Y263" s="272" t="n">
        <v>2</v>
      </c>
      <c r="Z263" s="272" t="n">
        <v>1</v>
      </c>
      <c r="AA263" s="272" t="n">
        <v>7</v>
      </c>
    </row>
    <row r="264">
      <c r="A264" s="270" t="n">
        <v>46051</v>
      </c>
      <c r="B264" s="271" t="inlineStr">
        <is>
          <t>Belenenses</t>
        </is>
      </c>
      <c r="C264" s="271" t="inlineStr">
        <is>
          <t>Paulino</t>
        </is>
      </c>
      <c r="D264" s="271" t="inlineStr">
        <is>
          <t>Médio</t>
        </is>
      </c>
      <c r="E264" s="272" t="n">
        <v>64</v>
      </c>
      <c r="F264" s="272" t="n">
        <v>4121</v>
      </c>
      <c r="G264" s="272" t="n">
        <v>126</v>
      </c>
      <c r="H264" s="272" t="n">
        <v>27</v>
      </c>
      <c r="I264" s="272" t="n">
        <v>36</v>
      </c>
      <c r="J264" s="272" t="n">
        <v>39</v>
      </c>
      <c r="K264" s="272" t="n">
        <v>2</v>
      </c>
      <c r="L264" s="273" t="n">
        <v>27.8</v>
      </c>
      <c r="M264" s="272" t="n">
        <v>5</v>
      </c>
      <c r="N264" s="272" t="n">
        <v>6</v>
      </c>
      <c r="O264" s="272" t="n">
        <v>3</v>
      </c>
      <c r="P264" s="272" t="n">
        <v>1</v>
      </c>
      <c r="Q264" s="271" t="inlineStr">
        <is>
          <t>Treino</t>
        </is>
      </c>
      <c r="R264" s="272" t="n">
        <v>5</v>
      </c>
      <c r="S264" s="271" t="inlineStr">
        <is>
          <t>MD-2</t>
        </is>
      </c>
      <c r="T264" s="272" t="n"/>
      <c r="U264" s="272" t="n"/>
      <c r="V264" s="274">
        <f>IF(_xlfn.MAXIFS(tblCarga[Data],tblCarga[Jogador],C264,tblCarga[Tipo],"Jogo",tblCarga[Data],"&lt;"&amp;A264)=0,"-",A264-_xlfn.MAXIFS(tblCarga[Data],tblCarga[Jogador],C264,tblCarga[Tipo],"Jogo",tblCarga[Data],"&lt;"&amp;A264))</f>
        <v/>
      </c>
      <c r="W264" s="272" t="n">
        <v>1</v>
      </c>
      <c r="X264" s="272" t="n">
        <v>1</v>
      </c>
      <c r="Y264" s="272" t="n">
        <v>2</v>
      </c>
      <c r="Z264" s="272" t="n">
        <v>1</v>
      </c>
      <c r="AA264" s="272" t="n">
        <v>5</v>
      </c>
    </row>
    <row r="265">
      <c r="A265" s="270" t="n">
        <v>46051</v>
      </c>
      <c r="B265" s="271" t="inlineStr">
        <is>
          <t>Belenenses</t>
        </is>
      </c>
      <c r="C265" s="271" t="inlineStr">
        <is>
          <t>Artur</t>
        </is>
      </c>
      <c r="D265" s="271" t="inlineStr">
        <is>
          <t>Médio</t>
        </is>
      </c>
      <c r="E265" s="272" t="n">
        <v>54</v>
      </c>
      <c r="F265" s="272" t="n">
        <v>4433</v>
      </c>
      <c r="G265" s="272" t="n">
        <v>104</v>
      </c>
      <c r="H265" s="272" t="n">
        <v>21</v>
      </c>
      <c r="I265" s="272" t="n">
        <v>40</v>
      </c>
      <c r="J265" s="272" t="n">
        <v>36</v>
      </c>
      <c r="K265" s="272" t="n">
        <v>3</v>
      </c>
      <c r="L265" s="273" t="n">
        <v>27.7</v>
      </c>
      <c r="M265" s="272" t="n">
        <v>5</v>
      </c>
      <c r="N265" s="272" t="n">
        <v>7</v>
      </c>
      <c r="O265" s="272" t="n">
        <v>3</v>
      </c>
      <c r="P265" s="272" t="n">
        <v>0</v>
      </c>
      <c r="Q265" s="271" t="inlineStr">
        <is>
          <t>Treino</t>
        </is>
      </c>
      <c r="R265" s="272" t="n">
        <v>5</v>
      </c>
      <c r="S265" s="271" t="inlineStr">
        <is>
          <t>MD-2</t>
        </is>
      </c>
      <c r="T265" s="272" t="n"/>
      <c r="U265" s="272" t="n"/>
      <c r="V265" s="274">
        <f>IF(_xlfn.MAXIFS(tblCarga[Data],tblCarga[Jogador],C265,tblCarga[Tipo],"Jogo",tblCarga[Data],"&lt;"&amp;A265)=0,"-",A265-_xlfn.MAXIFS(tblCarga[Data],tblCarga[Jogador],C265,tblCarga[Tipo],"Jogo",tblCarga[Data],"&lt;"&amp;A265))</f>
        <v/>
      </c>
      <c r="W265" s="272" t="n">
        <v>2</v>
      </c>
      <c r="X265" s="272" t="n">
        <v>2</v>
      </c>
      <c r="Y265" s="272" t="n">
        <v>3</v>
      </c>
      <c r="Z265" s="272" t="n">
        <v>3</v>
      </c>
      <c r="AA265" s="272" t="n">
        <v>10</v>
      </c>
    </row>
    <row r="266">
      <c r="A266" s="270" t="n">
        <v>46051</v>
      </c>
      <c r="B266" s="271" t="inlineStr">
        <is>
          <t>Belenenses</t>
        </is>
      </c>
      <c r="C266" s="271" t="inlineStr">
        <is>
          <t>Gomes</t>
        </is>
      </c>
      <c r="D266" s="271" t="inlineStr">
        <is>
          <t>Médio</t>
        </is>
      </c>
      <c r="E266" s="272" t="n">
        <v>62</v>
      </c>
      <c r="F266" s="272" t="n">
        <v>5033</v>
      </c>
      <c r="G266" s="272" t="n">
        <v>117</v>
      </c>
      <c r="H266" s="272" t="n">
        <v>20</v>
      </c>
      <c r="I266" s="272" t="n">
        <v>39</v>
      </c>
      <c r="J266" s="272" t="n">
        <v>39</v>
      </c>
      <c r="K266" s="272" t="n">
        <v>2</v>
      </c>
      <c r="L266" s="273" t="n">
        <v>25</v>
      </c>
      <c r="M266" s="272" t="n">
        <v>5</v>
      </c>
      <c r="N266" s="272" t="n">
        <v>6</v>
      </c>
      <c r="O266" s="272" t="n">
        <v>2</v>
      </c>
      <c r="P266" s="272" t="n">
        <v>1</v>
      </c>
      <c r="Q266" s="271" t="inlineStr">
        <is>
          <t>Treino</t>
        </is>
      </c>
      <c r="R266" s="272" t="n">
        <v>5</v>
      </c>
      <c r="S266" s="271" t="inlineStr">
        <is>
          <t>MD-2</t>
        </is>
      </c>
      <c r="T266" s="272" t="n"/>
      <c r="U266" s="272" t="n"/>
      <c r="V266" s="274">
        <f>IF(_xlfn.MAXIFS(tblCarga[Data],tblCarga[Jogador],C266,tblCarga[Tipo],"Jogo",tblCarga[Data],"&lt;"&amp;A266)=0,"-",A266-_xlfn.MAXIFS(tblCarga[Data],tblCarga[Jogador],C266,tblCarga[Tipo],"Jogo",tblCarga[Data],"&lt;"&amp;A266))</f>
        <v/>
      </c>
      <c r="W266" s="272" t="n">
        <v>3</v>
      </c>
      <c r="X266" s="272" t="n">
        <v>2</v>
      </c>
      <c r="Y266" s="272" t="n">
        <v>2</v>
      </c>
      <c r="Z266" s="272" t="n">
        <v>1</v>
      </c>
      <c r="AA266" s="272" t="n">
        <v>8</v>
      </c>
    </row>
    <row r="267">
      <c r="A267" s="270" t="n">
        <v>46051</v>
      </c>
      <c r="B267" s="271" t="inlineStr">
        <is>
          <t>Belenenses</t>
        </is>
      </c>
      <c r="C267" s="271" t="inlineStr">
        <is>
          <t>Sá</t>
        </is>
      </c>
      <c r="D267" s="271" t="inlineStr">
        <is>
          <t>Médio</t>
        </is>
      </c>
      <c r="E267" s="272" t="n">
        <v>68</v>
      </c>
      <c r="F267" s="272" t="n">
        <v>4710</v>
      </c>
      <c r="G267" s="272" t="n">
        <v>105</v>
      </c>
      <c r="H267" s="272" t="n">
        <v>22</v>
      </c>
      <c r="I267" s="272" t="n">
        <v>39</v>
      </c>
      <c r="J267" s="272" t="n">
        <v>40</v>
      </c>
      <c r="K267" s="272" t="n">
        <v>2</v>
      </c>
      <c r="L267" s="273" t="n">
        <v>27.5</v>
      </c>
      <c r="M267" s="272" t="n">
        <v>5</v>
      </c>
      <c r="N267" s="272" t="n">
        <v>6</v>
      </c>
      <c r="O267" s="272" t="n">
        <v>2</v>
      </c>
      <c r="P267" s="272" t="n">
        <v>0</v>
      </c>
      <c r="Q267" s="271" t="inlineStr">
        <is>
          <t>Treino</t>
        </is>
      </c>
      <c r="R267" s="272" t="n">
        <v>5</v>
      </c>
      <c r="S267" s="271" t="inlineStr">
        <is>
          <t>MD-2</t>
        </is>
      </c>
      <c r="T267" s="272" t="n"/>
      <c r="U267" s="272" t="n"/>
      <c r="V267" s="274">
        <f>IF(_xlfn.MAXIFS(tblCarga[Data],tblCarga[Jogador],C267,tblCarga[Tipo],"Jogo",tblCarga[Data],"&lt;"&amp;A267)=0,"-",A267-_xlfn.MAXIFS(tblCarga[Data],tblCarga[Jogador],C267,tblCarga[Tipo],"Jogo",tblCarga[Data],"&lt;"&amp;A267))</f>
        <v/>
      </c>
      <c r="W267" s="272" t="n">
        <v>1</v>
      </c>
      <c r="X267" s="272" t="n">
        <v>2</v>
      </c>
      <c r="Y267" s="272" t="n">
        <v>2</v>
      </c>
      <c r="Z267" s="272" t="n">
        <v>3</v>
      </c>
      <c r="AA267" s="272" t="n">
        <v>8</v>
      </c>
    </row>
    <row r="268">
      <c r="A268" s="270" t="n">
        <v>46051</v>
      </c>
      <c r="B268" s="271" t="inlineStr">
        <is>
          <t>Belenenses</t>
        </is>
      </c>
      <c r="C268" s="271" t="inlineStr">
        <is>
          <t>Varela</t>
        </is>
      </c>
      <c r="D268" s="271" t="inlineStr">
        <is>
          <t>Lateral</t>
        </is>
      </c>
      <c r="E268" s="272" t="n">
        <v>57</v>
      </c>
      <c r="F268" s="272" t="n">
        <v>5736</v>
      </c>
      <c r="G268" s="272" t="n">
        <v>187</v>
      </c>
      <c r="H268" s="272" t="n">
        <v>35</v>
      </c>
      <c r="I268" s="272" t="n">
        <v>40</v>
      </c>
      <c r="J268" s="272" t="n">
        <v>39</v>
      </c>
      <c r="K268" s="272" t="n">
        <v>3</v>
      </c>
      <c r="L268" s="273" t="n">
        <v>30.2</v>
      </c>
      <c r="M268" s="272" t="n">
        <v>5</v>
      </c>
      <c r="N268" s="272" t="n">
        <v>4</v>
      </c>
      <c r="O268" s="272" t="n">
        <v>1</v>
      </c>
      <c r="P268" s="272" t="n">
        <v>0</v>
      </c>
      <c r="Q268" s="271" t="inlineStr">
        <is>
          <t>Treino</t>
        </is>
      </c>
      <c r="R268" s="272" t="n">
        <v>5</v>
      </c>
      <c r="S268" s="271" t="inlineStr">
        <is>
          <t>MD-2</t>
        </is>
      </c>
      <c r="T268" s="272" t="n"/>
      <c r="U268" s="272" t="n"/>
      <c r="V268" s="274">
        <f>IF(_xlfn.MAXIFS(tblCarga[Data],tblCarga[Jogador],C268,tblCarga[Tipo],"Jogo",tblCarga[Data],"&lt;"&amp;A268)=0,"-",A268-_xlfn.MAXIFS(tblCarga[Data],tblCarga[Jogador],C268,tblCarga[Tipo],"Jogo",tblCarga[Data],"&lt;"&amp;A268))</f>
        <v/>
      </c>
      <c r="W268" s="272" t="n">
        <v>2</v>
      </c>
      <c r="X268" s="272" t="n">
        <v>2</v>
      </c>
      <c r="Y268" s="272" t="n">
        <v>3</v>
      </c>
      <c r="Z268" s="272" t="n">
        <v>1</v>
      </c>
      <c r="AA268" s="272" t="n">
        <v>8</v>
      </c>
    </row>
    <row r="269">
      <c r="A269" s="270" t="n">
        <v>46051</v>
      </c>
      <c r="B269" s="271" t="inlineStr">
        <is>
          <t>Belenenses</t>
        </is>
      </c>
      <c r="C269" s="271" t="inlineStr">
        <is>
          <t>Edu</t>
        </is>
      </c>
      <c r="D269" s="271" t="inlineStr">
        <is>
          <t>Lateral</t>
        </is>
      </c>
      <c r="E269" s="272" t="n">
        <v>64</v>
      </c>
      <c r="F269" s="272" t="n">
        <v>5785</v>
      </c>
      <c r="G269" s="272" t="n">
        <v>181</v>
      </c>
      <c r="H269" s="272" t="n">
        <v>45</v>
      </c>
      <c r="I269" s="272" t="n">
        <v>40</v>
      </c>
      <c r="J269" s="272" t="n">
        <v>42</v>
      </c>
      <c r="K269" s="272" t="n">
        <v>1</v>
      </c>
      <c r="L269" s="273" t="n">
        <v>27.7</v>
      </c>
      <c r="M269" s="272" t="n">
        <v>5</v>
      </c>
      <c r="N269" s="272" t="n">
        <v>6</v>
      </c>
      <c r="O269" s="272" t="n">
        <v>3</v>
      </c>
      <c r="P269" s="272" t="n">
        <v>1</v>
      </c>
      <c r="Q269" s="271" t="inlineStr">
        <is>
          <t>Treino</t>
        </is>
      </c>
      <c r="R269" s="272" t="n">
        <v>5</v>
      </c>
      <c r="S269" s="271" t="inlineStr">
        <is>
          <t>MD-2</t>
        </is>
      </c>
      <c r="T269" s="272" t="n"/>
      <c r="U269" s="272" t="n"/>
      <c r="V269" s="274">
        <f>IF(_xlfn.MAXIFS(tblCarga[Data],tblCarga[Jogador],C269,tblCarga[Tipo],"Jogo",tblCarga[Data],"&lt;"&amp;A269)=0,"-",A269-_xlfn.MAXIFS(tblCarga[Data],tblCarga[Jogador],C269,tblCarga[Tipo],"Jogo",tblCarga[Data],"&lt;"&amp;A269))</f>
        <v/>
      </c>
      <c r="W269" s="272" t="n">
        <v>2</v>
      </c>
      <c r="X269" s="272" t="n">
        <v>2</v>
      </c>
      <c r="Y269" s="272" t="n">
        <v>2</v>
      </c>
      <c r="Z269" s="272" t="n">
        <v>2</v>
      </c>
      <c r="AA269" s="272" t="n">
        <v>8</v>
      </c>
    </row>
    <row r="270">
      <c r="A270" s="270" t="n">
        <v>46051</v>
      </c>
      <c r="B270" s="271" t="inlineStr">
        <is>
          <t>Belenenses</t>
        </is>
      </c>
      <c r="C270" s="271" t="inlineStr">
        <is>
          <t>Capitulo</t>
        </is>
      </c>
      <c r="D270" s="271" t="inlineStr">
        <is>
          <t>Lateral</t>
        </is>
      </c>
      <c r="E270" s="272" t="n">
        <v>66</v>
      </c>
      <c r="F270" s="272" t="n">
        <v>6580</v>
      </c>
      <c r="G270" s="272" t="n">
        <v>211</v>
      </c>
      <c r="H270" s="272" t="n">
        <v>43</v>
      </c>
      <c r="I270" s="272" t="n">
        <v>41</v>
      </c>
      <c r="J270" s="272" t="n">
        <v>45</v>
      </c>
      <c r="K270" s="272" t="n">
        <v>2</v>
      </c>
      <c r="L270" s="273" t="n">
        <v>27</v>
      </c>
      <c r="M270" s="272" t="n">
        <v>5</v>
      </c>
      <c r="N270" s="272" t="n">
        <v>6</v>
      </c>
      <c r="O270" s="272" t="n">
        <v>3</v>
      </c>
      <c r="P270" s="272" t="n">
        <v>1</v>
      </c>
      <c r="Q270" s="271" t="inlineStr">
        <is>
          <t>Treino</t>
        </is>
      </c>
      <c r="R270" s="272" t="n">
        <v>5</v>
      </c>
      <c r="S270" s="271" t="inlineStr">
        <is>
          <t>MD-2</t>
        </is>
      </c>
      <c r="T270" s="272" t="n"/>
      <c r="U270" s="272" t="n"/>
      <c r="V270" s="274">
        <f>IF(_xlfn.MAXIFS(tblCarga[Data],tblCarga[Jogador],C270,tblCarga[Tipo],"Jogo",tblCarga[Data],"&lt;"&amp;A270)=0,"-",A270-_xlfn.MAXIFS(tblCarga[Data],tblCarga[Jogador],C270,tblCarga[Tipo],"Jogo",tblCarga[Data],"&lt;"&amp;A270))</f>
        <v/>
      </c>
      <c r="W270" s="272" t="n">
        <v>2</v>
      </c>
      <c r="X270" s="272" t="n">
        <v>2</v>
      </c>
      <c r="Y270" s="272" t="n">
        <v>2</v>
      </c>
      <c r="Z270" s="272" t="n">
        <v>1</v>
      </c>
      <c r="AA270" s="272" t="n">
        <v>7</v>
      </c>
    </row>
    <row r="271">
      <c r="A271" s="270" t="n">
        <v>46051</v>
      </c>
      <c r="B271" s="271" t="inlineStr">
        <is>
          <t>Belenenses</t>
        </is>
      </c>
      <c r="C271" s="271" t="inlineStr">
        <is>
          <t>Enzo Hugo</t>
        </is>
      </c>
      <c r="D271" s="271" t="inlineStr">
        <is>
          <t>Central</t>
        </is>
      </c>
      <c r="E271" s="272" t="n">
        <v>65</v>
      </c>
      <c r="F271" s="272" t="n">
        <v>4692</v>
      </c>
      <c r="G271" s="272" t="n">
        <v>143</v>
      </c>
      <c r="H271" s="272" t="n">
        <v>9</v>
      </c>
      <c r="I271" s="272" t="n">
        <v>47</v>
      </c>
      <c r="J271" s="272" t="n">
        <v>49</v>
      </c>
      <c r="K271" s="272" t="n">
        <v>3</v>
      </c>
      <c r="L271" s="273" t="n">
        <v>26.4</v>
      </c>
      <c r="M271" s="272" t="n">
        <v>5</v>
      </c>
      <c r="N271" s="272" t="n">
        <v>9</v>
      </c>
      <c r="O271" s="272" t="n">
        <v>5</v>
      </c>
      <c r="P271" s="272" t="n">
        <v>1</v>
      </c>
      <c r="Q271" s="271" t="inlineStr">
        <is>
          <t>Treino</t>
        </is>
      </c>
      <c r="R271" s="272" t="n">
        <v>5</v>
      </c>
      <c r="S271" s="271" t="inlineStr">
        <is>
          <t>MD-2</t>
        </is>
      </c>
      <c r="T271" s="272" t="n"/>
      <c r="U271" s="272" t="n"/>
      <c r="V271" s="274">
        <f>IF(_xlfn.MAXIFS(tblCarga[Data],tblCarga[Jogador],C271,tblCarga[Tipo],"Jogo",tblCarga[Data],"&lt;"&amp;A271)=0,"-",A271-_xlfn.MAXIFS(tblCarga[Data],tblCarga[Jogador],C271,tblCarga[Tipo],"Jogo",tblCarga[Data],"&lt;"&amp;A271))</f>
        <v/>
      </c>
      <c r="W271" s="272" t="n">
        <v>2</v>
      </c>
      <c r="X271" s="272" t="n">
        <v>2</v>
      </c>
      <c r="Y271" s="272" t="n">
        <v>2</v>
      </c>
      <c r="Z271" s="272" t="n">
        <v>2</v>
      </c>
      <c r="AA271" s="272" t="n">
        <v>8</v>
      </c>
    </row>
    <row r="272">
      <c r="A272" s="270" t="n">
        <v>46051</v>
      </c>
      <c r="B272" s="271" t="inlineStr">
        <is>
          <t>Belenenses</t>
        </is>
      </c>
      <c r="C272" s="271" t="inlineStr">
        <is>
          <t>Nogueira</t>
        </is>
      </c>
      <c r="D272" s="271" t="inlineStr">
        <is>
          <t>Central</t>
        </is>
      </c>
      <c r="E272" s="272" t="n">
        <v>57</v>
      </c>
      <c r="F272" s="272" t="n">
        <v>5133</v>
      </c>
      <c r="G272" s="272" t="n">
        <v>135</v>
      </c>
      <c r="H272" s="272" t="n">
        <v>9</v>
      </c>
      <c r="I272" s="272" t="n">
        <v>31</v>
      </c>
      <c r="J272" s="272" t="n">
        <v>43</v>
      </c>
      <c r="K272" s="272" t="n">
        <v>2</v>
      </c>
      <c r="L272" s="273" t="n">
        <v>26.5</v>
      </c>
      <c r="M272" s="272" t="n">
        <v>5</v>
      </c>
      <c r="N272" s="272" t="n">
        <v>4</v>
      </c>
      <c r="O272" s="272" t="n">
        <v>2</v>
      </c>
      <c r="P272" s="272" t="n">
        <v>1</v>
      </c>
      <c r="Q272" s="271" t="inlineStr">
        <is>
          <t>Treino</t>
        </is>
      </c>
      <c r="R272" s="272" t="n">
        <v>5</v>
      </c>
      <c r="S272" s="271" t="inlineStr">
        <is>
          <t>MD-2</t>
        </is>
      </c>
      <c r="T272" s="272" t="n"/>
      <c r="U272" s="272" t="n"/>
      <c r="V272" s="274">
        <f>IF(_xlfn.MAXIFS(tblCarga[Data],tblCarga[Jogador],C272,tblCarga[Tipo],"Jogo",tblCarga[Data],"&lt;"&amp;A272)=0,"-",A272-_xlfn.MAXIFS(tblCarga[Data],tblCarga[Jogador],C272,tblCarga[Tipo],"Jogo",tblCarga[Data],"&lt;"&amp;A272))</f>
        <v/>
      </c>
      <c r="W272" s="272" t="n">
        <v>2</v>
      </c>
      <c r="X272" s="272" t="n">
        <v>3</v>
      </c>
      <c r="Y272" s="272" t="n">
        <v>2</v>
      </c>
      <c r="Z272" s="272" t="n">
        <v>2</v>
      </c>
      <c r="AA272" s="272" t="n">
        <v>9</v>
      </c>
    </row>
    <row r="273">
      <c r="A273" s="270" t="n">
        <v>46058</v>
      </c>
      <c r="B273" s="271" t="inlineStr">
        <is>
          <t>Belenenses</t>
        </is>
      </c>
      <c r="C273" s="271" t="inlineStr">
        <is>
          <t>Paulino</t>
        </is>
      </c>
      <c r="D273" s="271" t="inlineStr">
        <is>
          <t>Médio</t>
        </is>
      </c>
      <c r="E273" s="272" t="n">
        <v>60</v>
      </c>
      <c r="F273" s="272" t="n">
        <v>4206</v>
      </c>
      <c r="G273" s="272" t="n">
        <v>121</v>
      </c>
      <c r="H273" s="272" t="n">
        <v>24</v>
      </c>
      <c r="I273" s="272" t="n">
        <v>36</v>
      </c>
      <c r="J273" s="272" t="n">
        <v>42</v>
      </c>
      <c r="K273" s="272" t="n">
        <v>1</v>
      </c>
      <c r="L273" s="273" t="n">
        <v>27.5</v>
      </c>
      <c r="M273" s="272" t="n">
        <v>6</v>
      </c>
      <c r="N273" s="272" t="n">
        <v>6</v>
      </c>
      <c r="O273" s="272" t="n">
        <v>3</v>
      </c>
      <c r="P273" s="272" t="n">
        <v>1</v>
      </c>
      <c r="Q273" s="271" t="inlineStr">
        <is>
          <t>Treino</t>
        </is>
      </c>
      <c r="R273" s="272" t="n">
        <v>6</v>
      </c>
      <c r="S273" s="271" t="inlineStr">
        <is>
          <t>MD-2</t>
        </is>
      </c>
      <c r="T273" s="272" t="n"/>
      <c r="U273" s="272" t="n"/>
      <c r="V273" s="274">
        <f>IF(_xlfn.MAXIFS(tblCarga[Data],tblCarga[Jogador],C273,tblCarga[Tipo],"Jogo",tblCarga[Data],"&lt;"&amp;A273)=0,"-",A273-_xlfn.MAXIFS(tblCarga[Data],tblCarga[Jogador],C273,tblCarga[Tipo],"Jogo",tblCarga[Data],"&lt;"&amp;A273))</f>
        <v/>
      </c>
      <c r="W273" s="272" t="n">
        <v>3</v>
      </c>
      <c r="X273" s="272" t="n">
        <v>1</v>
      </c>
      <c r="Y273" s="272" t="n">
        <v>1</v>
      </c>
      <c r="Z273" s="272" t="n">
        <v>2</v>
      </c>
      <c r="AA273" s="272" t="n">
        <v>7</v>
      </c>
    </row>
    <row r="274">
      <c r="A274" s="270" t="n">
        <v>46058</v>
      </c>
      <c r="B274" s="271" t="inlineStr">
        <is>
          <t>Belenenses</t>
        </is>
      </c>
      <c r="C274" s="271" t="inlineStr">
        <is>
          <t>Artur</t>
        </is>
      </c>
      <c r="D274" s="271" t="inlineStr">
        <is>
          <t>Médio</t>
        </is>
      </c>
      <c r="E274" s="272" t="n">
        <v>56</v>
      </c>
      <c r="F274" s="272" t="n">
        <v>3923</v>
      </c>
      <c r="G274" s="272" t="n">
        <v>113</v>
      </c>
      <c r="H274" s="272" t="n">
        <v>18</v>
      </c>
      <c r="I274" s="272" t="n">
        <v>37</v>
      </c>
      <c r="J274" s="272" t="n">
        <v>41</v>
      </c>
      <c r="K274" s="272" t="n">
        <v>3</v>
      </c>
      <c r="L274" s="273" t="n">
        <v>25.6</v>
      </c>
      <c r="M274" s="272" t="n">
        <v>6</v>
      </c>
      <c r="N274" s="272" t="n">
        <v>4</v>
      </c>
      <c r="O274" s="272" t="n">
        <v>2</v>
      </c>
      <c r="P274" s="272" t="n">
        <v>0</v>
      </c>
      <c r="Q274" s="271" t="inlineStr">
        <is>
          <t>Treino</t>
        </is>
      </c>
      <c r="R274" s="272" t="n">
        <v>6</v>
      </c>
      <c r="S274" s="271" t="inlineStr">
        <is>
          <t>MD-2</t>
        </is>
      </c>
      <c r="T274" s="272" t="n"/>
      <c r="U274" s="272" t="n"/>
      <c r="V274" s="274">
        <f>IF(_xlfn.MAXIFS(tblCarga[Data],tblCarga[Jogador],C274,tblCarga[Tipo],"Jogo",tblCarga[Data],"&lt;"&amp;A274)=0,"-",A274-_xlfn.MAXIFS(tblCarga[Data],tblCarga[Jogador],C274,tblCarga[Tipo],"Jogo",tblCarga[Data],"&lt;"&amp;A274))</f>
        <v/>
      </c>
      <c r="W274" s="272" t="n">
        <v>2</v>
      </c>
      <c r="X274" s="272" t="n">
        <v>1</v>
      </c>
      <c r="Y274" s="272" t="n">
        <v>1</v>
      </c>
      <c r="Z274" s="272" t="n">
        <v>2</v>
      </c>
      <c r="AA274" s="272" t="n">
        <v>6</v>
      </c>
    </row>
    <row r="275">
      <c r="A275" s="270" t="n">
        <v>46058</v>
      </c>
      <c r="B275" s="271" t="inlineStr">
        <is>
          <t>Belenenses</t>
        </is>
      </c>
      <c r="C275" s="271" t="inlineStr">
        <is>
          <t>Gomes</t>
        </is>
      </c>
      <c r="D275" s="271" t="inlineStr">
        <is>
          <t>Médio</t>
        </is>
      </c>
      <c r="E275" s="272" t="n">
        <v>56</v>
      </c>
      <c r="F275" s="272" t="n">
        <v>4604</v>
      </c>
      <c r="G275" s="272" t="n">
        <v>109</v>
      </c>
      <c r="H275" s="272" t="n">
        <v>22</v>
      </c>
      <c r="I275" s="272" t="n">
        <v>42</v>
      </c>
      <c r="J275" s="272" t="n">
        <v>40</v>
      </c>
      <c r="K275" s="272" t="n">
        <v>3</v>
      </c>
      <c r="L275" s="273" t="n">
        <v>25.7</v>
      </c>
      <c r="M275" s="272" t="n">
        <v>6</v>
      </c>
      <c r="N275" s="272" t="n">
        <v>5</v>
      </c>
      <c r="O275" s="272" t="n">
        <v>2</v>
      </c>
      <c r="P275" s="272" t="n">
        <v>0</v>
      </c>
      <c r="Q275" s="271" t="inlineStr">
        <is>
          <t>Treino</t>
        </is>
      </c>
      <c r="R275" s="272" t="n">
        <v>6</v>
      </c>
      <c r="S275" s="271" t="inlineStr">
        <is>
          <t>MD-2</t>
        </is>
      </c>
      <c r="T275" s="272" t="n"/>
      <c r="U275" s="272" t="n"/>
      <c r="V275" s="274">
        <f>IF(_xlfn.MAXIFS(tblCarga[Data],tblCarga[Jogador],C275,tblCarga[Tipo],"Jogo",tblCarga[Data],"&lt;"&amp;A275)=0,"-",A275-_xlfn.MAXIFS(tblCarga[Data],tblCarga[Jogador],C275,tblCarga[Tipo],"Jogo",tblCarga[Data],"&lt;"&amp;A275))</f>
        <v/>
      </c>
      <c r="W275" s="272" t="n">
        <v>2</v>
      </c>
      <c r="X275" s="272" t="n">
        <v>1</v>
      </c>
      <c r="Y275" s="272" t="n">
        <v>2</v>
      </c>
      <c r="Z275" s="272" t="n">
        <v>2</v>
      </c>
      <c r="AA275" s="272" t="n">
        <v>7</v>
      </c>
    </row>
    <row r="276">
      <c r="A276" s="270" t="n">
        <v>46058</v>
      </c>
      <c r="B276" s="271" t="inlineStr">
        <is>
          <t>Belenenses</t>
        </is>
      </c>
      <c r="C276" s="271" t="inlineStr">
        <is>
          <t>Sá</t>
        </is>
      </c>
      <c r="D276" s="271" t="inlineStr">
        <is>
          <t>Médio</t>
        </is>
      </c>
      <c r="E276" s="272" t="n">
        <v>59</v>
      </c>
      <c r="F276" s="272" t="n">
        <v>4375</v>
      </c>
      <c r="G276" s="272" t="n">
        <v>111</v>
      </c>
      <c r="H276" s="272" t="n">
        <v>24</v>
      </c>
      <c r="I276" s="272" t="n">
        <v>41</v>
      </c>
      <c r="J276" s="272" t="n">
        <v>39</v>
      </c>
      <c r="K276" s="272" t="n">
        <v>3</v>
      </c>
      <c r="L276" s="273" t="n">
        <v>28.3</v>
      </c>
      <c r="M276" s="272" t="n">
        <v>6</v>
      </c>
      <c r="N276" s="272" t="n">
        <v>8</v>
      </c>
      <c r="O276" s="272" t="n">
        <v>3</v>
      </c>
      <c r="P276" s="272" t="n">
        <v>1</v>
      </c>
      <c r="Q276" s="271" t="inlineStr">
        <is>
          <t>Treino</t>
        </is>
      </c>
      <c r="R276" s="272" t="n">
        <v>6</v>
      </c>
      <c r="S276" s="271" t="inlineStr">
        <is>
          <t>MD-2</t>
        </is>
      </c>
      <c r="T276" s="272" t="n"/>
      <c r="U276" s="272" t="n"/>
      <c r="V276" s="274">
        <f>IF(_xlfn.MAXIFS(tblCarga[Data],tblCarga[Jogador],C276,tblCarga[Tipo],"Jogo",tblCarga[Data],"&lt;"&amp;A276)=0,"-",A276-_xlfn.MAXIFS(tblCarga[Data],tblCarga[Jogador],C276,tblCarga[Tipo],"Jogo",tblCarga[Data],"&lt;"&amp;A276))</f>
        <v/>
      </c>
      <c r="W276" s="272" t="n">
        <v>2</v>
      </c>
      <c r="X276" s="272" t="n">
        <v>1</v>
      </c>
      <c r="Y276" s="272" t="n">
        <v>1</v>
      </c>
      <c r="Z276" s="272" t="n">
        <v>3</v>
      </c>
      <c r="AA276" s="272" t="n">
        <v>7</v>
      </c>
    </row>
    <row r="277">
      <c r="A277" s="270" t="n">
        <v>46058</v>
      </c>
      <c r="B277" s="271" t="inlineStr">
        <is>
          <t>Belenenses</t>
        </is>
      </c>
      <c r="C277" s="271" t="inlineStr">
        <is>
          <t>Varela</t>
        </is>
      </c>
      <c r="D277" s="271" t="inlineStr">
        <is>
          <t>Lateral</t>
        </is>
      </c>
      <c r="E277" s="272" t="n">
        <v>64</v>
      </c>
      <c r="F277" s="272" t="n">
        <v>6323</v>
      </c>
      <c r="G277" s="272" t="n">
        <v>191</v>
      </c>
      <c r="H277" s="272" t="n">
        <v>38</v>
      </c>
      <c r="I277" s="272" t="n">
        <v>47</v>
      </c>
      <c r="J277" s="272" t="n">
        <v>44</v>
      </c>
      <c r="K277" s="272" t="n">
        <v>3</v>
      </c>
      <c r="L277" s="273" t="n">
        <v>28.5</v>
      </c>
      <c r="M277" s="272" t="n">
        <v>6</v>
      </c>
      <c r="N277" s="272" t="n">
        <v>9</v>
      </c>
      <c r="O277" s="272" t="n">
        <v>3</v>
      </c>
      <c r="P277" s="272" t="n">
        <v>0</v>
      </c>
      <c r="Q277" s="271" t="inlineStr">
        <is>
          <t>Treino</t>
        </is>
      </c>
      <c r="R277" s="272" t="n">
        <v>6</v>
      </c>
      <c r="S277" s="271" t="inlineStr">
        <is>
          <t>MD-2</t>
        </is>
      </c>
      <c r="T277" s="272" t="n"/>
      <c r="U277" s="272" t="n"/>
      <c r="V277" s="274">
        <f>IF(_xlfn.MAXIFS(tblCarga[Data],tblCarga[Jogador],C277,tblCarga[Tipo],"Jogo",tblCarga[Data],"&lt;"&amp;A277)=0,"-",A277-_xlfn.MAXIFS(tblCarga[Data],tblCarga[Jogador],C277,tblCarga[Tipo],"Jogo",tblCarga[Data],"&lt;"&amp;A277))</f>
        <v/>
      </c>
      <c r="W277" s="272" t="n">
        <v>3</v>
      </c>
      <c r="X277" s="272" t="n">
        <v>1</v>
      </c>
      <c r="Y277" s="272" t="n">
        <v>1</v>
      </c>
      <c r="Z277" s="272" t="n">
        <v>3</v>
      </c>
      <c r="AA277" s="272" t="n">
        <v>8</v>
      </c>
    </row>
    <row r="278">
      <c r="A278" s="270" t="n">
        <v>46058</v>
      </c>
      <c r="B278" s="271" t="inlineStr">
        <is>
          <t>Belenenses</t>
        </is>
      </c>
      <c r="C278" s="271" t="inlineStr">
        <is>
          <t>Edu</t>
        </is>
      </c>
      <c r="D278" s="271" t="inlineStr">
        <is>
          <t>Lateral</t>
        </is>
      </c>
      <c r="E278" s="272" t="n">
        <v>62</v>
      </c>
      <c r="F278" s="272" t="n">
        <v>5653</v>
      </c>
      <c r="G278" s="272" t="n">
        <v>198</v>
      </c>
      <c r="H278" s="272" t="n">
        <v>40</v>
      </c>
      <c r="I278" s="272" t="n">
        <v>40</v>
      </c>
      <c r="J278" s="272" t="n">
        <v>44</v>
      </c>
      <c r="K278" s="272" t="n">
        <v>2</v>
      </c>
      <c r="L278" s="273" t="n">
        <v>27.9</v>
      </c>
      <c r="M278" s="272" t="n">
        <v>6</v>
      </c>
      <c r="N278" s="272" t="n">
        <v>8</v>
      </c>
      <c r="O278" s="272" t="n">
        <v>4</v>
      </c>
      <c r="P278" s="272" t="n">
        <v>1</v>
      </c>
      <c r="Q278" s="271" t="inlineStr">
        <is>
          <t>Treino</t>
        </is>
      </c>
      <c r="R278" s="272" t="n">
        <v>6</v>
      </c>
      <c r="S278" s="271" t="inlineStr">
        <is>
          <t>MD-2</t>
        </is>
      </c>
      <c r="T278" s="272" t="n"/>
      <c r="U278" s="272" t="n"/>
      <c r="V278" s="274">
        <f>IF(_xlfn.MAXIFS(tblCarga[Data],tblCarga[Jogador],C278,tblCarga[Tipo],"Jogo",tblCarga[Data],"&lt;"&amp;A278)=0,"-",A278-_xlfn.MAXIFS(tblCarga[Data],tblCarga[Jogador],C278,tblCarga[Tipo],"Jogo",tblCarga[Data],"&lt;"&amp;A278))</f>
        <v/>
      </c>
      <c r="W278" s="272" t="n">
        <v>1</v>
      </c>
      <c r="X278" s="272" t="n">
        <v>2</v>
      </c>
      <c r="Y278" s="272" t="n">
        <v>3</v>
      </c>
      <c r="Z278" s="272" t="n">
        <v>2</v>
      </c>
      <c r="AA278" s="272" t="n">
        <v>8</v>
      </c>
    </row>
    <row r="279">
      <c r="A279" s="270" t="n">
        <v>46058</v>
      </c>
      <c r="B279" s="271" t="inlineStr">
        <is>
          <t>Belenenses</t>
        </is>
      </c>
      <c r="C279" s="271" t="inlineStr">
        <is>
          <t>Capitulo</t>
        </is>
      </c>
      <c r="D279" s="271" t="inlineStr">
        <is>
          <t>Lateral</t>
        </is>
      </c>
      <c r="E279" s="272" t="n">
        <v>64</v>
      </c>
      <c r="F279" s="272" t="n">
        <v>6195</v>
      </c>
      <c r="G279" s="272" t="n">
        <v>194</v>
      </c>
      <c r="H279" s="272" t="n">
        <v>36</v>
      </c>
      <c r="I279" s="272" t="n">
        <v>47</v>
      </c>
      <c r="J279" s="272" t="n">
        <v>47</v>
      </c>
      <c r="K279" s="272" t="n">
        <v>2</v>
      </c>
      <c r="L279" s="273" t="n">
        <v>27.9</v>
      </c>
      <c r="M279" s="272" t="n">
        <v>6</v>
      </c>
      <c r="N279" s="272" t="n">
        <v>4</v>
      </c>
      <c r="O279" s="272" t="n">
        <v>1</v>
      </c>
      <c r="P279" s="272" t="n">
        <v>0</v>
      </c>
      <c r="Q279" s="271" t="inlineStr">
        <is>
          <t>Treino</t>
        </is>
      </c>
      <c r="R279" s="272" t="n">
        <v>6</v>
      </c>
      <c r="S279" s="271" t="inlineStr">
        <is>
          <t>MD-2</t>
        </is>
      </c>
      <c r="T279" s="272" t="n"/>
      <c r="U279" s="272" t="n"/>
      <c r="V279" s="274">
        <f>IF(_xlfn.MAXIFS(tblCarga[Data],tblCarga[Jogador],C279,tblCarga[Tipo],"Jogo",tblCarga[Data],"&lt;"&amp;A279)=0,"-",A279-_xlfn.MAXIFS(tblCarga[Data],tblCarga[Jogador],C279,tblCarga[Tipo],"Jogo",tblCarga[Data],"&lt;"&amp;A279))</f>
        <v/>
      </c>
      <c r="W279" s="272" t="n">
        <v>3</v>
      </c>
      <c r="X279" s="272" t="n">
        <v>2</v>
      </c>
      <c r="Y279" s="272" t="n">
        <v>1</v>
      </c>
      <c r="Z279" s="272" t="n">
        <v>1</v>
      </c>
      <c r="AA279" s="272" t="n">
        <v>7</v>
      </c>
    </row>
    <row r="280">
      <c r="A280" s="270" t="n">
        <v>46058</v>
      </c>
      <c r="B280" s="271" t="inlineStr">
        <is>
          <t>Belenenses</t>
        </is>
      </c>
      <c r="C280" s="271" t="inlineStr">
        <is>
          <t>Enzo Hugo</t>
        </is>
      </c>
      <c r="D280" s="271" t="inlineStr">
        <is>
          <t>Central</t>
        </is>
      </c>
      <c r="E280" s="272" t="n">
        <v>57</v>
      </c>
      <c r="F280" s="272" t="n">
        <v>5339</v>
      </c>
      <c r="G280" s="272" t="n">
        <v>133</v>
      </c>
      <c r="H280" s="272" t="n">
        <v>10</v>
      </c>
      <c r="I280" s="272" t="n">
        <v>44</v>
      </c>
      <c r="J280" s="272" t="n">
        <v>45</v>
      </c>
      <c r="K280" s="272" t="n">
        <v>3</v>
      </c>
      <c r="L280" s="273" t="n">
        <v>26.5</v>
      </c>
      <c r="M280" s="272" t="n">
        <v>6</v>
      </c>
      <c r="N280" s="272" t="n">
        <v>8</v>
      </c>
      <c r="O280" s="272" t="n">
        <v>4</v>
      </c>
      <c r="P280" s="272" t="n">
        <v>1</v>
      </c>
      <c r="Q280" s="271" t="inlineStr">
        <is>
          <t>Treino</t>
        </is>
      </c>
      <c r="R280" s="272" t="n">
        <v>6</v>
      </c>
      <c r="S280" s="271" t="inlineStr">
        <is>
          <t>MD-2</t>
        </is>
      </c>
      <c r="T280" s="272" t="n"/>
      <c r="U280" s="272" t="n"/>
      <c r="V280" s="274">
        <f>IF(_xlfn.MAXIFS(tblCarga[Data],tblCarga[Jogador],C280,tblCarga[Tipo],"Jogo",tblCarga[Data],"&lt;"&amp;A280)=0,"-",A280-_xlfn.MAXIFS(tblCarga[Data],tblCarga[Jogador],C280,tblCarga[Tipo],"Jogo",tblCarga[Data],"&lt;"&amp;A280))</f>
        <v/>
      </c>
      <c r="W280" s="272" t="n">
        <v>1</v>
      </c>
      <c r="X280" s="272" t="n">
        <v>2</v>
      </c>
      <c r="Y280" s="272" t="n">
        <v>3</v>
      </c>
      <c r="Z280" s="272" t="n">
        <v>3</v>
      </c>
      <c r="AA280" s="272" t="n">
        <v>9</v>
      </c>
    </row>
    <row r="281">
      <c r="A281" s="270" t="n">
        <v>46058</v>
      </c>
      <c r="B281" s="271" t="inlineStr">
        <is>
          <t>Belenenses</t>
        </is>
      </c>
      <c r="C281" s="271" t="inlineStr">
        <is>
          <t>Nogueira</t>
        </is>
      </c>
      <c r="D281" s="271" t="inlineStr">
        <is>
          <t>Central</t>
        </is>
      </c>
      <c r="E281" s="272" t="n">
        <v>56</v>
      </c>
      <c r="F281" s="272" t="n">
        <v>4890</v>
      </c>
      <c r="G281" s="272" t="n">
        <v>132</v>
      </c>
      <c r="H281" s="272" t="n">
        <v>10</v>
      </c>
      <c r="I281" s="272" t="n">
        <v>37</v>
      </c>
      <c r="J281" s="272" t="n">
        <v>44</v>
      </c>
      <c r="K281" s="272" t="n">
        <v>3</v>
      </c>
      <c r="L281" s="273" t="n">
        <v>26.9</v>
      </c>
      <c r="M281" s="272" t="n">
        <v>6</v>
      </c>
      <c r="N281" s="272" t="n">
        <v>8</v>
      </c>
      <c r="O281" s="272" t="n">
        <v>4</v>
      </c>
      <c r="P281" s="272" t="n">
        <v>2</v>
      </c>
      <c r="Q281" s="271" t="inlineStr">
        <is>
          <t>Treino</t>
        </is>
      </c>
      <c r="R281" s="272" t="n">
        <v>6</v>
      </c>
      <c r="S281" s="271" t="inlineStr">
        <is>
          <t>MD-2</t>
        </is>
      </c>
      <c r="T281" s="272" t="n"/>
      <c r="U281" s="272" t="n"/>
      <c r="V281" s="274">
        <f>IF(_xlfn.MAXIFS(tblCarga[Data],tblCarga[Jogador],C281,tblCarga[Tipo],"Jogo",tblCarga[Data],"&lt;"&amp;A281)=0,"-",A281-_xlfn.MAXIFS(tblCarga[Data],tblCarga[Jogador],C281,tblCarga[Tipo],"Jogo",tblCarga[Data],"&lt;"&amp;A281))</f>
        <v/>
      </c>
      <c r="W281" s="272" t="n">
        <v>2</v>
      </c>
      <c r="X281" s="272" t="n">
        <v>2</v>
      </c>
      <c r="Y281" s="272" t="n">
        <v>1</v>
      </c>
      <c r="Z281" s="272" t="n">
        <v>2</v>
      </c>
      <c r="AA281" s="272" t="n">
        <v>7</v>
      </c>
    </row>
    <row r="282">
      <c r="A282" s="270" t="n">
        <v>46065</v>
      </c>
      <c r="B282" s="271" t="inlineStr">
        <is>
          <t>Belenenses</t>
        </is>
      </c>
      <c r="C282" s="271" t="inlineStr">
        <is>
          <t>Paulino</t>
        </is>
      </c>
      <c r="D282" s="271" t="inlineStr">
        <is>
          <t>Médio</t>
        </is>
      </c>
      <c r="E282" s="272" t="n">
        <v>63</v>
      </c>
      <c r="F282" s="272" t="n">
        <v>3764</v>
      </c>
      <c r="G282" s="272" t="n">
        <v>121</v>
      </c>
      <c r="H282" s="272" t="n">
        <v>25</v>
      </c>
      <c r="I282" s="272" t="n">
        <v>41</v>
      </c>
      <c r="J282" s="272" t="n">
        <v>41</v>
      </c>
      <c r="K282" s="272" t="n">
        <v>3</v>
      </c>
      <c r="L282" s="273" t="n">
        <v>26.2</v>
      </c>
      <c r="M282" s="272" t="n">
        <v>7</v>
      </c>
      <c r="N282" s="272" t="n">
        <v>4</v>
      </c>
      <c r="O282" s="272" t="n">
        <v>2</v>
      </c>
      <c r="P282" s="272" t="n">
        <v>1</v>
      </c>
      <c r="Q282" s="271" t="inlineStr">
        <is>
          <t>Treino</t>
        </is>
      </c>
      <c r="R282" s="272" t="n">
        <v>7</v>
      </c>
      <c r="S282" s="271" t="inlineStr">
        <is>
          <t>MD-2</t>
        </is>
      </c>
      <c r="T282" s="272" t="n"/>
      <c r="U282" s="272" t="n"/>
      <c r="V282" s="274">
        <f>IF(_xlfn.MAXIFS(tblCarga[Data],tblCarga[Jogador],C282,tblCarga[Tipo],"Jogo",tblCarga[Data],"&lt;"&amp;A282)=0,"-",A282-_xlfn.MAXIFS(tblCarga[Data],tblCarga[Jogador],C282,tblCarga[Tipo],"Jogo",tblCarga[Data],"&lt;"&amp;A282))</f>
        <v/>
      </c>
      <c r="W282" s="272" t="n">
        <v>2</v>
      </c>
      <c r="X282" s="272" t="n">
        <v>2</v>
      </c>
      <c r="Y282" s="272" t="n">
        <v>3</v>
      </c>
      <c r="Z282" s="272" t="n">
        <v>2</v>
      </c>
      <c r="AA282" s="272" t="n">
        <v>9</v>
      </c>
    </row>
    <row r="283">
      <c r="A283" s="270" t="n">
        <v>46065</v>
      </c>
      <c r="B283" s="271" t="inlineStr">
        <is>
          <t>Belenenses</t>
        </is>
      </c>
      <c r="C283" s="271" t="inlineStr">
        <is>
          <t>Artur</t>
        </is>
      </c>
      <c r="D283" s="271" t="inlineStr">
        <is>
          <t>Médio</t>
        </is>
      </c>
      <c r="E283" s="272" t="n">
        <v>54</v>
      </c>
      <c r="F283" s="272" t="n">
        <v>3978</v>
      </c>
      <c r="G283" s="272" t="n">
        <v>110</v>
      </c>
      <c r="H283" s="272" t="n">
        <v>19</v>
      </c>
      <c r="I283" s="272" t="n">
        <v>38</v>
      </c>
      <c r="J283" s="272" t="n">
        <v>43</v>
      </c>
      <c r="K283" s="272" t="n">
        <v>2</v>
      </c>
      <c r="L283" s="273" t="n">
        <v>25.8</v>
      </c>
      <c r="M283" s="272" t="n">
        <v>7</v>
      </c>
      <c r="N283" s="272" t="n">
        <v>7</v>
      </c>
      <c r="O283" s="272" t="n">
        <v>4</v>
      </c>
      <c r="P283" s="272" t="n">
        <v>1</v>
      </c>
      <c r="Q283" s="271" t="inlineStr">
        <is>
          <t>Treino</t>
        </is>
      </c>
      <c r="R283" s="272" t="n">
        <v>7</v>
      </c>
      <c r="S283" s="271" t="inlineStr">
        <is>
          <t>MD-2</t>
        </is>
      </c>
      <c r="T283" s="272" t="n"/>
      <c r="U283" s="272" t="n"/>
      <c r="V283" s="274">
        <f>IF(_xlfn.MAXIFS(tblCarga[Data],tblCarga[Jogador],C283,tblCarga[Tipo],"Jogo",tblCarga[Data],"&lt;"&amp;A283)=0,"-",A283-_xlfn.MAXIFS(tblCarga[Data],tblCarga[Jogador],C283,tblCarga[Tipo],"Jogo",tblCarga[Data],"&lt;"&amp;A283))</f>
        <v/>
      </c>
      <c r="W283" s="272" t="n">
        <v>2</v>
      </c>
      <c r="X283" s="272" t="n">
        <v>2</v>
      </c>
      <c r="Y283" s="272" t="n">
        <v>3</v>
      </c>
      <c r="Z283" s="272" t="n">
        <v>2</v>
      </c>
      <c r="AA283" s="272" t="n">
        <v>9</v>
      </c>
    </row>
    <row r="284">
      <c r="A284" s="270" t="n">
        <v>46065</v>
      </c>
      <c r="B284" s="271" t="inlineStr">
        <is>
          <t>Belenenses</t>
        </is>
      </c>
      <c r="C284" s="271" t="inlineStr">
        <is>
          <t>Gomes</t>
        </is>
      </c>
      <c r="D284" s="271" t="inlineStr">
        <is>
          <t>Médio</t>
        </is>
      </c>
      <c r="E284" s="272" t="n">
        <v>64</v>
      </c>
      <c r="F284" s="272" t="n">
        <v>4812</v>
      </c>
      <c r="G284" s="272" t="n">
        <v>105</v>
      </c>
      <c r="H284" s="272" t="n">
        <v>24</v>
      </c>
      <c r="I284" s="272" t="n">
        <v>39</v>
      </c>
      <c r="J284" s="272" t="n">
        <v>46</v>
      </c>
      <c r="K284" s="272" t="n">
        <v>3</v>
      </c>
      <c r="L284" s="273" t="n">
        <v>25.1</v>
      </c>
      <c r="M284" s="272" t="n">
        <v>7</v>
      </c>
      <c r="N284" s="272" t="n">
        <v>5</v>
      </c>
      <c r="O284" s="272" t="n">
        <v>2</v>
      </c>
      <c r="P284" s="272" t="n">
        <v>0</v>
      </c>
      <c r="Q284" s="271" t="inlineStr">
        <is>
          <t>Treino</t>
        </is>
      </c>
      <c r="R284" s="272" t="n">
        <v>7</v>
      </c>
      <c r="S284" s="271" t="inlineStr">
        <is>
          <t>MD-2</t>
        </is>
      </c>
      <c r="T284" s="272" t="n"/>
      <c r="U284" s="272" t="n"/>
      <c r="V284" s="274">
        <f>IF(_xlfn.MAXIFS(tblCarga[Data],tblCarga[Jogador],C284,tblCarga[Tipo],"Jogo",tblCarga[Data],"&lt;"&amp;A284)=0,"-",A284-_xlfn.MAXIFS(tblCarga[Data],tblCarga[Jogador],C284,tblCarga[Tipo],"Jogo",tblCarga[Data],"&lt;"&amp;A284))</f>
        <v/>
      </c>
      <c r="W284" s="272" t="n">
        <v>3</v>
      </c>
      <c r="X284" s="272" t="n">
        <v>3</v>
      </c>
      <c r="Y284" s="272" t="n">
        <v>3</v>
      </c>
      <c r="Z284" s="272" t="n">
        <v>1</v>
      </c>
      <c r="AA284" s="272" t="n">
        <v>10</v>
      </c>
    </row>
    <row r="285">
      <c r="A285" s="270" t="n">
        <v>46065</v>
      </c>
      <c r="B285" s="271" t="inlineStr">
        <is>
          <t>Belenenses</t>
        </is>
      </c>
      <c r="C285" s="271" t="inlineStr">
        <is>
          <t>Sá</t>
        </is>
      </c>
      <c r="D285" s="271" t="inlineStr">
        <is>
          <t>Médio</t>
        </is>
      </c>
      <c r="E285" s="272" t="n">
        <v>59</v>
      </c>
      <c r="F285" s="272" t="n">
        <v>5002</v>
      </c>
      <c r="G285" s="272" t="n">
        <v>107</v>
      </c>
      <c r="H285" s="272" t="n">
        <v>22</v>
      </c>
      <c r="I285" s="272" t="n">
        <v>37</v>
      </c>
      <c r="J285" s="272" t="n">
        <v>42</v>
      </c>
      <c r="K285" s="272" t="n">
        <v>1</v>
      </c>
      <c r="L285" s="273" t="n">
        <v>27.7</v>
      </c>
      <c r="M285" s="272" t="n">
        <v>7</v>
      </c>
      <c r="N285" s="272" t="n">
        <v>7</v>
      </c>
      <c r="O285" s="272" t="n">
        <v>3</v>
      </c>
      <c r="P285" s="272" t="n">
        <v>1</v>
      </c>
      <c r="Q285" s="271" t="inlineStr">
        <is>
          <t>Treino</t>
        </is>
      </c>
      <c r="R285" s="272" t="n">
        <v>7</v>
      </c>
      <c r="S285" s="271" t="inlineStr">
        <is>
          <t>MD-2</t>
        </is>
      </c>
      <c r="T285" s="272" t="n"/>
      <c r="U285" s="272" t="n"/>
      <c r="V285" s="274">
        <f>IF(_xlfn.MAXIFS(tblCarga[Data],tblCarga[Jogador],C285,tblCarga[Tipo],"Jogo",tblCarga[Data],"&lt;"&amp;A285)=0,"-",A285-_xlfn.MAXIFS(tblCarga[Data],tblCarga[Jogador],C285,tblCarga[Tipo],"Jogo",tblCarga[Data],"&lt;"&amp;A285))</f>
        <v/>
      </c>
      <c r="W285" s="272" t="n">
        <v>1</v>
      </c>
      <c r="X285" s="272" t="n">
        <v>2</v>
      </c>
      <c r="Y285" s="272" t="n">
        <v>3</v>
      </c>
      <c r="Z285" s="272" t="n">
        <v>2</v>
      </c>
      <c r="AA285" s="272" t="n">
        <v>8</v>
      </c>
    </row>
    <row r="286">
      <c r="A286" s="270" t="n">
        <v>46065</v>
      </c>
      <c r="B286" s="271" t="inlineStr">
        <is>
          <t>Belenenses</t>
        </is>
      </c>
      <c r="C286" s="271" t="inlineStr">
        <is>
          <t>Varela</t>
        </is>
      </c>
      <c r="D286" s="271" t="inlineStr">
        <is>
          <t>Lateral</t>
        </is>
      </c>
      <c r="E286" s="272" t="n">
        <v>58</v>
      </c>
      <c r="F286" s="272" t="n">
        <v>6214</v>
      </c>
      <c r="G286" s="272" t="n">
        <v>190</v>
      </c>
      <c r="H286" s="272" t="n">
        <v>36</v>
      </c>
      <c r="I286" s="272" t="n">
        <v>39</v>
      </c>
      <c r="J286" s="272" t="n">
        <v>44</v>
      </c>
      <c r="K286" s="272" t="n">
        <v>3</v>
      </c>
      <c r="L286" s="273" t="n">
        <v>30.1</v>
      </c>
      <c r="M286" s="272" t="n">
        <v>7</v>
      </c>
      <c r="N286" s="272" t="n">
        <v>5</v>
      </c>
      <c r="O286" s="272" t="n">
        <v>2</v>
      </c>
      <c r="P286" s="272" t="n">
        <v>0</v>
      </c>
      <c r="Q286" s="271" t="inlineStr">
        <is>
          <t>Treino</t>
        </is>
      </c>
      <c r="R286" s="272" t="n">
        <v>7</v>
      </c>
      <c r="S286" s="271" t="inlineStr">
        <is>
          <t>MD-2</t>
        </is>
      </c>
      <c r="T286" s="272" t="n"/>
      <c r="U286" s="272" t="n"/>
      <c r="V286" s="274">
        <f>IF(_xlfn.MAXIFS(tblCarga[Data],tblCarga[Jogador],C286,tblCarga[Tipo],"Jogo",tblCarga[Data],"&lt;"&amp;A286)=0,"-",A286-_xlfn.MAXIFS(tblCarga[Data],tblCarga[Jogador],C286,tblCarga[Tipo],"Jogo",tblCarga[Data],"&lt;"&amp;A286))</f>
        <v/>
      </c>
      <c r="W286" s="272" t="n">
        <v>2</v>
      </c>
      <c r="X286" s="272" t="n">
        <v>1</v>
      </c>
      <c r="Y286" s="272" t="n">
        <v>2</v>
      </c>
      <c r="Z286" s="272" t="n">
        <v>1</v>
      </c>
      <c r="AA286" s="272" t="n">
        <v>6</v>
      </c>
    </row>
    <row r="287">
      <c r="A287" s="270" t="n">
        <v>46065</v>
      </c>
      <c r="B287" s="271" t="inlineStr">
        <is>
          <t>Belenenses</t>
        </is>
      </c>
      <c r="C287" s="271" t="inlineStr">
        <is>
          <t>Edu</t>
        </is>
      </c>
      <c r="D287" s="271" t="inlineStr">
        <is>
          <t>Lateral</t>
        </is>
      </c>
      <c r="E287" s="272" t="n">
        <v>66</v>
      </c>
      <c r="F287" s="272" t="n">
        <v>6016</v>
      </c>
      <c r="G287" s="272" t="n">
        <v>187</v>
      </c>
      <c r="H287" s="272" t="n">
        <v>38</v>
      </c>
      <c r="I287" s="272" t="n">
        <v>39</v>
      </c>
      <c r="J287" s="272" t="n">
        <v>46</v>
      </c>
      <c r="K287" s="272" t="n">
        <v>2</v>
      </c>
      <c r="L287" s="273" t="n">
        <v>28.9</v>
      </c>
      <c r="M287" s="272" t="n">
        <v>7</v>
      </c>
      <c r="N287" s="272" t="n">
        <v>6</v>
      </c>
      <c r="O287" s="272" t="n">
        <v>2</v>
      </c>
      <c r="P287" s="272" t="n">
        <v>0</v>
      </c>
      <c r="Q287" s="271" t="inlineStr">
        <is>
          <t>Treino</t>
        </is>
      </c>
      <c r="R287" s="272" t="n">
        <v>7</v>
      </c>
      <c r="S287" s="271" t="inlineStr">
        <is>
          <t>MD-2</t>
        </is>
      </c>
      <c r="T287" s="272" t="n"/>
      <c r="U287" s="272" t="n"/>
      <c r="V287" s="274">
        <f>IF(_xlfn.MAXIFS(tblCarga[Data],tblCarga[Jogador],C287,tblCarga[Tipo],"Jogo",tblCarga[Data],"&lt;"&amp;A287)=0,"-",A287-_xlfn.MAXIFS(tblCarga[Data],tblCarga[Jogador],C287,tblCarga[Tipo],"Jogo",tblCarga[Data],"&lt;"&amp;A287))</f>
        <v/>
      </c>
      <c r="W287" s="272" t="n">
        <v>2</v>
      </c>
      <c r="X287" s="272" t="n">
        <v>1</v>
      </c>
      <c r="Y287" s="272" t="n">
        <v>2</v>
      </c>
      <c r="Z287" s="272" t="n">
        <v>2</v>
      </c>
      <c r="AA287" s="272" t="n">
        <v>7</v>
      </c>
    </row>
    <row r="288">
      <c r="A288" s="270" t="n">
        <v>46065</v>
      </c>
      <c r="B288" s="271" t="inlineStr">
        <is>
          <t>Belenenses</t>
        </is>
      </c>
      <c r="C288" s="271" t="inlineStr">
        <is>
          <t>Capitulo</t>
        </is>
      </c>
      <c r="D288" s="271" t="inlineStr">
        <is>
          <t>Lateral</t>
        </is>
      </c>
      <c r="E288" s="272" t="n">
        <v>61</v>
      </c>
      <c r="F288" s="272" t="n">
        <v>6203</v>
      </c>
      <c r="G288" s="272" t="n">
        <v>207</v>
      </c>
      <c r="H288" s="272" t="n">
        <v>41</v>
      </c>
      <c r="I288" s="272" t="n">
        <v>44</v>
      </c>
      <c r="J288" s="272" t="n">
        <v>45</v>
      </c>
      <c r="K288" s="272" t="n">
        <v>3</v>
      </c>
      <c r="L288" s="273" t="n">
        <v>28.8</v>
      </c>
      <c r="M288" s="272" t="n">
        <v>7</v>
      </c>
      <c r="N288" s="272" t="n">
        <v>5</v>
      </c>
      <c r="O288" s="272" t="n">
        <v>2</v>
      </c>
      <c r="P288" s="272" t="n">
        <v>0</v>
      </c>
      <c r="Q288" s="271" t="inlineStr">
        <is>
          <t>Treino</t>
        </is>
      </c>
      <c r="R288" s="272" t="n">
        <v>7</v>
      </c>
      <c r="S288" s="271" t="inlineStr">
        <is>
          <t>MD-2</t>
        </is>
      </c>
      <c r="T288" s="272" t="n"/>
      <c r="U288" s="272" t="n"/>
      <c r="V288" s="274">
        <f>IF(_xlfn.MAXIFS(tblCarga[Data],tblCarga[Jogador],C288,tblCarga[Tipo],"Jogo",tblCarga[Data],"&lt;"&amp;A288)=0,"-",A288-_xlfn.MAXIFS(tblCarga[Data],tblCarga[Jogador],C288,tblCarga[Tipo],"Jogo",tblCarga[Data],"&lt;"&amp;A288))</f>
        <v/>
      </c>
      <c r="W288" s="272" t="n">
        <v>3</v>
      </c>
      <c r="X288" s="272" t="n">
        <v>1</v>
      </c>
      <c r="Y288" s="272" t="n">
        <v>3</v>
      </c>
      <c r="Z288" s="272" t="n">
        <v>1</v>
      </c>
      <c r="AA288" s="272" t="n">
        <v>8</v>
      </c>
    </row>
    <row r="289">
      <c r="A289" s="270" t="n">
        <v>46065</v>
      </c>
      <c r="B289" s="271" t="inlineStr">
        <is>
          <t>Belenenses</t>
        </is>
      </c>
      <c r="C289" s="271" t="inlineStr">
        <is>
          <t>Enzo Hugo</t>
        </is>
      </c>
      <c r="D289" s="271" t="inlineStr">
        <is>
          <t>Central</t>
        </is>
      </c>
      <c r="E289" s="272" t="n">
        <v>56</v>
      </c>
      <c r="F289" s="272" t="n">
        <v>5071</v>
      </c>
      <c r="G289" s="272" t="n">
        <v>127</v>
      </c>
      <c r="H289" s="272" t="n">
        <v>10</v>
      </c>
      <c r="I289" s="272" t="n">
        <v>46</v>
      </c>
      <c r="J289" s="272" t="n">
        <v>50</v>
      </c>
      <c r="K289" s="272" t="n">
        <v>2</v>
      </c>
      <c r="L289" s="273" t="n">
        <v>24.3</v>
      </c>
      <c r="M289" s="272" t="n">
        <v>7</v>
      </c>
      <c r="N289" s="272" t="n">
        <v>7</v>
      </c>
      <c r="O289" s="272" t="n">
        <v>4</v>
      </c>
      <c r="P289" s="272" t="n">
        <v>1</v>
      </c>
      <c r="Q289" s="271" t="inlineStr">
        <is>
          <t>Treino</t>
        </is>
      </c>
      <c r="R289" s="272" t="n">
        <v>7</v>
      </c>
      <c r="S289" s="271" t="inlineStr">
        <is>
          <t>MD-2</t>
        </is>
      </c>
      <c r="T289" s="272" t="n"/>
      <c r="U289" s="272" t="n"/>
      <c r="V289" s="274">
        <f>IF(_xlfn.MAXIFS(tblCarga[Data],tblCarga[Jogador],C289,tblCarga[Tipo],"Jogo",tblCarga[Data],"&lt;"&amp;A289)=0,"-",A289-_xlfn.MAXIFS(tblCarga[Data],tblCarga[Jogador],C289,tblCarga[Tipo],"Jogo",tblCarga[Data],"&lt;"&amp;A289))</f>
        <v/>
      </c>
      <c r="W289" s="272" t="n">
        <v>1</v>
      </c>
      <c r="X289" s="272" t="n">
        <v>3</v>
      </c>
      <c r="Y289" s="272" t="n">
        <v>3</v>
      </c>
      <c r="Z289" s="272" t="n">
        <v>2</v>
      </c>
      <c r="AA289" s="272" t="n">
        <v>9</v>
      </c>
    </row>
    <row r="290">
      <c r="A290" s="270" t="n">
        <v>46065</v>
      </c>
      <c r="B290" s="271" t="inlineStr">
        <is>
          <t>Belenenses</t>
        </is>
      </c>
      <c r="C290" s="271" t="inlineStr">
        <is>
          <t>Nogueira</t>
        </is>
      </c>
      <c r="D290" s="271" t="inlineStr">
        <is>
          <t>Central</t>
        </is>
      </c>
      <c r="E290" s="272" t="n">
        <v>62</v>
      </c>
      <c r="F290" s="272" t="n">
        <v>5059</v>
      </c>
      <c r="G290" s="272" t="n">
        <v>147</v>
      </c>
      <c r="H290" s="272" t="n">
        <v>9</v>
      </c>
      <c r="I290" s="272" t="n">
        <v>36</v>
      </c>
      <c r="J290" s="272" t="n">
        <v>44</v>
      </c>
      <c r="K290" s="272" t="n">
        <v>3</v>
      </c>
      <c r="L290" s="273" t="n">
        <v>24.5</v>
      </c>
      <c r="M290" s="272" t="n">
        <v>7</v>
      </c>
      <c r="N290" s="272" t="n">
        <v>6</v>
      </c>
      <c r="O290" s="272" t="n">
        <v>2</v>
      </c>
      <c r="P290" s="272" t="n">
        <v>0</v>
      </c>
      <c r="Q290" s="271" t="inlineStr">
        <is>
          <t>Treino</t>
        </is>
      </c>
      <c r="R290" s="272" t="n">
        <v>7</v>
      </c>
      <c r="S290" s="271" t="inlineStr">
        <is>
          <t>MD-2</t>
        </is>
      </c>
      <c r="T290" s="272" t="n"/>
      <c r="U290" s="272" t="n"/>
      <c r="V290" s="274">
        <f>IF(_xlfn.MAXIFS(tblCarga[Data],tblCarga[Jogador],C290,tblCarga[Tipo],"Jogo",tblCarga[Data],"&lt;"&amp;A290)=0,"-",A290-_xlfn.MAXIFS(tblCarga[Data],tblCarga[Jogador],C290,tblCarga[Tipo],"Jogo",tblCarga[Data],"&lt;"&amp;A290))</f>
        <v/>
      </c>
      <c r="W290" s="272" t="n">
        <v>2</v>
      </c>
      <c r="X290" s="272" t="n">
        <v>2</v>
      </c>
      <c r="Y290" s="272" t="n">
        <v>3</v>
      </c>
      <c r="Z290" s="272" t="n">
        <v>2</v>
      </c>
      <c r="AA290" s="272" t="n">
        <v>9</v>
      </c>
    </row>
    <row r="291">
      <c r="A291" s="270" t="n">
        <v>46072</v>
      </c>
      <c r="B291" s="271" t="inlineStr">
        <is>
          <t>Belenenses</t>
        </is>
      </c>
      <c r="C291" s="271" t="inlineStr">
        <is>
          <t>Paulino</t>
        </is>
      </c>
      <c r="D291" s="271" t="inlineStr">
        <is>
          <t>Médio</t>
        </is>
      </c>
      <c r="E291" s="272" t="n">
        <v>59</v>
      </c>
      <c r="F291" s="272" t="n">
        <v>3890</v>
      </c>
      <c r="G291" s="272" t="n">
        <v>126</v>
      </c>
      <c r="H291" s="272" t="n">
        <v>26</v>
      </c>
      <c r="I291" s="272" t="n">
        <v>35</v>
      </c>
      <c r="J291" s="272" t="n">
        <v>37</v>
      </c>
      <c r="K291" s="272" t="n">
        <v>3</v>
      </c>
      <c r="L291" s="273" t="n">
        <v>27.6</v>
      </c>
      <c r="M291" s="272" t="n">
        <v>8</v>
      </c>
      <c r="N291" s="272" t="n">
        <v>7</v>
      </c>
      <c r="O291" s="272" t="n">
        <v>3</v>
      </c>
      <c r="P291" s="272" t="n">
        <v>1</v>
      </c>
      <c r="Q291" s="271" t="inlineStr">
        <is>
          <t>Treino</t>
        </is>
      </c>
      <c r="R291" s="272" t="n">
        <v>8</v>
      </c>
      <c r="S291" s="271" t="inlineStr">
        <is>
          <t>MD-2</t>
        </is>
      </c>
      <c r="T291" s="272" t="n"/>
      <c r="U291" s="272" t="n"/>
      <c r="V291" s="274">
        <f>IF(_xlfn.MAXIFS(tblCarga[Data],tblCarga[Jogador],C291,tblCarga[Tipo],"Jogo",tblCarga[Data],"&lt;"&amp;A291)=0,"-",A291-_xlfn.MAXIFS(tblCarga[Data],tblCarga[Jogador],C291,tblCarga[Tipo],"Jogo",tblCarga[Data],"&lt;"&amp;A291))</f>
        <v/>
      </c>
      <c r="W291" s="272" t="n">
        <v>2</v>
      </c>
      <c r="X291" s="272" t="n">
        <v>3</v>
      </c>
      <c r="Y291" s="272" t="n">
        <v>2</v>
      </c>
      <c r="Z291" s="272" t="n">
        <v>2</v>
      </c>
      <c r="AA291" s="272" t="n">
        <v>9</v>
      </c>
    </row>
    <row r="292">
      <c r="A292" s="270" t="n">
        <v>46072</v>
      </c>
      <c r="B292" s="271" t="inlineStr">
        <is>
          <t>Belenenses</t>
        </is>
      </c>
      <c r="C292" s="271" t="inlineStr">
        <is>
          <t>Artur</t>
        </is>
      </c>
      <c r="D292" s="271" t="inlineStr">
        <is>
          <t>Médio</t>
        </is>
      </c>
      <c r="E292" s="272" t="n">
        <v>64</v>
      </c>
      <c r="F292" s="272" t="n">
        <v>4541</v>
      </c>
      <c r="G292" s="272" t="n">
        <v>106</v>
      </c>
      <c r="H292" s="272" t="n">
        <v>20</v>
      </c>
      <c r="I292" s="272" t="n">
        <v>40</v>
      </c>
      <c r="J292" s="272" t="n">
        <v>43</v>
      </c>
      <c r="K292" s="272" t="n">
        <v>2</v>
      </c>
      <c r="L292" s="273" t="n">
        <v>27.2</v>
      </c>
      <c r="M292" s="272" t="n">
        <v>8</v>
      </c>
      <c r="N292" s="272" t="n">
        <v>5</v>
      </c>
      <c r="O292" s="272" t="n">
        <v>2</v>
      </c>
      <c r="P292" s="272" t="n">
        <v>0</v>
      </c>
      <c r="Q292" s="271" t="inlineStr">
        <is>
          <t>Treino</t>
        </is>
      </c>
      <c r="R292" s="272" t="n">
        <v>8</v>
      </c>
      <c r="S292" s="271" t="inlineStr">
        <is>
          <t>MD-2</t>
        </is>
      </c>
      <c r="T292" s="272" t="n"/>
      <c r="U292" s="272" t="n"/>
      <c r="V292" s="274">
        <f>IF(_xlfn.MAXIFS(tblCarga[Data],tblCarga[Jogador],C292,tblCarga[Tipo],"Jogo",tblCarga[Data],"&lt;"&amp;A292)=0,"-",A292-_xlfn.MAXIFS(tblCarga[Data],tblCarga[Jogador],C292,tblCarga[Tipo],"Jogo",tblCarga[Data],"&lt;"&amp;A292))</f>
        <v/>
      </c>
      <c r="W292" s="272" t="n">
        <v>2</v>
      </c>
      <c r="X292" s="272" t="n">
        <v>3</v>
      </c>
      <c r="Y292" s="272" t="n">
        <v>2</v>
      </c>
      <c r="Z292" s="272" t="n">
        <v>2</v>
      </c>
      <c r="AA292" s="272" t="n">
        <v>9</v>
      </c>
    </row>
    <row r="293">
      <c r="A293" s="270" t="n">
        <v>46072</v>
      </c>
      <c r="B293" s="271" t="inlineStr">
        <is>
          <t>Belenenses</t>
        </is>
      </c>
      <c r="C293" s="271" t="inlineStr">
        <is>
          <t>Gomes</t>
        </is>
      </c>
      <c r="D293" s="271" t="inlineStr">
        <is>
          <t>Médio</t>
        </is>
      </c>
      <c r="E293" s="272" t="n">
        <v>56</v>
      </c>
      <c r="F293" s="272" t="n">
        <v>4928</v>
      </c>
      <c r="G293" s="272" t="n">
        <v>108</v>
      </c>
      <c r="H293" s="272" t="n">
        <v>22</v>
      </c>
      <c r="I293" s="272" t="n">
        <v>37</v>
      </c>
      <c r="J293" s="272" t="n">
        <v>39</v>
      </c>
      <c r="K293" s="272" t="n">
        <v>2</v>
      </c>
      <c r="L293" s="273" t="n">
        <v>25.5</v>
      </c>
      <c r="M293" s="272" t="n">
        <v>8</v>
      </c>
      <c r="N293" s="272" t="n">
        <v>4</v>
      </c>
      <c r="O293" s="272" t="n">
        <v>1</v>
      </c>
      <c r="P293" s="272" t="n">
        <v>0</v>
      </c>
      <c r="Q293" s="271" t="inlineStr">
        <is>
          <t>Treino</t>
        </is>
      </c>
      <c r="R293" s="272" t="n">
        <v>8</v>
      </c>
      <c r="S293" s="271" t="inlineStr">
        <is>
          <t>MD-2</t>
        </is>
      </c>
      <c r="T293" s="272" t="n"/>
      <c r="U293" s="272" t="n"/>
      <c r="V293" s="274">
        <f>IF(_xlfn.MAXIFS(tblCarga[Data],tblCarga[Jogador],C293,tblCarga[Tipo],"Jogo",tblCarga[Data],"&lt;"&amp;A293)=0,"-",A293-_xlfn.MAXIFS(tblCarga[Data],tblCarga[Jogador],C293,tblCarga[Tipo],"Jogo",tblCarga[Data],"&lt;"&amp;A293))</f>
        <v/>
      </c>
      <c r="W293" s="272" t="n">
        <v>1</v>
      </c>
      <c r="X293" s="272" t="n">
        <v>2</v>
      </c>
      <c r="Y293" s="272" t="n">
        <v>1</v>
      </c>
      <c r="Z293" s="272" t="n">
        <v>3</v>
      </c>
      <c r="AA293" s="272" t="n">
        <v>7</v>
      </c>
    </row>
    <row r="294">
      <c r="A294" s="270" t="n">
        <v>46072</v>
      </c>
      <c r="B294" s="271" t="inlineStr">
        <is>
          <t>Belenenses</t>
        </is>
      </c>
      <c r="C294" s="271" t="inlineStr">
        <is>
          <t>Sá</t>
        </is>
      </c>
      <c r="D294" s="271" t="inlineStr">
        <is>
          <t>Médio</t>
        </is>
      </c>
      <c r="E294" s="272" t="n">
        <v>61</v>
      </c>
      <c r="F294" s="272" t="n">
        <v>4981</v>
      </c>
      <c r="G294" s="272" t="n">
        <v>102</v>
      </c>
      <c r="H294" s="272" t="n">
        <v>21</v>
      </c>
      <c r="I294" s="272" t="n">
        <v>37</v>
      </c>
      <c r="J294" s="272" t="n">
        <v>42</v>
      </c>
      <c r="K294" s="272" t="n">
        <v>2</v>
      </c>
      <c r="L294" s="273" t="n">
        <v>28.2</v>
      </c>
      <c r="M294" s="272" t="n">
        <v>8</v>
      </c>
      <c r="N294" s="272" t="n">
        <v>6</v>
      </c>
      <c r="O294" s="272" t="n">
        <v>3</v>
      </c>
      <c r="P294" s="272" t="n">
        <v>1</v>
      </c>
      <c r="Q294" s="271" t="inlineStr">
        <is>
          <t>Treino</t>
        </is>
      </c>
      <c r="R294" s="272" t="n">
        <v>8</v>
      </c>
      <c r="S294" s="271" t="inlineStr">
        <is>
          <t>MD-2</t>
        </is>
      </c>
      <c r="T294" s="272" t="n"/>
      <c r="U294" s="272" t="n"/>
      <c r="V294" s="274">
        <f>IF(_xlfn.MAXIFS(tblCarga[Data],tblCarga[Jogador],C294,tblCarga[Tipo],"Jogo",tblCarga[Data],"&lt;"&amp;A294)=0,"-",A294-_xlfn.MAXIFS(tblCarga[Data],tblCarga[Jogador],C294,tblCarga[Tipo],"Jogo",tblCarga[Data],"&lt;"&amp;A294))</f>
        <v/>
      </c>
      <c r="W294" s="272" t="n">
        <v>2</v>
      </c>
      <c r="X294" s="272" t="n">
        <v>2</v>
      </c>
      <c r="Y294" s="272" t="n">
        <v>1</v>
      </c>
      <c r="Z294" s="272" t="n">
        <v>1</v>
      </c>
      <c r="AA294" s="272" t="n">
        <v>6</v>
      </c>
    </row>
    <row r="295">
      <c r="A295" s="270" t="n">
        <v>46072</v>
      </c>
      <c r="B295" s="271" t="inlineStr">
        <is>
          <t>Belenenses</t>
        </is>
      </c>
      <c r="C295" s="271" t="inlineStr">
        <is>
          <t>Varela</t>
        </is>
      </c>
      <c r="D295" s="271" t="inlineStr">
        <is>
          <t>Lateral</t>
        </is>
      </c>
      <c r="E295" s="272" t="n">
        <v>59</v>
      </c>
      <c r="F295" s="272" t="n">
        <v>5786</v>
      </c>
      <c r="G295" s="272" t="n">
        <v>165</v>
      </c>
      <c r="H295" s="272" t="n">
        <v>36</v>
      </c>
      <c r="I295" s="272" t="n">
        <v>45</v>
      </c>
      <c r="J295" s="272" t="n">
        <v>46</v>
      </c>
      <c r="K295" s="272" t="n">
        <v>2</v>
      </c>
      <c r="L295" s="273" t="n">
        <v>29.8</v>
      </c>
      <c r="M295" s="272" t="n">
        <v>8</v>
      </c>
      <c r="N295" s="272" t="n">
        <v>7</v>
      </c>
      <c r="O295" s="272" t="n">
        <v>3</v>
      </c>
      <c r="P295" s="272" t="n">
        <v>1</v>
      </c>
      <c r="Q295" s="271" t="inlineStr">
        <is>
          <t>Treino</t>
        </is>
      </c>
      <c r="R295" s="272" t="n">
        <v>8</v>
      </c>
      <c r="S295" s="271" t="inlineStr">
        <is>
          <t>MD-2</t>
        </is>
      </c>
      <c r="T295" s="272" t="n"/>
      <c r="U295" s="272" t="n"/>
      <c r="V295" s="274">
        <f>IF(_xlfn.MAXIFS(tblCarga[Data],tblCarga[Jogador],C295,tblCarga[Tipo],"Jogo",tblCarga[Data],"&lt;"&amp;A295)=0,"-",A295-_xlfn.MAXIFS(tblCarga[Data],tblCarga[Jogador],C295,tblCarga[Tipo],"Jogo",tblCarga[Data],"&lt;"&amp;A295))</f>
        <v/>
      </c>
      <c r="W295" s="272" t="n">
        <v>3</v>
      </c>
      <c r="X295" s="272" t="n">
        <v>3</v>
      </c>
      <c r="Y295" s="272" t="n">
        <v>3</v>
      </c>
      <c r="Z295" s="272" t="n">
        <v>2</v>
      </c>
      <c r="AA295" s="272" t="n">
        <v>11</v>
      </c>
    </row>
    <row r="296">
      <c r="A296" s="270" t="n">
        <v>46072</v>
      </c>
      <c r="B296" s="271" t="inlineStr">
        <is>
          <t>Belenenses</t>
        </is>
      </c>
      <c r="C296" s="271" t="inlineStr">
        <is>
          <t>Edu</t>
        </is>
      </c>
      <c r="D296" s="271" t="inlineStr">
        <is>
          <t>Lateral</t>
        </is>
      </c>
      <c r="E296" s="272" t="n">
        <v>60</v>
      </c>
      <c r="F296" s="272" t="n">
        <v>6057</v>
      </c>
      <c r="G296" s="272" t="n">
        <v>177</v>
      </c>
      <c r="H296" s="272" t="n">
        <v>40</v>
      </c>
      <c r="I296" s="272" t="n">
        <v>41</v>
      </c>
      <c r="J296" s="272" t="n">
        <v>42</v>
      </c>
      <c r="K296" s="272" t="n">
        <v>2</v>
      </c>
      <c r="L296" s="273" t="n">
        <v>27.5</v>
      </c>
      <c r="M296" s="272" t="n">
        <v>8</v>
      </c>
      <c r="N296" s="272" t="n">
        <v>4</v>
      </c>
      <c r="O296" s="272" t="n">
        <v>1</v>
      </c>
      <c r="P296" s="272" t="n">
        <v>0</v>
      </c>
      <c r="Q296" s="271" t="inlineStr">
        <is>
          <t>Treino</t>
        </is>
      </c>
      <c r="R296" s="272" t="n">
        <v>8</v>
      </c>
      <c r="S296" s="271" t="inlineStr">
        <is>
          <t>MD-2</t>
        </is>
      </c>
      <c r="T296" s="272" t="n"/>
      <c r="U296" s="272" t="n"/>
      <c r="V296" s="274">
        <f>IF(_xlfn.MAXIFS(tblCarga[Data],tblCarga[Jogador],C296,tblCarga[Tipo],"Jogo",tblCarga[Data],"&lt;"&amp;A296)=0,"-",A296-_xlfn.MAXIFS(tblCarga[Data],tblCarga[Jogador],C296,tblCarga[Tipo],"Jogo",tblCarga[Data],"&lt;"&amp;A296))</f>
        <v/>
      </c>
      <c r="W296" s="272" t="n">
        <v>2</v>
      </c>
      <c r="X296" s="272" t="n">
        <v>2</v>
      </c>
      <c r="Y296" s="272" t="n">
        <v>2</v>
      </c>
      <c r="Z296" s="272" t="n">
        <v>2</v>
      </c>
      <c r="AA296" s="272" t="n">
        <v>8</v>
      </c>
    </row>
    <row r="297">
      <c r="A297" s="270" t="n">
        <v>46072</v>
      </c>
      <c r="B297" s="271" t="inlineStr">
        <is>
          <t>Belenenses</t>
        </is>
      </c>
      <c r="C297" s="271" t="inlineStr">
        <is>
          <t>Capitulo</t>
        </is>
      </c>
      <c r="D297" s="271" t="inlineStr">
        <is>
          <t>Lateral</t>
        </is>
      </c>
      <c r="E297" s="272" t="n">
        <v>58</v>
      </c>
      <c r="F297" s="272" t="n">
        <v>5696</v>
      </c>
      <c r="G297" s="272" t="n">
        <v>209</v>
      </c>
      <c r="H297" s="272" t="n">
        <v>37</v>
      </c>
      <c r="I297" s="272" t="n">
        <v>44</v>
      </c>
      <c r="J297" s="272" t="n">
        <v>42</v>
      </c>
      <c r="K297" s="272" t="n">
        <v>3</v>
      </c>
      <c r="L297" s="273" t="n">
        <v>27.2</v>
      </c>
      <c r="M297" s="272" t="n">
        <v>8</v>
      </c>
      <c r="N297" s="272" t="n">
        <v>6</v>
      </c>
      <c r="O297" s="272" t="n">
        <v>3</v>
      </c>
      <c r="P297" s="272" t="n">
        <v>1</v>
      </c>
      <c r="Q297" s="271" t="inlineStr">
        <is>
          <t>Treino</t>
        </is>
      </c>
      <c r="R297" s="272" t="n">
        <v>8</v>
      </c>
      <c r="S297" s="271" t="inlineStr">
        <is>
          <t>MD-2</t>
        </is>
      </c>
      <c r="T297" s="272" t="n"/>
      <c r="U297" s="272" t="n"/>
      <c r="V297" s="274">
        <f>IF(_xlfn.MAXIFS(tblCarga[Data],tblCarga[Jogador],C297,tblCarga[Tipo],"Jogo",tblCarga[Data],"&lt;"&amp;A297)=0,"-",A297-_xlfn.MAXIFS(tblCarga[Data],tblCarga[Jogador],C297,tblCarga[Tipo],"Jogo",tblCarga[Data],"&lt;"&amp;A297))</f>
        <v/>
      </c>
      <c r="W297" s="272" t="n">
        <v>3</v>
      </c>
      <c r="X297" s="272" t="n">
        <v>1</v>
      </c>
      <c r="Y297" s="272" t="n">
        <v>2</v>
      </c>
      <c r="Z297" s="272" t="n">
        <v>1</v>
      </c>
      <c r="AA297" s="272" t="n">
        <v>7</v>
      </c>
    </row>
    <row r="298">
      <c r="A298" s="270" t="n">
        <v>46072</v>
      </c>
      <c r="B298" s="271" t="inlineStr">
        <is>
          <t>Belenenses</t>
        </is>
      </c>
      <c r="C298" s="271" t="inlineStr">
        <is>
          <t>Enzo Hugo</t>
        </is>
      </c>
      <c r="D298" s="271" t="inlineStr">
        <is>
          <t>Central</t>
        </is>
      </c>
      <c r="E298" s="272" t="n">
        <v>61</v>
      </c>
      <c r="F298" s="272" t="n">
        <v>4695</v>
      </c>
      <c r="G298" s="272" t="n">
        <v>120</v>
      </c>
      <c r="H298" s="272" t="n">
        <v>9</v>
      </c>
      <c r="I298" s="272" t="n">
        <v>44</v>
      </c>
      <c r="J298" s="272" t="n">
        <v>53</v>
      </c>
      <c r="K298" s="272" t="n">
        <v>3</v>
      </c>
      <c r="L298" s="273" t="n">
        <v>26.2</v>
      </c>
      <c r="M298" s="272" t="n">
        <v>8</v>
      </c>
      <c r="N298" s="272" t="n">
        <v>8</v>
      </c>
      <c r="O298" s="272" t="n">
        <v>5</v>
      </c>
      <c r="P298" s="272" t="n">
        <v>1</v>
      </c>
      <c r="Q298" s="271" t="inlineStr">
        <is>
          <t>Treino</t>
        </is>
      </c>
      <c r="R298" s="272" t="n">
        <v>8</v>
      </c>
      <c r="S298" s="271" t="inlineStr">
        <is>
          <t>MD-2</t>
        </is>
      </c>
      <c r="T298" s="272" t="n"/>
      <c r="U298" s="272" t="n"/>
      <c r="V298" s="274">
        <f>IF(_xlfn.MAXIFS(tblCarga[Data],tblCarga[Jogador],C298,tblCarga[Tipo],"Jogo",tblCarga[Data],"&lt;"&amp;A298)=0,"-",A298-_xlfn.MAXIFS(tblCarga[Data],tblCarga[Jogador],C298,tblCarga[Tipo],"Jogo",tblCarga[Data],"&lt;"&amp;A298))</f>
        <v/>
      </c>
      <c r="W298" s="272" t="n">
        <v>2</v>
      </c>
      <c r="X298" s="272" t="n">
        <v>1</v>
      </c>
      <c r="Y298" s="272" t="n">
        <v>1</v>
      </c>
      <c r="Z298" s="272" t="n">
        <v>2</v>
      </c>
      <c r="AA298" s="272" t="n">
        <v>6</v>
      </c>
    </row>
    <row r="299">
      <c r="A299" s="270" t="n">
        <v>46072</v>
      </c>
      <c r="B299" s="271" t="inlineStr">
        <is>
          <t>Belenenses</t>
        </is>
      </c>
      <c r="C299" s="271" t="inlineStr">
        <is>
          <t>Nogueira</t>
        </is>
      </c>
      <c r="D299" s="271" t="inlineStr">
        <is>
          <t>Central</t>
        </is>
      </c>
      <c r="E299" s="272" t="n">
        <v>62</v>
      </c>
      <c r="F299" s="272" t="n">
        <v>4654</v>
      </c>
      <c r="G299" s="272" t="n">
        <v>133</v>
      </c>
      <c r="H299" s="272" t="n">
        <v>9</v>
      </c>
      <c r="I299" s="272" t="n">
        <v>36</v>
      </c>
      <c r="J299" s="272" t="n">
        <v>45</v>
      </c>
      <c r="K299" s="272" t="n">
        <v>2</v>
      </c>
      <c r="L299" s="273" t="n">
        <v>26.5</v>
      </c>
      <c r="M299" s="272" t="n">
        <v>8</v>
      </c>
      <c r="N299" s="272" t="n">
        <v>6</v>
      </c>
      <c r="O299" s="272" t="n">
        <v>3</v>
      </c>
      <c r="P299" s="272" t="n">
        <v>0</v>
      </c>
      <c r="Q299" s="271" t="inlineStr">
        <is>
          <t>Treino</t>
        </is>
      </c>
      <c r="R299" s="272" t="n">
        <v>8</v>
      </c>
      <c r="S299" s="271" t="inlineStr">
        <is>
          <t>MD-2</t>
        </is>
      </c>
      <c r="T299" s="272" t="n"/>
      <c r="U299" s="272" t="n"/>
      <c r="V299" s="274">
        <f>IF(_xlfn.MAXIFS(tblCarga[Data],tblCarga[Jogador],C299,tblCarga[Tipo],"Jogo",tblCarga[Data],"&lt;"&amp;A299)=0,"-",A299-_xlfn.MAXIFS(tblCarga[Data],tblCarga[Jogador],C299,tblCarga[Tipo],"Jogo",tblCarga[Data],"&lt;"&amp;A299))</f>
        <v/>
      </c>
      <c r="W299" s="272" t="n">
        <v>3</v>
      </c>
      <c r="X299" s="272" t="n">
        <v>1</v>
      </c>
      <c r="Y299" s="272" t="n">
        <v>2</v>
      </c>
      <c r="Z299" s="272" t="n">
        <v>2</v>
      </c>
      <c r="AA299" s="272" t="n">
        <v>8</v>
      </c>
    </row>
    <row r="300">
      <c r="A300" s="270" t="n">
        <v>46076</v>
      </c>
      <c r="B300" s="271" t="inlineStr">
        <is>
          <t>Belenenses</t>
        </is>
      </c>
      <c r="C300" s="271" t="inlineStr">
        <is>
          <t>Paulino</t>
        </is>
      </c>
      <c r="D300" s="271" t="inlineStr">
        <is>
          <t>Médio</t>
        </is>
      </c>
      <c r="E300" s="272" t="n">
        <v>43</v>
      </c>
      <c r="F300" s="272" t="n">
        <v>2553</v>
      </c>
      <c r="G300" s="272" t="n">
        <v>38</v>
      </c>
      <c r="H300" s="272" t="n">
        <v>5</v>
      </c>
      <c r="I300" s="272" t="n">
        <v>19</v>
      </c>
      <c r="J300" s="272" t="n">
        <v>21</v>
      </c>
      <c r="K300" s="272" t="n">
        <v>1</v>
      </c>
      <c r="L300" s="273" t="n">
        <v>24.1</v>
      </c>
      <c r="M300" s="272" t="n">
        <v>8</v>
      </c>
      <c r="N300" s="272" t="n">
        <v>2</v>
      </c>
      <c r="O300" s="272" t="n">
        <v>1</v>
      </c>
      <c r="P300" s="272" t="n">
        <v>0</v>
      </c>
      <c r="Q300" s="271" t="inlineStr">
        <is>
          <t>Treino</t>
        </is>
      </c>
      <c r="R300" s="272" t="n">
        <v>8</v>
      </c>
      <c r="S300" s="271" t="inlineStr">
        <is>
          <t>MD+1R</t>
        </is>
      </c>
      <c r="T300" s="272" t="n"/>
      <c r="U300" s="272" t="n"/>
      <c r="V300" s="274">
        <f>IF(_xlfn.MAXIFS(tblCarga[Data],tblCarga[Jogador],C300,tblCarga[Tipo],"Jogo",tblCarga[Data],"&lt;"&amp;A300)=0,"-",A300-_xlfn.MAXIFS(tblCarga[Data],tblCarga[Jogador],C300,tblCarga[Tipo],"Jogo",tblCarga[Data],"&lt;"&amp;A300))</f>
        <v/>
      </c>
      <c r="W300" s="272" t="n">
        <v>3</v>
      </c>
      <c r="X300" s="272" t="n">
        <v>3</v>
      </c>
      <c r="Y300" s="272" t="n">
        <v>2</v>
      </c>
      <c r="Z300" s="272" t="n">
        <v>3</v>
      </c>
      <c r="AA300" s="272" t="n">
        <v>11</v>
      </c>
    </row>
    <row r="301">
      <c r="A301" s="270" t="n">
        <v>46076</v>
      </c>
      <c r="B301" s="271" t="inlineStr">
        <is>
          <t>Belenenses</t>
        </is>
      </c>
      <c r="C301" s="271" t="inlineStr">
        <is>
          <t>Artur</t>
        </is>
      </c>
      <c r="D301" s="271" t="inlineStr">
        <is>
          <t>Médio</t>
        </is>
      </c>
      <c r="E301" s="272" t="n">
        <v>41</v>
      </c>
      <c r="F301" s="272" t="n">
        <v>2236</v>
      </c>
      <c r="G301" s="272" t="n">
        <v>32</v>
      </c>
      <c r="H301" s="272" t="n">
        <v>5</v>
      </c>
      <c r="I301" s="272" t="n">
        <v>22</v>
      </c>
      <c r="J301" s="272" t="n">
        <v>21</v>
      </c>
      <c r="K301" s="272" t="n">
        <v>1</v>
      </c>
      <c r="L301" s="273" t="n">
        <v>23.8</v>
      </c>
      <c r="M301" s="272" t="n">
        <v>8</v>
      </c>
      <c r="N301" s="272" t="n">
        <v>3</v>
      </c>
      <c r="O301" s="272" t="n">
        <v>1</v>
      </c>
      <c r="P301" s="272" t="n">
        <v>0</v>
      </c>
      <c r="Q301" s="271" t="inlineStr">
        <is>
          <t>Treino</t>
        </is>
      </c>
      <c r="R301" s="272" t="n">
        <v>8</v>
      </c>
      <c r="S301" s="271" t="inlineStr">
        <is>
          <t>MD+1R</t>
        </is>
      </c>
      <c r="T301" s="272" t="n"/>
      <c r="U301" s="272" t="n"/>
      <c r="V301" s="274">
        <f>IF(_xlfn.MAXIFS(tblCarga[Data],tblCarga[Jogador],C301,tblCarga[Tipo],"Jogo",tblCarga[Data],"&lt;"&amp;A301)=0,"-",A301-_xlfn.MAXIFS(tblCarga[Data],tblCarga[Jogador],C301,tblCarga[Tipo],"Jogo",tblCarga[Data],"&lt;"&amp;A301))</f>
        <v/>
      </c>
      <c r="W301" s="272" t="n">
        <v>4</v>
      </c>
      <c r="X301" s="272" t="n">
        <v>4</v>
      </c>
      <c r="Y301" s="272" t="n">
        <v>2</v>
      </c>
      <c r="Z301" s="272" t="n">
        <v>3</v>
      </c>
      <c r="AA301" s="272" t="n">
        <v>13</v>
      </c>
    </row>
    <row r="302">
      <c r="A302" s="270" t="n">
        <v>46076</v>
      </c>
      <c r="B302" s="271" t="inlineStr">
        <is>
          <t>Belenenses</t>
        </is>
      </c>
      <c r="C302" s="271" t="inlineStr">
        <is>
          <t>Gomes</t>
        </is>
      </c>
      <c r="D302" s="271" t="inlineStr">
        <is>
          <t>Médio</t>
        </is>
      </c>
      <c r="E302" s="272" t="n">
        <v>40</v>
      </c>
      <c r="F302" s="272" t="n">
        <v>2888</v>
      </c>
      <c r="G302" s="272" t="n">
        <v>34</v>
      </c>
      <c r="H302" s="272" t="n">
        <v>5</v>
      </c>
      <c r="I302" s="272" t="n">
        <v>24</v>
      </c>
      <c r="J302" s="272" t="n">
        <v>24</v>
      </c>
      <c r="K302" s="272" t="n">
        <v>1</v>
      </c>
      <c r="L302" s="273" t="n">
        <v>23.4</v>
      </c>
      <c r="M302" s="272" t="n">
        <v>8</v>
      </c>
      <c r="N302" s="272" t="n">
        <v>5</v>
      </c>
      <c r="O302" s="272" t="n">
        <v>2</v>
      </c>
      <c r="P302" s="272" t="n">
        <v>1</v>
      </c>
      <c r="Q302" s="271" t="inlineStr">
        <is>
          <t>Treino</t>
        </is>
      </c>
      <c r="R302" s="272" t="n">
        <v>8</v>
      </c>
      <c r="S302" s="271" t="inlineStr">
        <is>
          <t>MD+1R</t>
        </is>
      </c>
      <c r="T302" s="272" t="n"/>
      <c r="U302" s="272" t="n"/>
      <c r="V302" s="274">
        <f>IF(_xlfn.MAXIFS(tblCarga[Data],tblCarga[Jogador],C302,tblCarga[Tipo],"Jogo",tblCarga[Data],"&lt;"&amp;A302)=0,"-",A302-_xlfn.MAXIFS(tblCarga[Data],tblCarga[Jogador],C302,tblCarga[Tipo],"Jogo",tblCarga[Data],"&lt;"&amp;A302))</f>
        <v/>
      </c>
      <c r="W302" s="272" t="n">
        <v>3</v>
      </c>
      <c r="X302" s="272" t="n">
        <v>3</v>
      </c>
      <c r="Y302" s="272" t="n">
        <v>2</v>
      </c>
      <c r="Z302" s="272" t="n">
        <v>4</v>
      </c>
      <c r="AA302" s="272" t="n">
        <v>12</v>
      </c>
    </row>
    <row r="303">
      <c r="A303" s="270" t="n">
        <v>46076</v>
      </c>
      <c r="B303" s="271" t="inlineStr">
        <is>
          <t>Belenenses</t>
        </is>
      </c>
      <c r="C303" s="271" t="inlineStr">
        <is>
          <t>Sá</t>
        </is>
      </c>
      <c r="D303" s="271" t="inlineStr">
        <is>
          <t>Médio</t>
        </is>
      </c>
      <c r="E303" s="272" t="n">
        <v>44</v>
      </c>
      <c r="F303" s="272" t="n">
        <v>2781</v>
      </c>
      <c r="G303" s="272" t="n">
        <v>33</v>
      </c>
      <c r="H303" s="272" t="n">
        <v>5</v>
      </c>
      <c r="I303" s="272" t="n">
        <v>21</v>
      </c>
      <c r="J303" s="272" t="n">
        <v>23</v>
      </c>
      <c r="K303" s="272" t="n">
        <v>1</v>
      </c>
      <c r="L303" s="273" t="n">
        <v>23.6</v>
      </c>
      <c r="M303" s="272" t="n">
        <v>8</v>
      </c>
      <c r="N303" s="272" t="n">
        <v>2</v>
      </c>
      <c r="O303" s="272" t="n">
        <v>1</v>
      </c>
      <c r="P303" s="272" t="n">
        <v>0</v>
      </c>
      <c r="Q303" s="271" t="inlineStr">
        <is>
          <t>Treino</t>
        </is>
      </c>
      <c r="R303" s="272" t="n">
        <v>8</v>
      </c>
      <c r="S303" s="271" t="inlineStr">
        <is>
          <t>MD+1R</t>
        </is>
      </c>
      <c r="T303" s="272" t="n"/>
      <c r="U303" s="272" t="n"/>
      <c r="V303" s="274">
        <f>IF(_xlfn.MAXIFS(tblCarga[Data],tblCarga[Jogador],C303,tblCarga[Tipo],"Jogo",tblCarga[Data],"&lt;"&amp;A303)=0,"-",A303-_xlfn.MAXIFS(tblCarga[Data],tblCarga[Jogador],C303,tblCarga[Tipo],"Jogo",tblCarga[Data],"&lt;"&amp;A303))</f>
        <v/>
      </c>
      <c r="W303" s="272" t="n">
        <v>4</v>
      </c>
      <c r="X303" s="272" t="n">
        <v>3</v>
      </c>
      <c r="Y303" s="272" t="n">
        <v>2</v>
      </c>
      <c r="Z303" s="272" t="n">
        <v>3</v>
      </c>
      <c r="AA303" s="272" t="n">
        <v>12</v>
      </c>
    </row>
    <row r="304">
      <c r="A304" s="270" t="n">
        <v>46076</v>
      </c>
      <c r="B304" s="271" t="inlineStr">
        <is>
          <t>Belenenses</t>
        </is>
      </c>
      <c r="C304" s="271" t="inlineStr">
        <is>
          <t>Varela</t>
        </is>
      </c>
      <c r="D304" s="271" t="inlineStr">
        <is>
          <t>Lateral</t>
        </is>
      </c>
      <c r="E304" s="272" t="n">
        <v>38</v>
      </c>
      <c r="F304" s="272" t="n">
        <v>3337</v>
      </c>
      <c r="G304" s="272" t="n">
        <v>49</v>
      </c>
      <c r="H304" s="272" t="n">
        <v>10</v>
      </c>
      <c r="I304" s="272" t="n">
        <v>22</v>
      </c>
      <c r="J304" s="272" t="n">
        <v>22</v>
      </c>
      <c r="K304" s="272" t="n">
        <v>1</v>
      </c>
      <c r="L304" s="273" t="n">
        <v>27.4</v>
      </c>
      <c r="M304" s="272" t="n">
        <v>8</v>
      </c>
      <c r="N304" s="272" t="n">
        <v>2</v>
      </c>
      <c r="O304" s="272" t="n">
        <v>0</v>
      </c>
      <c r="P304" s="272" t="n">
        <v>0</v>
      </c>
      <c r="Q304" s="271" t="inlineStr">
        <is>
          <t>Treino</t>
        </is>
      </c>
      <c r="R304" s="272" t="n">
        <v>8</v>
      </c>
      <c r="S304" s="271" t="inlineStr">
        <is>
          <t>MD+1R</t>
        </is>
      </c>
      <c r="T304" s="272" t="n"/>
      <c r="U304" s="272" t="n"/>
      <c r="V304" s="274">
        <f>IF(_xlfn.MAXIFS(tblCarga[Data],tblCarga[Jogador],C304,tblCarga[Tipo],"Jogo",tblCarga[Data],"&lt;"&amp;A304)=0,"-",A304-_xlfn.MAXIFS(tblCarga[Data],tblCarga[Jogador],C304,tblCarga[Tipo],"Jogo",tblCarga[Data],"&lt;"&amp;A304))</f>
        <v/>
      </c>
      <c r="W304" s="272" t="n">
        <v>3</v>
      </c>
      <c r="X304" s="272" t="n">
        <v>4</v>
      </c>
      <c r="Y304" s="272" t="n">
        <v>2</v>
      </c>
      <c r="Z304" s="272" t="n">
        <v>2</v>
      </c>
      <c r="AA304" s="272" t="n">
        <v>11</v>
      </c>
    </row>
    <row r="305">
      <c r="A305" s="270" t="n">
        <v>46076</v>
      </c>
      <c r="B305" s="271" t="inlineStr">
        <is>
          <t>Belenenses</t>
        </is>
      </c>
      <c r="C305" s="271" t="inlineStr">
        <is>
          <t>Edu</t>
        </is>
      </c>
      <c r="D305" s="271" t="inlineStr">
        <is>
          <t>Lateral</t>
        </is>
      </c>
      <c r="E305" s="272" t="n">
        <v>40</v>
      </c>
      <c r="F305" s="272" t="n">
        <v>3246</v>
      </c>
      <c r="G305" s="272" t="n">
        <v>61</v>
      </c>
      <c r="H305" s="272" t="n">
        <v>10</v>
      </c>
      <c r="I305" s="272" t="n">
        <v>23</v>
      </c>
      <c r="J305" s="272" t="n">
        <v>24</v>
      </c>
      <c r="K305" s="272" t="n">
        <v>1</v>
      </c>
      <c r="L305" s="273" t="n">
        <v>26.8</v>
      </c>
      <c r="M305" s="272" t="n">
        <v>8</v>
      </c>
      <c r="N305" s="272" t="n">
        <v>2</v>
      </c>
      <c r="O305" s="272" t="n">
        <v>1</v>
      </c>
      <c r="P305" s="272" t="n">
        <v>0</v>
      </c>
      <c r="Q305" s="271" t="inlineStr">
        <is>
          <t>Treino</t>
        </is>
      </c>
      <c r="R305" s="272" t="n">
        <v>8</v>
      </c>
      <c r="S305" s="271" t="inlineStr">
        <is>
          <t>MD+1R</t>
        </is>
      </c>
      <c r="T305" s="272" t="n"/>
      <c r="U305" s="272" t="n"/>
      <c r="V305" s="274">
        <f>IF(_xlfn.MAXIFS(tblCarga[Data],tblCarga[Jogador],C305,tblCarga[Tipo],"Jogo",tblCarga[Data],"&lt;"&amp;A305)=0,"-",A305-_xlfn.MAXIFS(tblCarga[Data],tblCarga[Jogador],C305,tblCarga[Tipo],"Jogo",tblCarga[Data],"&lt;"&amp;A305))</f>
        <v/>
      </c>
      <c r="W305" s="272" t="n">
        <v>3</v>
      </c>
      <c r="X305" s="272" t="n">
        <v>3</v>
      </c>
      <c r="Y305" s="272" t="n">
        <v>3</v>
      </c>
      <c r="Z305" s="272" t="n">
        <v>3</v>
      </c>
      <c r="AA305" s="272" t="n">
        <v>12</v>
      </c>
    </row>
    <row r="306">
      <c r="A306" s="270" t="n">
        <v>46076</v>
      </c>
      <c r="B306" s="271" t="inlineStr">
        <is>
          <t>Belenenses</t>
        </is>
      </c>
      <c r="C306" s="271" t="inlineStr">
        <is>
          <t>Capitulo</t>
        </is>
      </c>
      <c r="D306" s="271" t="inlineStr">
        <is>
          <t>Lateral</t>
        </is>
      </c>
      <c r="E306" s="272" t="n">
        <v>42</v>
      </c>
      <c r="F306" s="272" t="n">
        <v>3689</v>
      </c>
      <c r="G306" s="272" t="n">
        <v>60</v>
      </c>
      <c r="H306" s="272" t="n">
        <v>10</v>
      </c>
      <c r="I306" s="272" t="n">
        <v>24</v>
      </c>
      <c r="J306" s="272" t="n">
        <v>27</v>
      </c>
      <c r="K306" s="272" t="n">
        <v>1</v>
      </c>
      <c r="L306" s="273" t="n">
        <v>24.6</v>
      </c>
      <c r="M306" s="272" t="n">
        <v>8</v>
      </c>
      <c r="N306" s="272" t="n">
        <v>2</v>
      </c>
      <c r="O306" s="272" t="n">
        <v>0</v>
      </c>
      <c r="P306" s="272" t="n">
        <v>0</v>
      </c>
      <c r="Q306" s="271" t="inlineStr">
        <is>
          <t>Treino</t>
        </is>
      </c>
      <c r="R306" s="272" t="n">
        <v>8</v>
      </c>
      <c r="S306" s="271" t="inlineStr">
        <is>
          <t>MD+1R</t>
        </is>
      </c>
      <c r="T306" s="272" t="n"/>
      <c r="U306" s="272" t="n"/>
      <c r="V306" s="274">
        <f>IF(_xlfn.MAXIFS(tblCarga[Data],tblCarga[Jogador],C306,tblCarga[Tipo],"Jogo",tblCarga[Data],"&lt;"&amp;A306)=0,"-",A306-_xlfn.MAXIFS(tblCarga[Data],tblCarga[Jogador],C306,tblCarga[Tipo],"Jogo",tblCarga[Data],"&lt;"&amp;A306))</f>
        <v/>
      </c>
      <c r="W306" s="272" t="n">
        <v>2</v>
      </c>
      <c r="X306" s="272" t="n">
        <v>4</v>
      </c>
      <c r="Y306" s="272" t="n">
        <v>3</v>
      </c>
      <c r="Z306" s="272" t="n">
        <v>4</v>
      </c>
      <c r="AA306" s="272" t="n">
        <v>13</v>
      </c>
    </row>
    <row r="307">
      <c r="A307" s="270" t="n">
        <v>46076</v>
      </c>
      <c r="B307" s="271" t="inlineStr">
        <is>
          <t>Belenenses</t>
        </is>
      </c>
      <c r="C307" s="271" t="inlineStr">
        <is>
          <t>Enzo Hugo</t>
        </is>
      </c>
      <c r="D307" s="271" t="inlineStr">
        <is>
          <t>Central</t>
        </is>
      </c>
      <c r="E307" s="272" t="n">
        <v>43</v>
      </c>
      <c r="F307" s="272" t="n">
        <v>2870</v>
      </c>
      <c r="G307" s="272" t="n">
        <v>41</v>
      </c>
      <c r="H307" s="272" t="n">
        <v>2</v>
      </c>
      <c r="I307" s="272" t="n">
        <v>23</v>
      </c>
      <c r="J307" s="272" t="n">
        <v>27</v>
      </c>
      <c r="K307" s="272" t="n">
        <v>1</v>
      </c>
      <c r="L307" s="273" t="n">
        <v>23.3</v>
      </c>
      <c r="M307" s="272" t="n">
        <v>8</v>
      </c>
      <c r="N307" s="272" t="n">
        <v>2</v>
      </c>
      <c r="O307" s="272" t="n">
        <v>0</v>
      </c>
      <c r="P307" s="272" t="n">
        <v>0</v>
      </c>
      <c r="Q307" s="271" t="inlineStr">
        <is>
          <t>Treino</t>
        </is>
      </c>
      <c r="R307" s="272" t="n">
        <v>8</v>
      </c>
      <c r="S307" s="271" t="inlineStr">
        <is>
          <t>MD+1R</t>
        </is>
      </c>
      <c r="T307" s="272" t="n"/>
      <c r="U307" s="272" t="n"/>
      <c r="V307" s="274">
        <f>IF(_xlfn.MAXIFS(tblCarga[Data],tblCarga[Jogador],C307,tblCarga[Tipo],"Jogo",tblCarga[Data],"&lt;"&amp;A307)=0,"-",A307-_xlfn.MAXIFS(tblCarga[Data],tblCarga[Jogador],C307,tblCarga[Tipo],"Jogo",tblCarga[Data],"&lt;"&amp;A307))</f>
        <v/>
      </c>
      <c r="W307" s="272" t="n">
        <v>3</v>
      </c>
      <c r="X307" s="272" t="n">
        <v>5</v>
      </c>
      <c r="Y307" s="272" t="n">
        <v>2</v>
      </c>
      <c r="Z307" s="272" t="n">
        <v>2</v>
      </c>
      <c r="AA307" s="272" t="n">
        <v>12</v>
      </c>
    </row>
    <row r="308">
      <c r="A308" s="270" t="n">
        <v>46076</v>
      </c>
      <c r="B308" s="271" t="inlineStr">
        <is>
          <t>Belenenses</t>
        </is>
      </c>
      <c r="C308" s="271" t="inlineStr">
        <is>
          <t>Nogueira</t>
        </is>
      </c>
      <c r="D308" s="271" t="inlineStr">
        <is>
          <t>Central</t>
        </is>
      </c>
      <c r="E308" s="272" t="n">
        <v>41</v>
      </c>
      <c r="F308" s="272" t="n">
        <v>2779</v>
      </c>
      <c r="G308" s="272" t="n">
        <v>39</v>
      </c>
      <c r="H308" s="272" t="n">
        <v>2</v>
      </c>
      <c r="I308" s="272" t="n">
        <v>18</v>
      </c>
      <c r="J308" s="272" t="n">
        <v>27</v>
      </c>
      <c r="K308" s="272" t="n">
        <v>1</v>
      </c>
      <c r="L308" s="273" t="n">
        <v>22.6</v>
      </c>
      <c r="M308" s="272" t="n">
        <v>8</v>
      </c>
      <c r="N308" s="272" t="n">
        <v>2</v>
      </c>
      <c r="O308" s="272" t="n">
        <v>1</v>
      </c>
      <c r="P308" s="272" t="n">
        <v>0</v>
      </c>
      <c r="Q308" s="271" t="inlineStr">
        <is>
          <t>Treino</t>
        </is>
      </c>
      <c r="R308" s="272" t="n">
        <v>8</v>
      </c>
      <c r="S308" s="271" t="inlineStr">
        <is>
          <t>MD+1R</t>
        </is>
      </c>
      <c r="T308" s="272" t="n"/>
      <c r="U308" s="272" t="n"/>
      <c r="V308" s="274">
        <f>IF(_xlfn.MAXIFS(tblCarga[Data],tblCarga[Jogador],C308,tblCarga[Tipo],"Jogo",tblCarga[Data],"&lt;"&amp;A308)=0,"-",A308-_xlfn.MAXIFS(tblCarga[Data],tblCarga[Jogador],C308,tblCarga[Tipo],"Jogo",tblCarga[Data],"&lt;"&amp;A308))</f>
        <v/>
      </c>
      <c r="W308" s="272" t="n">
        <v>3</v>
      </c>
      <c r="X308" s="272" t="n">
        <v>3</v>
      </c>
      <c r="Y308" s="272" t="n">
        <v>2</v>
      </c>
      <c r="Z308" s="272" t="n">
        <v>3</v>
      </c>
      <c r="AA308" s="272" t="n">
        <v>11</v>
      </c>
    </row>
    <row r="309">
      <c r="A309" s="270" t="n">
        <v>46076</v>
      </c>
      <c r="B309" s="271" t="inlineStr">
        <is>
          <t>Belenenses</t>
        </is>
      </c>
      <c r="C309" s="271" t="inlineStr">
        <is>
          <t>Paulino</t>
        </is>
      </c>
      <c r="D309" s="271" t="inlineStr">
        <is>
          <t>Médio</t>
        </is>
      </c>
      <c r="E309" s="272" t="n">
        <v>41</v>
      </c>
      <c r="F309" s="272" t="n">
        <v>2420</v>
      </c>
      <c r="G309" s="272" t="n">
        <v>34</v>
      </c>
      <c r="H309" s="272" t="n">
        <v>6</v>
      </c>
      <c r="I309" s="272" t="n">
        <v>20</v>
      </c>
      <c r="J309" s="272" t="n">
        <v>22</v>
      </c>
      <c r="K309" s="272" t="n">
        <v>1</v>
      </c>
      <c r="L309" s="273" t="n">
        <v>23.7</v>
      </c>
      <c r="M309" s="272" t="n">
        <v>9</v>
      </c>
      <c r="N309" s="272" t="n">
        <v>4</v>
      </c>
      <c r="O309" s="272" t="n">
        <v>2</v>
      </c>
      <c r="P309" s="272" t="n">
        <v>0</v>
      </c>
      <c r="Q309" s="271" t="inlineStr">
        <is>
          <t>Treino</t>
        </is>
      </c>
      <c r="R309" s="272" t="n">
        <v>8</v>
      </c>
      <c r="S309" s="271" t="inlineStr">
        <is>
          <t>MD+1R</t>
        </is>
      </c>
      <c r="T309" s="272" t="n"/>
      <c r="U309" s="272" t="n"/>
      <c r="V309" s="274">
        <f>IF(_xlfn.MAXIFS(tblCarga[Data],tblCarga[Jogador],C309,tblCarga[Tipo],"Jogo",tblCarga[Data],"&lt;"&amp;A309)=0,"-",A309-_xlfn.MAXIFS(tblCarga[Data],tblCarga[Jogador],C309,tblCarga[Tipo],"Jogo",tblCarga[Data],"&lt;"&amp;A309))</f>
        <v/>
      </c>
      <c r="W309" s="272" t="n">
        <v>3</v>
      </c>
      <c r="X309" s="272" t="n">
        <v>4</v>
      </c>
      <c r="Y309" s="272" t="n">
        <v>2</v>
      </c>
      <c r="Z309" s="272" t="n">
        <v>2</v>
      </c>
      <c r="AA309" s="272" t="n">
        <v>11</v>
      </c>
    </row>
    <row r="310">
      <c r="A310" s="270" t="n">
        <v>46076</v>
      </c>
      <c r="B310" s="271" t="inlineStr">
        <is>
          <t>Belenenses</t>
        </is>
      </c>
      <c r="C310" s="271" t="inlineStr">
        <is>
          <t>Artur</t>
        </is>
      </c>
      <c r="D310" s="271" t="inlineStr">
        <is>
          <t>Médio</t>
        </is>
      </c>
      <c r="E310" s="272" t="n">
        <v>40</v>
      </c>
      <c r="F310" s="272" t="n">
        <v>2246</v>
      </c>
      <c r="G310" s="272" t="n">
        <v>34</v>
      </c>
      <c r="H310" s="272" t="n">
        <v>5</v>
      </c>
      <c r="I310" s="272" t="n">
        <v>21</v>
      </c>
      <c r="J310" s="272" t="n">
        <v>21</v>
      </c>
      <c r="K310" s="272" t="n">
        <v>1</v>
      </c>
      <c r="L310" s="273" t="n">
        <v>23.2</v>
      </c>
      <c r="M310" s="272" t="n">
        <v>9</v>
      </c>
      <c r="N310" s="272" t="n">
        <v>4</v>
      </c>
      <c r="O310" s="272" t="n">
        <v>2</v>
      </c>
      <c r="P310" s="272" t="n">
        <v>0</v>
      </c>
      <c r="Q310" s="271" t="inlineStr">
        <is>
          <t>Treino</t>
        </is>
      </c>
      <c r="R310" s="272" t="n">
        <v>8</v>
      </c>
      <c r="S310" s="271" t="inlineStr">
        <is>
          <t>MD+1R</t>
        </is>
      </c>
      <c r="T310" s="272" t="n"/>
      <c r="U310" s="272" t="n"/>
      <c r="V310" s="274">
        <f>IF(_xlfn.MAXIFS(tblCarga[Data],tblCarga[Jogador],C310,tblCarga[Tipo],"Jogo",tblCarga[Data],"&lt;"&amp;A310)=0,"-",A310-_xlfn.MAXIFS(tblCarga[Data],tblCarga[Jogador],C310,tblCarga[Tipo],"Jogo",tblCarga[Data],"&lt;"&amp;A310))</f>
        <v/>
      </c>
      <c r="W310" s="272" t="n">
        <v>2</v>
      </c>
      <c r="X310" s="272" t="n">
        <v>4</v>
      </c>
      <c r="Y310" s="272" t="n">
        <v>2</v>
      </c>
      <c r="Z310" s="272" t="n">
        <v>4</v>
      </c>
      <c r="AA310" s="272" t="n">
        <v>12</v>
      </c>
    </row>
    <row r="311">
      <c r="A311" s="270" t="n">
        <v>46076</v>
      </c>
      <c r="B311" s="271" t="inlineStr">
        <is>
          <t>Belenenses</t>
        </is>
      </c>
      <c r="C311" s="271" t="inlineStr">
        <is>
          <t>Gomes</t>
        </is>
      </c>
      <c r="D311" s="271" t="inlineStr">
        <is>
          <t>Médio</t>
        </is>
      </c>
      <c r="E311" s="272" t="n">
        <v>42</v>
      </c>
      <c r="F311" s="272" t="n">
        <v>2879</v>
      </c>
      <c r="G311" s="272" t="n">
        <v>32</v>
      </c>
      <c r="H311" s="272" t="n">
        <v>5</v>
      </c>
      <c r="I311" s="272" t="n">
        <v>22</v>
      </c>
      <c r="J311" s="272" t="n">
        <v>22</v>
      </c>
      <c r="K311" s="272" t="n">
        <v>1</v>
      </c>
      <c r="L311" s="273" t="n">
        <v>23</v>
      </c>
      <c r="M311" s="272" t="n">
        <v>9</v>
      </c>
      <c r="N311" s="272" t="n">
        <v>3</v>
      </c>
      <c r="O311" s="272" t="n">
        <v>1</v>
      </c>
      <c r="P311" s="272" t="n">
        <v>0</v>
      </c>
      <c r="Q311" s="271" t="inlineStr">
        <is>
          <t>Treino</t>
        </is>
      </c>
      <c r="R311" s="272" t="n">
        <v>8</v>
      </c>
      <c r="S311" s="271" t="inlineStr">
        <is>
          <t>MD+1R</t>
        </is>
      </c>
      <c r="T311" s="272" t="n"/>
      <c r="U311" s="272" t="n"/>
      <c r="V311" s="274">
        <f>IF(_xlfn.MAXIFS(tblCarga[Data],tblCarga[Jogador],C311,tblCarga[Tipo],"Jogo",tblCarga[Data],"&lt;"&amp;A311)=0,"-",A311-_xlfn.MAXIFS(tblCarga[Data],tblCarga[Jogador],C311,tblCarga[Tipo],"Jogo",tblCarga[Data],"&lt;"&amp;A311))</f>
        <v/>
      </c>
      <c r="W311" s="272" t="n">
        <v>2</v>
      </c>
      <c r="X311" s="272" t="n">
        <v>4</v>
      </c>
      <c r="Y311" s="272" t="n">
        <v>2</v>
      </c>
      <c r="Z311" s="272" t="n">
        <v>4</v>
      </c>
      <c r="AA311" s="272" t="n">
        <v>12</v>
      </c>
    </row>
    <row r="312">
      <c r="A312" s="270" t="n">
        <v>46076</v>
      </c>
      <c r="B312" s="271" t="inlineStr">
        <is>
          <t>Belenenses</t>
        </is>
      </c>
      <c r="C312" s="271" t="inlineStr">
        <is>
          <t>Sá</t>
        </is>
      </c>
      <c r="D312" s="271" t="inlineStr">
        <is>
          <t>Médio</t>
        </is>
      </c>
      <c r="E312" s="272" t="n">
        <v>41</v>
      </c>
      <c r="F312" s="272" t="n">
        <v>2969</v>
      </c>
      <c r="G312" s="272" t="n">
        <v>36</v>
      </c>
      <c r="H312" s="272" t="n">
        <v>5</v>
      </c>
      <c r="I312" s="272" t="n">
        <v>22</v>
      </c>
      <c r="J312" s="272" t="n">
        <v>23</v>
      </c>
      <c r="K312" s="272" t="n">
        <v>1</v>
      </c>
      <c r="L312" s="273" t="n">
        <v>25.4</v>
      </c>
      <c r="M312" s="272" t="n">
        <v>9</v>
      </c>
      <c r="N312" s="272" t="n">
        <v>2</v>
      </c>
      <c r="O312" s="272" t="n">
        <v>1</v>
      </c>
      <c r="P312" s="272" t="n">
        <v>0</v>
      </c>
      <c r="Q312" s="271" t="inlineStr">
        <is>
          <t>Treino</t>
        </is>
      </c>
      <c r="R312" s="272" t="n">
        <v>8</v>
      </c>
      <c r="S312" s="271" t="inlineStr">
        <is>
          <t>MD+1R</t>
        </is>
      </c>
      <c r="T312" s="272" t="n"/>
      <c r="U312" s="272" t="n"/>
      <c r="V312" s="274">
        <f>IF(_xlfn.MAXIFS(tblCarga[Data],tblCarga[Jogador],C312,tblCarga[Tipo],"Jogo",tblCarga[Data],"&lt;"&amp;A312)=0,"-",A312-_xlfn.MAXIFS(tblCarga[Data],tblCarga[Jogador],C312,tblCarga[Tipo],"Jogo",tblCarga[Data],"&lt;"&amp;A312))</f>
        <v/>
      </c>
      <c r="W312" s="272" t="n">
        <v>3</v>
      </c>
      <c r="X312" s="272" t="n">
        <v>4</v>
      </c>
      <c r="Y312" s="272" t="n">
        <v>3</v>
      </c>
      <c r="Z312" s="272" t="n">
        <v>2</v>
      </c>
      <c r="AA312" s="272" t="n">
        <v>12</v>
      </c>
    </row>
    <row r="313">
      <c r="A313" s="270" t="n">
        <v>46076</v>
      </c>
      <c r="B313" s="271" t="inlineStr">
        <is>
          <t>Belenenses</t>
        </is>
      </c>
      <c r="C313" s="271" t="inlineStr">
        <is>
          <t>Varela</t>
        </is>
      </c>
      <c r="D313" s="271" t="inlineStr">
        <is>
          <t>Lateral</t>
        </is>
      </c>
      <c r="E313" s="272" t="n">
        <v>39</v>
      </c>
      <c r="F313" s="272" t="n">
        <v>3412</v>
      </c>
      <c r="G313" s="272" t="n">
        <v>51</v>
      </c>
      <c r="H313" s="272" t="n">
        <v>9</v>
      </c>
      <c r="I313" s="272" t="n">
        <v>23</v>
      </c>
      <c r="J313" s="272" t="n">
        <v>24</v>
      </c>
      <c r="K313" s="272" t="n">
        <v>1</v>
      </c>
      <c r="L313" s="273" t="n">
        <v>25.9</v>
      </c>
      <c r="M313" s="272" t="n">
        <v>9</v>
      </c>
      <c r="N313" s="272" t="n">
        <v>4</v>
      </c>
      <c r="O313" s="272" t="n">
        <v>2</v>
      </c>
      <c r="P313" s="272" t="n">
        <v>0</v>
      </c>
      <c r="Q313" s="271" t="inlineStr">
        <is>
          <t>Treino</t>
        </is>
      </c>
      <c r="R313" s="272" t="n">
        <v>8</v>
      </c>
      <c r="S313" s="271" t="inlineStr">
        <is>
          <t>MD+1R</t>
        </is>
      </c>
      <c r="T313" s="272" t="n"/>
      <c r="U313" s="272" t="n"/>
      <c r="V313" s="274">
        <f>IF(_xlfn.MAXIFS(tblCarga[Data],tblCarga[Jogador],C313,tblCarga[Tipo],"Jogo",tblCarga[Data],"&lt;"&amp;A313)=0,"-",A313-_xlfn.MAXIFS(tblCarga[Data],tblCarga[Jogador],C313,tblCarga[Tipo],"Jogo",tblCarga[Data],"&lt;"&amp;A313))</f>
        <v/>
      </c>
      <c r="W313" s="272" t="n">
        <v>4</v>
      </c>
      <c r="X313" s="272" t="n">
        <v>3</v>
      </c>
      <c r="Y313" s="272" t="n">
        <v>2</v>
      </c>
      <c r="Z313" s="272" t="n">
        <v>4</v>
      </c>
      <c r="AA313" s="272" t="n">
        <v>13</v>
      </c>
    </row>
    <row r="314">
      <c r="A314" s="270" t="n">
        <v>46076</v>
      </c>
      <c r="B314" s="271" t="inlineStr">
        <is>
          <t>Belenenses</t>
        </is>
      </c>
      <c r="C314" s="271" t="inlineStr">
        <is>
          <t>Edu</t>
        </is>
      </c>
      <c r="D314" s="271" t="inlineStr">
        <is>
          <t>Lateral</t>
        </is>
      </c>
      <c r="E314" s="272" t="n">
        <v>41</v>
      </c>
      <c r="F314" s="272" t="n">
        <v>3735</v>
      </c>
      <c r="G314" s="272" t="n">
        <v>53</v>
      </c>
      <c r="H314" s="272" t="n">
        <v>11</v>
      </c>
      <c r="I314" s="272" t="n">
        <v>23</v>
      </c>
      <c r="J314" s="272" t="n">
        <v>25</v>
      </c>
      <c r="K314" s="272" t="n">
        <v>1</v>
      </c>
      <c r="L314" s="273" t="n">
        <v>26.8</v>
      </c>
      <c r="M314" s="272" t="n">
        <v>9</v>
      </c>
      <c r="N314" s="272" t="n">
        <v>3</v>
      </c>
      <c r="O314" s="272" t="n">
        <v>1</v>
      </c>
      <c r="P314" s="272" t="n">
        <v>0</v>
      </c>
      <c r="Q314" s="271" t="inlineStr">
        <is>
          <t>Treino</t>
        </is>
      </c>
      <c r="R314" s="272" t="n">
        <v>8</v>
      </c>
      <c r="S314" s="271" t="inlineStr">
        <is>
          <t>MD+1R</t>
        </is>
      </c>
      <c r="T314" s="272" t="n"/>
      <c r="U314" s="272" t="n"/>
      <c r="V314" s="274">
        <f>IF(_xlfn.MAXIFS(tblCarga[Data],tblCarga[Jogador],C314,tblCarga[Tipo],"Jogo",tblCarga[Data],"&lt;"&amp;A314)=0,"-",A314-_xlfn.MAXIFS(tblCarga[Data],tblCarga[Jogador],C314,tblCarga[Tipo],"Jogo",tblCarga[Data],"&lt;"&amp;A314))</f>
        <v/>
      </c>
      <c r="W314" s="272" t="n">
        <v>3</v>
      </c>
      <c r="X314" s="272" t="n">
        <v>3</v>
      </c>
      <c r="Y314" s="272" t="n">
        <v>3</v>
      </c>
      <c r="Z314" s="272" t="n">
        <v>3</v>
      </c>
      <c r="AA314" s="272" t="n">
        <v>12</v>
      </c>
    </row>
    <row r="315">
      <c r="A315" s="270" t="n">
        <v>46076</v>
      </c>
      <c r="B315" s="271" t="inlineStr">
        <is>
          <t>Belenenses</t>
        </is>
      </c>
      <c r="C315" s="271" t="inlineStr">
        <is>
          <t>Capitulo</t>
        </is>
      </c>
      <c r="D315" s="271" t="inlineStr">
        <is>
          <t>Lateral</t>
        </is>
      </c>
      <c r="E315" s="272" t="n">
        <v>42</v>
      </c>
      <c r="F315" s="272" t="n">
        <v>3695</v>
      </c>
      <c r="G315" s="272" t="n">
        <v>65</v>
      </c>
      <c r="H315" s="272" t="n">
        <v>10</v>
      </c>
      <c r="I315" s="272" t="n">
        <v>24</v>
      </c>
      <c r="J315" s="272" t="n">
        <v>26</v>
      </c>
      <c r="K315" s="272" t="n">
        <v>1</v>
      </c>
      <c r="L315" s="273" t="n">
        <v>25</v>
      </c>
      <c r="M315" s="272" t="n">
        <v>9</v>
      </c>
      <c r="N315" s="272" t="n">
        <v>2</v>
      </c>
      <c r="O315" s="272" t="n">
        <v>1</v>
      </c>
      <c r="P315" s="272" t="n">
        <v>0</v>
      </c>
      <c r="Q315" s="271" t="inlineStr">
        <is>
          <t>Treino</t>
        </is>
      </c>
      <c r="R315" s="272" t="n">
        <v>8</v>
      </c>
      <c r="S315" s="271" t="inlineStr">
        <is>
          <t>MD+1R</t>
        </is>
      </c>
      <c r="T315" s="272" t="n"/>
      <c r="U315" s="272" t="n"/>
      <c r="V315" s="274">
        <f>IF(_xlfn.MAXIFS(tblCarga[Data],tblCarga[Jogador],C315,tblCarga[Tipo],"Jogo",tblCarga[Data],"&lt;"&amp;A315)=0,"-",A315-_xlfn.MAXIFS(tblCarga[Data],tblCarga[Jogador],C315,tblCarga[Tipo],"Jogo",tblCarga[Data],"&lt;"&amp;A315))</f>
        <v/>
      </c>
      <c r="W315" s="272" t="n">
        <v>3</v>
      </c>
      <c r="X315" s="272" t="n">
        <v>3</v>
      </c>
      <c r="Y315" s="272" t="n">
        <v>2</v>
      </c>
      <c r="Z315" s="272" t="n">
        <v>4</v>
      </c>
      <c r="AA315" s="272" t="n">
        <v>12</v>
      </c>
    </row>
    <row r="316">
      <c r="A316" s="270" t="n">
        <v>46076</v>
      </c>
      <c r="B316" s="271" t="inlineStr">
        <is>
          <t>Belenenses</t>
        </is>
      </c>
      <c r="C316" s="271" t="inlineStr">
        <is>
          <t>Enzo Hugo</t>
        </is>
      </c>
      <c r="D316" s="271" t="inlineStr">
        <is>
          <t>Central</t>
        </is>
      </c>
      <c r="E316" s="272" t="n">
        <v>38</v>
      </c>
      <c r="F316" s="272" t="n">
        <v>2757</v>
      </c>
      <c r="G316" s="272" t="n">
        <v>41</v>
      </c>
      <c r="H316" s="272" t="n">
        <v>2</v>
      </c>
      <c r="I316" s="272" t="n">
        <v>26</v>
      </c>
      <c r="J316" s="272" t="n">
        <v>29</v>
      </c>
      <c r="K316" s="272" t="n">
        <v>1</v>
      </c>
      <c r="L316" s="273" t="n">
        <v>22.8</v>
      </c>
      <c r="M316" s="272" t="n">
        <v>9</v>
      </c>
      <c r="N316" s="272" t="n">
        <v>4</v>
      </c>
      <c r="O316" s="272" t="n">
        <v>2</v>
      </c>
      <c r="P316" s="272" t="n">
        <v>0</v>
      </c>
      <c r="Q316" s="271" t="inlineStr">
        <is>
          <t>Treino</t>
        </is>
      </c>
      <c r="R316" s="272" t="n">
        <v>8</v>
      </c>
      <c r="S316" s="271" t="inlineStr">
        <is>
          <t>MD+1R</t>
        </is>
      </c>
      <c r="T316" s="272" t="n"/>
      <c r="U316" s="272" t="n"/>
      <c r="V316" s="274">
        <f>IF(_xlfn.MAXIFS(tblCarga[Data],tblCarga[Jogador],C316,tblCarga[Tipo],"Jogo",tblCarga[Data],"&lt;"&amp;A316)=0,"-",A316-_xlfn.MAXIFS(tblCarga[Data],tblCarga[Jogador],C316,tblCarga[Tipo],"Jogo",tblCarga[Data],"&lt;"&amp;A316))</f>
        <v/>
      </c>
      <c r="W316" s="272" t="n">
        <v>3</v>
      </c>
      <c r="X316" s="272" t="n">
        <v>4</v>
      </c>
      <c r="Y316" s="272" t="n">
        <v>3</v>
      </c>
      <c r="Z316" s="272" t="n">
        <v>3</v>
      </c>
      <c r="AA316" s="272" t="n">
        <v>13</v>
      </c>
    </row>
    <row r="317">
      <c r="A317" s="270" t="n">
        <v>46076</v>
      </c>
      <c r="B317" s="271" t="inlineStr">
        <is>
          <t>Belenenses</t>
        </is>
      </c>
      <c r="C317" s="271" t="inlineStr">
        <is>
          <t>Nogueira</t>
        </is>
      </c>
      <c r="D317" s="271" t="inlineStr">
        <is>
          <t>Central</t>
        </is>
      </c>
      <c r="E317" s="272" t="n">
        <v>36</v>
      </c>
      <c r="F317" s="272" t="n">
        <v>2713</v>
      </c>
      <c r="G317" s="272" t="n">
        <v>44</v>
      </c>
      <c r="H317" s="272" t="n">
        <v>2</v>
      </c>
      <c r="I317" s="272" t="n">
        <v>21</v>
      </c>
      <c r="J317" s="272" t="n">
        <v>26</v>
      </c>
      <c r="K317" s="272" t="n">
        <v>1</v>
      </c>
      <c r="L317" s="273" t="n">
        <v>23.8</v>
      </c>
      <c r="M317" s="272" t="n">
        <v>9</v>
      </c>
      <c r="N317" s="272" t="n">
        <v>3</v>
      </c>
      <c r="O317" s="272" t="n">
        <v>1</v>
      </c>
      <c r="P317" s="272" t="n">
        <v>0</v>
      </c>
      <c r="Q317" s="271" t="inlineStr">
        <is>
          <t>Treino</t>
        </is>
      </c>
      <c r="R317" s="272" t="n">
        <v>8</v>
      </c>
      <c r="S317" s="271" t="inlineStr">
        <is>
          <t>MD+1R</t>
        </is>
      </c>
      <c r="T317" s="272" t="n"/>
      <c r="U317" s="272" t="n"/>
      <c r="V317" s="274">
        <f>IF(_xlfn.MAXIFS(tblCarga[Data],tblCarga[Jogador],C317,tblCarga[Tipo],"Jogo",tblCarga[Data],"&lt;"&amp;A317)=0,"-",A317-_xlfn.MAXIFS(tblCarga[Data],tblCarga[Jogador],C317,tblCarga[Tipo],"Jogo",tblCarga[Data],"&lt;"&amp;A317))</f>
        <v/>
      </c>
      <c r="W317" s="272" t="n">
        <v>4</v>
      </c>
      <c r="X317" s="272" t="n">
        <v>3</v>
      </c>
      <c r="Y317" s="272" t="n">
        <v>3</v>
      </c>
      <c r="Z317" s="272" t="n">
        <v>3</v>
      </c>
      <c r="AA317" s="272" t="n">
        <v>13</v>
      </c>
    </row>
    <row r="318">
      <c r="A318" s="270" t="n">
        <v>46077</v>
      </c>
      <c r="B318" s="271" t="inlineStr">
        <is>
          <t>Belenenses</t>
        </is>
      </c>
      <c r="C318" s="271" t="inlineStr">
        <is>
          <t>Paulino</t>
        </is>
      </c>
      <c r="D318" s="271" t="inlineStr">
        <is>
          <t>Médio</t>
        </is>
      </c>
      <c r="E318" s="272" t="n">
        <v>68</v>
      </c>
      <c r="F318" s="272" t="n">
        <v>5168</v>
      </c>
      <c r="G318" s="272" t="n">
        <v>128</v>
      </c>
      <c r="H318" s="272" t="n">
        <v>21</v>
      </c>
      <c r="I318" s="272" t="n">
        <v>38</v>
      </c>
      <c r="J318" s="272" t="n">
        <v>46</v>
      </c>
      <c r="K318" s="272" t="n">
        <v>2</v>
      </c>
      <c r="L318" s="273" t="n">
        <v>27.2</v>
      </c>
      <c r="M318" s="272" t="n">
        <v>8</v>
      </c>
      <c r="N318" s="272" t="n">
        <v>6</v>
      </c>
      <c r="O318" s="272" t="n">
        <v>2</v>
      </c>
      <c r="P318" s="272" t="n">
        <v>0</v>
      </c>
      <c r="Q318" s="271" t="inlineStr">
        <is>
          <t>Treino</t>
        </is>
      </c>
      <c r="R318" s="272" t="n">
        <v>8</v>
      </c>
      <c r="S318" s="271" t="inlineStr">
        <is>
          <t>MD+1C</t>
        </is>
      </c>
      <c r="T318" s="272" t="n"/>
      <c r="U318" s="272" t="n"/>
      <c r="V318" s="274">
        <f>IF(_xlfn.MAXIFS(tblCarga[Data],tblCarga[Jogador],C318,tblCarga[Tipo],"Jogo",tblCarga[Data],"&lt;"&amp;A318)=0,"-",A318-_xlfn.MAXIFS(tblCarga[Data],tblCarga[Jogador],C318,tblCarga[Tipo],"Jogo",tblCarga[Data],"&lt;"&amp;A318))</f>
        <v/>
      </c>
      <c r="W318" s="272" t="n">
        <v>3</v>
      </c>
      <c r="X318" s="272" t="n">
        <v>3</v>
      </c>
      <c r="Y318" s="272" t="n">
        <v>1</v>
      </c>
      <c r="Z318" s="272" t="n">
        <v>3</v>
      </c>
      <c r="AA318" s="272" t="n">
        <v>10</v>
      </c>
    </row>
    <row r="319">
      <c r="A319" s="270" t="n">
        <v>46077</v>
      </c>
      <c r="B319" s="271" t="inlineStr">
        <is>
          <t>Belenenses</t>
        </is>
      </c>
      <c r="C319" s="271" t="inlineStr">
        <is>
          <t>Artur</t>
        </is>
      </c>
      <c r="D319" s="271" t="inlineStr">
        <is>
          <t>Médio</t>
        </is>
      </c>
      <c r="E319" s="272" t="n">
        <v>67</v>
      </c>
      <c r="F319" s="272" t="n">
        <v>5331</v>
      </c>
      <c r="G319" s="272" t="n">
        <v>112</v>
      </c>
      <c r="H319" s="272" t="n">
        <v>19</v>
      </c>
      <c r="I319" s="272" t="n">
        <v>40</v>
      </c>
      <c r="J319" s="272" t="n">
        <v>47</v>
      </c>
      <c r="K319" s="272" t="n">
        <v>3</v>
      </c>
      <c r="L319" s="273" t="n">
        <v>26.4</v>
      </c>
      <c r="M319" s="272" t="n">
        <v>8</v>
      </c>
      <c r="N319" s="272" t="n">
        <v>6</v>
      </c>
      <c r="O319" s="272" t="n">
        <v>3</v>
      </c>
      <c r="P319" s="272" t="n">
        <v>1</v>
      </c>
      <c r="Q319" s="271" t="inlineStr">
        <is>
          <t>Treino</t>
        </is>
      </c>
      <c r="R319" s="272" t="n">
        <v>8</v>
      </c>
      <c r="S319" s="271" t="inlineStr">
        <is>
          <t>MD+1C</t>
        </is>
      </c>
      <c r="T319" s="272" t="n"/>
      <c r="U319" s="272" t="n"/>
      <c r="V319" s="274">
        <f>IF(_xlfn.MAXIFS(tblCarga[Data],tblCarga[Jogador],C319,tblCarga[Tipo],"Jogo",tblCarga[Data],"&lt;"&amp;A319)=0,"-",A319-_xlfn.MAXIFS(tblCarga[Data],tblCarga[Jogador],C319,tblCarga[Tipo],"Jogo",tblCarga[Data],"&lt;"&amp;A319))</f>
        <v/>
      </c>
      <c r="W319" s="272" t="n">
        <v>2</v>
      </c>
      <c r="X319" s="272" t="n">
        <v>4</v>
      </c>
      <c r="Y319" s="272" t="n">
        <v>2</v>
      </c>
      <c r="Z319" s="272" t="n">
        <v>3</v>
      </c>
      <c r="AA319" s="272" t="n">
        <v>11</v>
      </c>
    </row>
    <row r="320">
      <c r="A320" s="270" t="n">
        <v>46077</v>
      </c>
      <c r="B320" s="271" t="inlineStr">
        <is>
          <t>Belenenses</t>
        </is>
      </c>
      <c r="C320" s="271" t="inlineStr">
        <is>
          <t>Gomes</t>
        </is>
      </c>
      <c r="D320" s="271" t="inlineStr">
        <is>
          <t>Médio</t>
        </is>
      </c>
      <c r="E320" s="272" t="n">
        <v>59</v>
      </c>
      <c r="F320" s="272" t="n">
        <v>6423</v>
      </c>
      <c r="G320" s="272" t="n">
        <v>116</v>
      </c>
      <c r="H320" s="272" t="n">
        <v>20</v>
      </c>
      <c r="I320" s="272" t="n">
        <v>44</v>
      </c>
      <c r="J320" s="272" t="n">
        <v>49</v>
      </c>
      <c r="K320" s="272" t="n">
        <v>3</v>
      </c>
      <c r="L320" s="273" t="n">
        <v>25.8</v>
      </c>
      <c r="M320" s="272" t="n">
        <v>8</v>
      </c>
      <c r="N320" s="272" t="n">
        <v>5</v>
      </c>
      <c r="O320" s="272" t="n">
        <v>2</v>
      </c>
      <c r="P320" s="272" t="n">
        <v>0</v>
      </c>
      <c r="Q320" s="271" t="inlineStr">
        <is>
          <t>Treino</t>
        </is>
      </c>
      <c r="R320" s="272" t="n">
        <v>8</v>
      </c>
      <c r="S320" s="271" t="inlineStr">
        <is>
          <t>MD+1C</t>
        </is>
      </c>
      <c r="T320" s="272" t="n"/>
      <c r="U320" s="272" t="n"/>
      <c r="V320" s="274">
        <f>IF(_xlfn.MAXIFS(tblCarga[Data],tblCarga[Jogador],C320,tblCarga[Tipo],"Jogo",tblCarga[Data],"&lt;"&amp;A320)=0,"-",A320-_xlfn.MAXIFS(tblCarga[Data],tblCarga[Jogador],C320,tblCarga[Tipo],"Jogo",tblCarga[Data],"&lt;"&amp;A320))</f>
        <v/>
      </c>
      <c r="W320" s="272" t="n">
        <v>2</v>
      </c>
      <c r="X320" s="272" t="n">
        <v>3</v>
      </c>
      <c r="Y320" s="272" t="n">
        <v>1</v>
      </c>
      <c r="Z320" s="272" t="n">
        <v>4</v>
      </c>
      <c r="AA320" s="272" t="n">
        <v>10</v>
      </c>
    </row>
    <row r="321">
      <c r="A321" s="270" t="n">
        <v>46077</v>
      </c>
      <c r="B321" s="271" t="inlineStr">
        <is>
          <t>Belenenses</t>
        </is>
      </c>
      <c r="C321" s="271" t="inlineStr">
        <is>
          <t>Sá</t>
        </is>
      </c>
      <c r="D321" s="271" t="inlineStr">
        <is>
          <t>Médio</t>
        </is>
      </c>
      <c r="E321" s="272" t="n">
        <v>69</v>
      </c>
      <c r="F321" s="272" t="n">
        <v>5385</v>
      </c>
      <c r="G321" s="272" t="n">
        <v>124</v>
      </c>
      <c r="H321" s="272" t="n">
        <v>20</v>
      </c>
      <c r="I321" s="272" t="n">
        <v>39</v>
      </c>
      <c r="J321" s="272" t="n">
        <v>45</v>
      </c>
      <c r="K321" s="272" t="n">
        <v>3</v>
      </c>
      <c r="L321" s="273" t="n">
        <v>27.6</v>
      </c>
      <c r="M321" s="272" t="n">
        <v>8</v>
      </c>
      <c r="N321" s="272" t="n">
        <v>8</v>
      </c>
      <c r="O321" s="272" t="n">
        <v>4</v>
      </c>
      <c r="P321" s="272" t="n">
        <v>1</v>
      </c>
      <c r="Q321" s="271" t="inlineStr">
        <is>
          <t>Treino</t>
        </is>
      </c>
      <c r="R321" s="272" t="n">
        <v>8</v>
      </c>
      <c r="S321" s="271" t="inlineStr">
        <is>
          <t>MD+1C</t>
        </is>
      </c>
      <c r="T321" s="272" t="n"/>
      <c r="U321" s="272" t="n"/>
      <c r="V321" s="274">
        <f>IF(_xlfn.MAXIFS(tblCarga[Data],tblCarga[Jogador],C321,tblCarga[Tipo],"Jogo",tblCarga[Data],"&lt;"&amp;A321)=0,"-",A321-_xlfn.MAXIFS(tblCarga[Data],tblCarga[Jogador],C321,tblCarga[Tipo],"Jogo",tblCarga[Data],"&lt;"&amp;A321))</f>
        <v/>
      </c>
      <c r="W321" s="272" t="n">
        <v>3</v>
      </c>
      <c r="X321" s="272" t="n">
        <v>4</v>
      </c>
      <c r="Y321" s="272" t="n">
        <v>1</v>
      </c>
      <c r="Z321" s="272" t="n">
        <v>4</v>
      </c>
      <c r="AA321" s="272" t="n">
        <v>12</v>
      </c>
    </row>
    <row r="322">
      <c r="A322" s="270" t="n">
        <v>46077</v>
      </c>
      <c r="B322" s="271" t="inlineStr">
        <is>
          <t>Belenenses</t>
        </is>
      </c>
      <c r="C322" s="271" t="inlineStr">
        <is>
          <t>Varela</t>
        </is>
      </c>
      <c r="D322" s="271" t="inlineStr">
        <is>
          <t>Lateral</t>
        </is>
      </c>
      <c r="E322" s="272" t="n">
        <v>69</v>
      </c>
      <c r="F322" s="272" t="n">
        <v>7648</v>
      </c>
      <c r="G322" s="272" t="n">
        <v>224</v>
      </c>
      <c r="H322" s="272" t="n">
        <v>33</v>
      </c>
      <c r="I322" s="272" t="n">
        <v>47</v>
      </c>
      <c r="J322" s="272" t="n">
        <v>49</v>
      </c>
      <c r="K322" s="272" t="n">
        <v>2</v>
      </c>
      <c r="L322" s="273" t="n">
        <v>28.4</v>
      </c>
      <c r="M322" s="272" t="n">
        <v>8</v>
      </c>
      <c r="N322" s="272" t="n">
        <v>6</v>
      </c>
      <c r="O322" s="272" t="n">
        <v>3</v>
      </c>
      <c r="P322" s="272" t="n">
        <v>1</v>
      </c>
      <c r="Q322" s="271" t="inlineStr">
        <is>
          <t>Treino</t>
        </is>
      </c>
      <c r="R322" s="272" t="n">
        <v>8</v>
      </c>
      <c r="S322" s="271" t="inlineStr">
        <is>
          <t>MD+1C</t>
        </is>
      </c>
      <c r="T322" s="272" t="n"/>
      <c r="U322" s="272" t="n"/>
      <c r="V322" s="274">
        <f>IF(_xlfn.MAXIFS(tblCarga[Data],tblCarga[Jogador],C322,tblCarga[Tipo],"Jogo",tblCarga[Data],"&lt;"&amp;A322)=0,"-",A322-_xlfn.MAXIFS(tblCarga[Data],tblCarga[Jogador],C322,tblCarga[Tipo],"Jogo",tblCarga[Data],"&lt;"&amp;A322))</f>
        <v/>
      </c>
      <c r="W322" s="272" t="n">
        <v>2</v>
      </c>
      <c r="X322" s="272" t="n">
        <v>3</v>
      </c>
      <c r="Y322" s="272" t="n">
        <v>3</v>
      </c>
      <c r="Z322" s="272" t="n">
        <v>3</v>
      </c>
      <c r="AA322" s="272" t="n">
        <v>11</v>
      </c>
    </row>
    <row r="323">
      <c r="A323" s="270" t="n">
        <v>46077</v>
      </c>
      <c r="B323" s="271" t="inlineStr">
        <is>
          <t>Belenenses</t>
        </is>
      </c>
      <c r="C323" s="271" t="inlineStr">
        <is>
          <t>Edu</t>
        </is>
      </c>
      <c r="D323" s="271" t="inlineStr">
        <is>
          <t>Lateral</t>
        </is>
      </c>
      <c r="E323" s="272" t="n">
        <v>65</v>
      </c>
      <c r="F323" s="272" t="n">
        <v>7345</v>
      </c>
      <c r="G323" s="272" t="n">
        <v>203</v>
      </c>
      <c r="H323" s="272" t="n">
        <v>39</v>
      </c>
      <c r="I323" s="272" t="n">
        <v>45</v>
      </c>
      <c r="J323" s="272" t="n">
        <v>51</v>
      </c>
      <c r="K323" s="272" t="n">
        <v>2</v>
      </c>
      <c r="L323" s="273" t="n">
        <v>28</v>
      </c>
      <c r="M323" s="272" t="n">
        <v>8</v>
      </c>
      <c r="N323" s="272" t="n">
        <v>6</v>
      </c>
      <c r="O323" s="272" t="n">
        <v>2</v>
      </c>
      <c r="P323" s="272" t="n">
        <v>0</v>
      </c>
      <c r="Q323" s="271" t="inlineStr">
        <is>
          <t>Treino</t>
        </is>
      </c>
      <c r="R323" s="272" t="n">
        <v>8</v>
      </c>
      <c r="S323" s="271" t="inlineStr">
        <is>
          <t>MD+1C</t>
        </is>
      </c>
      <c r="T323" s="272" t="n"/>
      <c r="U323" s="272" t="n"/>
      <c r="V323" s="274">
        <f>IF(_xlfn.MAXIFS(tblCarga[Data],tblCarga[Jogador],C323,tblCarga[Tipo],"Jogo",tblCarga[Data],"&lt;"&amp;A323)=0,"-",A323-_xlfn.MAXIFS(tblCarga[Data],tblCarga[Jogador],C323,tblCarga[Tipo],"Jogo",tblCarga[Data],"&lt;"&amp;A323))</f>
        <v/>
      </c>
      <c r="W323" s="272" t="n">
        <v>3</v>
      </c>
      <c r="X323" s="272" t="n">
        <v>5</v>
      </c>
      <c r="Y323" s="272" t="n">
        <v>3</v>
      </c>
      <c r="Z323" s="272" t="n">
        <v>4</v>
      </c>
      <c r="AA323" s="272" t="n">
        <v>15</v>
      </c>
    </row>
    <row r="324">
      <c r="A324" s="270" t="n">
        <v>46077</v>
      </c>
      <c r="B324" s="271" t="inlineStr">
        <is>
          <t>Belenenses</t>
        </is>
      </c>
      <c r="C324" s="271" t="inlineStr">
        <is>
          <t>Capitulo</t>
        </is>
      </c>
      <c r="D324" s="271" t="inlineStr">
        <is>
          <t>Lateral</t>
        </is>
      </c>
      <c r="E324" s="272" t="n">
        <v>68</v>
      </c>
      <c r="F324" s="272" t="n">
        <v>7222</v>
      </c>
      <c r="G324" s="272" t="n">
        <v>250</v>
      </c>
      <c r="H324" s="272" t="n">
        <v>38</v>
      </c>
      <c r="I324" s="272" t="n">
        <v>50</v>
      </c>
      <c r="J324" s="272" t="n">
        <v>55</v>
      </c>
      <c r="K324" s="272" t="n">
        <v>2</v>
      </c>
      <c r="L324" s="273" t="n">
        <v>27.7</v>
      </c>
      <c r="M324" s="272" t="n">
        <v>8</v>
      </c>
      <c r="N324" s="272" t="n">
        <v>9</v>
      </c>
      <c r="O324" s="272" t="n">
        <v>4</v>
      </c>
      <c r="P324" s="272" t="n">
        <v>1</v>
      </c>
      <c r="Q324" s="271" t="inlineStr">
        <is>
          <t>Treino</t>
        </is>
      </c>
      <c r="R324" s="272" t="n">
        <v>8</v>
      </c>
      <c r="S324" s="271" t="inlineStr">
        <is>
          <t>MD+1C</t>
        </is>
      </c>
      <c r="T324" s="272" t="n"/>
      <c r="U324" s="272" t="n"/>
      <c r="V324" s="274">
        <f>IF(_xlfn.MAXIFS(tblCarga[Data],tblCarga[Jogador],C324,tblCarga[Tipo],"Jogo",tblCarga[Data],"&lt;"&amp;A324)=0,"-",A324-_xlfn.MAXIFS(tblCarga[Data],tblCarga[Jogador],C324,tblCarga[Tipo],"Jogo",tblCarga[Data],"&lt;"&amp;A324))</f>
        <v/>
      </c>
      <c r="W324" s="272" t="n">
        <v>4</v>
      </c>
      <c r="X324" s="272" t="n">
        <v>4</v>
      </c>
      <c r="Y324" s="272" t="n">
        <v>2</v>
      </c>
      <c r="Z324" s="272" t="n">
        <v>2</v>
      </c>
      <c r="AA324" s="272" t="n">
        <v>12</v>
      </c>
    </row>
    <row r="325">
      <c r="A325" s="270" t="n">
        <v>46077</v>
      </c>
      <c r="B325" s="271" t="inlineStr">
        <is>
          <t>Belenenses</t>
        </is>
      </c>
      <c r="C325" s="271" t="inlineStr">
        <is>
          <t>Enzo Hugo</t>
        </is>
      </c>
      <c r="D325" s="271" t="inlineStr">
        <is>
          <t>Central</t>
        </is>
      </c>
      <c r="E325" s="272" t="n">
        <v>62</v>
      </c>
      <c r="F325" s="272" t="n">
        <v>6688</v>
      </c>
      <c r="G325" s="272" t="n">
        <v>139</v>
      </c>
      <c r="H325" s="272" t="n">
        <v>9</v>
      </c>
      <c r="I325" s="272" t="n">
        <v>49</v>
      </c>
      <c r="J325" s="272" t="n">
        <v>53</v>
      </c>
      <c r="K325" s="272" t="n">
        <v>3</v>
      </c>
      <c r="L325" s="273" t="n">
        <v>25.7</v>
      </c>
      <c r="M325" s="272" t="n">
        <v>8</v>
      </c>
      <c r="N325" s="272" t="n">
        <v>9</v>
      </c>
      <c r="O325" s="272" t="n">
        <v>4</v>
      </c>
      <c r="P325" s="272" t="n">
        <v>1</v>
      </c>
      <c r="Q325" s="271" t="inlineStr">
        <is>
          <t>Treino</t>
        </is>
      </c>
      <c r="R325" s="272" t="n">
        <v>8</v>
      </c>
      <c r="S325" s="271" t="inlineStr">
        <is>
          <t>MD+1C</t>
        </is>
      </c>
      <c r="T325" s="272" t="n"/>
      <c r="U325" s="272" t="n"/>
      <c r="V325" s="274">
        <f>IF(_xlfn.MAXIFS(tblCarga[Data],tblCarga[Jogador],C325,tblCarga[Tipo],"Jogo",tblCarga[Data],"&lt;"&amp;A325)=0,"-",A325-_xlfn.MAXIFS(tblCarga[Data],tblCarga[Jogador],C325,tblCarga[Tipo],"Jogo",tblCarga[Data],"&lt;"&amp;A325))</f>
        <v/>
      </c>
      <c r="W325" s="272" t="n">
        <v>2</v>
      </c>
      <c r="X325" s="272" t="n">
        <v>4</v>
      </c>
      <c r="Y325" s="272" t="n">
        <v>2</v>
      </c>
      <c r="Z325" s="272" t="n">
        <v>2</v>
      </c>
      <c r="AA325" s="272" t="n">
        <v>10</v>
      </c>
    </row>
    <row r="326">
      <c r="A326" s="270" t="n">
        <v>46077</v>
      </c>
      <c r="B326" s="271" t="inlineStr">
        <is>
          <t>Belenenses</t>
        </is>
      </c>
      <c r="C326" s="271" t="inlineStr">
        <is>
          <t>Nogueira</t>
        </is>
      </c>
      <c r="D326" s="271" t="inlineStr">
        <is>
          <t>Central</t>
        </is>
      </c>
      <c r="E326" s="272" t="n">
        <v>62</v>
      </c>
      <c r="F326" s="272" t="n">
        <v>6162</v>
      </c>
      <c r="G326" s="272" t="n">
        <v>176</v>
      </c>
      <c r="H326" s="272" t="n">
        <v>9</v>
      </c>
      <c r="I326" s="272" t="n">
        <v>38</v>
      </c>
      <c r="J326" s="272" t="n">
        <v>49</v>
      </c>
      <c r="K326" s="272" t="n">
        <v>3</v>
      </c>
      <c r="L326" s="273" t="n">
        <v>27.6</v>
      </c>
      <c r="M326" s="272" t="n">
        <v>8</v>
      </c>
      <c r="N326" s="272" t="n">
        <v>6</v>
      </c>
      <c r="O326" s="272" t="n">
        <v>3</v>
      </c>
      <c r="P326" s="272" t="n">
        <v>1</v>
      </c>
      <c r="Q326" s="271" t="inlineStr">
        <is>
          <t>Treino</t>
        </is>
      </c>
      <c r="R326" s="272" t="n">
        <v>8</v>
      </c>
      <c r="S326" s="271" t="inlineStr">
        <is>
          <t>MD+1C</t>
        </is>
      </c>
      <c r="T326" s="272" t="n"/>
      <c r="U326" s="272" t="n"/>
      <c r="V326" s="274">
        <f>IF(_xlfn.MAXIFS(tblCarga[Data],tblCarga[Jogador],C326,tblCarga[Tipo],"Jogo",tblCarga[Data],"&lt;"&amp;A326)=0,"-",A326-_xlfn.MAXIFS(tblCarga[Data],tblCarga[Jogador],C326,tblCarga[Tipo],"Jogo",tblCarga[Data],"&lt;"&amp;A326))</f>
        <v/>
      </c>
      <c r="W326" s="272" t="n">
        <v>3</v>
      </c>
      <c r="X326" s="272" t="n">
        <v>4</v>
      </c>
      <c r="Y326" s="272" t="n">
        <v>2</v>
      </c>
      <c r="Z326" s="272" t="n">
        <v>4</v>
      </c>
      <c r="AA326" s="272" t="n">
        <v>13</v>
      </c>
    </row>
    <row r="327">
      <c r="A327" s="270" t="n">
        <v>46077</v>
      </c>
      <c r="B327" s="271" t="inlineStr">
        <is>
          <t>Belenenses</t>
        </is>
      </c>
      <c r="C327" s="271" t="inlineStr">
        <is>
          <t>Paulino</t>
        </is>
      </c>
      <c r="D327" s="271" t="inlineStr">
        <is>
          <t>Médio</t>
        </is>
      </c>
      <c r="E327" s="272" t="n">
        <v>65</v>
      </c>
      <c r="F327" s="272" t="n">
        <v>4727</v>
      </c>
      <c r="G327" s="272" t="n">
        <v>138</v>
      </c>
      <c r="H327" s="272" t="n">
        <v>22</v>
      </c>
      <c r="I327" s="272" t="n">
        <v>41</v>
      </c>
      <c r="J327" s="272" t="n">
        <v>39</v>
      </c>
      <c r="K327" s="272" t="n">
        <v>2</v>
      </c>
      <c r="L327" s="273" t="n">
        <v>28.3</v>
      </c>
      <c r="M327" s="272" t="n">
        <v>9</v>
      </c>
      <c r="N327" s="272" t="n">
        <v>4</v>
      </c>
      <c r="O327" s="272" t="n">
        <v>2</v>
      </c>
      <c r="P327" s="272" t="n">
        <v>0</v>
      </c>
      <c r="Q327" s="271" t="inlineStr">
        <is>
          <t>Treino</t>
        </is>
      </c>
      <c r="R327" s="272" t="n">
        <v>8</v>
      </c>
      <c r="S327" s="271" t="inlineStr">
        <is>
          <t>MD+1C</t>
        </is>
      </c>
      <c r="T327" s="272" t="n"/>
      <c r="U327" s="272" t="n"/>
      <c r="V327" s="274">
        <f>IF(_xlfn.MAXIFS(tblCarga[Data],tblCarga[Jogador],C327,tblCarga[Tipo],"Jogo",tblCarga[Data],"&lt;"&amp;A327)=0,"-",A327-_xlfn.MAXIFS(tblCarga[Data],tblCarga[Jogador],C327,tblCarga[Tipo],"Jogo",tblCarga[Data],"&lt;"&amp;A327))</f>
        <v/>
      </c>
      <c r="W327" s="272" t="n">
        <v>2</v>
      </c>
      <c r="X327" s="272" t="n">
        <v>3</v>
      </c>
      <c r="Y327" s="272" t="n">
        <v>1</v>
      </c>
      <c r="Z327" s="272" t="n">
        <v>3</v>
      </c>
      <c r="AA327" s="272" t="n">
        <v>9</v>
      </c>
    </row>
    <row r="328">
      <c r="A328" s="270" t="n">
        <v>46077</v>
      </c>
      <c r="B328" s="271" t="inlineStr">
        <is>
          <t>Belenenses</t>
        </is>
      </c>
      <c r="C328" s="271" t="inlineStr">
        <is>
          <t>Artur</t>
        </is>
      </c>
      <c r="D328" s="271" t="inlineStr">
        <is>
          <t>Médio</t>
        </is>
      </c>
      <c r="E328" s="272" t="n">
        <v>57</v>
      </c>
      <c r="F328" s="272" t="n">
        <v>4992</v>
      </c>
      <c r="G328" s="272" t="n">
        <v>126</v>
      </c>
      <c r="H328" s="272" t="n">
        <v>16</v>
      </c>
      <c r="I328" s="272" t="n">
        <v>43</v>
      </c>
      <c r="J328" s="272" t="n">
        <v>42</v>
      </c>
      <c r="K328" s="272" t="n">
        <v>4</v>
      </c>
      <c r="L328" s="273" t="n">
        <v>28</v>
      </c>
      <c r="M328" s="272" t="n">
        <v>9</v>
      </c>
      <c r="N328" s="272" t="n">
        <v>7</v>
      </c>
      <c r="O328" s="272" t="n">
        <v>3</v>
      </c>
      <c r="P328" s="272" t="n">
        <v>1</v>
      </c>
      <c r="Q328" s="271" t="inlineStr">
        <is>
          <t>Treino</t>
        </is>
      </c>
      <c r="R328" s="272" t="n">
        <v>8</v>
      </c>
      <c r="S328" s="271" t="inlineStr">
        <is>
          <t>MD+1C</t>
        </is>
      </c>
      <c r="T328" s="272" t="n"/>
      <c r="U328" s="272" t="n"/>
      <c r="V328" s="274">
        <f>IF(_xlfn.MAXIFS(tblCarga[Data],tblCarga[Jogador],C328,tblCarga[Tipo],"Jogo",tblCarga[Data],"&lt;"&amp;A328)=0,"-",A328-_xlfn.MAXIFS(tblCarga[Data],tblCarga[Jogador],C328,tblCarga[Tipo],"Jogo",tblCarga[Data],"&lt;"&amp;A328))</f>
        <v/>
      </c>
      <c r="W328" s="272" t="n">
        <v>4</v>
      </c>
      <c r="X328" s="272" t="n">
        <v>3</v>
      </c>
      <c r="Y328" s="272" t="n">
        <v>3</v>
      </c>
      <c r="Z328" s="272" t="n">
        <v>2</v>
      </c>
      <c r="AA328" s="272" t="n">
        <v>12</v>
      </c>
    </row>
    <row r="329">
      <c r="A329" s="270" t="n">
        <v>46077</v>
      </c>
      <c r="B329" s="271" t="inlineStr">
        <is>
          <t>Belenenses</t>
        </is>
      </c>
      <c r="C329" s="271" t="inlineStr">
        <is>
          <t>Gomes</t>
        </is>
      </c>
      <c r="D329" s="271" t="inlineStr">
        <is>
          <t>Médio</t>
        </is>
      </c>
      <c r="E329" s="272" t="n">
        <v>59</v>
      </c>
      <c r="F329" s="272" t="n">
        <v>5669</v>
      </c>
      <c r="G329" s="272" t="n">
        <v>123</v>
      </c>
      <c r="H329" s="272" t="n">
        <v>20</v>
      </c>
      <c r="I329" s="272" t="n">
        <v>42</v>
      </c>
      <c r="J329" s="272" t="n">
        <v>44</v>
      </c>
      <c r="K329" s="272" t="n">
        <v>3</v>
      </c>
      <c r="L329" s="273" t="n">
        <v>26.2</v>
      </c>
      <c r="M329" s="272" t="n">
        <v>9</v>
      </c>
      <c r="N329" s="272" t="n">
        <v>5</v>
      </c>
      <c r="O329" s="272" t="n">
        <v>2</v>
      </c>
      <c r="P329" s="272" t="n">
        <v>0</v>
      </c>
      <c r="Q329" s="271" t="inlineStr">
        <is>
          <t>Treino</t>
        </is>
      </c>
      <c r="R329" s="272" t="n">
        <v>8</v>
      </c>
      <c r="S329" s="271" t="inlineStr">
        <is>
          <t>MD+1C</t>
        </is>
      </c>
      <c r="T329" s="272" t="n"/>
      <c r="U329" s="272" t="n"/>
      <c r="V329" s="274">
        <f>IF(_xlfn.MAXIFS(tblCarga[Data],tblCarga[Jogador],C329,tblCarga[Tipo],"Jogo",tblCarga[Data],"&lt;"&amp;A329)=0,"-",A329-_xlfn.MAXIFS(tblCarga[Data],tblCarga[Jogador],C329,tblCarga[Tipo],"Jogo",tblCarga[Data],"&lt;"&amp;A329))</f>
        <v/>
      </c>
      <c r="W329" s="272" t="n">
        <v>4</v>
      </c>
      <c r="X329" s="272" t="n">
        <v>5</v>
      </c>
      <c r="Y329" s="272" t="n">
        <v>3</v>
      </c>
      <c r="Z329" s="272" t="n">
        <v>2</v>
      </c>
      <c r="AA329" s="272" t="n">
        <v>14</v>
      </c>
    </row>
    <row r="330">
      <c r="A330" s="270" t="n">
        <v>46077</v>
      </c>
      <c r="B330" s="271" t="inlineStr">
        <is>
          <t>Belenenses</t>
        </is>
      </c>
      <c r="C330" s="271" t="inlineStr">
        <is>
          <t>Sá</t>
        </is>
      </c>
      <c r="D330" s="271" t="inlineStr">
        <is>
          <t>Médio</t>
        </is>
      </c>
      <c r="E330" s="272" t="n">
        <v>69</v>
      </c>
      <c r="F330" s="272" t="n">
        <v>6569</v>
      </c>
      <c r="G330" s="272" t="n">
        <v>120</v>
      </c>
      <c r="H330" s="272" t="n">
        <v>21</v>
      </c>
      <c r="I330" s="272" t="n">
        <v>42</v>
      </c>
      <c r="J330" s="272" t="n">
        <v>45</v>
      </c>
      <c r="K330" s="272" t="n">
        <v>2</v>
      </c>
      <c r="L330" s="273" t="n">
        <v>28.4</v>
      </c>
      <c r="M330" s="272" t="n">
        <v>9</v>
      </c>
      <c r="N330" s="272" t="n">
        <v>7</v>
      </c>
      <c r="O330" s="272" t="n">
        <v>3</v>
      </c>
      <c r="P330" s="272" t="n">
        <v>1</v>
      </c>
      <c r="Q330" s="271" t="inlineStr">
        <is>
          <t>Treino</t>
        </is>
      </c>
      <c r="R330" s="272" t="n">
        <v>8</v>
      </c>
      <c r="S330" s="271" t="inlineStr">
        <is>
          <t>MD+1C</t>
        </is>
      </c>
      <c r="T330" s="272" t="n"/>
      <c r="U330" s="272" t="n"/>
      <c r="V330" s="274">
        <f>IF(_xlfn.MAXIFS(tblCarga[Data],tblCarga[Jogador],C330,tblCarga[Tipo],"Jogo",tblCarga[Data],"&lt;"&amp;A330)=0,"-",A330-_xlfn.MAXIFS(tblCarga[Data],tblCarga[Jogador],C330,tblCarga[Tipo],"Jogo",tblCarga[Data],"&lt;"&amp;A330))</f>
        <v/>
      </c>
      <c r="W330" s="272" t="n">
        <v>3</v>
      </c>
      <c r="X330" s="272" t="n">
        <v>4</v>
      </c>
      <c r="Y330" s="272" t="n">
        <v>3</v>
      </c>
      <c r="Z330" s="272" t="n">
        <v>3</v>
      </c>
      <c r="AA330" s="272" t="n">
        <v>13</v>
      </c>
    </row>
    <row r="331">
      <c r="A331" s="270" t="n">
        <v>46077</v>
      </c>
      <c r="B331" s="271" t="inlineStr">
        <is>
          <t>Belenenses</t>
        </is>
      </c>
      <c r="C331" s="271" t="inlineStr">
        <is>
          <t>Varela</t>
        </is>
      </c>
      <c r="D331" s="271" t="inlineStr">
        <is>
          <t>Lateral</t>
        </is>
      </c>
      <c r="E331" s="272" t="n">
        <v>67</v>
      </c>
      <c r="F331" s="272" t="n">
        <v>7093</v>
      </c>
      <c r="G331" s="272" t="n">
        <v>219</v>
      </c>
      <c r="H331" s="272" t="n">
        <v>34</v>
      </c>
      <c r="I331" s="272" t="n">
        <v>45</v>
      </c>
      <c r="J331" s="272" t="n">
        <v>49</v>
      </c>
      <c r="K331" s="272" t="n">
        <v>3</v>
      </c>
      <c r="L331" s="273" t="n">
        <v>30.4</v>
      </c>
      <c r="M331" s="272" t="n">
        <v>9</v>
      </c>
      <c r="N331" s="272" t="n">
        <v>9</v>
      </c>
      <c r="O331" s="272" t="n">
        <v>5</v>
      </c>
      <c r="P331" s="272" t="n">
        <v>2</v>
      </c>
      <c r="Q331" s="271" t="inlineStr">
        <is>
          <t>Treino</t>
        </is>
      </c>
      <c r="R331" s="272" t="n">
        <v>8</v>
      </c>
      <c r="S331" s="271" t="inlineStr">
        <is>
          <t>MD+1C</t>
        </is>
      </c>
      <c r="T331" s="272" t="n"/>
      <c r="U331" s="272" t="n"/>
      <c r="V331" s="274">
        <f>IF(_xlfn.MAXIFS(tblCarga[Data],tblCarga[Jogador],C331,tblCarga[Tipo],"Jogo",tblCarga[Data],"&lt;"&amp;A331)=0,"-",A331-_xlfn.MAXIFS(tblCarga[Data],tblCarga[Jogador],C331,tblCarga[Tipo],"Jogo",tblCarga[Data],"&lt;"&amp;A331))</f>
        <v/>
      </c>
      <c r="W331" s="272" t="n">
        <v>4</v>
      </c>
      <c r="X331" s="272" t="n">
        <v>3</v>
      </c>
      <c r="Y331" s="272" t="n">
        <v>2</v>
      </c>
      <c r="Z331" s="272" t="n">
        <v>2</v>
      </c>
      <c r="AA331" s="272" t="n">
        <v>11</v>
      </c>
    </row>
    <row r="332">
      <c r="A332" s="270" t="n">
        <v>46077</v>
      </c>
      <c r="B332" s="271" t="inlineStr">
        <is>
          <t>Belenenses</t>
        </is>
      </c>
      <c r="C332" s="271" t="inlineStr">
        <is>
          <t>Edu</t>
        </is>
      </c>
      <c r="D332" s="271" t="inlineStr">
        <is>
          <t>Lateral</t>
        </is>
      </c>
      <c r="E332" s="272" t="n">
        <v>63</v>
      </c>
      <c r="F332" s="272" t="n">
        <v>7894</v>
      </c>
      <c r="G332" s="272" t="n">
        <v>212</v>
      </c>
      <c r="H332" s="272" t="n">
        <v>37</v>
      </c>
      <c r="I332" s="272" t="n">
        <v>44</v>
      </c>
      <c r="J332" s="272" t="n">
        <v>49</v>
      </c>
      <c r="K332" s="272" t="n">
        <v>2</v>
      </c>
      <c r="L332" s="273" t="n">
        <v>30</v>
      </c>
      <c r="M332" s="272" t="n">
        <v>9</v>
      </c>
      <c r="N332" s="272" t="n">
        <v>5</v>
      </c>
      <c r="O332" s="272" t="n">
        <v>2</v>
      </c>
      <c r="P332" s="272" t="n">
        <v>1</v>
      </c>
      <c r="Q332" s="271" t="inlineStr">
        <is>
          <t>Treino</t>
        </is>
      </c>
      <c r="R332" s="272" t="n">
        <v>8</v>
      </c>
      <c r="S332" s="271" t="inlineStr">
        <is>
          <t>MD+1C</t>
        </is>
      </c>
      <c r="T332" s="272" t="n"/>
      <c r="U332" s="272" t="n"/>
      <c r="V332" s="274">
        <f>IF(_xlfn.MAXIFS(tblCarga[Data],tblCarga[Jogador],C332,tblCarga[Tipo],"Jogo",tblCarga[Data],"&lt;"&amp;A332)=0,"-",A332-_xlfn.MAXIFS(tblCarga[Data],tblCarga[Jogador],C332,tblCarga[Tipo],"Jogo",tblCarga[Data],"&lt;"&amp;A332))</f>
        <v/>
      </c>
      <c r="W332" s="272" t="n">
        <v>3</v>
      </c>
      <c r="X332" s="272" t="n">
        <v>4</v>
      </c>
      <c r="Y332" s="272" t="n">
        <v>2</v>
      </c>
      <c r="Z332" s="272" t="n">
        <v>4</v>
      </c>
      <c r="AA332" s="272" t="n">
        <v>13</v>
      </c>
    </row>
    <row r="333">
      <c r="A333" s="270" t="n">
        <v>46077</v>
      </c>
      <c r="B333" s="271" t="inlineStr">
        <is>
          <t>Belenenses</t>
        </is>
      </c>
      <c r="C333" s="271" t="inlineStr">
        <is>
          <t>Capitulo</t>
        </is>
      </c>
      <c r="D333" s="271" t="inlineStr">
        <is>
          <t>Lateral</t>
        </is>
      </c>
      <c r="E333" s="272" t="n">
        <v>70</v>
      </c>
      <c r="F333" s="272" t="n">
        <v>7913</v>
      </c>
      <c r="G333" s="272" t="n">
        <v>248</v>
      </c>
      <c r="H333" s="272" t="n">
        <v>38</v>
      </c>
      <c r="I333" s="272" t="n">
        <v>47</v>
      </c>
      <c r="J333" s="272" t="n">
        <v>54</v>
      </c>
      <c r="K333" s="272" t="n">
        <v>2</v>
      </c>
      <c r="L333" s="273" t="n">
        <v>29</v>
      </c>
      <c r="M333" s="272" t="n">
        <v>9</v>
      </c>
      <c r="N333" s="272" t="n">
        <v>5</v>
      </c>
      <c r="O333" s="272" t="n">
        <v>3</v>
      </c>
      <c r="P333" s="272" t="n">
        <v>1</v>
      </c>
      <c r="Q333" s="271" t="inlineStr">
        <is>
          <t>Treino</t>
        </is>
      </c>
      <c r="R333" s="272" t="n">
        <v>8</v>
      </c>
      <c r="S333" s="271" t="inlineStr">
        <is>
          <t>MD+1C</t>
        </is>
      </c>
      <c r="T333" s="272" t="n"/>
      <c r="U333" s="272" t="n"/>
      <c r="V333" s="274">
        <f>IF(_xlfn.MAXIFS(tblCarga[Data],tblCarga[Jogador],C333,tblCarga[Tipo],"Jogo",tblCarga[Data],"&lt;"&amp;A333)=0,"-",A333-_xlfn.MAXIFS(tblCarga[Data],tblCarga[Jogador],C333,tblCarga[Tipo],"Jogo",tblCarga[Data],"&lt;"&amp;A333))</f>
        <v/>
      </c>
      <c r="W333" s="272" t="n">
        <v>2</v>
      </c>
      <c r="X333" s="272" t="n">
        <v>5</v>
      </c>
      <c r="Y333" s="272" t="n">
        <v>1</v>
      </c>
      <c r="Z333" s="272" t="n">
        <v>3</v>
      </c>
      <c r="AA333" s="272" t="n">
        <v>11</v>
      </c>
    </row>
    <row r="334">
      <c r="A334" s="270" t="n">
        <v>46077</v>
      </c>
      <c r="B334" s="271" t="inlineStr">
        <is>
          <t>Belenenses</t>
        </is>
      </c>
      <c r="C334" s="271" t="inlineStr">
        <is>
          <t>Enzo Hugo</t>
        </is>
      </c>
      <c r="D334" s="271" t="inlineStr">
        <is>
          <t>Central</t>
        </is>
      </c>
      <c r="E334" s="272" t="n">
        <v>62</v>
      </c>
      <c r="F334" s="272" t="n">
        <v>6751</v>
      </c>
      <c r="G334" s="272" t="n">
        <v>159</v>
      </c>
      <c r="H334" s="272" t="n">
        <v>9</v>
      </c>
      <c r="I334" s="272" t="n">
        <v>53</v>
      </c>
      <c r="J334" s="272" t="n">
        <v>58</v>
      </c>
      <c r="K334" s="272" t="n">
        <v>2</v>
      </c>
      <c r="L334" s="273" t="n">
        <v>26.9</v>
      </c>
      <c r="M334" s="272" t="n">
        <v>9</v>
      </c>
      <c r="N334" s="272" t="n">
        <v>8</v>
      </c>
      <c r="O334" s="272" t="n">
        <v>4</v>
      </c>
      <c r="P334" s="272" t="n">
        <v>1</v>
      </c>
      <c r="Q334" s="271" t="inlineStr">
        <is>
          <t>Treino</t>
        </is>
      </c>
      <c r="R334" s="272" t="n">
        <v>8</v>
      </c>
      <c r="S334" s="271" t="inlineStr">
        <is>
          <t>MD+1C</t>
        </is>
      </c>
      <c r="T334" s="272" t="n"/>
      <c r="U334" s="272" t="n"/>
      <c r="V334" s="274">
        <f>IF(_xlfn.MAXIFS(tblCarga[Data],tblCarga[Jogador],C334,tblCarga[Tipo],"Jogo",tblCarga[Data],"&lt;"&amp;A334)=0,"-",A334-_xlfn.MAXIFS(tblCarga[Data],tblCarga[Jogador],C334,tblCarga[Tipo],"Jogo",tblCarga[Data],"&lt;"&amp;A334))</f>
        <v/>
      </c>
      <c r="W334" s="272" t="n">
        <v>3</v>
      </c>
      <c r="X334" s="272" t="n">
        <v>5</v>
      </c>
      <c r="Y334" s="272" t="n">
        <v>1</v>
      </c>
      <c r="Z334" s="272" t="n">
        <v>3</v>
      </c>
      <c r="AA334" s="272" t="n">
        <v>12</v>
      </c>
    </row>
    <row r="335">
      <c r="A335" s="270" t="n">
        <v>46077</v>
      </c>
      <c r="B335" s="271" t="inlineStr">
        <is>
          <t>Belenenses</t>
        </is>
      </c>
      <c r="C335" s="271" t="inlineStr">
        <is>
          <t>Nogueira</t>
        </is>
      </c>
      <c r="D335" s="271" t="inlineStr">
        <is>
          <t>Central</t>
        </is>
      </c>
      <c r="E335" s="272" t="n">
        <v>58</v>
      </c>
      <c r="F335" s="272" t="n">
        <v>6656</v>
      </c>
      <c r="G335" s="272" t="n">
        <v>164</v>
      </c>
      <c r="H335" s="272" t="n">
        <v>9</v>
      </c>
      <c r="I335" s="272" t="n">
        <v>41</v>
      </c>
      <c r="J335" s="272" t="n">
        <v>45</v>
      </c>
      <c r="K335" s="272" t="n">
        <v>3</v>
      </c>
      <c r="L335" s="273" t="n">
        <v>27.4</v>
      </c>
      <c r="M335" s="272" t="n">
        <v>9</v>
      </c>
      <c r="N335" s="272" t="n">
        <v>8</v>
      </c>
      <c r="O335" s="272" t="n">
        <v>3</v>
      </c>
      <c r="P335" s="272" t="n">
        <v>0</v>
      </c>
      <c r="Q335" s="271" t="inlineStr">
        <is>
          <t>Treino</t>
        </is>
      </c>
      <c r="R335" s="272" t="n">
        <v>8</v>
      </c>
      <c r="S335" s="271" t="inlineStr">
        <is>
          <t>MD+1C</t>
        </is>
      </c>
      <c r="T335" s="272" t="n"/>
      <c r="U335" s="272" t="n"/>
      <c r="V335" s="274">
        <f>IF(_xlfn.MAXIFS(tblCarga[Data],tblCarga[Jogador],C335,tblCarga[Tipo],"Jogo",tblCarga[Data],"&lt;"&amp;A335)=0,"-",A335-_xlfn.MAXIFS(tblCarga[Data],tblCarga[Jogador],C335,tblCarga[Tipo],"Jogo",tblCarga[Data],"&lt;"&amp;A335))</f>
        <v/>
      </c>
      <c r="W335" s="272" t="n">
        <v>3</v>
      </c>
      <c r="X335" s="272" t="n">
        <v>5</v>
      </c>
      <c r="Y335" s="272" t="n">
        <v>3</v>
      </c>
      <c r="Z335" s="272" t="n">
        <v>3</v>
      </c>
      <c r="AA335" s="272" t="n">
        <v>14</v>
      </c>
    </row>
    <row r="336">
      <c r="A336" s="270" t="n">
        <v>46078</v>
      </c>
      <c r="B336" s="271" t="inlineStr">
        <is>
          <t>Belenenses</t>
        </is>
      </c>
      <c r="C336" s="271" t="inlineStr">
        <is>
          <t>Paulino</t>
        </is>
      </c>
      <c r="D336" s="271" t="inlineStr">
        <is>
          <t>Médio</t>
        </is>
      </c>
      <c r="E336" s="272" t="n">
        <v>86</v>
      </c>
      <c r="F336" s="272" t="n">
        <v>8944</v>
      </c>
      <c r="G336" s="272" t="n">
        <v>282</v>
      </c>
      <c r="H336" s="272" t="n">
        <v>106</v>
      </c>
      <c r="I336" s="272" t="n">
        <v>79</v>
      </c>
      <c r="J336" s="272" t="n">
        <v>75</v>
      </c>
      <c r="K336" s="272" t="n">
        <v>7</v>
      </c>
      <c r="L336" s="273" t="n">
        <v>29.6</v>
      </c>
      <c r="M336" s="272" t="n">
        <v>9</v>
      </c>
      <c r="N336" s="272" t="n">
        <v>16</v>
      </c>
      <c r="O336" s="272" t="n">
        <v>6</v>
      </c>
      <c r="P336" s="272" t="n">
        <v>2</v>
      </c>
      <c r="Q336" s="271" t="inlineStr">
        <is>
          <t>Treino</t>
        </is>
      </c>
      <c r="R336" s="272" t="n">
        <v>9</v>
      </c>
      <c r="S336" s="271" t="inlineStr">
        <is>
          <t>MD-5</t>
        </is>
      </c>
      <c r="T336" s="272" t="n"/>
      <c r="U336" s="272" t="n"/>
      <c r="V336" s="274">
        <f>IF(_xlfn.MAXIFS(tblCarga[Data],tblCarga[Jogador],C336,tblCarga[Tipo],"Jogo",tblCarga[Data],"&lt;"&amp;A336)=0,"-",A336-_xlfn.MAXIFS(tblCarga[Data],tblCarga[Jogador],C336,tblCarga[Tipo],"Jogo",tblCarga[Data],"&lt;"&amp;A336))</f>
        <v/>
      </c>
      <c r="W336" s="272" t="n">
        <v>2</v>
      </c>
      <c r="X336" s="272" t="n">
        <v>2</v>
      </c>
      <c r="Y336" s="272" t="n">
        <v>2</v>
      </c>
      <c r="Z336" s="272" t="n">
        <v>3</v>
      </c>
      <c r="AA336" s="272" t="n">
        <v>9</v>
      </c>
    </row>
    <row r="337">
      <c r="A337" s="270" t="n">
        <v>46078</v>
      </c>
      <c r="B337" s="271" t="inlineStr">
        <is>
          <t>Belenenses</t>
        </is>
      </c>
      <c r="C337" s="271" t="inlineStr">
        <is>
          <t>Artur</t>
        </is>
      </c>
      <c r="D337" s="271" t="inlineStr">
        <is>
          <t>Médio</t>
        </is>
      </c>
      <c r="E337" s="272" t="n">
        <v>88</v>
      </c>
      <c r="F337" s="272" t="n">
        <v>8794</v>
      </c>
      <c r="G337" s="272" t="n">
        <v>245</v>
      </c>
      <c r="H337" s="272" t="n">
        <v>92</v>
      </c>
      <c r="I337" s="272" t="n">
        <v>82</v>
      </c>
      <c r="J337" s="272" t="n">
        <v>90</v>
      </c>
      <c r="K337" s="272" t="n">
        <v>8</v>
      </c>
      <c r="L337" s="273" t="n">
        <v>28.1</v>
      </c>
      <c r="M337" s="272" t="n">
        <v>9</v>
      </c>
      <c r="N337" s="272" t="n">
        <v>12</v>
      </c>
      <c r="O337" s="272" t="n">
        <v>7</v>
      </c>
      <c r="P337" s="272" t="n">
        <v>2</v>
      </c>
      <c r="Q337" s="271" t="inlineStr">
        <is>
          <t>Treino</t>
        </is>
      </c>
      <c r="R337" s="272" t="n">
        <v>9</v>
      </c>
      <c r="S337" s="271" t="inlineStr">
        <is>
          <t>MD-5</t>
        </is>
      </c>
      <c r="T337" s="272" t="n"/>
      <c r="U337" s="272" t="n"/>
      <c r="V337" s="274">
        <f>IF(_xlfn.MAXIFS(tblCarga[Data],tblCarga[Jogador],C337,tblCarga[Tipo],"Jogo",tblCarga[Data],"&lt;"&amp;A337)=0,"-",A337-_xlfn.MAXIFS(tblCarga[Data],tblCarga[Jogador],C337,tblCarga[Tipo],"Jogo",tblCarga[Data],"&lt;"&amp;A337))</f>
        <v/>
      </c>
      <c r="W337" s="272" t="n">
        <v>2</v>
      </c>
      <c r="X337" s="272" t="n">
        <v>2</v>
      </c>
      <c r="Y337" s="272" t="n">
        <v>3</v>
      </c>
      <c r="Z337" s="272" t="n">
        <v>2</v>
      </c>
      <c r="AA337" s="272" t="n">
        <v>9</v>
      </c>
    </row>
    <row r="338">
      <c r="A338" s="270" t="n">
        <v>46078</v>
      </c>
      <c r="B338" s="271" t="inlineStr">
        <is>
          <t>Belenenses</t>
        </is>
      </c>
      <c r="C338" s="271" t="inlineStr">
        <is>
          <t>Gomes</t>
        </is>
      </c>
      <c r="D338" s="271" t="inlineStr">
        <is>
          <t>Médio</t>
        </is>
      </c>
      <c r="E338" s="272" t="n">
        <v>89</v>
      </c>
      <c r="F338" s="272" t="n">
        <v>9205</v>
      </c>
      <c r="G338" s="272" t="n">
        <v>240</v>
      </c>
      <c r="H338" s="272" t="n">
        <v>101</v>
      </c>
      <c r="I338" s="272" t="n">
        <v>88</v>
      </c>
      <c r="J338" s="272" t="n">
        <v>83</v>
      </c>
      <c r="K338" s="272" t="n">
        <v>8</v>
      </c>
      <c r="L338" s="273" t="n">
        <v>30</v>
      </c>
      <c r="M338" s="272" t="n">
        <v>9</v>
      </c>
      <c r="N338" s="272" t="n">
        <v>13</v>
      </c>
      <c r="O338" s="272" t="n">
        <v>5</v>
      </c>
      <c r="P338" s="272" t="n">
        <v>1</v>
      </c>
      <c r="Q338" s="271" t="inlineStr">
        <is>
          <t>Treino</t>
        </is>
      </c>
      <c r="R338" s="272" t="n">
        <v>9</v>
      </c>
      <c r="S338" s="271" t="inlineStr">
        <is>
          <t>MD-5</t>
        </is>
      </c>
      <c r="T338" s="272" t="n"/>
      <c r="U338" s="272" t="n"/>
      <c r="V338" s="274">
        <f>IF(_xlfn.MAXIFS(tblCarga[Data],tblCarga[Jogador],C338,tblCarga[Tipo],"Jogo",tblCarga[Data],"&lt;"&amp;A338)=0,"-",A338-_xlfn.MAXIFS(tblCarga[Data],tblCarga[Jogador],C338,tblCarga[Tipo],"Jogo",tblCarga[Data],"&lt;"&amp;A338))</f>
        <v/>
      </c>
      <c r="W338" s="272" t="n">
        <v>2</v>
      </c>
      <c r="X338" s="272" t="n">
        <v>2</v>
      </c>
      <c r="Y338" s="272" t="n">
        <v>1</v>
      </c>
      <c r="Z338" s="272" t="n">
        <v>3</v>
      </c>
      <c r="AA338" s="272" t="n">
        <v>8</v>
      </c>
    </row>
    <row r="339">
      <c r="A339" s="270" t="n">
        <v>46078</v>
      </c>
      <c r="B339" s="271" t="inlineStr">
        <is>
          <t>Belenenses</t>
        </is>
      </c>
      <c r="C339" s="271" t="inlineStr">
        <is>
          <t>Sá</t>
        </is>
      </c>
      <c r="D339" s="271" t="inlineStr">
        <is>
          <t>Médio</t>
        </is>
      </c>
      <c r="E339" s="272" t="n">
        <v>99</v>
      </c>
      <c r="F339" s="272" t="n">
        <v>10332</v>
      </c>
      <c r="G339" s="272" t="n">
        <v>249</v>
      </c>
      <c r="H339" s="272" t="n">
        <v>96</v>
      </c>
      <c r="I339" s="272" t="n">
        <v>80</v>
      </c>
      <c r="J339" s="272" t="n">
        <v>93</v>
      </c>
      <c r="K339" s="272" t="n">
        <v>7</v>
      </c>
      <c r="L339" s="273" t="n">
        <v>29.1</v>
      </c>
      <c r="M339" s="272" t="n">
        <v>9</v>
      </c>
      <c r="N339" s="272" t="n">
        <v>13</v>
      </c>
      <c r="O339" s="272" t="n">
        <v>5</v>
      </c>
      <c r="P339" s="272" t="n">
        <v>2</v>
      </c>
      <c r="Q339" s="271" t="inlineStr">
        <is>
          <t>Treino</t>
        </is>
      </c>
      <c r="R339" s="272" t="n">
        <v>9</v>
      </c>
      <c r="S339" s="271" t="inlineStr">
        <is>
          <t>MD-5</t>
        </is>
      </c>
      <c r="T339" s="272" t="n"/>
      <c r="U339" s="272" t="n"/>
      <c r="V339" s="274">
        <f>IF(_xlfn.MAXIFS(tblCarga[Data],tblCarga[Jogador],C339,tblCarga[Tipo],"Jogo",tblCarga[Data],"&lt;"&amp;A339)=0,"-",A339-_xlfn.MAXIFS(tblCarga[Data],tblCarga[Jogador],C339,tblCarga[Tipo],"Jogo",tblCarga[Data],"&lt;"&amp;A339))</f>
        <v/>
      </c>
      <c r="W339" s="272" t="n">
        <v>2</v>
      </c>
      <c r="X339" s="272" t="n">
        <v>2</v>
      </c>
      <c r="Y339" s="272" t="n">
        <v>2</v>
      </c>
      <c r="Z339" s="272" t="n">
        <v>2</v>
      </c>
      <c r="AA339" s="272" t="n">
        <v>8</v>
      </c>
    </row>
    <row r="340">
      <c r="A340" s="270" t="n">
        <v>46078</v>
      </c>
      <c r="B340" s="271" t="inlineStr">
        <is>
          <t>Belenenses</t>
        </is>
      </c>
      <c r="C340" s="271" t="inlineStr">
        <is>
          <t>Varela</t>
        </is>
      </c>
      <c r="D340" s="271" t="inlineStr">
        <is>
          <t>Lateral</t>
        </is>
      </c>
      <c r="E340" s="272" t="n">
        <v>81</v>
      </c>
      <c r="F340" s="272" t="n">
        <v>11268</v>
      </c>
      <c r="G340" s="272" t="n">
        <v>390</v>
      </c>
      <c r="H340" s="272" t="n">
        <v>173</v>
      </c>
      <c r="I340" s="272" t="n">
        <v>87</v>
      </c>
      <c r="J340" s="272" t="n">
        <v>84</v>
      </c>
      <c r="K340" s="272" t="n">
        <v>7</v>
      </c>
      <c r="L340" s="273" t="n">
        <v>33.2</v>
      </c>
      <c r="M340" s="272" t="n">
        <v>9</v>
      </c>
      <c r="N340" s="272" t="n">
        <v>10</v>
      </c>
      <c r="O340" s="272" t="n">
        <v>4</v>
      </c>
      <c r="P340" s="272" t="n">
        <v>1</v>
      </c>
      <c r="Q340" s="271" t="inlineStr">
        <is>
          <t>Treino</t>
        </is>
      </c>
      <c r="R340" s="272" t="n">
        <v>9</v>
      </c>
      <c r="S340" s="271" t="inlineStr">
        <is>
          <t>MD-5</t>
        </is>
      </c>
      <c r="T340" s="272" t="n"/>
      <c r="U340" s="272" t="n"/>
      <c r="V340" s="274">
        <f>IF(_xlfn.MAXIFS(tblCarga[Data],tblCarga[Jogador],C340,tblCarga[Tipo],"Jogo",tblCarga[Data],"&lt;"&amp;A340)=0,"-",A340-_xlfn.MAXIFS(tblCarga[Data],tblCarga[Jogador],C340,tblCarga[Tipo],"Jogo",tblCarga[Data],"&lt;"&amp;A340))</f>
        <v/>
      </c>
      <c r="W340" s="272" t="n">
        <v>3</v>
      </c>
      <c r="X340" s="272" t="n">
        <v>2</v>
      </c>
      <c r="Y340" s="272" t="n">
        <v>3</v>
      </c>
      <c r="Z340" s="272" t="n">
        <v>3</v>
      </c>
      <c r="AA340" s="272" t="n">
        <v>11</v>
      </c>
    </row>
    <row r="341">
      <c r="A341" s="270" t="n">
        <v>46078</v>
      </c>
      <c r="B341" s="271" t="inlineStr">
        <is>
          <t>Belenenses</t>
        </is>
      </c>
      <c r="C341" s="271" t="inlineStr">
        <is>
          <t>Edu</t>
        </is>
      </c>
      <c r="D341" s="271" t="inlineStr">
        <is>
          <t>Lateral</t>
        </is>
      </c>
      <c r="E341" s="272" t="n">
        <v>85</v>
      </c>
      <c r="F341" s="272" t="n">
        <v>12789</v>
      </c>
      <c r="G341" s="272" t="n">
        <v>399</v>
      </c>
      <c r="H341" s="272" t="n">
        <v>161</v>
      </c>
      <c r="I341" s="272" t="n">
        <v>88</v>
      </c>
      <c r="J341" s="272" t="n">
        <v>85</v>
      </c>
      <c r="K341" s="272" t="n">
        <v>8</v>
      </c>
      <c r="L341" s="273" t="n">
        <v>30.1</v>
      </c>
      <c r="M341" s="272" t="n">
        <v>9</v>
      </c>
      <c r="N341" s="272" t="n">
        <v>14</v>
      </c>
      <c r="O341" s="272" t="n">
        <v>8</v>
      </c>
      <c r="P341" s="272" t="n">
        <v>3</v>
      </c>
      <c r="Q341" s="271" t="inlineStr">
        <is>
          <t>Treino</t>
        </is>
      </c>
      <c r="R341" s="272" t="n">
        <v>9</v>
      </c>
      <c r="S341" s="271" t="inlineStr">
        <is>
          <t>MD-5</t>
        </is>
      </c>
      <c r="T341" s="272" t="n"/>
      <c r="U341" s="272" t="n"/>
      <c r="V341" s="274">
        <f>IF(_xlfn.MAXIFS(tblCarga[Data],tblCarga[Jogador],C341,tblCarga[Tipo],"Jogo",tblCarga[Data],"&lt;"&amp;A341)=0,"-",A341-_xlfn.MAXIFS(tblCarga[Data],tblCarga[Jogador],C341,tblCarga[Tipo],"Jogo",tblCarga[Data],"&lt;"&amp;A341))</f>
        <v/>
      </c>
      <c r="W341" s="272" t="n">
        <v>1</v>
      </c>
      <c r="X341" s="272" t="n">
        <v>2</v>
      </c>
      <c r="Y341" s="272" t="n">
        <v>2</v>
      </c>
      <c r="Z341" s="272" t="n">
        <v>1</v>
      </c>
      <c r="AA341" s="272" t="n">
        <v>6</v>
      </c>
    </row>
    <row r="342">
      <c r="A342" s="270" t="n">
        <v>46078</v>
      </c>
      <c r="B342" s="271" t="inlineStr">
        <is>
          <t>Belenenses</t>
        </is>
      </c>
      <c r="C342" s="271" t="inlineStr">
        <is>
          <t>Capitulo</t>
        </is>
      </c>
      <c r="D342" s="271" t="inlineStr">
        <is>
          <t>Lateral</t>
        </is>
      </c>
      <c r="E342" s="272" t="n">
        <v>98</v>
      </c>
      <c r="F342" s="272" t="n">
        <v>13411</v>
      </c>
      <c r="G342" s="272" t="n">
        <v>460</v>
      </c>
      <c r="H342" s="272" t="n">
        <v>156</v>
      </c>
      <c r="I342" s="272" t="n">
        <v>94</v>
      </c>
      <c r="J342" s="272" t="n">
        <v>106</v>
      </c>
      <c r="K342" s="272" t="n">
        <v>8</v>
      </c>
      <c r="L342" s="273" t="n">
        <v>31.7</v>
      </c>
      <c r="M342" s="272" t="n">
        <v>9</v>
      </c>
      <c r="N342" s="272" t="n">
        <v>14</v>
      </c>
      <c r="O342" s="272" t="n">
        <v>8</v>
      </c>
      <c r="P342" s="272" t="n">
        <v>2</v>
      </c>
      <c r="Q342" s="271" t="inlineStr">
        <is>
          <t>Treino</t>
        </is>
      </c>
      <c r="R342" s="272" t="n">
        <v>9</v>
      </c>
      <c r="S342" s="271" t="inlineStr">
        <is>
          <t>MD-5</t>
        </is>
      </c>
      <c r="T342" s="272" t="n"/>
      <c r="U342" s="272" t="n"/>
      <c r="V342" s="274">
        <f>IF(_xlfn.MAXIFS(tblCarga[Data],tblCarga[Jogador],C342,tblCarga[Tipo],"Jogo",tblCarga[Data],"&lt;"&amp;A342)=0,"-",A342-_xlfn.MAXIFS(tblCarga[Data],tblCarga[Jogador],C342,tblCarga[Tipo],"Jogo",tblCarga[Data],"&lt;"&amp;A342))</f>
        <v/>
      </c>
      <c r="W342" s="272" t="n">
        <v>2</v>
      </c>
      <c r="X342" s="272" t="n">
        <v>2</v>
      </c>
      <c r="Y342" s="272" t="n">
        <v>2</v>
      </c>
      <c r="Z342" s="272" t="n">
        <v>2</v>
      </c>
      <c r="AA342" s="272" t="n">
        <v>8</v>
      </c>
    </row>
    <row r="343">
      <c r="A343" s="270" t="n">
        <v>46078</v>
      </c>
      <c r="B343" s="271" t="inlineStr">
        <is>
          <t>Belenenses</t>
        </is>
      </c>
      <c r="C343" s="271" t="inlineStr">
        <is>
          <t>Enzo Hugo</t>
        </is>
      </c>
      <c r="D343" s="271" t="inlineStr">
        <is>
          <t>Central</t>
        </is>
      </c>
      <c r="E343" s="272" t="n">
        <v>82</v>
      </c>
      <c r="F343" s="272" t="n">
        <v>9933</v>
      </c>
      <c r="G343" s="272" t="n">
        <v>291</v>
      </c>
      <c r="H343" s="272" t="n">
        <v>44</v>
      </c>
      <c r="I343" s="272" t="n">
        <v>92</v>
      </c>
      <c r="J343" s="272" t="n">
        <v>111</v>
      </c>
      <c r="K343" s="272" t="n">
        <v>7</v>
      </c>
      <c r="L343" s="273" t="n">
        <v>28.4</v>
      </c>
      <c r="M343" s="272" t="n">
        <v>9</v>
      </c>
      <c r="N343" s="272" t="n">
        <v>12</v>
      </c>
      <c r="O343" s="272" t="n">
        <v>6</v>
      </c>
      <c r="P343" s="272" t="n">
        <v>2</v>
      </c>
      <c r="Q343" s="271" t="inlineStr">
        <is>
          <t>Treino</t>
        </is>
      </c>
      <c r="R343" s="272" t="n">
        <v>9</v>
      </c>
      <c r="S343" s="271" t="inlineStr">
        <is>
          <t>MD-5</t>
        </is>
      </c>
      <c r="T343" s="272" t="n"/>
      <c r="U343" s="272" t="n"/>
      <c r="V343" s="274">
        <f>IF(_xlfn.MAXIFS(tblCarga[Data],tblCarga[Jogador],C343,tblCarga[Tipo],"Jogo",tblCarga[Data],"&lt;"&amp;A343)=0,"-",A343-_xlfn.MAXIFS(tblCarga[Data],tblCarga[Jogador],C343,tblCarga[Tipo],"Jogo",tblCarga[Data],"&lt;"&amp;A343))</f>
        <v/>
      </c>
      <c r="W343" s="272" t="n">
        <v>3</v>
      </c>
      <c r="X343" s="272" t="n">
        <v>2</v>
      </c>
      <c r="Y343" s="272" t="n">
        <v>1</v>
      </c>
      <c r="Z343" s="272" t="n">
        <v>2</v>
      </c>
      <c r="AA343" s="272" t="n">
        <v>8</v>
      </c>
    </row>
    <row r="344">
      <c r="A344" s="270" t="n">
        <v>46078</v>
      </c>
      <c r="B344" s="271" t="inlineStr">
        <is>
          <t>Belenenses</t>
        </is>
      </c>
      <c r="C344" s="271" t="inlineStr">
        <is>
          <t>Nogueira</t>
        </is>
      </c>
      <c r="D344" s="271" t="inlineStr">
        <is>
          <t>Central</t>
        </is>
      </c>
      <c r="E344" s="272" t="n">
        <v>94</v>
      </c>
      <c r="F344" s="272" t="n">
        <v>10031</v>
      </c>
      <c r="G344" s="272" t="n">
        <v>356</v>
      </c>
      <c r="H344" s="272" t="n">
        <v>42</v>
      </c>
      <c r="I344" s="272" t="n">
        <v>72</v>
      </c>
      <c r="J344" s="272" t="n">
        <v>96</v>
      </c>
      <c r="K344" s="272" t="n">
        <v>8</v>
      </c>
      <c r="L344" s="273" t="n">
        <v>29.4</v>
      </c>
      <c r="M344" s="272" t="n">
        <v>9</v>
      </c>
      <c r="N344" s="272" t="n">
        <v>13</v>
      </c>
      <c r="O344" s="272" t="n">
        <v>7</v>
      </c>
      <c r="P344" s="272" t="n">
        <v>2</v>
      </c>
      <c r="Q344" s="271" t="inlineStr">
        <is>
          <t>Treino</t>
        </is>
      </c>
      <c r="R344" s="272" t="n">
        <v>9</v>
      </c>
      <c r="S344" s="271" t="inlineStr">
        <is>
          <t>MD-5</t>
        </is>
      </c>
      <c r="T344" s="272" t="n"/>
      <c r="U344" s="272" t="n"/>
      <c r="V344" s="274">
        <f>IF(_xlfn.MAXIFS(tblCarga[Data],tblCarga[Jogador],C344,tblCarga[Tipo],"Jogo",tblCarga[Data],"&lt;"&amp;A344)=0,"-",A344-_xlfn.MAXIFS(tblCarga[Data],tblCarga[Jogador],C344,tblCarga[Tipo],"Jogo",tblCarga[Data],"&lt;"&amp;A344))</f>
        <v/>
      </c>
      <c r="W344" s="272" t="n">
        <v>1</v>
      </c>
      <c r="X344" s="272" t="n">
        <v>2</v>
      </c>
      <c r="Y344" s="272" t="n">
        <v>1</v>
      </c>
      <c r="Z344" s="272" t="n">
        <v>2</v>
      </c>
      <c r="AA344" s="272" t="n">
        <v>6</v>
      </c>
    </row>
    <row r="345">
      <c r="A345" s="270" t="n">
        <v>46079</v>
      </c>
      <c r="B345" s="271" t="inlineStr">
        <is>
          <t>Belenenses</t>
        </is>
      </c>
      <c r="C345" s="271" t="inlineStr">
        <is>
          <t>Paulino</t>
        </is>
      </c>
      <c r="D345" s="271" t="inlineStr">
        <is>
          <t>Médio</t>
        </is>
      </c>
      <c r="E345" s="272" t="n">
        <v>86</v>
      </c>
      <c r="F345" s="272" t="n">
        <v>8556</v>
      </c>
      <c r="G345" s="272" t="n">
        <v>274</v>
      </c>
      <c r="H345" s="272" t="n">
        <v>119</v>
      </c>
      <c r="I345" s="272" t="n">
        <v>76</v>
      </c>
      <c r="J345" s="272" t="n">
        <v>76</v>
      </c>
      <c r="K345" s="272" t="n">
        <v>8</v>
      </c>
      <c r="L345" s="273" t="n">
        <v>31</v>
      </c>
      <c r="M345" s="272" t="n">
        <v>9</v>
      </c>
      <c r="N345" s="272" t="n">
        <v>8</v>
      </c>
      <c r="O345" s="272" t="n">
        <v>5</v>
      </c>
      <c r="P345" s="272" t="n">
        <v>1</v>
      </c>
      <c r="Q345" s="271" t="inlineStr">
        <is>
          <t>Treino</t>
        </is>
      </c>
      <c r="R345" s="272" t="n">
        <v>9</v>
      </c>
      <c r="S345" s="271" t="inlineStr">
        <is>
          <t>MD-4</t>
        </is>
      </c>
      <c r="T345" s="272" t="n"/>
      <c r="U345" s="272" t="n"/>
      <c r="V345" s="274">
        <f>IF(_xlfn.MAXIFS(tblCarga[Data],tblCarga[Jogador],C345,tblCarga[Tipo],"Jogo",tblCarga[Data],"&lt;"&amp;A345)=0,"-",A345-_xlfn.MAXIFS(tblCarga[Data],tblCarga[Jogador],C345,tblCarga[Tipo],"Jogo",tblCarga[Data],"&lt;"&amp;A345))</f>
        <v/>
      </c>
      <c r="W345" s="272" t="n">
        <v>3</v>
      </c>
      <c r="X345" s="272" t="n">
        <v>2</v>
      </c>
      <c r="Y345" s="272" t="n">
        <v>3</v>
      </c>
      <c r="Z345" s="272" t="n">
        <v>2</v>
      </c>
      <c r="AA345" s="272" t="n">
        <v>10</v>
      </c>
    </row>
    <row r="346">
      <c r="A346" s="270" t="n">
        <v>46079</v>
      </c>
      <c r="B346" s="271" t="inlineStr">
        <is>
          <t>Belenenses</t>
        </is>
      </c>
      <c r="C346" s="271" t="inlineStr">
        <is>
          <t>Artur</t>
        </is>
      </c>
      <c r="D346" s="271" t="inlineStr">
        <is>
          <t>Médio</t>
        </is>
      </c>
      <c r="E346" s="272" t="n">
        <v>89</v>
      </c>
      <c r="F346" s="272" t="n">
        <v>9328</v>
      </c>
      <c r="G346" s="272" t="n">
        <v>238</v>
      </c>
      <c r="H346" s="272" t="n">
        <v>87</v>
      </c>
      <c r="I346" s="272" t="n">
        <v>83</v>
      </c>
      <c r="J346" s="272" t="n">
        <v>87</v>
      </c>
      <c r="K346" s="272" t="n">
        <v>8</v>
      </c>
      <c r="L346" s="273" t="n">
        <v>30.4</v>
      </c>
      <c r="M346" s="272" t="n">
        <v>9</v>
      </c>
      <c r="N346" s="272" t="n">
        <v>9</v>
      </c>
      <c r="O346" s="272" t="n">
        <v>4</v>
      </c>
      <c r="P346" s="272" t="n">
        <v>1</v>
      </c>
      <c r="Q346" s="271" t="inlineStr">
        <is>
          <t>Treino</t>
        </is>
      </c>
      <c r="R346" s="272" t="n">
        <v>9</v>
      </c>
      <c r="S346" s="271" t="inlineStr">
        <is>
          <t>MD-4</t>
        </is>
      </c>
      <c r="T346" s="272" t="n"/>
      <c r="U346" s="272" t="n"/>
      <c r="V346" s="274">
        <f>IF(_xlfn.MAXIFS(tblCarga[Data],tblCarga[Jogador],C346,tblCarga[Tipo],"Jogo",tblCarga[Data],"&lt;"&amp;A346)=0,"-",A346-_xlfn.MAXIFS(tblCarga[Data],tblCarga[Jogador],C346,tblCarga[Tipo],"Jogo",tblCarga[Data],"&lt;"&amp;A346))</f>
        <v/>
      </c>
      <c r="W346" s="272" t="n">
        <v>1</v>
      </c>
      <c r="X346" s="272" t="n">
        <v>2</v>
      </c>
      <c r="Y346" s="272" t="n">
        <v>2</v>
      </c>
      <c r="Z346" s="272" t="n">
        <v>2</v>
      </c>
      <c r="AA346" s="272" t="n">
        <v>7</v>
      </c>
    </row>
    <row r="347">
      <c r="A347" s="270" t="n">
        <v>46079</v>
      </c>
      <c r="B347" s="271" t="inlineStr">
        <is>
          <t>Belenenses</t>
        </is>
      </c>
      <c r="C347" s="271" t="inlineStr">
        <is>
          <t>Gomes</t>
        </is>
      </c>
      <c r="D347" s="271" t="inlineStr">
        <is>
          <t>Médio</t>
        </is>
      </c>
      <c r="E347" s="272" t="n">
        <v>88</v>
      </c>
      <c r="F347" s="272" t="n">
        <v>10206</v>
      </c>
      <c r="G347" s="272" t="n">
        <v>289</v>
      </c>
      <c r="H347" s="272" t="n">
        <v>109</v>
      </c>
      <c r="I347" s="272" t="n">
        <v>86</v>
      </c>
      <c r="J347" s="272" t="n">
        <v>87</v>
      </c>
      <c r="K347" s="272" t="n">
        <v>8</v>
      </c>
      <c r="L347" s="273" t="n">
        <v>28.7</v>
      </c>
      <c r="M347" s="272" t="n">
        <v>9</v>
      </c>
      <c r="N347" s="272" t="n">
        <v>10</v>
      </c>
      <c r="O347" s="272" t="n">
        <v>4</v>
      </c>
      <c r="P347" s="272" t="n">
        <v>2</v>
      </c>
      <c r="Q347" s="271" t="inlineStr">
        <is>
          <t>Treino</t>
        </is>
      </c>
      <c r="R347" s="272" t="n">
        <v>9</v>
      </c>
      <c r="S347" s="271" t="inlineStr">
        <is>
          <t>MD-4</t>
        </is>
      </c>
      <c r="T347" s="272" t="n"/>
      <c r="U347" s="272" t="n"/>
      <c r="V347" s="274">
        <f>IF(_xlfn.MAXIFS(tblCarga[Data],tblCarga[Jogador],C347,tblCarga[Tipo],"Jogo",tblCarga[Data],"&lt;"&amp;A347)=0,"-",A347-_xlfn.MAXIFS(tblCarga[Data],tblCarga[Jogador],C347,tblCarga[Tipo],"Jogo",tblCarga[Data],"&lt;"&amp;A347))</f>
        <v/>
      </c>
      <c r="W347" s="272" t="n">
        <v>2</v>
      </c>
      <c r="X347" s="272" t="n">
        <v>1</v>
      </c>
      <c r="Y347" s="272" t="n">
        <v>1</v>
      </c>
      <c r="Z347" s="272" t="n">
        <v>3</v>
      </c>
      <c r="AA347" s="272" t="n">
        <v>7</v>
      </c>
    </row>
    <row r="348">
      <c r="A348" s="270" t="n">
        <v>46079</v>
      </c>
      <c r="B348" s="271" t="inlineStr">
        <is>
          <t>Belenenses</t>
        </is>
      </c>
      <c r="C348" s="271" t="inlineStr">
        <is>
          <t>Sá</t>
        </is>
      </c>
      <c r="D348" s="271" t="inlineStr">
        <is>
          <t>Médio</t>
        </is>
      </c>
      <c r="E348" s="272" t="n">
        <v>97</v>
      </c>
      <c r="F348" s="272" t="n">
        <v>9672</v>
      </c>
      <c r="G348" s="272" t="n">
        <v>294</v>
      </c>
      <c r="H348" s="272" t="n">
        <v>106</v>
      </c>
      <c r="I348" s="272" t="n">
        <v>79</v>
      </c>
      <c r="J348" s="272" t="n">
        <v>93</v>
      </c>
      <c r="K348" s="272" t="n">
        <v>8</v>
      </c>
      <c r="L348" s="273" t="n">
        <v>31.1</v>
      </c>
      <c r="M348" s="272" t="n">
        <v>9</v>
      </c>
      <c r="N348" s="272" t="n">
        <v>8</v>
      </c>
      <c r="O348" s="272" t="n">
        <v>5</v>
      </c>
      <c r="P348" s="272" t="n">
        <v>2</v>
      </c>
      <c r="Q348" s="271" t="inlineStr">
        <is>
          <t>Treino</t>
        </is>
      </c>
      <c r="R348" s="272" t="n">
        <v>9</v>
      </c>
      <c r="S348" s="271" t="inlineStr">
        <is>
          <t>MD-4</t>
        </is>
      </c>
      <c r="T348" s="272" t="n"/>
      <c r="U348" s="272" t="n"/>
      <c r="V348" s="274">
        <f>IF(_xlfn.MAXIFS(tblCarga[Data],tblCarga[Jogador],C348,tblCarga[Tipo],"Jogo",tblCarga[Data],"&lt;"&amp;A348)=0,"-",A348-_xlfn.MAXIFS(tblCarga[Data],tblCarga[Jogador],C348,tblCarga[Tipo],"Jogo",tblCarga[Data],"&lt;"&amp;A348))</f>
        <v/>
      </c>
      <c r="W348" s="272" t="n">
        <v>1</v>
      </c>
      <c r="X348" s="272" t="n">
        <v>3</v>
      </c>
      <c r="Y348" s="272" t="n">
        <v>3</v>
      </c>
      <c r="Z348" s="272" t="n">
        <v>2</v>
      </c>
      <c r="AA348" s="272" t="n">
        <v>9</v>
      </c>
    </row>
    <row r="349">
      <c r="A349" s="270" t="n">
        <v>46079</v>
      </c>
      <c r="B349" s="271" t="inlineStr">
        <is>
          <t>Belenenses</t>
        </is>
      </c>
      <c r="C349" s="271" t="inlineStr">
        <is>
          <t>Varela</t>
        </is>
      </c>
      <c r="D349" s="271" t="inlineStr">
        <is>
          <t>Lateral</t>
        </is>
      </c>
      <c r="E349" s="272" t="n">
        <v>95</v>
      </c>
      <c r="F349" s="272" t="n">
        <v>11739</v>
      </c>
      <c r="G349" s="272" t="n">
        <v>430</v>
      </c>
      <c r="H349" s="272" t="n">
        <v>187</v>
      </c>
      <c r="I349" s="272" t="n">
        <v>82</v>
      </c>
      <c r="J349" s="272" t="n">
        <v>84</v>
      </c>
      <c r="K349" s="272" t="n">
        <v>8</v>
      </c>
      <c r="L349" s="273" t="n">
        <v>33.2</v>
      </c>
      <c r="M349" s="272" t="n">
        <v>9</v>
      </c>
      <c r="N349" s="272" t="n">
        <v>9</v>
      </c>
      <c r="O349" s="272" t="n">
        <v>5</v>
      </c>
      <c r="P349" s="272" t="n">
        <v>1</v>
      </c>
      <c r="Q349" s="271" t="inlineStr">
        <is>
          <t>Treino</t>
        </is>
      </c>
      <c r="R349" s="272" t="n">
        <v>9</v>
      </c>
      <c r="S349" s="271" t="inlineStr">
        <is>
          <t>MD-4</t>
        </is>
      </c>
      <c r="T349" s="272" t="n"/>
      <c r="U349" s="272" t="n"/>
      <c r="V349" s="274">
        <f>IF(_xlfn.MAXIFS(tblCarga[Data],tblCarga[Jogador],C349,tblCarga[Tipo],"Jogo",tblCarga[Data],"&lt;"&amp;A349)=0,"-",A349-_xlfn.MAXIFS(tblCarga[Data],tblCarga[Jogador],C349,tblCarga[Tipo],"Jogo",tblCarga[Data],"&lt;"&amp;A349))</f>
        <v/>
      </c>
      <c r="W349" s="272" t="n">
        <v>3</v>
      </c>
      <c r="X349" s="272" t="n">
        <v>2</v>
      </c>
      <c r="Y349" s="272" t="n">
        <v>3</v>
      </c>
      <c r="Z349" s="272" t="n">
        <v>1</v>
      </c>
      <c r="AA349" s="272" t="n">
        <v>9</v>
      </c>
    </row>
    <row r="350">
      <c r="A350" s="270" t="n">
        <v>46079</v>
      </c>
      <c r="B350" s="271" t="inlineStr">
        <is>
          <t>Belenenses</t>
        </is>
      </c>
      <c r="C350" s="271" t="inlineStr">
        <is>
          <t>Edu</t>
        </is>
      </c>
      <c r="D350" s="271" t="inlineStr">
        <is>
          <t>Lateral</t>
        </is>
      </c>
      <c r="E350" s="272" t="n">
        <v>94</v>
      </c>
      <c r="F350" s="272" t="n">
        <v>13371</v>
      </c>
      <c r="G350" s="272" t="n">
        <v>462</v>
      </c>
      <c r="H350" s="272" t="n">
        <v>196</v>
      </c>
      <c r="I350" s="272" t="n">
        <v>77</v>
      </c>
      <c r="J350" s="272" t="n">
        <v>83</v>
      </c>
      <c r="K350" s="272" t="n">
        <v>7</v>
      </c>
      <c r="L350" s="273" t="n">
        <v>32.7</v>
      </c>
      <c r="M350" s="272" t="n">
        <v>9</v>
      </c>
      <c r="N350" s="272" t="n">
        <v>8</v>
      </c>
      <c r="O350" s="272" t="n">
        <v>3</v>
      </c>
      <c r="P350" s="272" t="n">
        <v>1</v>
      </c>
      <c r="Q350" s="271" t="inlineStr">
        <is>
          <t>Treino</t>
        </is>
      </c>
      <c r="R350" s="272" t="n">
        <v>9</v>
      </c>
      <c r="S350" s="271" t="inlineStr">
        <is>
          <t>MD-4</t>
        </is>
      </c>
      <c r="T350" s="272" t="n"/>
      <c r="U350" s="272" t="n"/>
      <c r="V350" s="274">
        <f>IF(_xlfn.MAXIFS(tblCarga[Data],tblCarga[Jogador],C350,tblCarga[Tipo],"Jogo",tblCarga[Data],"&lt;"&amp;A350)=0,"-",A350-_xlfn.MAXIFS(tblCarga[Data],tblCarga[Jogador],C350,tblCarga[Tipo],"Jogo",tblCarga[Data],"&lt;"&amp;A350))</f>
        <v/>
      </c>
      <c r="W350" s="272" t="n">
        <v>2</v>
      </c>
      <c r="X350" s="272" t="n">
        <v>3</v>
      </c>
      <c r="Y350" s="272" t="n">
        <v>1</v>
      </c>
      <c r="Z350" s="272" t="n">
        <v>2</v>
      </c>
      <c r="AA350" s="272" t="n">
        <v>8</v>
      </c>
    </row>
    <row r="351">
      <c r="A351" s="270" t="n">
        <v>46079</v>
      </c>
      <c r="B351" s="271" t="inlineStr">
        <is>
          <t>Belenenses</t>
        </is>
      </c>
      <c r="C351" s="271" t="inlineStr">
        <is>
          <t>Capitulo</t>
        </is>
      </c>
      <c r="D351" s="271" t="inlineStr">
        <is>
          <t>Lateral</t>
        </is>
      </c>
      <c r="E351" s="272" t="n">
        <v>95</v>
      </c>
      <c r="F351" s="272" t="n">
        <v>13522</v>
      </c>
      <c r="G351" s="272" t="n">
        <v>486</v>
      </c>
      <c r="H351" s="272" t="n">
        <v>196</v>
      </c>
      <c r="I351" s="272" t="n">
        <v>89</v>
      </c>
      <c r="J351" s="272" t="n">
        <v>91</v>
      </c>
      <c r="K351" s="272" t="n">
        <v>8</v>
      </c>
      <c r="L351" s="273" t="n">
        <v>30.3</v>
      </c>
      <c r="M351" s="272" t="n">
        <v>9</v>
      </c>
      <c r="N351" s="272" t="n">
        <v>11</v>
      </c>
      <c r="O351" s="272" t="n">
        <v>6</v>
      </c>
      <c r="P351" s="272" t="n">
        <v>2</v>
      </c>
      <c r="Q351" s="271" t="inlineStr">
        <is>
          <t>Treino</t>
        </is>
      </c>
      <c r="R351" s="272" t="n">
        <v>9</v>
      </c>
      <c r="S351" s="271" t="inlineStr">
        <is>
          <t>MD-4</t>
        </is>
      </c>
      <c r="T351" s="272" t="n"/>
      <c r="U351" s="272" t="n"/>
      <c r="V351" s="274">
        <f>IF(_xlfn.MAXIFS(tblCarga[Data],tblCarga[Jogador],C351,tblCarga[Tipo],"Jogo",tblCarga[Data],"&lt;"&amp;A351)=0,"-",A351-_xlfn.MAXIFS(tblCarga[Data],tblCarga[Jogador],C351,tblCarga[Tipo],"Jogo",tblCarga[Data],"&lt;"&amp;A351))</f>
        <v/>
      </c>
      <c r="W351" s="272" t="n">
        <v>3</v>
      </c>
      <c r="X351" s="272" t="n">
        <v>3</v>
      </c>
      <c r="Y351" s="272" t="n">
        <v>3</v>
      </c>
      <c r="Z351" s="272" t="n">
        <v>3</v>
      </c>
      <c r="AA351" s="272" t="n">
        <v>12</v>
      </c>
    </row>
    <row r="352">
      <c r="A352" s="270" t="n">
        <v>46079</v>
      </c>
      <c r="B352" s="271" t="inlineStr">
        <is>
          <t>Belenenses</t>
        </is>
      </c>
      <c r="C352" s="271" t="inlineStr">
        <is>
          <t>Enzo Hugo</t>
        </is>
      </c>
      <c r="D352" s="271" t="inlineStr">
        <is>
          <t>Central</t>
        </is>
      </c>
      <c r="E352" s="272" t="n">
        <v>82</v>
      </c>
      <c r="F352" s="272" t="n">
        <v>10602</v>
      </c>
      <c r="G352" s="272" t="n">
        <v>299</v>
      </c>
      <c r="H352" s="272" t="n">
        <v>46</v>
      </c>
      <c r="I352" s="272" t="n">
        <v>89</v>
      </c>
      <c r="J352" s="272" t="n">
        <v>88</v>
      </c>
      <c r="K352" s="272" t="n">
        <v>8</v>
      </c>
      <c r="L352" s="273" t="n">
        <v>27.9</v>
      </c>
      <c r="M352" s="272" t="n">
        <v>9</v>
      </c>
      <c r="N352" s="272" t="n">
        <v>12</v>
      </c>
      <c r="O352" s="272" t="n">
        <v>4</v>
      </c>
      <c r="P352" s="272" t="n">
        <v>1</v>
      </c>
      <c r="Q352" s="271" t="inlineStr">
        <is>
          <t>Treino</t>
        </is>
      </c>
      <c r="R352" s="272" t="n">
        <v>9</v>
      </c>
      <c r="S352" s="271" t="inlineStr">
        <is>
          <t>MD-4</t>
        </is>
      </c>
      <c r="T352" s="272" t="n"/>
      <c r="U352" s="272" t="n"/>
      <c r="V352" s="274">
        <f>IF(_xlfn.MAXIFS(tblCarga[Data],tblCarga[Jogador],C352,tblCarga[Tipo],"Jogo",tblCarga[Data],"&lt;"&amp;A352)=0,"-",A352-_xlfn.MAXIFS(tblCarga[Data],tblCarga[Jogador],C352,tblCarga[Tipo],"Jogo",tblCarga[Data],"&lt;"&amp;A352))</f>
        <v/>
      </c>
      <c r="W352" s="272" t="n">
        <v>3</v>
      </c>
      <c r="X352" s="272" t="n">
        <v>2</v>
      </c>
      <c r="Y352" s="272" t="n">
        <v>2</v>
      </c>
      <c r="Z352" s="272" t="n">
        <v>2</v>
      </c>
      <c r="AA352" s="272" t="n">
        <v>9</v>
      </c>
    </row>
    <row r="353">
      <c r="A353" s="270" t="n">
        <v>46079</v>
      </c>
      <c r="B353" s="271" t="inlineStr">
        <is>
          <t>Belenenses</t>
        </is>
      </c>
      <c r="C353" s="271" t="inlineStr">
        <is>
          <t>Nogueira</t>
        </is>
      </c>
      <c r="D353" s="271" t="inlineStr">
        <is>
          <t>Central</t>
        </is>
      </c>
      <c r="E353" s="272" t="n">
        <v>81</v>
      </c>
      <c r="F353" s="272" t="n">
        <v>9998</v>
      </c>
      <c r="G353" s="272" t="n">
        <v>351</v>
      </c>
      <c r="H353" s="272" t="n">
        <v>49</v>
      </c>
      <c r="I353" s="272" t="n">
        <v>70</v>
      </c>
      <c r="J353" s="272" t="n">
        <v>96</v>
      </c>
      <c r="K353" s="272" t="n">
        <v>7</v>
      </c>
      <c r="L353" s="273" t="n">
        <v>30.4</v>
      </c>
      <c r="M353" s="272" t="n">
        <v>9</v>
      </c>
      <c r="N353" s="272" t="n">
        <v>7</v>
      </c>
      <c r="O353" s="272" t="n">
        <v>4</v>
      </c>
      <c r="P353" s="272" t="n">
        <v>2</v>
      </c>
      <c r="Q353" s="271" t="inlineStr">
        <is>
          <t>Treino</t>
        </is>
      </c>
      <c r="R353" s="272" t="n">
        <v>9</v>
      </c>
      <c r="S353" s="271" t="inlineStr">
        <is>
          <t>MD-4</t>
        </is>
      </c>
      <c r="T353" s="272" t="n"/>
      <c r="U353" s="272" t="n"/>
      <c r="V353" s="274">
        <f>IF(_xlfn.MAXIFS(tblCarga[Data],tblCarga[Jogador],C353,tblCarga[Tipo],"Jogo",tblCarga[Data],"&lt;"&amp;A353)=0,"-",A353-_xlfn.MAXIFS(tblCarga[Data],tblCarga[Jogador],C353,tblCarga[Tipo],"Jogo",tblCarga[Data],"&lt;"&amp;A353))</f>
        <v/>
      </c>
      <c r="W353" s="272" t="n">
        <v>2</v>
      </c>
      <c r="X353" s="272" t="n">
        <v>1</v>
      </c>
      <c r="Y353" s="272" t="n">
        <v>2</v>
      </c>
      <c r="Z353" s="272" t="n">
        <v>2</v>
      </c>
      <c r="AA353" s="272" t="n">
        <v>7</v>
      </c>
    </row>
    <row r="354">
      <c r="A354" s="270" t="n">
        <v>46080</v>
      </c>
      <c r="B354" s="271" t="inlineStr">
        <is>
          <t>Belenenses</t>
        </is>
      </c>
      <c r="C354" s="271" t="inlineStr">
        <is>
          <t>Paulino</t>
        </is>
      </c>
      <c r="D354" s="271" t="inlineStr">
        <is>
          <t>Médio</t>
        </is>
      </c>
      <c r="E354" s="272" t="n">
        <v>83</v>
      </c>
      <c r="F354" s="272" t="n">
        <v>7796</v>
      </c>
      <c r="G354" s="272" t="n">
        <v>279</v>
      </c>
      <c r="H354" s="272" t="n">
        <v>135</v>
      </c>
      <c r="I354" s="272" t="n">
        <v>72</v>
      </c>
      <c r="J354" s="272" t="n">
        <v>69</v>
      </c>
      <c r="K354" s="272" t="n">
        <v>8</v>
      </c>
      <c r="L354" s="273" t="n">
        <v>30.8</v>
      </c>
      <c r="M354" s="272" t="n">
        <v>9</v>
      </c>
      <c r="N354" s="272" t="n">
        <v>14</v>
      </c>
      <c r="O354" s="272" t="n">
        <v>8</v>
      </c>
      <c r="P354" s="272" t="n">
        <v>2</v>
      </c>
      <c r="Q354" s="271" t="inlineStr">
        <is>
          <t>Treino</t>
        </is>
      </c>
      <c r="R354" s="272" t="n">
        <v>9</v>
      </c>
      <c r="S354" s="271" t="inlineStr">
        <is>
          <t>MD-3</t>
        </is>
      </c>
      <c r="T354" s="272" t="n"/>
      <c r="U354" s="272" t="n"/>
      <c r="V354" s="274">
        <f>IF(_xlfn.MAXIFS(tblCarga[Data],tblCarga[Jogador],C354,tblCarga[Tipo],"Jogo",tblCarga[Data],"&lt;"&amp;A354)=0,"-",A354-_xlfn.MAXIFS(tblCarga[Data],tblCarga[Jogador],C354,tblCarga[Tipo],"Jogo",tblCarga[Data],"&lt;"&amp;A354))</f>
        <v/>
      </c>
      <c r="W354" s="272" t="n">
        <v>2</v>
      </c>
      <c r="X354" s="272" t="n">
        <v>1</v>
      </c>
      <c r="Y354" s="272" t="n">
        <v>2</v>
      </c>
      <c r="Z354" s="272" t="n">
        <v>2</v>
      </c>
      <c r="AA354" s="272" t="n">
        <v>7</v>
      </c>
    </row>
    <row r="355">
      <c r="A355" s="270" t="n">
        <v>46080</v>
      </c>
      <c r="B355" s="271" t="inlineStr">
        <is>
          <t>Belenenses</t>
        </is>
      </c>
      <c r="C355" s="271" t="inlineStr">
        <is>
          <t>Artur</t>
        </is>
      </c>
      <c r="D355" s="271" t="inlineStr">
        <is>
          <t>Médio</t>
        </is>
      </c>
      <c r="E355" s="272" t="n">
        <v>83</v>
      </c>
      <c r="F355" s="272" t="n">
        <v>8311</v>
      </c>
      <c r="G355" s="272" t="n">
        <v>234</v>
      </c>
      <c r="H355" s="272" t="n">
        <v>101</v>
      </c>
      <c r="I355" s="272" t="n">
        <v>77</v>
      </c>
      <c r="J355" s="272" t="n">
        <v>77</v>
      </c>
      <c r="K355" s="272" t="n">
        <v>7</v>
      </c>
      <c r="L355" s="273" t="n">
        <v>29.1</v>
      </c>
      <c r="M355" s="272" t="n">
        <v>9</v>
      </c>
      <c r="N355" s="272" t="n">
        <v>12</v>
      </c>
      <c r="O355" s="272" t="n">
        <v>5</v>
      </c>
      <c r="P355" s="272" t="n">
        <v>2</v>
      </c>
      <c r="Q355" s="271" t="inlineStr">
        <is>
          <t>Treino</t>
        </is>
      </c>
      <c r="R355" s="272" t="n">
        <v>9</v>
      </c>
      <c r="S355" s="271" t="inlineStr">
        <is>
          <t>MD-3</t>
        </is>
      </c>
      <c r="T355" s="272" t="n"/>
      <c r="U355" s="272" t="n"/>
      <c r="V355" s="274">
        <f>IF(_xlfn.MAXIFS(tblCarga[Data],tblCarga[Jogador],C355,tblCarga[Tipo],"Jogo",tblCarga[Data],"&lt;"&amp;A355)=0,"-",A355-_xlfn.MAXIFS(tblCarga[Data],tblCarga[Jogador],C355,tblCarga[Tipo],"Jogo",tblCarga[Data],"&lt;"&amp;A355))</f>
        <v/>
      </c>
      <c r="W355" s="272" t="n">
        <v>2</v>
      </c>
      <c r="X355" s="272" t="n">
        <v>2</v>
      </c>
      <c r="Y355" s="272" t="n">
        <v>2</v>
      </c>
      <c r="Z355" s="272" t="n">
        <v>2</v>
      </c>
      <c r="AA355" s="272" t="n">
        <v>8</v>
      </c>
    </row>
    <row r="356">
      <c r="A356" s="270" t="n">
        <v>46080</v>
      </c>
      <c r="B356" s="271" t="inlineStr">
        <is>
          <t>Belenenses</t>
        </is>
      </c>
      <c r="C356" s="271" t="inlineStr">
        <is>
          <t>Gomes</t>
        </is>
      </c>
      <c r="D356" s="271" t="inlineStr">
        <is>
          <t>Médio</t>
        </is>
      </c>
      <c r="E356" s="272" t="n">
        <v>79</v>
      </c>
      <c r="F356" s="272" t="n">
        <v>9341</v>
      </c>
      <c r="G356" s="272" t="n">
        <v>248</v>
      </c>
      <c r="H356" s="272" t="n">
        <v>115</v>
      </c>
      <c r="I356" s="272" t="n">
        <v>80</v>
      </c>
      <c r="J356" s="272" t="n">
        <v>87</v>
      </c>
      <c r="K356" s="272" t="n">
        <v>8</v>
      </c>
      <c r="L356" s="273" t="n">
        <v>28</v>
      </c>
      <c r="M356" s="272" t="n">
        <v>9</v>
      </c>
      <c r="N356" s="272" t="n">
        <v>15</v>
      </c>
      <c r="O356" s="272" t="n">
        <v>8</v>
      </c>
      <c r="P356" s="272" t="n">
        <v>2</v>
      </c>
      <c r="Q356" s="271" t="inlineStr">
        <is>
          <t>Treino</t>
        </is>
      </c>
      <c r="R356" s="272" t="n">
        <v>9</v>
      </c>
      <c r="S356" s="271" t="inlineStr">
        <is>
          <t>MD-3</t>
        </is>
      </c>
      <c r="T356" s="272" t="n"/>
      <c r="U356" s="272" t="n"/>
      <c r="V356" s="274">
        <f>IF(_xlfn.MAXIFS(tblCarga[Data],tblCarga[Jogador],C356,tblCarga[Tipo],"Jogo",tblCarga[Data],"&lt;"&amp;A356)=0,"-",A356-_xlfn.MAXIFS(tblCarga[Data],tblCarga[Jogador],C356,tblCarga[Tipo],"Jogo",tblCarga[Data],"&lt;"&amp;A356))</f>
        <v/>
      </c>
      <c r="W356" s="272" t="n">
        <v>3</v>
      </c>
      <c r="X356" s="272" t="n">
        <v>2</v>
      </c>
      <c r="Y356" s="272" t="n">
        <v>1</v>
      </c>
      <c r="Z356" s="272" t="n">
        <v>2</v>
      </c>
      <c r="AA356" s="272" t="n">
        <v>8</v>
      </c>
    </row>
    <row r="357">
      <c r="A357" s="270" t="n">
        <v>46080</v>
      </c>
      <c r="B357" s="271" t="inlineStr">
        <is>
          <t>Belenenses</t>
        </is>
      </c>
      <c r="C357" s="271" t="inlineStr">
        <is>
          <t>Sá</t>
        </is>
      </c>
      <c r="D357" s="271" t="inlineStr">
        <is>
          <t>Médio</t>
        </is>
      </c>
      <c r="E357" s="272" t="n">
        <v>91</v>
      </c>
      <c r="F357" s="272" t="n">
        <v>9313</v>
      </c>
      <c r="G357" s="272" t="n">
        <v>265</v>
      </c>
      <c r="H357" s="272" t="n">
        <v>115</v>
      </c>
      <c r="I357" s="272" t="n">
        <v>75</v>
      </c>
      <c r="J357" s="272" t="n">
        <v>82</v>
      </c>
      <c r="K357" s="272" t="n">
        <v>8</v>
      </c>
      <c r="L357" s="273" t="n">
        <v>30.6</v>
      </c>
      <c r="M357" s="272" t="n">
        <v>9</v>
      </c>
      <c r="N357" s="272" t="n">
        <v>15</v>
      </c>
      <c r="O357" s="272" t="n">
        <v>8</v>
      </c>
      <c r="P357" s="272" t="n">
        <v>2</v>
      </c>
      <c r="Q357" s="271" t="inlineStr">
        <is>
          <t>Treino</t>
        </is>
      </c>
      <c r="R357" s="272" t="n">
        <v>9</v>
      </c>
      <c r="S357" s="271" t="inlineStr">
        <is>
          <t>MD-3</t>
        </is>
      </c>
      <c r="T357" s="272" t="n"/>
      <c r="U357" s="272" t="n"/>
      <c r="V357" s="274">
        <f>IF(_xlfn.MAXIFS(tblCarga[Data],tblCarga[Jogador],C357,tblCarga[Tipo],"Jogo",tblCarga[Data],"&lt;"&amp;A357)=0,"-",A357-_xlfn.MAXIFS(tblCarga[Data],tblCarga[Jogador],C357,tblCarga[Tipo],"Jogo",tblCarga[Data],"&lt;"&amp;A357))</f>
        <v/>
      </c>
      <c r="W357" s="272" t="n">
        <v>3</v>
      </c>
      <c r="X357" s="272" t="n">
        <v>1</v>
      </c>
      <c r="Y357" s="272" t="n">
        <v>2</v>
      </c>
      <c r="Z357" s="272" t="n">
        <v>2</v>
      </c>
      <c r="AA357" s="272" t="n">
        <v>8</v>
      </c>
    </row>
    <row r="358">
      <c r="A358" s="270" t="n">
        <v>46080</v>
      </c>
      <c r="B358" s="271" t="inlineStr">
        <is>
          <t>Belenenses</t>
        </is>
      </c>
      <c r="C358" s="271" t="inlineStr">
        <is>
          <t>Varela</t>
        </is>
      </c>
      <c r="D358" s="271" t="inlineStr">
        <is>
          <t>Lateral</t>
        </is>
      </c>
      <c r="E358" s="272" t="n">
        <v>83</v>
      </c>
      <c r="F358" s="272" t="n">
        <v>9999</v>
      </c>
      <c r="G358" s="272" t="n">
        <v>431</v>
      </c>
      <c r="H358" s="272" t="n">
        <v>182</v>
      </c>
      <c r="I358" s="272" t="n">
        <v>78</v>
      </c>
      <c r="J358" s="272" t="n">
        <v>76</v>
      </c>
      <c r="K358" s="272" t="n">
        <v>7</v>
      </c>
      <c r="L358" s="273" t="n">
        <v>32.2</v>
      </c>
      <c r="M358" s="272" t="n">
        <v>9</v>
      </c>
      <c r="N358" s="272" t="n">
        <v>15</v>
      </c>
      <c r="O358" s="272" t="n">
        <v>6</v>
      </c>
      <c r="P358" s="272" t="n">
        <v>3</v>
      </c>
      <c r="Q358" s="271" t="inlineStr">
        <is>
          <t>Treino</t>
        </is>
      </c>
      <c r="R358" s="272" t="n">
        <v>9</v>
      </c>
      <c r="S358" s="271" t="inlineStr">
        <is>
          <t>MD-3</t>
        </is>
      </c>
      <c r="T358" s="272" t="n"/>
      <c r="U358" s="272" t="n"/>
      <c r="V358" s="274">
        <f>IF(_xlfn.MAXIFS(tblCarga[Data],tblCarga[Jogador],C358,tblCarga[Tipo],"Jogo",tblCarga[Data],"&lt;"&amp;A358)=0,"-",A358-_xlfn.MAXIFS(tblCarga[Data],tblCarga[Jogador],C358,tblCarga[Tipo],"Jogo",tblCarga[Data],"&lt;"&amp;A358))</f>
        <v/>
      </c>
      <c r="W358" s="272" t="n">
        <v>1</v>
      </c>
      <c r="X358" s="272" t="n">
        <v>3</v>
      </c>
      <c r="Y358" s="272" t="n">
        <v>3</v>
      </c>
      <c r="Z358" s="272" t="n">
        <v>2</v>
      </c>
      <c r="AA358" s="272" t="n">
        <v>9</v>
      </c>
    </row>
    <row r="359">
      <c r="A359" s="270" t="n">
        <v>46080</v>
      </c>
      <c r="B359" s="271" t="inlineStr">
        <is>
          <t>Belenenses</t>
        </is>
      </c>
      <c r="C359" s="271" t="inlineStr">
        <is>
          <t>Edu</t>
        </is>
      </c>
      <c r="D359" s="271" t="inlineStr">
        <is>
          <t>Lateral</t>
        </is>
      </c>
      <c r="E359" s="272" t="n">
        <v>95</v>
      </c>
      <c r="F359" s="272" t="n">
        <v>12132</v>
      </c>
      <c r="G359" s="272" t="n">
        <v>476</v>
      </c>
      <c r="H359" s="272" t="n">
        <v>210</v>
      </c>
      <c r="I359" s="272" t="n">
        <v>76</v>
      </c>
      <c r="J359" s="272" t="n">
        <v>83</v>
      </c>
      <c r="K359" s="272" t="n">
        <v>8</v>
      </c>
      <c r="L359" s="273" t="n">
        <v>31.7</v>
      </c>
      <c r="M359" s="272" t="n">
        <v>9</v>
      </c>
      <c r="N359" s="272" t="n">
        <v>13</v>
      </c>
      <c r="O359" s="272" t="n">
        <v>6</v>
      </c>
      <c r="P359" s="272" t="n">
        <v>2</v>
      </c>
      <c r="Q359" s="271" t="inlineStr">
        <is>
          <t>Treino</t>
        </is>
      </c>
      <c r="R359" s="272" t="n">
        <v>9</v>
      </c>
      <c r="S359" s="271" t="inlineStr">
        <is>
          <t>MD-3</t>
        </is>
      </c>
      <c r="T359" s="272" t="n"/>
      <c r="U359" s="272" t="n"/>
      <c r="V359" s="274">
        <f>IF(_xlfn.MAXIFS(tblCarga[Data],tblCarga[Jogador],C359,tblCarga[Tipo],"Jogo",tblCarga[Data],"&lt;"&amp;A359)=0,"-",A359-_xlfn.MAXIFS(tblCarga[Data],tblCarga[Jogador],C359,tblCarga[Tipo],"Jogo",tblCarga[Data],"&lt;"&amp;A359))</f>
        <v/>
      </c>
      <c r="W359" s="272" t="n">
        <v>2</v>
      </c>
      <c r="X359" s="272" t="n">
        <v>2</v>
      </c>
      <c r="Y359" s="272" t="n">
        <v>3</v>
      </c>
      <c r="Z359" s="272" t="n">
        <v>3</v>
      </c>
      <c r="AA359" s="272" t="n">
        <v>10</v>
      </c>
    </row>
    <row r="360">
      <c r="A360" s="270" t="n">
        <v>46080</v>
      </c>
      <c r="B360" s="271" t="inlineStr">
        <is>
          <t>Belenenses</t>
        </is>
      </c>
      <c r="C360" s="271" t="inlineStr">
        <is>
          <t>Capitulo</t>
        </is>
      </c>
      <c r="D360" s="271" t="inlineStr">
        <is>
          <t>Lateral</t>
        </is>
      </c>
      <c r="E360" s="272" t="n">
        <v>89</v>
      </c>
      <c r="F360" s="272" t="n">
        <v>10804</v>
      </c>
      <c r="G360" s="272" t="n">
        <v>442</v>
      </c>
      <c r="H360" s="272" t="n">
        <v>184</v>
      </c>
      <c r="I360" s="272" t="n">
        <v>93</v>
      </c>
      <c r="J360" s="272" t="n">
        <v>86</v>
      </c>
      <c r="K360" s="272" t="n">
        <v>7</v>
      </c>
      <c r="L360" s="273" t="n">
        <v>29.9</v>
      </c>
      <c r="M360" s="272" t="n">
        <v>9</v>
      </c>
      <c r="N360" s="272" t="n">
        <v>14</v>
      </c>
      <c r="O360" s="272" t="n">
        <v>7</v>
      </c>
      <c r="P360" s="272" t="n">
        <v>3</v>
      </c>
      <c r="Q360" s="271" t="inlineStr">
        <is>
          <t>Treino</t>
        </is>
      </c>
      <c r="R360" s="272" t="n">
        <v>9</v>
      </c>
      <c r="S360" s="271" t="inlineStr">
        <is>
          <t>MD-3</t>
        </is>
      </c>
      <c r="T360" s="272" t="n"/>
      <c r="U360" s="272" t="n"/>
      <c r="V360" s="274">
        <f>IF(_xlfn.MAXIFS(tblCarga[Data],tblCarga[Jogador],C360,tblCarga[Tipo],"Jogo",tblCarga[Data],"&lt;"&amp;A360)=0,"-",A360-_xlfn.MAXIFS(tblCarga[Data],tblCarga[Jogador],C360,tblCarga[Tipo],"Jogo",tblCarga[Data],"&lt;"&amp;A360))</f>
        <v/>
      </c>
      <c r="W360" s="272" t="n">
        <v>2</v>
      </c>
      <c r="X360" s="272" t="n">
        <v>1</v>
      </c>
      <c r="Y360" s="272" t="n">
        <v>2</v>
      </c>
      <c r="Z360" s="272" t="n">
        <v>2</v>
      </c>
      <c r="AA360" s="272" t="n">
        <v>7</v>
      </c>
    </row>
    <row r="361">
      <c r="A361" s="270" t="n">
        <v>46080</v>
      </c>
      <c r="B361" s="271" t="inlineStr">
        <is>
          <t>Belenenses</t>
        </is>
      </c>
      <c r="C361" s="271" t="inlineStr">
        <is>
          <t>Enzo Hugo</t>
        </is>
      </c>
      <c r="D361" s="271" t="inlineStr">
        <is>
          <t>Central</t>
        </is>
      </c>
      <c r="E361" s="272" t="n">
        <v>91</v>
      </c>
      <c r="F361" s="272" t="n">
        <v>8497</v>
      </c>
      <c r="G361" s="272" t="n">
        <v>305</v>
      </c>
      <c r="H361" s="272" t="n">
        <v>47</v>
      </c>
      <c r="I361" s="272" t="n">
        <v>82</v>
      </c>
      <c r="J361" s="272" t="n">
        <v>91</v>
      </c>
      <c r="K361" s="272" t="n">
        <v>7</v>
      </c>
      <c r="L361" s="273" t="n">
        <v>28.8</v>
      </c>
      <c r="M361" s="272" t="n">
        <v>9</v>
      </c>
      <c r="N361" s="272" t="n">
        <v>9</v>
      </c>
      <c r="O361" s="272" t="n">
        <v>5</v>
      </c>
      <c r="P361" s="272" t="n">
        <v>1</v>
      </c>
      <c r="Q361" s="271" t="inlineStr">
        <is>
          <t>Treino</t>
        </is>
      </c>
      <c r="R361" s="272" t="n">
        <v>9</v>
      </c>
      <c r="S361" s="271" t="inlineStr">
        <is>
          <t>MD-3</t>
        </is>
      </c>
      <c r="T361" s="272" t="n"/>
      <c r="U361" s="272" t="n"/>
      <c r="V361" s="274">
        <f>IF(_xlfn.MAXIFS(tblCarga[Data],tblCarga[Jogador],C361,tblCarga[Tipo],"Jogo",tblCarga[Data],"&lt;"&amp;A361)=0,"-",A361-_xlfn.MAXIFS(tblCarga[Data],tblCarga[Jogador],C361,tblCarga[Tipo],"Jogo",tblCarga[Data],"&lt;"&amp;A361))</f>
        <v/>
      </c>
      <c r="W361" s="272" t="n">
        <v>2</v>
      </c>
      <c r="X361" s="272" t="n">
        <v>2</v>
      </c>
      <c r="Y361" s="272" t="n">
        <v>3</v>
      </c>
      <c r="Z361" s="272" t="n">
        <v>2</v>
      </c>
      <c r="AA361" s="272" t="n">
        <v>9</v>
      </c>
    </row>
    <row r="362">
      <c r="A362" s="270" t="n">
        <v>46080</v>
      </c>
      <c r="B362" s="271" t="inlineStr">
        <is>
          <t>Belenenses</t>
        </is>
      </c>
      <c r="C362" s="271" t="inlineStr">
        <is>
          <t>Nogueira</t>
        </is>
      </c>
      <c r="D362" s="271" t="inlineStr">
        <is>
          <t>Central</t>
        </is>
      </c>
      <c r="E362" s="272" t="n">
        <v>80</v>
      </c>
      <c r="F362" s="272" t="n">
        <v>9929</v>
      </c>
      <c r="G362" s="272" t="n">
        <v>352</v>
      </c>
      <c r="H362" s="272" t="n">
        <v>54</v>
      </c>
      <c r="I362" s="272" t="n">
        <v>72</v>
      </c>
      <c r="J362" s="272" t="n">
        <v>83</v>
      </c>
      <c r="K362" s="272" t="n">
        <v>9</v>
      </c>
      <c r="L362" s="273" t="n">
        <v>28.3</v>
      </c>
      <c r="M362" s="272" t="n">
        <v>9</v>
      </c>
      <c r="N362" s="272" t="n">
        <v>13</v>
      </c>
      <c r="O362" s="272" t="n">
        <v>6</v>
      </c>
      <c r="P362" s="272" t="n">
        <v>2</v>
      </c>
      <c r="Q362" s="271" t="inlineStr">
        <is>
          <t>Treino</t>
        </is>
      </c>
      <c r="R362" s="272" t="n">
        <v>9</v>
      </c>
      <c r="S362" s="271" t="inlineStr">
        <is>
          <t>MD-3</t>
        </is>
      </c>
      <c r="T362" s="272" t="n"/>
      <c r="U362" s="272" t="n"/>
      <c r="V362" s="274">
        <f>IF(_xlfn.MAXIFS(tblCarga[Data],tblCarga[Jogador],C362,tblCarga[Tipo],"Jogo",tblCarga[Data],"&lt;"&amp;A362)=0,"-",A362-_xlfn.MAXIFS(tblCarga[Data],tblCarga[Jogador],C362,tblCarga[Tipo],"Jogo",tblCarga[Data],"&lt;"&amp;A362))</f>
        <v/>
      </c>
      <c r="W362" s="272" t="n">
        <v>3</v>
      </c>
      <c r="X362" s="272" t="n">
        <v>3</v>
      </c>
      <c r="Y362" s="272" t="n">
        <v>2</v>
      </c>
      <c r="Z362" s="272" t="n">
        <v>3</v>
      </c>
      <c r="AA362" s="272" t="n">
        <v>11</v>
      </c>
    </row>
    <row r="363">
      <c r="A363" s="270" t="n">
        <v>46082</v>
      </c>
      <c r="B363" s="271" t="inlineStr">
        <is>
          <t>Belenenses</t>
        </is>
      </c>
      <c r="C363" s="271" t="inlineStr">
        <is>
          <t>Paulino</t>
        </is>
      </c>
      <c r="D363" s="271" t="inlineStr">
        <is>
          <t>Médio</t>
        </is>
      </c>
      <c r="E363" s="272" t="n">
        <v>89</v>
      </c>
      <c r="F363" s="272" t="n">
        <v>8004</v>
      </c>
      <c r="G363" s="272" t="n">
        <v>245</v>
      </c>
      <c r="H363" s="272" t="n">
        <v>111</v>
      </c>
      <c r="I363" s="272" t="n">
        <v>73</v>
      </c>
      <c r="J363" s="272" t="n">
        <v>74</v>
      </c>
      <c r="K363" s="272" t="n">
        <v>7</v>
      </c>
      <c r="L363" s="273" t="n">
        <v>30.3</v>
      </c>
      <c r="M363" s="272" t="n">
        <v>9</v>
      </c>
      <c r="N363" s="272" t="n">
        <v>11</v>
      </c>
      <c r="O363" s="272" t="n">
        <v>6</v>
      </c>
      <c r="P363" s="272" t="n">
        <v>2</v>
      </c>
      <c r="Q363" s="271" t="inlineStr">
        <is>
          <t>Treino</t>
        </is>
      </c>
      <c r="R363" s="272" t="n">
        <v>9</v>
      </c>
      <c r="S363" s="271" t="inlineStr">
        <is>
          <t>MD-2</t>
        </is>
      </c>
      <c r="T363" s="272" t="n"/>
      <c r="U363" s="272" t="n"/>
      <c r="V363" s="274">
        <f>IF(_xlfn.MAXIFS(tblCarga[Data],tblCarga[Jogador],C363,tblCarga[Tipo],"Jogo",tblCarga[Data],"&lt;"&amp;A363)=0,"-",A363-_xlfn.MAXIFS(tblCarga[Data],tblCarga[Jogador],C363,tblCarga[Tipo],"Jogo",tblCarga[Data],"&lt;"&amp;A363))</f>
        <v/>
      </c>
      <c r="W363" s="272" t="n">
        <v>1</v>
      </c>
      <c r="X363" s="272" t="n">
        <v>3</v>
      </c>
      <c r="Y363" s="272" t="n">
        <v>2</v>
      </c>
      <c r="Z363" s="272" t="n">
        <v>2</v>
      </c>
      <c r="AA363" s="272" t="n">
        <v>8</v>
      </c>
    </row>
    <row r="364">
      <c r="A364" s="270" t="n">
        <v>46082</v>
      </c>
      <c r="B364" s="271" t="inlineStr">
        <is>
          <t>Belenenses</t>
        </is>
      </c>
      <c r="C364" s="271" t="inlineStr">
        <is>
          <t>Artur</t>
        </is>
      </c>
      <c r="D364" s="271" t="inlineStr">
        <is>
          <t>Médio</t>
        </is>
      </c>
      <c r="E364" s="272" t="n">
        <v>79</v>
      </c>
      <c r="F364" s="272" t="n">
        <v>7246</v>
      </c>
      <c r="G364" s="272" t="n">
        <v>222</v>
      </c>
      <c r="H364" s="272" t="n">
        <v>82</v>
      </c>
      <c r="I364" s="272" t="n">
        <v>67</v>
      </c>
      <c r="J364" s="272" t="n">
        <v>80</v>
      </c>
      <c r="K364" s="272" t="n">
        <v>6</v>
      </c>
      <c r="L364" s="273" t="n">
        <v>28.2</v>
      </c>
      <c r="M364" s="272" t="n">
        <v>9</v>
      </c>
      <c r="N364" s="272" t="n">
        <v>13</v>
      </c>
      <c r="O364" s="272" t="n">
        <v>5</v>
      </c>
      <c r="P364" s="272" t="n">
        <v>2</v>
      </c>
      <c r="Q364" s="271" t="inlineStr">
        <is>
          <t>Treino</t>
        </is>
      </c>
      <c r="R364" s="272" t="n">
        <v>9</v>
      </c>
      <c r="S364" s="271" t="inlineStr">
        <is>
          <t>MD-2</t>
        </is>
      </c>
      <c r="T364" s="272" t="n"/>
      <c r="U364" s="272" t="n"/>
      <c r="V364" s="274">
        <f>IF(_xlfn.MAXIFS(tblCarga[Data],tblCarga[Jogador],C364,tblCarga[Tipo],"Jogo",tblCarga[Data],"&lt;"&amp;A364)=0,"-",A364-_xlfn.MAXIFS(tblCarga[Data],tblCarga[Jogador],C364,tblCarga[Tipo],"Jogo",tblCarga[Data],"&lt;"&amp;A364))</f>
        <v/>
      </c>
      <c r="W364" s="272" t="n">
        <v>2</v>
      </c>
      <c r="X364" s="272" t="n">
        <v>3</v>
      </c>
      <c r="Y364" s="272" t="n">
        <v>3</v>
      </c>
      <c r="Z364" s="272" t="n">
        <v>1</v>
      </c>
      <c r="AA364" s="272" t="n">
        <v>9</v>
      </c>
    </row>
    <row r="365">
      <c r="A365" s="270" t="n">
        <v>46082</v>
      </c>
      <c r="B365" s="271" t="inlineStr">
        <is>
          <t>Belenenses</t>
        </is>
      </c>
      <c r="C365" s="271" t="inlineStr">
        <is>
          <t>Gomes</t>
        </is>
      </c>
      <c r="D365" s="271" t="inlineStr">
        <is>
          <t>Médio</t>
        </is>
      </c>
      <c r="E365" s="272" t="n">
        <v>80</v>
      </c>
      <c r="F365" s="272" t="n">
        <v>8834</v>
      </c>
      <c r="G365" s="272" t="n">
        <v>255</v>
      </c>
      <c r="H365" s="272" t="n">
        <v>87</v>
      </c>
      <c r="I365" s="272" t="n">
        <v>68</v>
      </c>
      <c r="J365" s="272" t="n">
        <v>81</v>
      </c>
      <c r="K365" s="272" t="n">
        <v>8</v>
      </c>
      <c r="L365" s="273" t="n">
        <v>27.6</v>
      </c>
      <c r="M365" s="272" t="n">
        <v>9</v>
      </c>
      <c r="N365" s="272" t="n">
        <v>13</v>
      </c>
      <c r="O365" s="272" t="n">
        <v>7</v>
      </c>
      <c r="P365" s="272" t="n">
        <v>2</v>
      </c>
      <c r="Q365" s="271" t="inlineStr">
        <is>
          <t>Treino</t>
        </is>
      </c>
      <c r="R365" s="272" t="n">
        <v>9</v>
      </c>
      <c r="S365" s="271" t="inlineStr">
        <is>
          <t>MD-2</t>
        </is>
      </c>
      <c r="T365" s="272" t="n"/>
      <c r="U365" s="272" t="n"/>
      <c r="V365" s="274">
        <f>IF(_xlfn.MAXIFS(tblCarga[Data],tblCarga[Jogador],C365,tblCarga[Tipo],"Jogo",tblCarga[Data],"&lt;"&amp;A365)=0,"-",A365-_xlfn.MAXIFS(tblCarga[Data],tblCarga[Jogador],C365,tblCarga[Tipo],"Jogo",tblCarga[Data],"&lt;"&amp;A365))</f>
        <v/>
      </c>
      <c r="W365" s="272" t="n">
        <v>2</v>
      </c>
      <c r="X365" s="272" t="n">
        <v>1</v>
      </c>
      <c r="Y365" s="272" t="n">
        <v>1</v>
      </c>
      <c r="Z365" s="272" t="n">
        <v>2</v>
      </c>
      <c r="AA365" s="272" t="n">
        <v>6</v>
      </c>
    </row>
    <row r="366">
      <c r="A366" s="270" t="n">
        <v>46082</v>
      </c>
      <c r="B366" s="271" t="inlineStr">
        <is>
          <t>Belenenses</t>
        </is>
      </c>
      <c r="C366" s="271" t="inlineStr">
        <is>
          <t>Sá</t>
        </is>
      </c>
      <c r="D366" s="271" t="inlineStr">
        <is>
          <t>Médio</t>
        </is>
      </c>
      <c r="E366" s="272" t="n">
        <v>91</v>
      </c>
      <c r="F366" s="272" t="n">
        <v>8358</v>
      </c>
      <c r="G366" s="272" t="n">
        <v>242</v>
      </c>
      <c r="H366" s="272" t="n">
        <v>100</v>
      </c>
      <c r="I366" s="272" t="n">
        <v>63</v>
      </c>
      <c r="J366" s="272" t="n">
        <v>77</v>
      </c>
      <c r="K366" s="272" t="n">
        <v>7</v>
      </c>
      <c r="L366" s="273" t="n">
        <v>29.7</v>
      </c>
      <c r="M366" s="272" t="n">
        <v>9</v>
      </c>
      <c r="N366" s="272" t="n">
        <v>8</v>
      </c>
      <c r="O366" s="272" t="n">
        <v>4</v>
      </c>
      <c r="P366" s="272" t="n">
        <v>1</v>
      </c>
      <c r="Q366" s="271" t="inlineStr">
        <is>
          <t>Treino</t>
        </is>
      </c>
      <c r="R366" s="272" t="n">
        <v>9</v>
      </c>
      <c r="S366" s="271" t="inlineStr">
        <is>
          <t>MD-2</t>
        </is>
      </c>
      <c r="T366" s="272" t="n"/>
      <c r="U366" s="272" t="n"/>
      <c r="V366" s="274">
        <f>IF(_xlfn.MAXIFS(tblCarga[Data],tblCarga[Jogador],C366,tblCarga[Tipo],"Jogo",tblCarga[Data],"&lt;"&amp;A366)=0,"-",A366-_xlfn.MAXIFS(tblCarga[Data],tblCarga[Jogador],C366,tblCarga[Tipo],"Jogo",tblCarga[Data],"&lt;"&amp;A366))</f>
        <v/>
      </c>
      <c r="W366" s="272" t="n">
        <v>2</v>
      </c>
      <c r="X366" s="272" t="n">
        <v>1</v>
      </c>
      <c r="Y366" s="272" t="n">
        <v>1</v>
      </c>
      <c r="Z366" s="272" t="n">
        <v>1</v>
      </c>
      <c r="AA366" s="272" t="n">
        <v>5</v>
      </c>
    </row>
    <row r="367">
      <c r="A367" s="270" t="n">
        <v>46082</v>
      </c>
      <c r="B367" s="271" t="inlineStr">
        <is>
          <t>Belenenses</t>
        </is>
      </c>
      <c r="C367" s="271" t="inlineStr">
        <is>
          <t>Varela</t>
        </is>
      </c>
      <c r="D367" s="271" t="inlineStr">
        <is>
          <t>Lateral</t>
        </is>
      </c>
      <c r="E367" s="272" t="n">
        <v>82</v>
      </c>
      <c r="F367" s="272" t="n">
        <v>11190</v>
      </c>
      <c r="G367" s="272" t="n">
        <v>394</v>
      </c>
      <c r="H367" s="272" t="n">
        <v>182</v>
      </c>
      <c r="I367" s="272" t="n">
        <v>84</v>
      </c>
      <c r="J367" s="272" t="n">
        <v>77</v>
      </c>
      <c r="K367" s="272" t="n">
        <v>8</v>
      </c>
      <c r="L367" s="273" t="n">
        <v>32.1</v>
      </c>
      <c r="M367" s="272" t="n">
        <v>9</v>
      </c>
      <c r="N367" s="272" t="n">
        <v>16</v>
      </c>
      <c r="O367" s="272" t="n">
        <v>9</v>
      </c>
      <c r="P367" s="272" t="n">
        <v>3</v>
      </c>
      <c r="Q367" s="271" t="inlineStr">
        <is>
          <t>Treino</t>
        </is>
      </c>
      <c r="R367" s="272" t="n">
        <v>9</v>
      </c>
      <c r="S367" s="271" t="inlineStr">
        <is>
          <t>MD-2</t>
        </is>
      </c>
      <c r="T367" s="272" t="n"/>
      <c r="U367" s="272" t="n"/>
      <c r="V367" s="274">
        <f>IF(_xlfn.MAXIFS(tblCarga[Data],tblCarga[Jogador],C367,tblCarga[Tipo],"Jogo",tblCarga[Data],"&lt;"&amp;A367)=0,"-",A367-_xlfn.MAXIFS(tblCarga[Data],tblCarga[Jogador],C367,tblCarga[Tipo],"Jogo",tblCarga[Data],"&lt;"&amp;A367))</f>
        <v/>
      </c>
      <c r="W367" s="272" t="n">
        <v>3</v>
      </c>
      <c r="X367" s="272" t="n">
        <v>3</v>
      </c>
      <c r="Y367" s="272" t="n">
        <v>2</v>
      </c>
      <c r="Z367" s="272" t="n">
        <v>2</v>
      </c>
      <c r="AA367" s="272" t="n">
        <v>10</v>
      </c>
    </row>
    <row r="368">
      <c r="A368" s="270" t="n">
        <v>46082</v>
      </c>
      <c r="B368" s="271" t="inlineStr">
        <is>
          <t>Belenenses</t>
        </is>
      </c>
      <c r="C368" s="271" t="inlineStr">
        <is>
          <t>Edu</t>
        </is>
      </c>
      <c r="D368" s="271" t="inlineStr">
        <is>
          <t>Lateral</t>
        </is>
      </c>
      <c r="E368" s="272" t="n">
        <v>91</v>
      </c>
      <c r="F368" s="272" t="n">
        <v>10313</v>
      </c>
      <c r="G368" s="272" t="n">
        <v>443</v>
      </c>
      <c r="H368" s="272" t="n">
        <v>198</v>
      </c>
      <c r="I368" s="272" t="n">
        <v>72</v>
      </c>
      <c r="J368" s="272" t="n">
        <v>71</v>
      </c>
      <c r="K368" s="272" t="n">
        <v>7</v>
      </c>
      <c r="L368" s="273" t="n">
        <v>30.8</v>
      </c>
      <c r="M368" s="272" t="n">
        <v>9</v>
      </c>
      <c r="N368" s="272" t="n">
        <v>9</v>
      </c>
      <c r="O368" s="272" t="n">
        <v>5</v>
      </c>
      <c r="P368" s="272" t="n">
        <v>1</v>
      </c>
      <c r="Q368" s="271" t="inlineStr">
        <is>
          <t>Treino</t>
        </is>
      </c>
      <c r="R368" s="272" t="n">
        <v>9</v>
      </c>
      <c r="S368" s="271" t="inlineStr">
        <is>
          <t>MD-2</t>
        </is>
      </c>
      <c r="T368" s="272" t="n"/>
      <c r="U368" s="272" t="n"/>
      <c r="V368" s="274">
        <f>IF(_xlfn.MAXIFS(tblCarga[Data],tblCarga[Jogador],C368,tblCarga[Tipo],"Jogo",tblCarga[Data],"&lt;"&amp;A368)=0,"-",A368-_xlfn.MAXIFS(tblCarga[Data],tblCarga[Jogador],C368,tblCarga[Tipo],"Jogo",tblCarga[Data],"&lt;"&amp;A368))</f>
        <v/>
      </c>
      <c r="W368" s="272" t="n">
        <v>1</v>
      </c>
      <c r="X368" s="272" t="n">
        <v>3</v>
      </c>
      <c r="Y368" s="272" t="n">
        <v>2</v>
      </c>
      <c r="Z368" s="272" t="n">
        <v>1</v>
      </c>
      <c r="AA368" s="272" t="n">
        <v>7</v>
      </c>
    </row>
    <row r="369">
      <c r="A369" s="270" t="n">
        <v>46082</v>
      </c>
      <c r="B369" s="271" t="inlineStr">
        <is>
          <t>Belenenses</t>
        </is>
      </c>
      <c r="C369" s="271" t="inlineStr">
        <is>
          <t>Capitulo</t>
        </is>
      </c>
      <c r="D369" s="271" t="inlineStr">
        <is>
          <t>Lateral</t>
        </is>
      </c>
      <c r="E369" s="272" t="n">
        <v>78</v>
      </c>
      <c r="F369" s="272" t="n">
        <v>10992</v>
      </c>
      <c r="G369" s="272" t="n">
        <v>488</v>
      </c>
      <c r="H369" s="272" t="n">
        <v>166</v>
      </c>
      <c r="I369" s="272" t="n">
        <v>80</v>
      </c>
      <c r="J369" s="272" t="n">
        <v>81</v>
      </c>
      <c r="K369" s="272" t="n">
        <v>6</v>
      </c>
      <c r="L369" s="273" t="n">
        <v>30.6</v>
      </c>
      <c r="M369" s="272" t="n">
        <v>9</v>
      </c>
      <c r="N369" s="272" t="n">
        <v>17</v>
      </c>
      <c r="O369" s="272" t="n">
        <v>8</v>
      </c>
      <c r="P369" s="272" t="n">
        <v>2</v>
      </c>
      <c r="Q369" s="271" t="inlineStr">
        <is>
          <t>Treino</t>
        </is>
      </c>
      <c r="R369" s="272" t="n">
        <v>9</v>
      </c>
      <c r="S369" s="271" t="inlineStr">
        <is>
          <t>MD-2</t>
        </is>
      </c>
      <c r="T369" s="272" t="n"/>
      <c r="U369" s="272" t="n"/>
      <c r="V369" s="274">
        <f>IF(_xlfn.MAXIFS(tblCarga[Data],tblCarga[Jogador],C369,tblCarga[Tipo],"Jogo",tblCarga[Data],"&lt;"&amp;A369)=0,"-",A369-_xlfn.MAXIFS(tblCarga[Data],tblCarga[Jogador],C369,tblCarga[Tipo],"Jogo",tblCarga[Data],"&lt;"&amp;A369))</f>
        <v/>
      </c>
      <c r="W369" s="272" t="n">
        <v>1</v>
      </c>
      <c r="X369" s="272" t="n">
        <v>1</v>
      </c>
      <c r="Y369" s="272" t="n">
        <v>1</v>
      </c>
      <c r="Z369" s="272" t="n">
        <v>1</v>
      </c>
      <c r="AA369" s="272" t="n">
        <v>4</v>
      </c>
    </row>
    <row r="370">
      <c r="A370" s="270" t="n">
        <v>46082</v>
      </c>
      <c r="B370" s="271" t="inlineStr">
        <is>
          <t>Belenenses</t>
        </is>
      </c>
      <c r="C370" s="271" t="inlineStr">
        <is>
          <t>Enzo Hugo</t>
        </is>
      </c>
      <c r="D370" s="271" t="inlineStr">
        <is>
          <t>Central</t>
        </is>
      </c>
      <c r="E370" s="272" t="n">
        <v>89</v>
      </c>
      <c r="F370" s="272" t="n">
        <v>9493</v>
      </c>
      <c r="G370" s="272" t="n">
        <v>310</v>
      </c>
      <c r="H370" s="272" t="n">
        <v>45</v>
      </c>
      <c r="I370" s="272" t="n">
        <v>83</v>
      </c>
      <c r="J370" s="272" t="n">
        <v>81</v>
      </c>
      <c r="K370" s="272" t="n">
        <v>6</v>
      </c>
      <c r="L370" s="273" t="n">
        <v>28.7</v>
      </c>
      <c r="M370" s="272" t="n">
        <v>9</v>
      </c>
      <c r="N370" s="272" t="n">
        <v>15</v>
      </c>
      <c r="O370" s="272" t="n">
        <v>7</v>
      </c>
      <c r="P370" s="272" t="n">
        <v>2</v>
      </c>
      <c r="Q370" s="271" t="inlineStr">
        <is>
          <t>Treino</t>
        </is>
      </c>
      <c r="R370" s="272" t="n">
        <v>9</v>
      </c>
      <c r="S370" s="271" t="inlineStr">
        <is>
          <t>MD-2</t>
        </is>
      </c>
      <c r="T370" s="272" t="n"/>
      <c r="U370" s="272" t="n"/>
      <c r="V370" s="274">
        <f>IF(_xlfn.MAXIFS(tblCarga[Data],tblCarga[Jogador],C370,tblCarga[Tipo],"Jogo",tblCarga[Data],"&lt;"&amp;A370)=0,"-",A370-_xlfn.MAXIFS(tblCarga[Data],tblCarga[Jogador],C370,tblCarga[Tipo],"Jogo",tblCarga[Data],"&lt;"&amp;A370))</f>
        <v/>
      </c>
      <c r="W370" s="272" t="n">
        <v>3</v>
      </c>
      <c r="X370" s="272" t="n">
        <v>2</v>
      </c>
      <c r="Y370" s="272" t="n">
        <v>3</v>
      </c>
      <c r="Z370" s="272" t="n">
        <v>3</v>
      </c>
      <c r="AA370" s="272" t="n">
        <v>11</v>
      </c>
    </row>
    <row r="371">
      <c r="A371" s="270" t="n">
        <v>46082</v>
      </c>
      <c r="B371" s="271" t="inlineStr">
        <is>
          <t>Belenenses</t>
        </is>
      </c>
      <c r="C371" s="271" t="inlineStr">
        <is>
          <t>Nogueira</t>
        </is>
      </c>
      <c r="D371" s="271" t="inlineStr">
        <is>
          <t>Central</t>
        </is>
      </c>
      <c r="E371" s="272" t="n">
        <v>77</v>
      </c>
      <c r="F371" s="272" t="n">
        <v>8341</v>
      </c>
      <c r="G371" s="272" t="n">
        <v>301</v>
      </c>
      <c r="H371" s="272" t="n">
        <v>46</v>
      </c>
      <c r="I371" s="272" t="n">
        <v>63</v>
      </c>
      <c r="J371" s="272" t="n">
        <v>84</v>
      </c>
      <c r="K371" s="272" t="n">
        <v>7</v>
      </c>
      <c r="L371" s="273" t="n">
        <v>27.8</v>
      </c>
      <c r="M371" s="272" t="n">
        <v>9</v>
      </c>
      <c r="N371" s="272" t="n">
        <v>6</v>
      </c>
      <c r="O371" s="272" t="n">
        <v>3</v>
      </c>
      <c r="P371" s="272" t="n">
        <v>1</v>
      </c>
      <c r="Q371" s="271" t="inlineStr">
        <is>
          <t>Treino</t>
        </is>
      </c>
      <c r="R371" s="272" t="n">
        <v>9</v>
      </c>
      <c r="S371" s="271" t="inlineStr">
        <is>
          <t>MD-2</t>
        </is>
      </c>
      <c r="T371" s="272" t="n"/>
      <c r="U371" s="272" t="n"/>
      <c r="V371" s="274">
        <f>IF(_xlfn.MAXIFS(tblCarga[Data],tblCarga[Jogador],C371,tblCarga[Tipo],"Jogo",tblCarga[Data],"&lt;"&amp;A371)=0,"-",A371-_xlfn.MAXIFS(tblCarga[Data],tblCarga[Jogador],C371,tblCarga[Tipo],"Jogo",tblCarga[Data],"&lt;"&amp;A371))</f>
        <v/>
      </c>
      <c r="W371" s="272" t="n">
        <v>3</v>
      </c>
      <c r="X371" s="272" t="n">
        <v>1</v>
      </c>
      <c r="Y371" s="272" t="n">
        <v>2</v>
      </c>
      <c r="Z371" s="272" t="n">
        <v>3</v>
      </c>
      <c r="AA371" s="272" t="n">
        <v>9</v>
      </c>
    </row>
    <row r="372">
      <c r="A372" s="270" t="n">
        <v>46083</v>
      </c>
      <c r="B372" s="271" t="inlineStr">
        <is>
          <t>Belenenses</t>
        </is>
      </c>
      <c r="C372" s="271" t="inlineStr">
        <is>
          <t>Paulino</t>
        </is>
      </c>
      <c r="D372" s="271" t="inlineStr">
        <is>
          <t>Médio</t>
        </is>
      </c>
      <c r="E372" s="272" t="n">
        <v>56</v>
      </c>
      <c r="F372" s="272" t="n">
        <v>4124</v>
      </c>
      <c r="G372" s="272" t="n">
        <v>106</v>
      </c>
      <c r="H372" s="272" t="n">
        <v>28</v>
      </c>
      <c r="I372" s="272" t="n">
        <v>39</v>
      </c>
      <c r="J372" s="272" t="n">
        <v>35</v>
      </c>
      <c r="K372" s="272" t="n">
        <v>2</v>
      </c>
      <c r="L372" s="273" t="n">
        <v>25.9</v>
      </c>
      <c r="M372" s="272" t="n">
        <v>9</v>
      </c>
      <c r="N372" s="272" t="n">
        <v>6</v>
      </c>
      <c r="O372" s="272" t="n">
        <v>2</v>
      </c>
      <c r="P372" s="272" t="n">
        <v>0</v>
      </c>
      <c r="Q372" s="271" t="inlineStr">
        <is>
          <t>Treino</t>
        </is>
      </c>
      <c r="R372" s="272" t="n">
        <v>9</v>
      </c>
      <c r="S372" s="271" t="inlineStr">
        <is>
          <t>MD-1</t>
        </is>
      </c>
      <c r="T372" s="272" t="n"/>
      <c r="U372" s="272" t="n"/>
      <c r="V372" s="274">
        <f>IF(_xlfn.MAXIFS(tblCarga[Data],tblCarga[Jogador],C372,tblCarga[Tipo],"Jogo",tblCarga[Data],"&lt;"&amp;A372)=0,"-",A372-_xlfn.MAXIFS(tblCarga[Data],tblCarga[Jogador],C372,tblCarga[Tipo],"Jogo",tblCarga[Data],"&lt;"&amp;A372))</f>
        <v/>
      </c>
      <c r="W372" s="272" t="n">
        <v>2</v>
      </c>
      <c r="X372" s="272" t="n">
        <v>2</v>
      </c>
      <c r="Y372" s="272" t="n">
        <v>3</v>
      </c>
      <c r="Z372" s="272" t="n">
        <v>1</v>
      </c>
      <c r="AA372" s="272" t="n">
        <v>8</v>
      </c>
    </row>
    <row r="373">
      <c r="A373" s="270" t="n">
        <v>46083</v>
      </c>
      <c r="B373" s="271" t="inlineStr">
        <is>
          <t>Belenenses</t>
        </is>
      </c>
      <c r="C373" s="271" t="inlineStr">
        <is>
          <t>Artur</t>
        </is>
      </c>
      <c r="D373" s="271" t="inlineStr">
        <is>
          <t>Médio</t>
        </is>
      </c>
      <c r="E373" s="272" t="n">
        <v>65</v>
      </c>
      <c r="F373" s="272" t="n">
        <v>4350</v>
      </c>
      <c r="G373" s="272" t="n">
        <v>95</v>
      </c>
      <c r="H373" s="272" t="n">
        <v>21</v>
      </c>
      <c r="I373" s="272" t="n">
        <v>36</v>
      </c>
      <c r="J373" s="272" t="n">
        <v>41</v>
      </c>
      <c r="K373" s="272" t="n">
        <v>2</v>
      </c>
      <c r="L373" s="273" t="n">
        <v>26.7</v>
      </c>
      <c r="M373" s="272" t="n">
        <v>9</v>
      </c>
      <c r="N373" s="272" t="n">
        <v>5</v>
      </c>
      <c r="O373" s="272" t="n">
        <v>2</v>
      </c>
      <c r="P373" s="272" t="n">
        <v>1</v>
      </c>
      <c r="Q373" s="271" t="inlineStr">
        <is>
          <t>Treino</t>
        </is>
      </c>
      <c r="R373" s="272" t="n">
        <v>9</v>
      </c>
      <c r="S373" s="271" t="inlineStr">
        <is>
          <t>MD-1</t>
        </is>
      </c>
      <c r="T373" s="272" t="n"/>
      <c r="U373" s="272" t="n"/>
      <c r="V373" s="274">
        <f>IF(_xlfn.MAXIFS(tblCarga[Data],tblCarga[Jogador],C373,tblCarga[Tipo],"Jogo",tblCarga[Data],"&lt;"&amp;A373)=0,"-",A373-_xlfn.MAXIFS(tblCarga[Data],tblCarga[Jogador],C373,tblCarga[Tipo],"Jogo",tblCarga[Data],"&lt;"&amp;A373))</f>
        <v/>
      </c>
      <c r="W373" s="272" t="n">
        <v>2</v>
      </c>
      <c r="X373" s="272" t="n">
        <v>1</v>
      </c>
      <c r="Y373" s="272" t="n">
        <v>1</v>
      </c>
      <c r="Z373" s="272" t="n">
        <v>2</v>
      </c>
      <c r="AA373" s="272" t="n">
        <v>6</v>
      </c>
    </row>
    <row r="374">
      <c r="A374" s="270" t="n">
        <v>46083</v>
      </c>
      <c r="B374" s="271" t="inlineStr">
        <is>
          <t>Belenenses</t>
        </is>
      </c>
      <c r="C374" s="271" t="inlineStr">
        <is>
          <t>Gomes</t>
        </is>
      </c>
      <c r="D374" s="271" t="inlineStr">
        <is>
          <t>Médio</t>
        </is>
      </c>
      <c r="E374" s="272" t="n">
        <v>62</v>
      </c>
      <c r="F374" s="272" t="n">
        <v>4449</v>
      </c>
      <c r="G374" s="272" t="n">
        <v>97</v>
      </c>
      <c r="H374" s="272" t="n">
        <v>23</v>
      </c>
      <c r="I374" s="272" t="n">
        <v>38</v>
      </c>
      <c r="J374" s="272" t="n">
        <v>45</v>
      </c>
      <c r="K374" s="272" t="n">
        <v>2</v>
      </c>
      <c r="L374" s="273" t="n">
        <v>26.6</v>
      </c>
      <c r="M374" s="272" t="n">
        <v>9</v>
      </c>
      <c r="N374" s="272" t="n">
        <v>4</v>
      </c>
      <c r="O374" s="272" t="n">
        <v>2</v>
      </c>
      <c r="P374" s="272" t="n">
        <v>1</v>
      </c>
      <c r="Q374" s="271" t="inlineStr">
        <is>
          <t>Treino</t>
        </is>
      </c>
      <c r="R374" s="272" t="n">
        <v>9</v>
      </c>
      <c r="S374" s="271" t="inlineStr">
        <is>
          <t>MD-1</t>
        </is>
      </c>
      <c r="T374" s="272" t="n"/>
      <c r="U374" s="272" t="n"/>
      <c r="V374" s="274">
        <f>IF(_xlfn.MAXIFS(tblCarga[Data],tblCarga[Jogador],C374,tblCarga[Tipo],"Jogo",tblCarga[Data],"&lt;"&amp;A374)=0,"-",A374-_xlfn.MAXIFS(tblCarga[Data],tblCarga[Jogador],C374,tblCarga[Tipo],"Jogo",tblCarga[Data],"&lt;"&amp;A374))</f>
        <v/>
      </c>
      <c r="W374" s="272" t="n">
        <v>1</v>
      </c>
      <c r="X374" s="272" t="n">
        <v>2</v>
      </c>
      <c r="Y374" s="272" t="n">
        <v>2</v>
      </c>
      <c r="Z374" s="272" t="n">
        <v>1</v>
      </c>
      <c r="AA374" s="272" t="n">
        <v>6</v>
      </c>
    </row>
    <row r="375">
      <c r="A375" s="270" t="n">
        <v>46083</v>
      </c>
      <c r="B375" s="271" t="inlineStr">
        <is>
          <t>Belenenses</t>
        </is>
      </c>
      <c r="C375" s="271" t="inlineStr">
        <is>
          <t>Sá</t>
        </is>
      </c>
      <c r="D375" s="271" t="inlineStr">
        <is>
          <t>Médio</t>
        </is>
      </c>
      <c r="E375" s="272" t="n">
        <v>57</v>
      </c>
      <c r="F375" s="272" t="n">
        <v>4473</v>
      </c>
      <c r="G375" s="272" t="n">
        <v>118</v>
      </c>
      <c r="H375" s="272" t="n">
        <v>21</v>
      </c>
      <c r="I375" s="272" t="n">
        <v>38</v>
      </c>
      <c r="J375" s="272" t="n">
        <v>44</v>
      </c>
      <c r="K375" s="272" t="n">
        <v>2</v>
      </c>
      <c r="L375" s="273" t="n">
        <v>27.9</v>
      </c>
      <c r="M375" s="272" t="n">
        <v>9</v>
      </c>
      <c r="N375" s="272" t="n">
        <v>5</v>
      </c>
      <c r="O375" s="272" t="n">
        <v>2</v>
      </c>
      <c r="P375" s="272" t="n">
        <v>0</v>
      </c>
      <c r="Q375" s="271" t="inlineStr">
        <is>
          <t>Treino</t>
        </is>
      </c>
      <c r="R375" s="272" t="n">
        <v>9</v>
      </c>
      <c r="S375" s="271" t="inlineStr">
        <is>
          <t>MD-1</t>
        </is>
      </c>
      <c r="T375" s="272" t="n"/>
      <c r="U375" s="272" t="n"/>
      <c r="V375" s="274">
        <f>IF(_xlfn.MAXIFS(tblCarga[Data],tblCarga[Jogador],C375,tblCarga[Tipo],"Jogo",tblCarga[Data],"&lt;"&amp;A375)=0,"-",A375-_xlfn.MAXIFS(tblCarga[Data],tblCarga[Jogador],C375,tblCarga[Tipo],"Jogo",tblCarga[Data],"&lt;"&amp;A375))</f>
        <v/>
      </c>
      <c r="W375" s="272" t="n">
        <v>1</v>
      </c>
      <c r="X375" s="272" t="n">
        <v>2</v>
      </c>
      <c r="Y375" s="272" t="n">
        <v>2</v>
      </c>
      <c r="Z375" s="272" t="n">
        <v>2</v>
      </c>
      <c r="AA375" s="272" t="n">
        <v>7</v>
      </c>
    </row>
    <row r="376">
      <c r="A376" s="270" t="n">
        <v>46083</v>
      </c>
      <c r="B376" s="271" t="inlineStr">
        <is>
          <t>Belenenses</t>
        </is>
      </c>
      <c r="C376" s="271" t="inlineStr">
        <is>
          <t>Varela</t>
        </is>
      </c>
      <c r="D376" s="271" t="inlineStr">
        <is>
          <t>Lateral</t>
        </is>
      </c>
      <c r="E376" s="272" t="n">
        <v>63</v>
      </c>
      <c r="F376" s="272" t="n">
        <v>5384</v>
      </c>
      <c r="G376" s="272" t="n">
        <v>199</v>
      </c>
      <c r="H376" s="272" t="n">
        <v>38</v>
      </c>
      <c r="I376" s="272" t="n">
        <v>47</v>
      </c>
      <c r="J376" s="272" t="n">
        <v>43</v>
      </c>
      <c r="K376" s="272" t="n">
        <v>2</v>
      </c>
      <c r="L376" s="273" t="n">
        <v>28.1</v>
      </c>
      <c r="M376" s="272" t="n">
        <v>9</v>
      </c>
      <c r="N376" s="272" t="n">
        <v>9</v>
      </c>
      <c r="O376" s="272" t="n">
        <v>5</v>
      </c>
      <c r="P376" s="272" t="n">
        <v>1</v>
      </c>
      <c r="Q376" s="271" t="inlineStr">
        <is>
          <t>Treino</t>
        </is>
      </c>
      <c r="R376" s="272" t="n">
        <v>9</v>
      </c>
      <c r="S376" s="271" t="inlineStr">
        <is>
          <t>MD-1</t>
        </is>
      </c>
      <c r="T376" s="272" t="n"/>
      <c r="U376" s="272" t="n"/>
      <c r="V376" s="274">
        <f>IF(_xlfn.MAXIFS(tblCarga[Data],tblCarga[Jogador],C376,tblCarga[Tipo],"Jogo",tblCarga[Data],"&lt;"&amp;A376)=0,"-",A376-_xlfn.MAXIFS(tblCarga[Data],tblCarga[Jogador],C376,tblCarga[Tipo],"Jogo",tblCarga[Data],"&lt;"&amp;A376))</f>
        <v/>
      </c>
      <c r="W376" s="272" t="n">
        <v>1</v>
      </c>
      <c r="X376" s="272" t="n">
        <v>1</v>
      </c>
      <c r="Y376" s="272" t="n">
        <v>3</v>
      </c>
      <c r="Z376" s="272" t="n">
        <v>2</v>
      </c>
      <c r="AA376" s="272" t="n">
        <v>7</v>
      </c>
    </row>
    <row r="377">
      <c r="A377" s="270" t="n">
        <v>46083</v>
      </c>
      <c r="B377" s="271" t="inlineStr">
        <is>
          <t>Belenenses</t>
        </is>
      </c>
      <c r="C377" s="271" t="inlineStr">
        <is>
          <t>Edu</t>
        </is>
      </c>
      <c r="D377" s="271" t="inlineStr">
        <is>
          <t>Lateral</t>
        </is>
      </c>
      <c r="E377" s="272" t="n">
        <v>66</v>
      </c>
      <c r="F377" s="272" t="n">
        <v>5675</v>
      </c>
      <c r="G377" s="272" t="n">
        <v>190</v>
      </c>
      <c r="H377" s="272" t="n">
        <v>45</v>
      </c>
      <c r="I377" s="272" t="n">
        <v>41</v>
      </c>
      <c r="J377" s="272" t="n">
        <v>46</v>
      </c>
      <c r="K377" s="272" t="n">
        <v>2</v>
      </c>
      <c r="L377" s="273" t="n">
        <v>28.6</v>
      </c>
      <c r="M377" s="272" t="n">
        <v>9</v>
      </c>
      <c r="N377" s="272" t="n">
        <v>8</v>
      </c>
      <c r="O377" s="272" t="n">
        <v>4</v>
      </c>
      <c r="P377" s="272" t="n">
        <v>2</v>
      </c>
      <c r="Q377" s="271" t="inlineStr">
        <is>
          <t>Treino</t>
        </is>
      </c>
      <c r="R377" s="272" t="n">
        <v>9</v>
      </c>
      <c r="S377" s="271" t="inlineStr">
        <is>
          <t>MD-1</t>
        </is>
      </c>
      <c r="T377" s="272" t="n"/>
      <c r="U377" s="272" t="n"/>
      <c r="V377" s="274">
        <f>IF(_xlfn.MAXIFS(tblCarga[Data],tblCarga[Jogador],C377,tblCarga[Tipo],"Jogo",tblCarga[Data],"&lt;"&amp;A377)=0,"-",A377-_xlfn.MAXIFS(tblCarga[Data],tblCarga[Jogador],C377,tblCarga[Tipo],"Jogo",tblCarga[Data],"&lt;"&amp;A377))</f>
        <v/>
      </c>
      <c r="W377" s="272" t="n">
        <v>1</v>
      </c>
      <c r="X377" s="272" t="n">
        <v>1</v>
      </c>
      <c r="Y377" s="272" t="n">
        <v>2</v>
      </c>
      <c r="Z377" s="272" t="n">
        <v>1</v>
      </c>
      <c r="AA377" s="272" t="n">
        <v>5</v>
      </c>
    </row>
    <row r="378">
      <c r="A378" s="270" t="n">
        <v>46083</v>
      </c>
      <c r="B378" s="271" t="inlineStr">
        <is>
          <t>Belenenses</t>
        </is>
      </c>
      <c r="C378" s="271" t="inlineStr">
        <is>
          <t>Capitulo</t>
        </is>
      </c>
      <c r="D378" s="271" t="inlineStr">
        <is>
          <t>Lateral</t>
        </is>
      </c>
      <c r="E378" s="272" t="n">
        <v>56</v>
      </c>
      <c r="F378" s="272" t="n">
        <v>6577</v>
      </c>
      <c r="G378" s="272" t="n">
        <v>186</v>
      </c>
      <c r="H378" s="272" t="n">
        <v>40</v>
      </c>
      <c r="I378" s="272" t="n">
        <v>47</v>
      </c>
      <c r="J378" s="272" t="n">
        <v>46</v>
      </c>
      <c r="K378" s="272" t="n">
        <v>2</v>
      </c>
      <c r="L378" s="273" t="n">
        <v>28.2</v>
      </c>
      <c r="M378" s="272" t="n">
        <v>9</v>
      </c>
      <c r="N378" s="272" t="n">
        <v>8</v>
      </c>
      <c r="O378" s="272" t="n">
        <v>4</v>
      </c>
      <c r="P378" s="272" t="n">
        <v>1</v>
      </c>
      <c r="Q378" s="271" t="inlineStr">
        <is>
          <t>Treino</t>
        </is>
      </c>
      <c r="R378" s="272" t="n">
        <v>9</v>
      </c>
      <c r="S378" s="271" t="inlineStr">
        <is>
          <t>MD-1</t>
        </is>
      </c>
      <c r="T378" s="272" t="n"/>
      <c r="U378" s="272" t="n"/>
      <c r="V378" s="274">
        <f>IF(_xlfn.MAXIFS(tblCarga[Data],tblCarga[Jogador],C378,tblCarga[Tipo],"Jogo",tblCarga[Data],"&lt;"&amp;A378)=0,"-",A378-_xlfn.MAXIFS(tblCarga[Data],tblCarga[Jogador],C378,tblCarga[Tipo],"Jogo",tblCarga[Data],"&lt;"&amp;A378))</f>
        <v/>
      </c>
      <c r="W378" s="272" t="n">
        <v>1</v>
      </c>
      <c r="X378" s="272" t="n">
        <v>1</v>
      </c>
      <c r="Y378" s="272" t="n">
        <v>2</v>
      </c>
      <c r="Z378" s="272" t="n">
        <v>1</v>
      </c>
      <c r="AA378" s="272" t="n">
        <v>5</v>
      </c>
    </row>
    <row r="379">
      <c r="A379" s="270" t="n">
        <v>46083</v>
      </c>
      <c r="B379" s="271" t="inlineStr">
        <is>
          <t>Belenenses</t>
        </is>
      </c>
      <c r="C379" s="271" t="inlineStr">
        <is>
          <t>Enzo Hugo</t>
        </is>
      </c>
      <c r="D379" s="271" t="inlineStr">
        <is>
          <t>Central</t>
        </is>
      </c>
      <c r="E379" s="272" t="n">
        <v>65</v>
      </c>
      <c r="F379" s="272" t="n">
        <v>4793</v>
      </c>
      <c r="G379" s="272" t="n">
        <v>119</v>
      </c>
      <c r="H379" s="272" t="n">
        <v>10</v>
      </c>
      <c r="I379" s="272" t="n">
        <v>42</v>
      </c>
      <c r="J379" s="272" t="n">
        <v>53</v>
      </c>
      <c r="K379" s="272" t="n">
        <v>1</v>
      </c>
      <c r="L379" s="273" t="n">
        <v>26.7</v>
      </c>
      <c r="M379" s="272" t="n">
        <v>9</v>
      </c>
      <c r="N379" s="272" t="n">
        <v>7</v>
      </c>
      <c r="O379" s="272" t="n">
        <v>3</v>
      </c>
      <c r="P379" s="272" t="n">
        <v>1</v>
      </c>
      <c r="Q379" s="271" t="inlineStr">
        <is>
          <t>Treino</t>
        </is>
      </c>
      <c r="R379" s="272" t="n">
        <v>9</v>
      </c>
      <c r="S379" s="271" t="inlineStr">
        <is>
          <t>MD-1</t>
        </is>
      </c>
      <c r="T379" s="272" t="n"/>
      <c r="U379" s="272" t="n"/>
      <c r="V379" s="274">
        <f>IF(_xlfn.MAXIFS(tblCarga[Data],tblCarga[Jogador],C379,tblCarga[Tipo],"Jogo",tblCarga[Data],"&lt;"&amp;A379)=0,"-",A379-_xlfn.MAXIFS(tblCarga[Data],tblCarga[Jogador],C379,tblCarga[Tipo],"Jogo",tblCarga[Data],"&lt;"&amp;A379))</f>
        <v/>
      </c>
      <c r="W379" s="272" t="n">
        <v>1</v>
      </c>
      <c r="X379" s="272" t="n">
        <v>2</v>
      </c>
      <c r="Y379" s="272" t="n">
        <v>2</v>
      </c>
      <c r="Z379" s="272" t="n">
        <v>1</v>
      </c>
      <c r="AA379" s="272" t="n">
        <v>6</v>
      </c>
    </row>
    <row r="380">
      <c r="A380" s="270" t="n">
        <v>46083</v>
      </c>
      <c r="B380" s="271" t="inlineStr">
        <is>
          <t>Belenenses</t>
        </is>
      </c>
      <c r="C380" s="271" t="inlineStr">
        <is>
          <t>Nogueira</t>
        </is>
      </c>
      <c r="D380" s="271" t="inlineStr">
        <is>
          <t>Central</t>
        </is>
      </c>
      <c r="E380" s="272" t="n">
        <v>55</v>
      </c>
      <c r="F380" s="272" t="n">
        <v>5332</v>
      </c>
      <c r="G380" s="272" t="n">
        <v>157</v>
      </c>
      <c r="H380" s="272" t="n">
        <v>9</v>
      </c>
      <c r="I380" s="272" t="n">
        <v>35</v>
      </c>
      <c r="J380" s="272" t="n">
        <v>47</v>
      </c>
      <c r="K380" s="272" t="n">
        <v>2</v>
      </c>
      <c r="L380" s="273" t="n">
        <v>26.5</v>
      </c>
      <c r="M380" s="272" t="n">
        <v>9</v>
      </c>
      <c r="N380" s="272" t="n">
        <v>5</v>
      </c>
      <c r="O380" s="272" t="n">
        <v>2</v>
      </c>
      <c r="P380" s="272" t="n">
        <v>0</v>
      </c>
      <c r="Q380" s="271" t="inlineStr">
        <is>
          <t>Treino</t>
        </is>
      </c>
      <c r="R380" s="272" t="n">
        <v>9</v>
      </c>
      <c r="S380" s="271" t="inlineStr">
        <is>
          <t>MD-1</t>
        </is>
      </c>
      <c r="T380" s="272" t="n"/>
      <c r="U380" s="272" t="n"/>
      <c r="V380" s="274">
        <f>IF(_xlfn.MAXIFS(tblCarga[Data],tblCarga[Jogador],C380,tblCarga[Tipo],"Jogo",tblCarga[Data],"&lt;"&amp;A380)=0,"-",A380-_xlfn.MAXIFS(tblCarga[Data],tblCarga[Jogador],C380,tblCarga[Tipo],"Jogo",tblCarga[Data],"&lt;"&amp;A380))</f>
        <v/>
      </c>
      <c r="W380" s="272" t="n">
        <v>1</v>
      </c>
      <c r="X380" s="272" t="n">
        <v>2</v>
      </c>
      <c r="Y380" s="272" t="n">
        <v>2</v>
      </c>
      <c r="Z380" s="272" t="n">
        <v>1</v>
      </c>
      <c r="AA380" s="272" t="n">
        <v>6</v>
      </c>
    </row>
    <row r="381">
      <c r="A381" s="270" t="n">
        <v>46084</v>
      </c>
      <c r="B381" s="271" t="inlineStr">
        <is>
          <t>Belenenses</t>
        </is>
      </c>
      <c r="C381" s="271" t="inlineStr">
        <is>
          <t>Paulino</t>
        </is>
      </c>
      <c r="D381" s="271" t="inlineStr">
        <is>
          <t>Médio</t>
        </is>
      </c>
      <c r="E381" s="272" t="n">
        <v>86</v>
      </c>
      <c r="F381" s="272" t="n">
        <v>9778</v>
      </c>
      <c r="G381" s="272" t="n">
        <v>505</v>
      </c>
      <c r="H381" s="272" t="n">
        <v>221</v>
      </c>
      <c r="I381" s="272" t="n">
        <v>85</v>
      </c>
      <c r="J381" s="272" t="n">
        <v>79</v>
      </c>
      <c r="K381" s="272" t="n">
        <v>10</v>
      </c>
      <c r="L381" s="273" t="n">
        <v>32.2</v>
      </c>
      <c r="M381" s="272" t="n">
        <v>9</v>
      </c>
      <c r="N381" s="272" t="n">
        <v>9</v>
      </c>
      <c r="O381" s="272" t="n">
        <v>5</v>
      </c>
      <c r="P381" s="272" t="n">
        <v>2</v>
      </c>
      <c r="Q381" s="271" t="inlineStr">
        <is>
          <t>Jogo</t>
        </is>
      </c>
      <c r="R381" s="272" t="n">
        <v>9</v>
      </c>
      <c r="S381" s="271" t="inlineStr">
        <is>
          <t>MD</t>
        </is>
      </c>
      <c r="T381" s="272" t="n"/>
      <c r="U381" s="272" t="n"/>
      <c r="V381" s="274">
        <f>IF(_xlfn.MAXIFS(tblCarga[Data],tblCarga[Jogador],C381,tblCarga[Tipo],"Jogo",tblCarga[Data],"&lt;"&amp;A381)=0,"-",A381-_xlfn.MAXIFS(tblCarga[Data],tblCarga[Jogador],C381,tblCarga[Tipo],"Jogo",tblCarga[Data],"&lt;"&amp;A381))</f>
        <v/>
      </c>
      <c r="W381" s="272" t="n">
        <v>1</v>
      </c>
      <c r="X381" s="272" t="n">
        <v>2</v>
      </c>
      <c r="Y381" s="272" t="n">
        <v>4</v>
      </c>
      <c r="Z381" s="272" t="n">
        <v>1</v>
      </c>
      <c r="AA381" s="272" t="n">
        <v>8</v>
      </c>
    </row>
    <row r="382">
      <c r="A382" s="270" t="n">
        <v>46084</v>
      </c>
      <c r="B382" s="271" t="inlineStr">
        <is>
          <t>Belenenses</t>
        </is>
      </c>
      <c r="C382" s="271" t="inlineStr">
        <is>
          <t>Artur</t>
        </is>
      </c>
      <c r="D382" s="271" t="inlineStr">
        <is>
          <t>Médio</t>
        </is>
      </c>
      <c r="E382" s="272" t="n">
        <v>84</v>
      </c>
      <c r="F382" s="272" t="n">
        <v>9341</v>
      </c>
      <c r="G382" s="272" t="n">
        <v>421</v>
      </c>
      <c r="H382" s="272" t="n">
        <v>166</v>
      </c>
      <c r="I382" s="272" t="n">
        <v>79</v>
      </c>
      <c r="J382" s="272" t="n">
        <v>81</v>
      </c>
      <c r="K382" s="272" t="n">
        <v>10</v>
      </c>
      <c r="L382" s="273" t="n">
        <v>32.7</v>
      </c>
      <c r="M382" s="272" t="n">
        <v>9</v>
      </c>
      <c r="N382" s="272" t="n">
        <v>9</v>
      </c>
      <c r="O382" s="272" t="n">
        <v>5</v>
      </c>
      <c r="P382" s="272" t="n">
        <v>2</v>
      </c>
      <c r="Q382" s="271" t="inlineStr">
        <is>
          <t>Jogo</t>
        </is>
      </c>
      <c r="R382" s="272" t="n">
        <v>9</v>
      </c>
      <c r="S382" s="271" t="inlineStr">
        <is>
          <t>MD</t>
        </is>
      </c>
      <c r="T382" s="272" t="n"/>
      <c r="U382" s="272" t="n"/>
      <c r="V382" s="274">
        <f>IF(_xlfn.MAXIFS(tblCarga[Data],tblCarga[Jogador],C382,tblCarga[Tipo],"Jogo",tblCarga[Data],"&lt;"&amp;A382)=0,"-",A382-_xlfn.MAXIFS(tblCarga[Data],tblCarga[Jogador],C382,tblCarga[Tipo],"Jogo",tblCarga[Data],"&lt;"&amp;A382))</f>
        <v/>
      </c>
      <c r="W382" s="272" t="n">
        <v>2</v>
      </c>
      <c r="X382" s="272" t="n">
        <v>3</v>
      </c>
      <c r="Y382" s="272" t="n">
        <v>3</v>
      </c>
      <c r="Z382" s="272" t="n">
        <v>3</v>
      </c>
      <c r="AA382" s="272" t="n">
        <v>11</v>
      </c>
    </row>
    <row r="383">
      <c r="A383" s="270" t="n">
        <v>46084</v>
      </c>
      <c r="B383" s="271" t="inlineStr">
        <is>
          <t>Belenenses</t>
        </is>
      </c>
      <c r="C383" s="271" t="inlineStr">
        <is>
          <t>Gomes</t>
        </is>
      </c>
      <c r="D383" s="271" t="inlineStr">
        <is>
          <t>Médio</t>
        </is>
      </c>
      <c r="E383" s="272" t="n">
        <v>84</v>
      </c>
      <c r="F383" s="272" t="n">
        <v>11466</v>
      </c>
      <c r="G383" s="272" t="n">
        <v>427</v>
      </c>
      <c r="H383" s="272" t="n">
        <v>176</v>
      </c>
      <c r="I383" s="272" t="n">
        <v>85</v>
      </c>
      <c r="J383" s="272" t="n">
        <v>91</v>
      </c>
      <c r="K383" s="272" t="n">
        <v>10</v>
      </c>
      <c r="L383" s="273" t="n">
        <v>29.3</v>
      </c>
      <c r="M383" s="272" t="n">
        <v>9</v>
      </c>
      <c r="N383" s="272" t="n">
        <v>17</v>
      </c>
      <c r="O383" s="272" t="n">
        <v>10</v>
      </c>
      <c r="P383" s="272" t="n">
        <v>4</v>
      </c>
      <c r="Q383" s="271" t="inlineStr">
        <is>
          <t>Jogo</t>
        </is>
      </c>
      <c r="R383" s="272" t="n">
        <v>9</v>
      </c>
      <c r="S383" s="271" t="inlineStr">
        <is>
          <t>MD</t>
        </is>
      </c>
      <c r="T383" s="272" t="n"/>
      <c r="U383" s="272" t="n"/>
      <c r="V383" s="274">
        <f>IF(_xlfn.MAXIFS(tblCarga[Data],tblCarga[Jogador],C383,tblCarga[Tipo],"Jogo",tblCarga[Data],"&lt;"&amp;A383)=0,"-",A383-_xlfn.MAXIFS(tblCarga[Data],tblCarga[Jogador],C383,tblCarga[Tipo],"Jogo",tblCarga[Data],"&lt;"&amp;A383))</f>
        <v/>
      </c>
      <c r="W383" s="272" t="n">
        <v>2</v>
      </c>
      <c r="X383" s="272" t="n">
        <v>2</v>
      </c>
      <c r="Y383" s="272" t="n">
        <v>3</v>
      </c>
      <c r="Z383" s="272" t="n">
        <v>3</v>
      </c>
      <c r="AA383" s="272" t="n">
        <v>10</v>
      </c>
    </row>
    <row r="384">
      <c r="A384" s="270" t="n">
        <v>46084</v>
      </c>
      <c r="B384" s="271" t="inlineStr">
        <is>
          <t>Belenenses</t>
        </is>
      </c>
      <c r="C384" s="271" t="inlineStr">
        <is>
          <t>Sá</t>
        </is>
      </c>
      <c r="D384" s="271" t="inlineStr">
        <is>
          <t>Médio</t>
        </is>
      </c>
      <c r="E384" s="272" t="n">
        <v>85</v>
      </c>
      <c r="F384" s="272" t="n">
        <v>11783</v>
      </c>
      <c r="G384" s="272" t="n">
        <v>460</v>
      </c>
      <c r="H384" s="272" t="n">
        <v>203</v>
      </c>
      <c r="I384" s="272" t="n">
        <v>78</v>
      </c>
      <c r="J384" s="272" t="n">
        <v>80</v>
      </c>
      <c r="K384" s="272" t="n">
        <v>10</v>
      </c>
      <c r="L384" s="273" t="n">
        <v>33</v>
      </c>
      <c r="M384" s="272" t="n">
        <v>9</v>
      </c>
      <c r="N384" s="272" t="n">
        <v>12</v>
      </c>
      <c r="O384" s="272" t="n">
        <v>5</v>
      </c>
      <c r="P384" s="272" t="n">
        <v>2</v>
      </c>
      <c r="Q384" s="271" t="inlineStr">
        <is>
          <t>Jogo</t>
        </is>
      </c>
      <c r="R384" s="272" t="n">
        <v>9</v>
      </c>
      <c r="S384" s="271" t="inlineStr">
        <is>
          <t>MD</t>
        </is>
      </c>
      <c r="T384" s="272" t="n"/>
      <c r="U384" s="272" t="n"/>
      <c r="V384" s="274">
        <f>IF(_xlfn.MAXIFS(tblCarga[Data],tblCarga[Jogador],C384,tblCarga[Tipo],"Jogo",tblCarga[Data],"&lt;"&amp;A384)=0,"-",A384-_xlfn.MAXIFS(tblCarga[Data],tblCarga[Jogador],C384,tblCarga[Tipo],"Jogo",tblCarga[Data],"&lt;"&amp;A384))</f>
        <v/>
      </c>
      <c r="W384" s="272" t="n">
        <v>2</v>
      </c>
      <c r="X384" s="272" t="n">
        <v>3</v>
      </c>
      <c r="Y384" s="272" t="n">
        <v>4</v>
      </c>
      <c r="Z384" s="272" t="n">
        <v>3</v>
      </c>
      <c r="AA384" s="272" t="n">
        <v>12</v>
      </c>
    </row>
    <row r="385">
      <c r="A385" s="270" t="n">
        <v>46084</v>
      </c>
      <c r="B385" s="271" t="inlineStr">
        <is>
          <t>Belenenses</t>
        </is>
      </c>
      <c r="C385" s="271" t="inlineStr">
        <is>
          <t>Varela</t>
        </is>
      </c>
      <c r="D385" s="271" t="inlineStr">
        <is>
          <t>Lateral</t>
        </is>
      </c>
      <c r="E385" s="272" t="n">
        <v>89</v>
      </c>
      <c r="F385" s="272" t="n">
        <v>13590</v>
      </c>
      <c r="G385" s="272" t="n">
        <v>752</v>
      </c>
      <c r="H385" s="272" t="n">
        <v>304</v>
      </c>
      <c r="I385" s="272" t="n">
        <v>86</v>
      </c>
      <c r="J385" s="272" t="n">
        <v>95</v>
      </c>
      <c r="K385" s="272" t="n">
        <v>10</v>
      </c>
      <c r="L385" s="273" t="n">
        <v>35.2</v>
      </c>
      <c r="M385" s="272" t="n">
        <v>9</v>
      </c>
      <c r="N385" s="272" t="n">
        <v>9</v>
      </c>
      <c r="O385" s="272" t="n">
        <v>5</v>
      </c>
      <c r="P385" s="272" t="n">
        <v>2</v>
      </c>
      <c r="Q385" s="271" t="inlineStr">
        <is>
          <t>Jogo</t>
        </is>
      </c>
      <c r="R385" s="272" t="n">
        <v>9</v>
      </c>
      <c r="S385" s="271" t="inlineStr">
        <is>
          <t>MD</t>
        </is>
      </c>
      <c r="T385" s="272" t="n"/>
      <c r="U385" s="272" t="n"/>
      <c r="V385" s="274">
        <f>IF(_xlfn.MAXIFS(tblCarga[Data],tblCarga[Jogador],C385,tblCarga[Tipo],"Jogo",tblCarga[Data],"&lt;"&amp;A385)=0,"-",A385-_xlfn.MAXIFS(tblCarga[Data],tblCarga[Jogador],C385,tblCarga[Tipo],"Jogo",tblCarga[Data],"&lt;"&amp;A385))</f>
        <v/>
      </c>
      <c r="W385" s="272" t="n">
        <v>3</v>
      </c>
      <c r="X385" s="272" t="n">
        <v>3</v>
      </c>
      <c r="Y385" s="272" t="n">
        <v>3</v>
      </c>
      <c r="Z385" s="272" t="n">
        <v>1</v>
      </c>
      <c r="AA385" s="272" t="n">
        <v>10</v>
      </c>
    </row>
    <row r="386">
      <c r="A386" s="270" t="n">
        <v>46084</v>
      </c>
      <c r="B386" s="271" t="inlineStr">
        <is>
          <t>Belenenses</t>
        </is>
      </c>
      <c r="C386" s="271" t="inlineStr">
        <is>
          <t>Edu</t>
        </is>
      </c>
      <c r="D386" s="271" t="inlineStr">
        <is>
          <t>Lateral</t>
        </is>
      </c>
      <c r="E386" s="272" t="n">
        <v>84</v>
      </c>
      <c r="F386" s="272" t="n">
        <v>13784</v>
      </c>
      <c r="G386" s="272" t="n">
        <v>812</v>
      </c>
      <c r="H386" s="272" t="n">
        <v>356</v>
      </c>
      <c r="I386" s="272" t="n">
        <v>90</v>
      </c>
      <c r="J386" s="272" t="n">
        <v>90</v>
      </c>
      <c r="K386" s="272" t="n">
        <v>10</v>
      </c>
      <c r="L386" s="273" t="n">
        <v>35.4</v>
      </c>
      <c r="M386" s="272" t="n">
        <v>9</v>
      </c>
      <c r="N386" s="272" t="n">
        <v>18</v>
      </c>
      <c r="O386" s="272" t="n">
        <v>7</v>
      </c>
      <c r="P386" s="272" t="n">
        <v>2</v>
      </c>
      <c r="Q386" s="271" t="inlineStr">
        <is>
          <t>Jogo</t>
        </is>
      </c>
      <c r="R386" s="272" t="n">
        <v>9</v>
      </c>
      <c r="S386" s="271" t="inlineStr">
        <is>
          <t>MD</t>
        </is>
      </c>
      <c r="T386" s="272" t="n"/>
      <c r="U386" s="272" t="n"/>
      <c r="V386" s="274">
        <f>IF(_xlfn.MAXIFS(tblCarga[Data],tblCarga[Jogador],C386,tblCarga[Tipo],"Jogo",tblCarga[Data],"&lt;"&amp;A386)=0,"-",A386-_xlfn.MAXIFS(tblCarga[Data],tblCarga[Jogador],C386,tblCarga[Tipo],"Jogo",tblCarga[Data],"&lt;"&amp;A386))</f>
        <v/>
      </c>
      <c r="W386" s="272" t="n">
        <v>1</v>
      </c>
      <c r="X386" s="272" t="n">
        <v>4</v>
      </c>
      <c r="Y386" s="272" t="n">
        <v>4</v>
      </c>
      <c r="Z386" s="272" t="n">
        <v>3</v>
      </c>
      <c r="AA386" s="272" t="n">
        <v>12</v>
      </c>
    </row>
    <row r="387">
      <c r="A387" s="270" t="n">
        <v>46084</v>
      </c>
      <c r="B387" s="271" t="inlineStr">
        <is>
          <t>Belenenses</t>
        </is>
      </c>
      <c r="C387" s="271" t="inlineStr">
        <is>
          <t>Capitulo</t>
        </is>
      </c>
      <c r="D387" s="271" t="inlineStr">
        <is>
          <t>Lateral</t>
        </is>
      </c>
      <c r="E387" s="272" t="n">
        <v>98</v>
      </c>
      <c r="F387" s="272" t="n">
        <v>13287</v>
      </c>
      <c r="G387" s="272" t="n">
        <v>761</v>
      </c>
      <c r="H387" s="272" t="n">
        <v>337</v>
      </c>
      <c r="I387" s="272" t="n">
        <v>98</v>
      </c>
      <c r="J387" s="272" t="n">
        <v>90</v>
      </c>
      <c r="K387" s="272" t="n">
        <v>10</v>
      </c>
      <c r="L387" s="273" t="n">
        <v>33.9</v>
      </c>
      <c r="M387" s="272" t="n">
        <v>9</v>
      </c>
      <c r="N387" s="272" t="n">
        <v>17</v>
      </c>
      <c r="O387" s="272" t="n">
        <v>9</v>
      </c>
      <c r="P387" s="272" t="n">
        <v>2</v>
      </c>
      <c r="Q387" s="271" t="inlineStr">
        <is>
          <t>Jogo</t>
        </is>
      </c>
      <c r="R387" s="272" t="n">
        <v>9</v>
      </c>
      <c r="S387" s="271" t="inlineStr">
        <is>
          <t>MD</t>
        </is>
      </c>
      <c r="T387" s="272" t="n"/>
      <c r="U387" s="272" t="n"/>
      <c r="V387" s="274">
        <f>IF(_xlfn.MAXIFS(tblCarga[Data],tblCarga[Jogador],C387,tblCarga[Tipo],"Jogo",tblCarga[Data],"&lt;"&amp;A387)=0,"-",A387-_xlfn.MAXIFS(tblCarga[Data],tblCarga[Jogador],C387,tblCarga[Tipo],"Jogo",tblCarga[Data],"&lt;"&amp;A387))</f>
        <v/>
      </c>
      <c r="W387" s="272" t="n">
        <v>3</v>
      </c>
      <c r="X387" s="272" t="n">
        <v>3</v>
      </c>
      <c r="Y387" s="272" t="n">
        <v>4</v>
      </c>
      <c r="Z387" s="272" t="n">
        <v>1</v>
      </c>
      <c r="AA387" s="272" t="n">
        <v>11</v>
      </c>
    </row>
    <row r="388">
      <c r="A388" s="270" t="n">
        <v>46084</v>
      </c>
      <c r="B388" s="271" t="inlineStr">
        <is>
          <t>Belenenses</t>
        </is>
      </c>
      <c r="C388" s="271" t="inlineStr">
        <is>
          <t>Enzo Hugo</t>
        </is>
      </c>
      <c r="D388" s="271" t="inlineStr">
        <is>
          <t>Central</t>
        </is>
      </c>
      <c r="E388" s="272" t="n">
        <v>90</v>
      </c>
      <c r="F388" s="272" t="n">
        <v>10767</v>
      </c>
      <c r="G388" s="272" t="n">
        <v>531</v>
      </c>
      <c r="H388" s="272" t="n">
        <v>87</v>
      </c>
      <c r="I388" s="272" t="n">
        <v>86</v>
      </c>
      <c r="J388" s="272" t="n">
        <v>106</v>
      </c>
      <c r="K388" s="272" t="n">
        <v>10</v>
      </c>
      <c r="L388" s="273" t="n">
        <v>30.8</v>
      </c>
      <c r="M388" s="272" t="n">
        <v>9</v>
      </c>
      <c r="N388" s="272" t="n">
        <v>17</v>
      </c>
      <c r="O388" s="272" t="n">
        <v>9</v>
      </c>
      <c r="P388" s="272" t="n">
        <v>4</v>
      </c>
      <c r="Q388" s="271" t="inlineStr">
        <is>
          <t>Jogo</t>
        </is>
      </c>
      <c r="R388" s="272" t="n">
        <v>9</v>
      </c>
      <c r="S388" s="271" t="inlineStr">
        <is>
          <t>MD</t>
        </is>
      </c>
      <c r="T388" s="272" t="n"/>
      <c r="U388" s="272" t="n"/>
      <c r="V388" s="274">
        <f>IF(_xlfn.MAXIFS(tblCarga[Data],tblCarga[Jogador],C388,tblCarga[Tipo],"Jogo",tblCarga[Data],"&lt;"&amp;A388)=0,"-",A388-_xlfn.MAXIFS(tblCarga[Data],tblCarga[Jogador],C388,tblCarga[Tipo],"Jogo",tblCarga[Data],"&lt;"&amp;A388))</f>
        <v/>
      </c>
      <c r="W388" s="272" t="n">
        <v>2</v>
      </c>
      <c r="X388" s="272" t="n">
        <v>3</v>
      </c>
      <c r="Y388" s="272" t="n">
        <v>4</v>
      </c>
      <c r="Z388" s="272" t="n">
        <v>1</v>
      </c>
      <c r="AA388" s="272" t="n">
        <v>10</v>
      </c>
    </row>
    <row r="389">
      <c r="A389" s="270" t="n">
        <v>46084</v>
      </c>
      <c r="B389" s="271" t="inlineStr">
        <is>
          <t>Belenenses</t>
        </is>
      </c>
      <c r="C389" s="271" t="inlineStr">
        <is>
          <t>Nogueira</t>
        </is>
      </c>
      <c r="D389" s="271" t="inlineStr">
        <is>
          <t>Central</t>
        </is>
      </c>
      <c r="E389" s="272" t="n">
        <v>87</v>
      </c>
      <c r="F389" s="272" t="n">
        <v>10580</v>
      </c>
      <c r="G389" s="272" t="n">
        <v>523</v>
      </c>
      <c r="H389" s="272" t="n">
        <v>89</v>
      </c>
      <c r="I389" s="272" t="n">
        <v>74</v>
      </c>
      <c r="J389" s="272" t="n">
        <v>92</v>
      </c>
      <c r="K389" s="272" t="n">
        <v>10</v>
      </c>
      <c r="L389" s="273" t="n">
        <v>30.9</v>
      </c>
      <c r="M389" s="272" t="n">
        <v>9</v>
      </c>
      <c r="N389" s="272" t="n">
        <v>12</v>
      </c>
      <c r="O389" s="272" t="n">
        <v>5</v>
      </c>
      <c r="P389" s="272" t="n">
        <v>2</v>
      </c>
      <c r="Q389" s="271" t="inlineStr">
        <is>
          <t>Jogo</t>
        </is>
      </c>
      <c r="R389" s="272" t="n">
        <v>9</v>
      </c>
      <c r="S389" s="271" t="inlineStr">
        <is>
          <t>MD</t>
        </is>
      </c>
      <c r="T389" s="272" t="n"/>
      <c r="U389" s="272" t="n"/>
      <c r="V389" s="274">
        <f>IF(_xlfn.MAXIFS(tblCarga[Data],tblCarga[Jogador],C389,tblCarga[Tipo],"Jogo",tblCarga[Data],"&lt;"&amp;A389)=0,"-",A389-_xlfn.MAXIFS(tblCarga[Data],tblCarga[Jogador],C389,tblCarga[Tipo],"Jogo",tblCarga[Data],"&lt;"&amp;A389))</f>
        <v/>
      </c>
      <c r="W389" s="272" t="n">
        <v>3</v>
      </c>
      <c r="X389" s="272" t="n">
        <v>4</v>
      </c>
      <c r="Y389" s="272" t="n">
        <v>4</v>
      </c>
      <c r="Z389" s="272" t="n">
        <v>2</v>
      </c>
      <c r="AA389" s="272" t="n">
        <v>13</v>
      </c>
    </row>
    <row r="390">
      <c r="A390" s="270" t="n">
        <v>46085</v>
      </c>
      <c r="B390" s="271" t="inlineStr">
        <is>
          <t>Belenenses</t>
        </is>
      </c>
      <c r="C390" s="271" t="inlineStr">
        <is>
          <t>Paulino</t>
        </is>
      </c>
      <c r="D390" s="271" t="inlineStr">
        <is>
          <t>Médio</t>
        </is>
      </c>
      <c r="E390" s="272" t="n">
        <v>39</v>
      </c>
      <c r="F390" s="272" t="n">
        <v>2391</v>
      </c>
      <c r="G390" s="272" t="n">
        <v>36</v>
      </c>
      <c r="H390" s="272" t="n">
        <v>6</v>
      </c>
      <c r="I390" s="272" t="n">
        <v>20</v>
      </c>
      <c r="J390" s="272" t="n">
        <v>19</v>
      </c>
      <c r="K390" s="272" t="n">
        <v>1</v>
      </c>
      <c r="L390" s="273" t="n">
        <v>24.4</v>
      </c>
      <c r="M390" s="272" t="n">
        <v>10</v>
      </c>
      <c r="N390" s="272" t="n">
        <v>3</v>
      </c>
      <c r="O390" s="272" t="n">
        <v>1</v>
      </c>
      <c r="P390" s="272" t="n">
        <v>0</v>
      </c>
      <c r="Q390" s="271" t="inlineStr">
        <is>
          <t>Treino</t>
        </is>
      </c>
      <c r="R390" s="272" t="n">
        <v>9</v>
      </c>
      <c r="S390" s="271" t="inlineStr">
        <is>
          <t>MD+1R</t>
        </is>
      </c>
      <c r="T390" s="272" t="n"/>
      <c r="U390" s="272" t="n"/>
      <c r="V390" s="274">
        <f>IF(_xlfn.MAXIFS(tblCarga[Data],tblCarga[Jogador],C390,tblCarga[Tipo],"Jogo",tblCarga[Data],"&lt;"&amp;A390)=0,"-",A390-_xlfn.MAXIFS(tblCarga[Data],tblCarga[Jogador],C390,tblCarga[Tipo],"Jogo",tblCarga[Data],"&lt;"&amp;A390))</f>
        <v/>
      </c>
      <c r="W390" s="272" t="n">
        <v>2</v>
      </c>
      <c r="X390" s="272" t="n">
        <v>4</v>
      </c>
      <c r="Y390" s="272" t="n">
        <v>3</v>
      </c>
      <c r="Z390" s="272" t="n">
        <v>3</v>
      </c>
      <c r="AA390" s="272" t="n">
        <v>12</v>
      </c>
    </row>
    <row r="391">
      <c r="A391" s="270" t="n">
        <v>46085</v>
      </c>
      <c r="B391" s="271" t="inlineStr">
        <is>
          <t>Belenenses</t>
        </is>
      </c>
      <c r="C391" s="271" t="inlineStr">
        <is>
          <t>Artur</t>
        </is>
      </c>
      <c r="D391" s="271" t="inlineStr">
        <is>
          <t>Médio</t>
        </is>
      </c>
      <c r="E391" s="272" t="n">
        <v>38</v>
      </c>
      <c r="F391" s="272" t="n">
        <v>2543</v>
      </c>
      <c r="G391" s="272" t="n">
        <v>33</v>
      </c>
      <c r="H391" s="272" t="n">
        <v>5</v>
      </c>
      <c r="I391" s="272" t="n">
        <v>20</v>
      </c>
      <c r="J391" s="272" t="n">
        <v>22</v>
      </c>
      <c r="K391" s="272" t="n">
        <v>1</v>
      </c>
      <c r="L391" s="273" t="n">
        <v>24.1</v>
      </c>
      <c r="M391" s="272" t="n">
        <v>10</v>
      </c>
      <c r="N391" s="272" t="n">
        <v>2</v>
      </c>
      <c r="O391" s="272" t="n">
        <v>0</v>
      </c>
      <c r="P391" s="272" t="n">
        <v>0</v>
      </c>
      <c r="Q391" s="271" t="inlineStr">
        <is>
          <t>Treino</t>
        </is>
      </c>
      <c r="R391" s="272" t="n">
        <v>9</v>
      </c>
      <c r="S391" s="271" t="inlineStr">
        <is>
          <t>MD+1R</t>
        </is>
      </c>
      <c r="T391" s="272" t="n"/>
      <c r="U391" s="272" t="n"/>
      <c r="V391" s="274">
        <f>IF(_xlfn.MAXIFS(tblCarga[Data],tblCarga[Jogador],C391,tblCarga[Tipo],"Jogo",tblCarga[Data],"&lt;"&amp;A391)=0,"-",A391-_xlfn.MAXIFS(tblCarga[Data],tblCarga[Jogador],C391,tblCarga[Tipo],"Jogo",tblCarga[Data],"&lt;"&amp;A391))</f>
        <v/>
      </c>
      <c r="W391" s="272" t="n">
        <v>4</v>
      </c>
      <c r="X391" s="272" t="n">
        <v>5</v>
      </c>
      <c r="Y391" s="272" t="n">
        <v>2</v>
      </c>
      <c r="Z391" s="272" t="n">
        <v>4</v>
      </c>
      <c r="AA391" s="272" t="n">
        <v>15</v>
      </c>
    </row>
    <row r="392">
      <c r="A392" s="270" t="n">
        <v>46085</v>
      </c>
      <c r="B392" s="271" t="inlineStr">
        <is>
          <t>Belenenses</t>
        </is>
      </c>
      <c r="C392" s="271" t="inlineStr">
        <is>
          <t>Gomes</t>
        </is>
      </c>
      <c r="D392" s="271" t="inlineStr">
        <is>
          <t>Médio</t>
        </is>
      </c>
      <c r="E392" s="272" t="n">
        <v>39</v>
      </c>
      <c r="F392" s="272" t="n">
        <v>2637</v>
      </c>
      <c r="G392" s="272" t="n">
        <v>33</v>
      </c>
      <c r="H392" s="272" t="n">
        <v>5</v>
      </c>
      <c r="I392" s="272" t="n">
        <v>23</v>
      </c>
      <c r="J392" s="272" t="n">
        <v>22</v>
      </c>
      <c r="K392" s="272" t="n">
        <v>1</v>
      </c>
      <c r="L392" s="273" t="n">
        <v>23.2</v>
      </c>
      <c r="M392" s="272" t="n">
        <v>10</v>
      </c>
      <c r="N392" s="272" t="n">
        <v>3</v>
      </c>
      <c r="O392" s="272" t="n">
        <v>1</v>
      </c>
      <c r="P392" s="272" t="n">
        <v>0</v>
      </c>
      <c r="Q392" s="271" t="inlineStr">
        <is>
          <t>Treino</t>
        </is>
      </c>
      <c r="R392" s="272" t="n">
        <v>9</v>
      </c>
      <c r="S392" s="271" t="inlineStr">
        <is>
          <t>MD+1R</t>
        </is>
      </c>
      <c r="T392" s="272" t="n"/>
      <c r="U392" s="272" t="n"/>
      <c r="V392" s="274">
        <f>IF(_xlfn.MAXIFS(tblCarga[Data],tblCarga[Jogador],C392,tblCarga[Tipo],"Jogo",tblCarga[Data],"&lt;"&amp;A392)=0,"-",A392-_xlfn.MAXIFS(tblCarga[Data],tblCarga[Jogador],C392,tblCarga[Tipo],"Jogo",tblCarga[Data],"&lt;"&amp;A392))</f>
        <v/>
      </c>
      <c r="W392" s="272" t="n">
        <v>2</v>
      </c>
      <c r="X392" s="272" t="n">
        <v>5</v>
      </c>
      <c r="Y392" s="272" t="n">
        <v>2</v>
      </c>
      <c r="Z392" s="272" t="n">
        <v>2</v>
      </c>
      <c r="AA392" s="272" t="n">
        <v>11</v>
      </c>
    </row>
    <row r="393">
      <c r="A393" s="270" t="n">
        <v>46085</v>
      </c>
      <c r="B393" s="271" t="inlineStr">
        <is>
          <t>Belenenses</t>
        </is>
      </c>
      <c r="C393" s="271" t="inlineStr">
        <is>
          <t>Sá</t>
        </is>
      </c>
      <c r="D393" s="271" t="inlineStr">
        <is>
          <t>Médio</t>
        </is>
      </c>
      <c r="E393" s="272" t="n">
        <v>40</v>
      </c>
      <c r="F393" s="272" t="n">
        <v>2654</v>
      </c>
      <c r="G393" s="272" t="n">
        <v>30</v>
      </c>
      <c r="H393" s="272" t="n">
        <v>5</v>
      </c>
      <c r="I393" s="272" t="n">
        <v>21</v>
      </c>
      <c r="J393" s="272" t="n">
        <v>26</v>
      </c>
      <c r="K393" s="272" t="n">
        <v>1</v>
      </c>
      <c r="L393" s="273" t="n">
        <v>23.5</v>
      </c>
      <c r="M393" s="272" t="n">
        <v>10</v>
      </c>
      <c r="N393" s="272" t="n">
        <v>4</v>
      </c>
      <c r="O393" s="272" t="n">
        <v>2</v>
      </c>
      <c r="P393" s="272" t="n">
        <v>0</v>
      </c>
      <c r="Q393" s="271" t="inlineStr">
        <is>
          <t>Treino</t>
        </is>
      </c>
      <c r="R393" s="272" t="n">
        <v>9</v>
      </c>
      <c r="S393" s="271" t="inlineStr">
        <is>
          <t>MD+1R</t>
        </is>
      </c>
      <c r="T393" s="272" t="n"/>
      <c r="U393" s="272" t="n"/>
      <c r="V393" s="274">
        <f>IF(_xlfn.MAXIFS(tblCarga[Data],tblCarga[Jogador],C393,tblCarga[Tipo],"Jogo",tblCarga[Data],"&lt;"&amp;A393)=0,"-",A393-_xlfn.MAXIFS(tblCarga[Data],tblCarga[Jogador],C393,tblCarga[Tipo],"Jogo",tblCarga[Data],"&lt;"&amp;A393))</f>
        <v/>
      </c>
      <c r="W393" s="272" t="n">
        <v>2</v>
      </c>
      <c r="X393" s="272" t="n">
        <v>4</v>
      </c>
      <c r="Y393" s="272" t="n">
        <v>2</v>
      </c>
      <c r="Z393" s="272" t="n">
        <v>2</v>
      </c>
      <c r="AA393" s="272" t="n">
        <v>10</v>
      </c>
    </row>
    <row r="394">
      <c r="A394" s="270" t="n">
        <v>46085</v>
      </c>
      <c r="B394" s="271" t="inlineStr">
        <is>
          <t>Belenenses</t>
        </is>
      </c>
      <c r="C394" s="271" t="inlineStr">
        <is>
          <t>Varela</t>
        </is>
      </c>
      <c r="D394" s="271" t="inlineStr">
        <is>
          <t>Lateral</t>
        </is>
      </c>
      <c r="E394" s="272" t="n">
        <v>38</v>
      </c>
      <c r="F394" s="272" t="n">
        <v>3445</v>
      </c>
      <c r="G394" s="272" t="n">
        <v>59</v>
      </c>
      <c r="H394" s="272" t="n">
        <v>9</v>
      </c>
      <c r="I394" s="272" t="n">
        <v>25</v>
      </c>
      <c r="J394" s="272" t="n">
        <v>25</v>
      </c>
      <c r="K394" s="272" t="n">
        <v>1</v>
      </c>
      <c r="L394" s="273" t="n">
        <v>26.1</v>
      </c>
      <c r="M394" s="272" t="n">
        <v>10</v>
      </c>
      <c r="N394" s="272" t="n">
        <v>3</v>
      </c>
      <c r="O394" s="272" t="n">
        <v>1</v>
      </c>
      <c r="P394" s="272" t="n">
        <v>0</v>
      </c>
      <c r="Q394" s="271" t="inlineStr">
        <is>
          <t>Treino</t>
        </is>
      </c>
      <c r="R394" s="272" t="n">
        <v>9</v>
      </c>
      <c r="S394" s="271" t="inlineStr">
        <is>
          <t>MD+1R</t>
        </is>
      </c>
      <c r="T394" s="272" t="n"/>
      <c r="U394" s="272" t="n"/>
      <c r="V394" s="274">
        <f>IF(_xlfn.MAXIFS(tblCarga[Data],tblCarga[Jogador],C394,tblCarga[Tipo],"Jogo",tblCarga[Data],"&lt;"&amp;A394)=0,"-",A394-_xlfn.MAXIFS(tblCarga[Data],tblCarga[Jogador],C394,tblCarga[Tipo],"Jogo",tblCarga[Data],"&lt;"&amp;A394))</f>
        <v/>
      </c>
      <c r="W394" s="272" t="n">
        <v>4</v>
      </c>
      <c r="X394" s="272" t="n">
        <v>5</v>
      </c>
      <c r="Y394" s="272" t="n">
        <v>2</v>
      </c>
      <c r="Z394" s="272" t="n">
        <v>2</v>
      </c>
      <c r="AA394" s="272" t="n">
        <v>13</v>
      </c>
    </row>
    <row r="395">
      <c r="A395" s="270" t="n">
        <v>46085</v>
      </c>
      <c r="B395" s="271" t="inlineStr">
        <is>
          <t>Belenenses</t>
        </is>
      </c>
      <c r="C395" s="271" t="inlineStr">
        <is>
          <t>Edu</t>
        </is>
      </c>
      <c r="D395" s="271" t="inlineStr">
        <is>
          <t>Lateral</t>
        </is>
      </c>
      <c r="E395" s="272" t="n">
        <v>44</v>
      </c>
      <c r="F395" s="272" t="n">
        <v>3543</v>
      </c>
      <c r="G395" s="272" t="n">
        <v>61</v>
      </c>
      <c r="H395" s="272" t="n">
        <v>10</v>
      </c>
      <c r="I395" s="272" t="n">
        <v>24</v>
      </c>
      <c r="J395" s="272" t="n">
        <v>24</v>
      </c>
      <c r="K395" s="272" t="n">
        <v>1</v>
      </c>
      <c r="L395" s="273" t="n">
        <v>25.7</v>
      </c>
      <c r="M395" s="272" t="n">
        <v>10</v>
      </c>
      <c r="N395" s="272" t="n">
        <v>3</v>
      </c>
      <c r="O395" s="272" t="n">
        <v>1</v>
      </c>
      <c r="P395" s="272" t="n">
        <v>0</v>
      </c>
      <c r="Q395" s="271" t="inlineStr">
        <is>
          <t>Treino</t>
        </is>
      </c>
      <c r="R395" s="272" t="n">
        <v>9</v>
      </c>
      <c r="S395" s="271" t="inlineStr">
        <is>
          <t>MD+1R</t>
        </is>
      </c>
      <c r="T395" s="272" t="n"/>
      <c r="U395" s="272" t="n"/>
      <c r="V395" s="274">
        <f>IF(_xlfn.MAXIFS(tblCarga[Data],tblCarga[Jogador],C395,tblCarga[Tipo],"Jogo",tblCarga[Data],"&lt;"&amp;A395)=0,"-",A395-_xlfn.MAXIFS(tblCarga[Data],tblCarga[Jogador],C395,tblCarga[Tipo],"Jogo",tblCarga[Data],"&lt;"&amp;A395))</f>
        <v/>
      </c>
      <c r="W395" s="272" t="n">
        <v>2</v>
      </c>
      <c r="X395" s="272" t="n">
        <v>5</v>
      </c>
      <c r="Y395" s="272" t="n">
        <v>2</v>
      </c>
      <c r="Z395" s="272" t="n">
        <v>2</v>
      </c>
      <c r="AA395" s="272" t="n">
        <v>11</v>
      </c>
    </row>
    <row r="396">
      <c r="A396" s="270" t="n">
        <v>46085</v>
      </c>
      <c r="B396" s="271" t="inlineStr">
        <is>
          <t>Belenenses</t>
        </is>
      </c>
      <c r="C396" s="271" t="inlineStr">
        <is>
          <t>Capitulo</t>
        </is>
      </c>
      <c r="D396" s="271" t="inlineStr">
        <is>
          <t>Lateral</t>
        </is>
      </c>
      <c r="E396" s="272" t="n">
        <v>40</v>
      </c>
      <c r="F396" s="272" t="n">
        <v>3411</v>
      </c>
      <c r="G396" s="272" t="n">
        <v>61</v>
      </c>
      <c r="H396" s="272" t="n">
        <v>10</v>
      </c>
      <c r="I396" s="272" t="n">
        <v>22</v>
      </c>
      <c r="J396" s="272" t="n">
        <v>24</v>
      </c>
      <c r="K396" s="272" t="n">
        <v>1</v>
      </c>
      <c r="L396" s="273" t="n">
        <v>25.1</v>
      </c>
      <c r="M396" s="272" t="n">
        <v>10</v>
      </c>
      <c r="N396" s="272" t="n">
        <v>3</v>
      </c>
      <c r="O396" s="272" t="n">
        <v>1</v>
      </c>
      <c r="P396" s="272" t="n">
        <v>0</v>
      </c>
      <c r="Q396" s="271" t="inlineStr">
        <is>
          <t>Treino</t>
        </is>
      </c>
      <c r="R396" s="272" t="n">
        <v>9</v>
      </c>
      <c r="S396" s="271" t="inlineStr">
        <is>
          <t>MD+1R</t>
        </is>
      </c>
      <c r="T396" s="272" t="n"/>
      <c r="U396" s="272" t="n"/>
      <c r="V396" s="274">
        <f>IF(_xlfn.MAXIFS(tblCarga[Data],tblCarga[Jogador],C396,tblCarga[Tipo],"Jogo",tblCarga[Data],"&lt;"&amp;A396)=0,"-",A396-_xlfn.MAXIFS(tblCarga[Data],tblCarga[Jogador],C396,tblCarga[Tipo],"Jogo",tblCarga[Data],"&lt;"&amp;A396))</f>
        <v/>
      </c>
      <c r="W396" s="272" t="n">
        <v>3</v>
      </c>
      <c r="X396" s="272" t="n">
        <v>4</v>
      </c>
      <c r="Y396" s="272" t="n">
        <v>2</v>
      </c>
      <c r="Z396" s="272" t="n">
        <v>3</v>
      </c>
      <c r="AA396" s="272" t="n">
        <v>12</v>
      </c>
    </row>
    <row r="397">
      <c r="A397" s="270" t="n">
        <v>46085</v>
      </c>
      <c r="B397" s="271" t="inlineStr">
        <is>
          <t>Belenenses</t>
        </is>
      </c>
      <c r="C397" s="271" t="inlineStr">
        <is>
          <t>Enzo Hugo</t>
        </is>
      </c>
      <c r="D397" s="271" t="inlineStr">
        <is>
          <t>Central</t>
        </is>
      </c>
      <c r="E397" s="272" t="n">
        <v>39</v>
      </c>
      <c r="F397" s="272" t="n">
        <v>2657</v>
      </c>
      <c r="G397" s="272" t="n">
        <v>43</v>
      </c>
      <c r="H397" s="272" t="n">
        <v>2</v>
      </c>
      <c r="I397" s="272" t="n">
        <v>23</v>
      </c>
      <c r="J397" s="272" t="n">
        <v>26</v>
      </c>
      <c r="K397" s="272" t="n">
        <v>1</v>
      </c>
      <c r="L397" s="273" t="n">
        <v>23.7</v>
      </c>
      <c r="M397" s="272" t="n">
        <v>10</v>
      </c>
      <c r="N397" s="272" t="n">
        <v>4</v>
      </c>
      <c r="O397" s="272" t="n">
        <v>1</v>
      </c>
      <c r="P397" s="272" t="n">
        <v>0</v>
      </c>
      <c r="Q397" s="271" t="inlineStr">
        <is>
          <t>Treino</t>
        </is>
      </c>
      <c r="R397" s="272" t="n">
        <v>9</v>
      </c>
      <c r="S397" s="271" t="inlineStr">
        <is>
          <t>MD+1R</t>
        </is>
      </c>
      <c r="T397" s="272" t="n"/>
      <c r="U397" s="272" t="n"/>
      <c r="V397" s="274">
        <f>IF(_xlfn.MAXIFS(tblCarga[Data],tblCarga[Jogador],C397,tblCarga[Tipo],"Jogo",tblCarga[Data],"&lt;"&amp;A397)=0,"-",A397-_xlfn.MAXIFS(tblCarga[Data],tblCarga[Jogador],C397,tblCarga[Tipo],"Jogo",tblCarga[Data],"&lt;"&amp;A397))</f>
        <v/>
      </c>
      <c r="W397" s="272" t="n">
        <v>4</v>
      </c>
      <c r="X397" s="272" t="n">
        <v>4</v>
      </c>
      <c r="Y397" s="272" t="n">
        <v>3</v>
      </c>
      <c r="Z397" s="272" t="n">
        <v>2</v>
      </c>
      <c r="AA397" s="272" t="n">
        <v>13</v>
      </c>
    </row>
    <row r="398">
      <c r="A398" s="270" t="n">
        <v>46085</v>
      </c>
      <c r="B398" s="271" t="inlineStr">
        <is>
          <t>Belenenses</t>
        </is>
      </c>
      <c r="C398" s="271" t="inlineStr">
        <is>
          <t>Nogueira</t>
        </is>
      </c>
      <c r="D398" s="271" t="inlineStr">
        <is>
          <t>Central</t>
        </is>
      </c>
      <c r="E398" s="272" t="n">
        <v>39</v>
      </c>
      <c r="F398" s="272" t="n">
        <v>3255</v>
      </c>
      <c r="G398" s="272" t="n">
        <v>43</v>
      </c>
      <c r="H398" s="272" t="n">
        <v>2</v>
      </c>
      <c r="I398" s="272" t="n">
        <v>20</v>
      </c>
      <c r="J398" s="272" t="n">
        <v>26</v>
      </c>
      <c r="K398" s="272" t="n">
        <v>1</v>
      </c>
      <c r="L398" s="273" t="n">
        <v>24.5</v>
      </c>
      <c r="M398" s="272" t="n">
        <v>10</v>
      </c>
      <c r="N398" s="272" t="n">
        <v>3</v>
      </c>
      <c r="O398" s="272" t="n">
        <v>1</v>
      </c>
      <c r="P398" s="272" t="n">
        <v>0</v>
      </c>
      <c r="Q398" s="271" t="inlineStr">
        <is>
          <t>Treino</t>
        </is>
      </c>
      <c r="R398" s="272" t="n">
        <v>9</v>
      </c>
      <c r="S398" s="271" t="inlineStr">
        <is>
          <t>MD+1R</t>
        </is>
      </c>
      <c r="T398" s="272" t="n"/>
      <c r="U398" s="272" t="n"/>
      <c r="V398" s="274">
        <f>IF(_xlfn.MAXIFS(tblCarga[Data],tblCarga[Jogador],C398,tblCarga[Tipo],"Jogo",tblCarga[Data],"&lt;"&amp;A398)=0,"-",A398-_xlfn.MAXIFS(tblCarga[Data],tblCarga[Jogador],C398,tblCarga[Tipo],"Jogo",tblCarga[Data],"&lt;"&amp;A398))</f>
        <v/>
      </c>
      <c r="W398" s="272" t="n">
        <v>4</v>
      </c>
      <c r="X398" s="272" t="n">
        <v>5</v>
      </c>
      <c r="Y398" s="272" t="n">
        <v>2</v>
      </c>
      <c r="Z398" s="272" t="n">
        <v>3</v>
      </c>
      <c r="AA398" s="272" t="n">
        <v>14</v>
      </c>
    </row>
    <row r="399">
      <c r="A399" s="270" t="n">
        <v>46086</v>
      </c>
      <c r="B399" s="271" t="inlineStr">
        <is>
          <t>Belenenses</t>
        </is>
      </c>
      <c r="C399" s="271" t="inlineStr">
        <is>
          <t>Paulino</t>
        </is>
      </c>
      <c r="D399" s="271" t="inlineStr">
        <is>
          <t>Médio</t>
        </is>
      </c>
      <c r="E399" s="272" t="n">
        <v>66</v>
      </c>
      <c r="F399" s="272" t="n">
        <v>5286</v>
      </c>
      <c r="G399" s="272" t="n">
        <v>121</v>
      </c>
      <c r="H399" s="272" t="n">
        <v>24</v>
      </c>
      <c r="I399" s="272" t="n">
        <v>43</v>
      </c>
      <c r="J399" s="272" t="n">
        <v>45</v>
      </c>
      <c r="K399" s="272" t="n">
        <v>4</v>
      </c>
      <c r="L399" s="273" t="n">
        <v>26.2</v>
      </c>
      <c r="M399" s="272" t="n">
        <v>10</v>
      </c>
      <c r="N399" s="272" t="n">
        <v>4</v>
      </c>
      <c r="O399" s="272" t="n">
        <v>1</v>
      </c>
      <c r="P399" s="272" t="n">
        <v>0</v>
      </c>
      <c r="Q399" s="271" t="inlineStr">
        <is>
          <t>Treino</t>
        </is>
      </c>
      <c r="R399" s="272" t="n">
        <v>9</v>
      </c>
      <c r="S399" s="271" t="inlineStr">
        <is>
          <t>MD+1C</t>
        </is>
      </c>
      <c r="T399" s="272" t="n"/>
      <c r="U399" s="272" t="n"/>
      <c r="V399" s="274">
        <f>IF(_xlfn.MAXIFS(tblCarga[Data],tblCarga[Jogador],C399,tblCarga[Tipo],"Jogo",tblCarga[Data],"&lt;"&amp;A399)=0,"-",A399-_xlfn.MAXIFS(tblCarga[Data],tblCarga[Jogador],C399,tblCarga[Tipo],"Jogo",tblCarga[Data],"&lt;"&amp;A399))</f>
        <v/>
      </c>
      <c r="W399" s="272" t="n">
        <v>4</v>
      </c>
      <c r="X399" s="272" t="n">
        <v>3</v>
      </c>
      <c r="Y399" s="272" t="n">
        <v>2</v>
      </c>
      <c r="Z399" s="272" t="n">
        <v>3</v>
      </c>
      <c r="AA399" s="272" t="n">
        <v>12</v>
      </c>
    </row>
    <row r="400">
      <c r="A400" s="270" t="n">
        <v>46086</v>
      </c>
      <c r="B400" s="271" t="inlineStr">
        <is>
          <t>Belenenses</t>
        </is>
      </c>
      <c r="C400" s="271" t="inlineStr">
        <is>
          <t>Artur</t>
        </is>
      </c>
      <c r="D400" s="271" t="inlineStr">
        <is>
          <t>Médio</t>
        </is>
      </c>
      <c r="E400" s="272" t="n">
        <v>67</v>
      </c>
      <c r="F400" s="272" t="n">
        <v>4897</v>
      </c>
      <c r="G400" s="272" t="n">
        <v>121</v>
      </c>
      <c r="H400" s="272" t="n">
        <v>17</v>
      </c>
      <c r="I400" s="272" t="n">
        <v>46</v>
      </c>
      <c r="J400" s="272" t="n">
        <v>48</v>
      </c>
      <c r="K400" s="272" t="n">
        <v>2</v>
      </c>
      <c r="L400" s="273" t="n">
        <v>26</v>
      </c>
      <c r="M400" s="272" t="n">
        <v>10</v>
      </c>
      <c r="N400" s="272" t="n">
        <v>5</v>
      </c>
      <c r="O400" s="272" t="n">
        <v>2</v>
      </c>
      <c r="P400" s="272" t="n">
        <v>0</v>
      </c>
      <c r="Q400" s="271" t="inlineStr">
        <is>
          <t>Treino</t>
        </is>
      </c>
      <c r="R400" s="272" t="n">
        <v>9</v>
      </c>
      <c r="S400" s="271" t="inlineStr">
        <is>
          <t>MD+1C</t>
        </is>
      </c>
      <c r="T400" s="272" t="n"/>
      <c r="U400" s="272" t="n"/>
      <c r="V400" s="274">
        <f>IF(_xlfn.MAXIFS(tblCarga[Data],tblCarga[Jogador],C400,tblCarga[Tipo],"Jogo",tblCarga[Data],"&lt;"&amp;A400)=0,"-",A400-_xlfn.MAXIFS(tblCarga[Data],tblCarga[Jogador],C400,tblCarga[Tipo],"Jogo",tblCarga[Data],"&lt;"&amp;A400))</f>
        <v/>
      </c>
      <c r="W400" s="272" t="n">
        <v>4</v>
      </c>
      <c r="X400" s="272" t="n">
        <v>5</v>
      </c>
      <c r="Y400" s="272" t="n">
        <v>2</v>
      </c>
      <c r="Z400" s="272" t="n">
        <v>3</v>
      </c>
      <c r="AA400" s="272" t="n">
        <v>14</v>
      </c>
    </row>
    <row r="401">
      <c r="A401" s="270" t="n">
        <v>46086</v>
      </c>
      <c r="B401" s="271" t="inlineStr">
        <is>
          <t>Belenenses</t>
        </is>
      </c>
      <c r="C401" s="271" t="inlineStr">
        <is>
          <t>Gomes</t>
        </is>
      </c>
      <c r="D401" s="271" t="inlineStr">
        <is>
          <t>Médio</t>
        </is>
      </c>
      <c r="E401" s="272" t="n">
        <v>66</v>
      </c>
      <c r="F401" s="272" t="n">
        <v>5879</v>
      </c>
      <c r="G401" s="272" t="n">
        <v>116</v>
      </c>
      <c r="H401" s="272" t="n">
        <v>18</v>
      </c>
      <c r="I401" s="272" t="n">
        <v>47</v>
      </c>
      <c r="J401" s="272" t="n">
        <v>45</v>
      </c>
      <c r="K401" s="272" t="n">
        <v>3</v>
      </c>
      <c r="L401" s="273" t="n">
        <v>27.1</v>
      </c>
      <c r="M401" s="272" t="n">
        <v>10</v>
      </c>
      <c r="N401" s="272" t="n">
        <v>8</v>
      </c>
      <c r="O401" s="272" t="n">
        <v>4</v>
      </c>
      <c r="P401" s="272" t="n">
        <v>1</v>
      </c>
      <c r="Q401" s="271" t="inlineStr">
        <is>
          <t>Treino</t>
        </is>
      </c>
      <c r="R401" s="272" t="n">
        <v>9</v>
      </c>
      <c r="S401" s="271" t="inlineStr">
        <is>
          <t>MD+1C</t>
        </is>
      </c>
      <c r="T401" s="272" t="n"/>
      <c r="U401" s="272" t="n"/>
      <c r="V401" s="274">
        <f>IF(_xlfn.MAXIFS(tblCarga[Data],tblCarga[Jogador],C401,tblCarga[Tipo],"Jogo",tblCarga[Data],"&lt;"&amp;A401)=0,"-",A401-_xlfn.MAXIFS(tblCarga[Data],tblCarga[Jogador],C401,tblCarga[Tipo],"Jogo",tblCarga[Data],"&lt;"&amp;A401))</f>
        <v/>
      </c>
      <c r="W401" s="272" t="n">
        <v>3</v>
      </c>
      <c r="X401" s="272" t="n">
        <v>4</v>
      </c>
      <c r="Y401" s="272" t="n">
        <v>2</v>
      </c>
      <c r="Z401" s="272" t="n">
        <v>2</v>
      </c>
      <c r="AA401" s="272" t="n">
        <v>11</v>
      </c>
    </row>
    <row r="402">
      <c r="A402" s="270" t="n">
        <v>46086</v>
      </c>
      <c r="B402" s="271" t="inlineStr">
        <is>
          <t>Belenenses</t>
        </is>
      </c>
      <c r="C402" s="271" t="inlineStr">
        <is>
          <t>Sá</t>
        </is>
      </c>
      <c r="D402" s="271" t="inlineStr">
        <is>
          <t>Médio</t>
        </is>
      </c>
      <c r="E402" s="272" t="n">
        <v>63</v>
      </c>
      <c r="F402" s="272" t="n">
        <v>5676</v>
      </c>
      <c r="G402" s="272" t="n">
        <v>127</v>
      </c>
      <c r="H402" s="272" t="n">
        <v>18</v>
      </c>
      <c r="I402" s="272" t="n">
        <v>45</v>
      </c>
      <c r="J402" s="272" t="n">
        <v>45</v>
      </c>
      <c r="K402" s="272" t="n">
        <v>2</v>
      </c>
      <c r="L402" s="273" t="n">
        <v>28.3</v>
      </c>
      <c r="M402" s="272" t="n">
        <v>10</v>
      </c>
      <c r="N402" s="272" t="n">
        <v>6</v>
      </c>
      <c r="O402" s="272" t="n">
        <v>3</v>
      </c>
      <c r="P402" s="272" t="n">
        <v>1</v>
      </c>
      <c r="Q402" s="271" t="inlineStr">
        <is>
          <t>Treino</t>
        </is>
      </c>
      <c r="R402" s="272" t="n">
        <v>9</v>
      </c>
      <c r="S402" s="271" t="inlineStr">
        <is>
          <t>MD+1C</t>
        </is>
      </c>
      <c r="T402" s="272" t="n"/>
      <c r="U402" s="272" t="n"/>
      <c r="V402" s="274">
        <f>IF(_xlfn.MAXIFS(tblCarga[Data],tblCarga[Jogador],C402,tblCarga[Tipo],"Jogo",tblCarga[Data],"&lt;"&amp;A402)=0,"-",A402-_xlfn.MAXIFS(tblCarga[Data],tblCarga[Jogador],C402,tblCarga[Tipo],"Jogo",tblCarga[Data],"&lt;"&amp;A402))</f>
        <v/>
      </c>
      <c r="W402" s="272" t="n">
        <v>2</v>
      </c>
      <c r="X402" s="272" t="n">
        <v>3</v>
      </c>
      <c r="Y402" s="272" t="n">
        <v>2</v>
      </c>
      <c r="Z402" s="272" t="n">
        <v>2</v>
      </c>
      <c r="AA402" s="272" t="n">
        <v>9</v>
      </c>
    </row>
    <row r="403">
      <c r="A403" s="270" t="n">
        <v>46086</v>
      </c>
      <c r="B403" s="271" t="inlineStr">
        <is>
          <t>Belenenses</t>
        </is>
      </c>
      <c r="C403" s="271" t="inlineStr">
        <is>
          <t>Varela</t>
        </is>
      </c>
      <c r="D403" s="271" t="inlineStr">
        <is>
          <t>Lateral</t>
        </is>
      </c>
      <c r="E403" s="272" t="n">
        <v>70</v>
      </c>
      <c r="F403" s="272" t="n">
        <v>7074</v>
      </c>
      <c r="G403" s="272" t="n">
        <v>191</v>
      </c>
      <c r="H403" s="272" t="n">
        <v>35</v>
      </c>
      <c r="I403" s="272" t="n">
        <v>46</v>
      </c>
      <c r="J403" s="272" t="n">
        <v>52</v>
      </c>
      <c r="K403" s="272" t="n">
        <v>2</v>
      </c>
      <c r="L403" s="273" t="n">
        <v>30.6</v>
      </c>
      <c r="M403" s="272" t="n">
        <v>10</v>
      </c>
      <c r="N403" s="272" t="n">
        <v>6</v>
      </c>
      <c r="O403" s="272" t="n">
        <v>3</v>
      </c>
      <c r="P403" s="272" t="n">
        <v>1</v>
      </c>
      <c r="Q403" s="271" t="inlineStr">
        <is>
          <t>Treino</t>
        </is>
      </c>
      <c r="R403" s="272" t="n">
        <v>9</v>
      </c>
      <c r="S403" s="271" t="inlineStr">
        <is>
          <t>MD+1C</t>
        </is>
      </c>
      <c r="T403" s="272" t="n"/>
      <c r="U403" s="272" t="n"/>
      <c r="V403" s="274">
        <f>IF(_xlfn.MAXIFS(tblCarga[Data],tblCarga[Jogador],C403,tblCarga[Tipo],"Jogo",tblCarga[Data],"&lt;"&amp;A403)=0,"-",A403-_xlfn.MAXIFS(tblCarga[Data],tblCarga[Jogador],C403,tblCarga[Tipo],"Jogo",tblCarga[Data],"&lt;"&amp;A403))</f>
        <v/>
      </c>
      <c r="W403" s="272" t="n">
        <v>3</v>
      </c>
      <c r="X403" s="272" t="n">
        <v>4</v>
      </c>
      <c r="Y403" s="272" t="n">
        <v>1</v>
      </c>
      <c r="Z403" s="272" t="n">
        <v>3</v>
      </c>
      <c r="AA403" s="272" t="n">
        <v>11</v>
      </c>
    </row>
    <row r="404">
      <c r="A404" s="270" t="n">
        <v>46086</v>
      </c>
      <c r="B404" s="271" t="inlineStr">
        <is>
          <t>Belenenses</t>
        </is>
      </c>
      <c r="C404" s="271" t="inlineStr">
        <is>
          <t>Edu</t>
        </is>
      </c>
      <c r="D404" s="271" t="inlineStr">
        <is>
          <t>Lateral</t>
        </is>
      </c>
      <c r="E404" s="272" t="n">
        <v>68</v>
      </c>
      <c r="F404" s="272" t="n">
        <v>7581</v>
      </c>
      <c r="G404" s="272" t="n">
        <v>209</v>
      </c>
      <c r="H404" s="272" t="n">
        <v>37</v>
      </c>
      <c r="I404" s="272" t="n">
        <v>41</v>
      </c>
      <c r="J404" s="272" t="n">
        <v>47</v>
      </c>
      <c r="K404" s="272" t="n">
        <v>3</v>
      </c>
      <c r="L404" s="273" t="n">
        <v>28.2</v>
      </c>
      <c r="M404" s="272" t="n">
        <v>10</v>
      </c>
      <c r="N404" s="272" t="n">
        <v>6</v>
      </c>
      <c r="O404" s="272" t="n">
        <v>2</v>
      </c>
      <c r="P404" s="272" t="n">
        <v>0</v>
      </c>
      <c r="Q404" s="271" t="inlineStr">
        <is>
          <t>Treino</t>
        </is>
      </c>
      <c r="R404" s="272" t="n">
        <v>9</v>
      </c>
      <c r="S404" s="271" t="inlineStr">
        <is>
          <t>MD+1C</t>
        </is>
      </c>
      <c r="T404" s="272" t="n"/>
      <c r="U404" s="272" t="n"/>
      <c r="V404" s="274">
        <f>IF(_xlfn.MAXIFS(tblCarga[Data],tblCarga[Jogador],C404,tblCarga[Tipo],"Jogo",tblCarga[Data],"&lt;"&amp;A404)=0,"-",A404-_xlfn.MAXIFS(tblCarga[Data],tblCarga[Jogador],C404,tblCarga[Tipo],"Jogo",tblCarga[Data],"&lt;"&amp;A404))</f>
        <v/>
      </c>
      <c r="W404" s="272" t="n">
        <v>3</v>
      </c>
      <c r="X404" s="272" t="n">
        <v>4</v>
      </c>
      <c r="Y404" s="272" t="n">
        <v>2</v>
      </c>
      <c r="Z404" s="272" t="n">
        <v>3</v>
      </c>
      <c r="AA404" s="272" t="n">
        <v>12</v>
      </c>
    </row>
    <row r="405">
      <c r="A405" s="270" t="n">
        <v>46086</v>
      </c>
      <c r="B405" s="271" t="inlineStr">
        <is>
          <t>Belenenses</t>
        </is>
      </c>
      <c r="C405" s="271" t="inlineStr">
        <is>
          <t>Capitulo</t>
        </is>
      </c>
      <c r="D405" s="271" t="inlineStr">
        <is>
          <t>Lateral</t>
        </is>
      </c>
      <c r="E405" s="272" t="n">
        <v>70</v>
      </c>
      <c r="F405" s="272" t="n">
        <v>7913</v>
      </c>
      <c r="G405" s="272" t="n">
        <v>235</v>
      </c>
      <c r="H405" s="272" t="n">
        <v>32</v>
      </c>
      <c r="I405" s="272" t="n">
        <v>48</v>
      </c>
      <c r="J405" s="272" t="n">
        <v>53</v>
      </c>
      <c r="K405" s="272" t="n">
        <v>3</v>
      </c>
      <c r="L405" s="273" t="n">
        <v>26.9</v>
      </c>
      <c r="M405" s="272" t="n">
        <v>10</v>
      </c>
      <c r="N405" s="272" t="n">
        <v>10</v>
      </c>
      <c r="O405" s="272" t="n">
        <v>5</v>
      </c>
      <c r="P405" s="272" t="n">
        <v>2</v>
      </c>
      <c r="Q405" s="271" t="inlineStr">
        <is>
          <t>Treino</t>
        </is>
      </c>
      <c r="R405" s="272" t="n">
        <v>9</v>
      </c>
      <c r="S405" s="271" t="inlineStr">
        <is>
          <t>MD+1C</t>
        </is>
      </c>
      <c r="T405" s="272" t="n"/>
      <c r="U405" s="272" t="n"/>
      <c r="V405" s="274">
        <f>IF(_xlfn.MAXIFS(tblCarga[Data],tblCarga[Jogador],C405,tblCarga[Tipo],"Jogo",tblCarga[Data],"&lt;"&amp;A405)=0,"-",A405-_xlfn.MAXIFS(tblCarga[Data],tblCarga[Jogador],C405,tblCarga[Tipo],"Jogo",tblCarga[Data],"&lt;"&amp;A405))</f>
        <v/>
      </c>
      <c r="W405" s="272" t="n">
        <v>4</v>
      </c>
      <c r="X405" s="272" t="n">
        <v>5</v>
      </c>
      <c r="Y405" s="272" t="n">
        <v>3</v>
      </c>
      <c r="Z405" s="272" t="n">
        <v>2</v>
      </c>
      <c r="AA405" s="272" t="n">
        <v>14</v>
      </c>
    </row>
    <row r="406">
      <c r="A406" s="270" t="n">
        <v>46086</v>
      </c>
      <c r="B406" s="271" t="inlineStr">
        <is>
          <t>Belenenses</t>
        </is>
      </c>
      <c r="C406" s="271" t="inlineStr">
        <is>
          <t>Enzo Hugo</t>
        </is>
      </c>
      <c r="D406" s="271" t="inlineStr">
        <is>
          <t>Central</t>
        </is>
      </c>
      <c r="E406" s="272" t="n">
        <v>69</v>
      </c>
      <c r="F406" s="272" t="n">
        <v>6642</v>
      </c>
      <c r="G406" s="272" t="n">
        <v>147</v>
      </c>
      <c r="H406" s="272" t="n">
        <v>8</v>
      </c>
      <c r="I406" s="272" t="n">
        <v>52</v>
      </c>
      <c r="J406" s="272" t="n">
        <v>51</v>
      </c>
      <c r="K406" s="272" t="n">
        <v>3</v>
      </c>
      <c r="L406" s="273" t="n">
        <v>25</v>
      </c>
      <c r="M406" s="272" t="n">
        <v>10</v>
      </c>
      <c r="N406" s="272" t="n">
        <v>8</v>
      </c>
      <c r="O406" s="272" t="n">
        <v>4</v>
      </c>
      <c r="P406" s="272" t="n">
        <v>2</v>
      </c>
      <c r="Q406" s="271" t="inlineStr">
        <is>
          <t>Treino</t>
        </is>
      </c>
      <c r="R406" s="272" t="n">
        <v>9</v>
      </c>
      <c r="S406" s="271" t="inlineStr">
        <is>
          <t>MD+1C</t>
        </is>
      </c>
      <c r="T406" s="272" t="n"/>
      <c r="U406" s="272" t="n"/>
      <c r="V406" s="274">
        <f>IF(_xlfn.MAXIFS(tblCarga[Data],tblCarga[Jogador],C406,tblCarga[Tipo],"Jogo",tblCarga[Data],"&lt;"&amp;A406)=0,"-",A406-_xlfn.MAXIFS(tblCarga[Data],tblCarga[Jogador],C406,tblCarga[Tipo],"Jogo",tblCarga[Data],"&lt;"&amp;A406))</f>
        <v/>
      </c>
      <c r="W406" s="272" t="n">
        <v>3</v>
      </c>
      <c r="X406" s="272" t="n">
        <v>4</v>
      </c>
      <c r="Y406" s="272" t="n">
        <v>2</v>
      </c>
      <c r="Z406" s="272" t="n">
        <v>3</v>
      </c>
      <c r="AA406" s="272" t="n">
        <v>12</v>
      </c>
    </row>
    <row r="407">
      <c r="A407" s="270" t="n">
        <v>46086</v>
      </c>
      <c r="B407" s="271" t="inlineStr">
        <is>
          <t>Belenenses</t>
        </is>
      </c>
      <c r="C407" s="271" t="inlineStr">
        <is>
          <t>Nogueira</t>
        </is>
      </c>
      <c r="D407" s="271" t="inlineStr">
        <is>
          <t>Central</t>
        </is>
      </c>
      <c r="E407" s="272" t="n">
        <v>63</v>
      </c>
      <c r="F407" s="272" t="n">
        <v>6966</v>
      </c>
      <c r="G407" s="272" t="n">
        <v>151</v>
      </c>
      <c r="H407" s="272" t="n">
        <v>9</v>
      </c>
      <c r="I407" s="272" t="n">
        <v>36</v>
      </c>
      <c r="J407" s="272" t="n">
        <v>53</v>
      </c>
      <c r="K407" s="272" t="n">
        <v>4</v>
      </c>
      <c r="L407" s="273" t="n">
        <v>26.4</v>
      </c>
      <c r="M407" s="272" t="n">
        <v>10</v>
      </c>
      <c r="N407" s="272" t="n">
        <v>7</v>
      </c>
      <c r="O407" s="272" t="n">
        <v>4</v>
      </c>
      <c r="P407" s="272" t="n">
        <v>2</v>
      </c>
      <c r="Q407" s="271" t="inlineStr">
        <is>
          <t>Treino</t>
        </is>
      </c>
      <c r="R407" s="272" t="n">
        <v>9</v>
      </c>
      <c r="S407" s="271" t="inlineStr">
        <is>
          <t>MD+1C</t>
        </is>
      </c>
      <c r="T407" s="272" t="n"/>
      <c r="U407" s="272" t="n"/>
      <c r="V407" s="274">
        <f>IF(_xlfn.MAXIFS(tblCarga[Data],tblCarga[Jogador],C407,tblCarga[Tipo],"Jogo",tblCarga[Data],"&lt;"&amp;A407)=0,"-",A407-_xlfn.MAXIFS(tblCarga[Data],tblCarga[Jogador],C407,tblCarga[Tipo],"Jogo",tblCarga[Data],"&lt;"&amp;A407))</f>
        <v/>
      </c>
      <c r="W407" s="272" t="n">
        <v>4</v>
      </c>
      <c r="X407" s="272" t="n">
        <v>3</v>
      </c>
      <c r="Y407" s="272" t="n">
        <v>2</v>
      </c>
      <c r="Z407" s="272" t="n">
        <v>2</v>
      </c>
      <c r="AA407" s="272" t="n">
        <v>11</v>
      </c>
    </row>
    <row r="408">
      <c r="A408" s="270" t="n">
        <v>46087</v>
      </c>
      <c r="B408" s="271" t="inlineStr">
        <is>
          <t>Belenenses</t>
        </is>
      </c>
      <c r="C408" s="271" t="inlineStr">
        <is>
          <t>Paulino</t>
        </is>
      </c>
      <c r="D408" s="271" t="inlineStr">
        <is>
          <t>Médio</t>
        </is>
      </c>
      <c r="E408" s="272" t="n">
        <v>90</v>
      </c>
      <c r="F408" s="272" t="n">
        <v>7575</v>
      </c>
      <c r="G408" s="272" t="n">
        <v>264</v>
      </c>
      <c r="H408" s="272" t="n">
        <v>101</v>
      </c>
      <c r="I408" s="272" t="n">
        <v>88</v>
      </c>
      <c r="J408" s="272" t="n">
        <v>78</v>
      </c>
      <c r="K408" s="272" t="n">
        <v>9</v>
      </c>
      <c r="L408" s="273" t="n">
        <v>29.6</v>
      </c>
      <c r="M408" s="272" t="n">
        <v>10</v>
      </c>
      <c r="N408" s="272" t="n">
        <v>17</v>
      </c>
      <c r="O408" s="272" t="n">
        <v>8</v>
      </c>
      <c r="P408" s="272" t="n">
        <v>2</v>
      </c>
      <c r="Q408" s="271" t="inlineStr">
        <is>
          <t>Treino</t>
        </is>
      </c>
      <c r="R408" s="272" t="n">
        <v>10</v>
      </c>
      <c r="S408" s="271" t="inlineStr">
        <is>
          <t>MD-5</t>
        </is>
      </c>
      <c r="T408" s="272" t="n"/>
      <c r="U408" s="272" t="n"/>
      <c r="V408" s="274">
        <f>IF(_xlfn.MAXIFS(tblCarga[Data],tblCarga[Jogador],C408,tblCarga[Tipo],"Jogo",tblCarga[Data],"&lt;"&amp;A408)=0,"-",A408-_xlfn.MAXIFS(tblCarga[Data],tblCarga[Jogador],C408,tblCarga[Tipo],"Jogo",tblCarga[Data],"&lt;"&amp;A408))</f>
        <v/>
      </c>
      <c r="W408" s="272" t="n">
        <v>2</v>
      </c>
      <c r="X408" s="272" t="n">
        <v>2</v>
      </c>
      <c r="Y408" s="272" t="n">
        <v>1</v>
      </c>
      <c r="Z408" s="272" t="n">
        <v>2</v>
      </c>
      <c r="AA408" s="272" t="n">
        <v>7</v>
      </c>
    </row>
    <row r="409">
      <c r="A409" s="270" t="n">
        <v>46087</v>
      </c>
      <c r="B409" s="271" t="inlineStr">
        <is>
          <t>Belenenses</t>
        </is>
      </c>
      <c r="C409" s="271" t="inlineStr">
        <is>
          <t>Artur</t>
        </is>
      </c>
      <c r="D409" s="271" t="inlineStr">
        <is>
          <t>Médio</t>
        </is>
      </c>
      <c r="E409" s="272" t="n">
        <v>94</v>
      </c>
      <c r="F409" s="272" t="n">
        <v>7846</v>
      </c>
      <c r="G409" s="272" t="n">
        <v>218</v>
      </c>
      <c r="H409" s="272" t="n">
        <v>84</v>
      </c>
      <c r="I409" s="272" t="n">
        <v>79</v>
      </c>
      <c r="J409" s="272" t="n">
        <v>80</v>
      </c>
      <c r="K409" s="272" t="n">
        <v>8</v>
      </c>
      <c r="L409" s="273" t="n">
        <v>29.5</v>
      </c>
      <c r="M409" s="272" t="n">
        <v>10</v>
      </c>
      <c r="N409" s="272" t="n">
        <v>9</v>
      </c>
      <c r="O409" s="272" t="n">
        <v>5</v>
      </c>
      <c r="P409" s="272" t="n">
        <v>2</v>
      </c>
      <c r="Q409" s="271" t="inlineStr">
        <is>
          <t>Treino</t>
        </is>
      </c>
      <c r="R409" s="272" t="n">
        <v>10</v>
      </c>
      <c r="S409" s="271" t="inlineStr">
        <is>
          <t>MD-5</t>
        </is>
      </c>
      <c r="T409" s="272" t="n"/>
      <c r="U409" s="272" t="n"/>
      <c r="V409" s="274">
        <f>IF(_xlfn.MAXIFS(tblCarga[Data],tblCarga[Jogador],C409,tblCarga[Tipo],"Jogo",tblCarga[Data],"&lt;"&amp;A409)=0,"-",A409-_xlfn.MAXIFS(tblCarga[Data],tblCarga[Jogador],C409,tblCarga[Tipo],"Jogo",tblCarga[Data],"&lt;"&amp;A409))</f>
        <v/>
      </c>
      <c r="W409" s="272" t="n">
        <v>3</v>
      </c>
      <c r="X409" s="272" t="n">
        <v>2</v>
      </c>
      <c r="Y409" s="272" t="n">
        <v>2</v>
      </c>
      <c r="Z409" s="272" t="n">
        <v>1</v>
      </c>
      <c r="AA409" s="272" t="n">
        <v>8</v>
      </c>
    </row>
    <row r="410">
      <c r="A410" s="270" t="n">
        <v>46087</v>
      </c>
      <c r="B410" s="271" t="inlineStr">
        <is>
          <t>Belenenses</t>
        </is>
      </c>
      <c r="C410" s="271" t="inlineStr">
        <is>
          <t>Gomes</t>
        </is>
      </c>
      <c r="D410" s="271" t="inlineStr">
        <is>
          <t>Médio</t>
        </is>
      </c>
      <c r="E410" s="272" t="n">
        <v>85</v>
      </c>
      <c r="F410" s="272" t="n">
        <v>10068</v>
      </c>
      <c r="G410" s="272" t="n">
        <v>243</v>
      </c>
      <c r="H410" s="272" t="n">
        <v>85</v>
      </c>
      <c r="I410" s="272" t="n">
        <v>85</v>
      </c>
      <c r="J410" s="272" t="n">
        <v>84</v>
      </c>
      <c r="K410" s="272" t="n">
        <v>7</v>
      </c>
      <c r="L410" s="273" t="n">
        <v>27.9</v>
      </c>
      <c r="M410" s="272" t="n">
        <v>10</v>
      </c>
      <c r="N410" s="272" t="n">
        <v>10</v>
      </c>
      <c r="O410" s="272" t="n">
        <v>5</v>
      </c>
      <c r="P410" s="272" t="n">
        <v>2</v>
      </c>
      <c r="Q410" s="271" t="inlineStr">
        <is>
          <t>Treino</t>
        </is>
      </c>
      <c r="R410" s="272" t="n">
        <v>10</v>
      </c>
      <c r="S410" s="271" t="inlineStr">
        <is>
          <t>MD-5</t>
        </is>
      </c>
      <c r="T410" s="272" t="n"/>
      <c r="U410" s="272" t="n"/>
      <c r="V410" s="274">
        <f>IF(_xlfn.MAXIFS(tblCarga[Data],tblCarga[Jogador],C410,tblCarga[Tipo],"Jogo",tblCarga[Data],"&lt;"&amp;A410)=0,"-",A410-_xlfn.MAXIFS(tblCarga[Data],tblCarga[Jogador],C410,tblCarga[Tipo],"Jogo",tblCarga[Data],"&lt;"&amp;A410))</f>
        <v/>
      </c>
      <c r="W410" s="272" t="n">
        <v>3</v>
      </c>
      <c r="X410" s="272" t="n">
        <v>1</v>
      </c>
      <c r="Y410" s="272" t="n">
        <v>2</v>
      </c>
      <c r="Z410" s="272" t="n">
        <v>3</v>
      </c>
      <c r="AA410" s="272" t="n">
        <v>9</v>
      </c>
    </row>
    <row r="411">
      <c r="A411" s="270" t="n">
        <v>46087</v>
      </c>
      <c r="B411" s="271" t="inlineStr">
        <is>
          <t>Belenenses</t>
        </is>
      </c>
      <c r="C411" s="271" t="inlineStr">
        <is>
          <t>Sá</t>
        </is>
      </c>
      <c r="D411" s="271" t="inlineStr">
        <is>
          <t>Médio</t>
        </is>
      </c>
      <c r="E411" s="272" t="n">
        <v>86</v>
      </c>
      <c r="F411" s="272" t="n">
        <v>9277</v>
      </c>
      <c r="G411" s="272" t="n">
        <v>263</v>
      </c>
      <c r="H411" s="272" t="n">
        <v>84</v>
      </c>
      <c r="I411" s="272" t="n">
        <v>81</v>
      </c>
      <c r="J411" s="272" t="n">
        <v>94</v>
      </c>
      <c r="K411" s="272" t="n">
        <v>8</v>
      </c>
      <c r="L411" s="273" t="n">
        <v>29.3</v>
      </c>
      <c r="M411" s="272" t="n">
        <v>10</v>
      </c>
      <c r="N411" s="272" t="n">
        <v>12</v>
      </c>
      <c r="O411" s="272" t="n">
        <v>7</v>
      </c>
      <c r="P411" s="272" t="n">
        <v>3</v>
      </c>
      <c r="Q411" s="271" t="inlineStr">
        <is>
          <t>Treino</t>
        </is>
      </c>
      <c r="R411" s="272" t="n">
        <v>10</v>
      </c>
      <c r="S411" s="271" t="inlineStr">
        <is>
          <t>MD-5</t>
        </is>
      </c>
      <c r="T411" s="272" t="n"/>
      <c r="U411" s="272" t="n"/>
      <c r="V411" s="274">
        <f>IF(_xlfn.MAXIFS(tblCarga[Data],tblCarga[Jogador],C411,tblCarga[Tipo],"Jogo",tblCarga[Data],"&lt;"&amp;A411)=0,"-",A411-_xlfn.MAXIFS(tblCarga[Data],tblCarga[Jogador],C411,tblCarga[Tipo],"Jogo",tblCarga[Data],"&lt;"&amp;A411))</f>
        <v/>
      </c>
      <c r="W411" s="272" t="n">
        <v>2</v>
      </c>
      <c r="X411" s="272" t="n">
        <v>2</v>
      </c>
      <c r="Y411" s="272" t="n">
        <v>1</v>
      </c>
      <c r="Z411" s="272" t="n">
        <v>2</v>
      </c>
      <c r="AA411" s="272" t="n">
        <v>7</v>
      </c>
    </row>
    <row r="412">
      <c r="A412" s="270" t="n">
        <v>46087</v>
      </c>
      <c r="B412" s="271" t="inlineStr">
        <is>
          <t>Belenenses</t>
        </is>
      </c>
      <c r="C412" s="271" t="inlineStr">
        <is>
          <t>Varela</t>
        </is>
      </c>
      <c r="D412" s="271" t="inlineStr">
        <is>
          <t>Lateral</t>
        </is>
      </c>
      <c r="E412" s="272" t="n">
        <v>84</v>
      </c>
      <c r="F412" s="272" t="n">
        <v>11517</v>
      </c>
      <c r="G412" s="272" t="n">
        <v>382</v>
      </c>
      <c r="H412" s="272" t="n">
        <v>174</v>
      </c>
      <c r="I412" s="272" t="n">
        <v>86</v>
      </c>
      <c r="J412" s="272" t="n">
        <v>93</v>
      </c>
      <c r="K412" s="272" t="n">
        <v>8</v>
      </c>
      <c r="L412" s="273" t="n">
        <v>30.9</v>
      </c>
      <c r="M412" s="272" t="n">
        <v>10</v>
      </c>
      <c r="N412" s="272" t="n">
        <v>14</v>
      </c>
      <c r="O412" s="272" t="n">
        <v>7</v>
      </c>
      <c r="P412" s="272" t="n">
        <v>3</v>
      </c>
      <c r="Q412" s="271" t="inlineStr">
        <is>
          <t>Treino</t>
        </is>
      </c>
      <c r="R412" s="272" t="n">
        <v>10</v>
      </c>
      <c r="S412" s="271" t="inlineStr">
        <is>
          <t>MD-5</t>
        </is>
      </c>
      <c r="T412" s="272" t="n"/>
      <c r="U412" s="272" t="n"/>
      <c r="V412" s="274">
        <f>IF(_xlfn.MAXIFS(tblCarga[Data],tblCarga[Jogador],C412,tblCarga[Tipo],"Jogo",tblCarga[Data],"&lt;"&amp;A412)=0,"-",A412-_xlfn.MAXIFS(tblCarga[Data],tblCarga[Jogador],C412,tblCarga[Tipo],"Jogo",tblCarga[Data],"&lt;"&amp;A412))</f>
        <v/>
      </c>
      <c r="W412" s="272" t="n">
        <v>1</v>
      </c>
      <c r="X412" s="272" t="n">
        <v>3</v>
      </c>
      <c r="Y412" s="272" t="n">
        <v>1</v>
      </c>
      <c r="Z412" s="272" t="n">
        <v>1</v>
      </c>
      <c r="AA412" s="272" t="n">
        <v>6</v>
      </c>
    </row>
    <row r="413">
      <c r="A413" s="270" t="n">
        <v>46087</v>
      </c>
      <c r="B413" s="271" t="inlineStr">
        <is>
          <t>Belenenses</t>
        </is>
      </c>
      <c r="C413" s="271" t="inlineStr">
        <is>
          <t>Edu</t>
        </is>
      </c>
      <c r="D413" s="271" t="inlineStr">
        <is>
          <t>Lateral</t>
        </is>
      </c>
      <c r="E413" s="272" t="n">
        <v>98</v>
      </c>
      <c r="F413" s="272" t="n">
        <v>12317</v>
      </c>
      <c r="G413" s="272" t="n">
        <v>444</v>
      </c>
      <c r="H413" s="272" t="n">
        <v>184</v>
      </c>
      <c r="I413" s="272" t="n">
        <v>79</v>
      </c>
      <c r="J413" s="272" t="n">
        <v>85</v>
      </c>
      <c r="K413" s="272" t="n">
        <v>8</v>
      </c>
      <c r="L413" s="273" t="n">
        <v>30.2</v>
      </c>
      <c r="M413" s="272" t="n">
        <v>10</v>
      </c>
      <c r="N413" s="272" t="n">
        <v>14</v>
      </c>
      <c r="O413" s="272" t="n">
        <v>5</v>
      </c>
      <c r="P413" s="272" t="n">
        <v>2</v>
      </c>
      <c r="Q413" s="271" t="inlineStr">
        <is>
          <t>Treino</t>
        </is>
      </c>
      <c r="R413" s="272" t="n">
        <v>10</v>
      </c>
      <c r="S413" s="271" t="inlineStr">
        <is>
          <t>MD-5</t>
        </is>
      </c>
      <c r="T413" s="272" t="n"/>
      <c r="U413" s="272" t="n"/>
      <c r="V413" s="274">
        <f>IF(_xlfn.MAXIFS(tblCarga[Data],tblCarga[Jogador],C413,tblCarga[Tipo],"Jogo",tblCarga[Data],"&lt;"&amp;A413)=0,"-",A413-_xlfn.MAXIFS(tblCarga[Data],tblCarga[Jogador],C413,tblCarga[Tipo],"Jogo",tblCarga[Data],"&lt;"&amp;A413))</f>
        <v/>
      </c>
      <c r="W413" s="272" t="n">
        <v>3</v>
      </c>
      <c r="X413" s="272" t="n">
        <v>2</v>
      </c>
      <c r="Y413" s="272" t="n">
        <v>1</v>
      </c>
      <c r="Z413" s="272" t="n">
        <v>3</v>
      </c>
      <c r="AA413" s="272" t="n">
        <v>9</v>
      </c>
    </row>
    <row r="414">
      <c r="A414" s="270" t="n">
        <v>46087</v>
      </c>
      <c r="B414" s="271" t="inlineStr">
        <is>
          <t>Belenenses</t>
        </is>
      </c>
      <c r="C414" s="271" t="inlineStr">
        <is>
          <t>Capitulo</t>
        </is>
      </c>
      <c r="D414" s="271" t="inlineStr">
        <is>
          <t>Lateral</t>
        </is>
      </c>
      <c r="E414" s="272" t="n">
        <v>93</v>
      </c>
      <c r="F414" s="272" t="n">
        <v>11591</v>
      </c>
      <c r="G414" s="272" t="n">
        <v>463</v>
      </c>
      <c r="H414" s="272" t="n">
        <v>170</v>
      </c>
      <c r="I414" s="272" t="n">
        <v>95</v>
      </c>
      <c r="J414" s="272" t="n">
        <v>90</v>
      </c>
      <c r="K414" s="272" t="n">
        <v>7</v>
      </c>
      <c r="L414" s="273" t="n">
        <v>29.4</v>
      </c>
      <c r="M414" s="272" t="n">
        <v>10</v>
      </c>
      <c r="N414" s="272" t="n">
        <v>16</v>
      </c>
      <c r="O414" s="272" t="n">
        <v>6</v>
      </c>
      <c r="P414" s="272" t="n">
        <v>2</v>
      </c>
      <c r="Q414" s="271" t="inlineStr">
        <is>
          <t>Treino</t>
        </is>
      </c>
      <c r="R414" s="272" t="n">
        <v>10</v>
      </c>
      <c r="S414" s="271" t="inlineStr">
        <is>
          <t>MD-5</t>
        </is>
      </c>
      <c r="T414" s="272" t="n"/>
      <c r="U414" s="272" t="n"/>
      <c r="V414" s="274">
        <f>IF(_xlfn.MAXIFS(tblCarga[Data],tblCarga[Jogador],C414,tblCarga[Tipo],"Jogo",tblCarga[Data],"&lt;"&amp;A414)=0,"-",A414-_xlfn.MAXIFS(tblCarga[Data],tblCarga[Jogador],C414,tblCarga[Tipo],"Jogo",tblCarga[Data],"&lt;"&amp;A414))</f>
        <v/>
      </c>
      <c r="W414" s="272" t="n">
        <v>3</v>
      </c>
      <c r="X414" s="272" t="n">
        <v>2</v>
      </c>
      <c r="Y414" s="272" t="n">
        <v>2</v>
      </c>
      <c r="Z414" s="272" t="n">
        <v>2</v>
      </c>
      <c r="AA414" s="272" t="n">
        <v>9</v>
      </c>
    </row>
    <row r="415">
      <c r="A415" s="270" t="n">
        <v>46087</v>
      </c>
      <c r="B415" s="271" t="inlineStr">
        <is>
          <t>Belenenses</t>
        </is>
      </c>
      <c r="C415" s="271" t="inlineStr">
        <is>
          <t>Enzo Hugo</t>
        </is>
      </c>
      <c r="D415" s="271" t="inlineStr">
        <is>
          <t>Central</t>
        </is>
      </c>
      <c r="E415" s="272" t="n">
        <v>95</v>
      </c>
      <c r="F415" s="272" t="n">
        <v>10590</v>
      </c>
      <c r="G415" s="272" t="n">
        <v>294</v>
      </c>
      <c r="H415" s="272" t="n">
        <v>42</v>
      </c>
      <c r="I415" s="272" t="n">
        <v>91</v>
      </c>
      <c r="J415" s="272" t="n">
        <v>93</v>
      </c>
      <c r="K415" s="272" t="n">
        <v>8</v>
      </c>
      <c r="L415" s="273" t="n">
        <v>28.8</v>
      </c>
      <c r="M415" s="272" t="n">
        <v>10</v>
      </c>
      <c r="N415" s="272" t="n">
        <v>18</v>
      </c>
      <c r="O415" s="272" t="n">
        <v>10</v>
      </c>
      <c r="P415" s="272" t="n">
        <v>4</v>
      </c>
      <c r="Q415" s="271" t="inlineStr">
        <is>
          <t>Treino</t>
        </is>
      </c>
      <c r="R415" s="272" t="n">
        <v>10</v>
      </c>
      <c r="S415" s="271" t="inlineStr">
        <is>
          <t>MD-5</t>
        </is>
      </c>
      <c r="T415" s="272" t="n"/>
      <c r="U415" s="272" t="n"/>
      <c r="V415" s="274">
        <f>IF(_xlfn.MAXIFS(tblCarga[Data],tblCarga[Jogador],C415,tblCarga[Tipo],"Jogo",tblCarga[Data],"&lt;"&amp;A415)=0,"-",A415-_xlfn.MAXIFS(tblCarga[Data],tblCarga[Jogador],C415,tblCarga[Tipo],"Jogo",tblCarga[Data],"&lt;"&amp;A415))</f>
        <v/>
      </c>
      <c r="W415" s="272" t="n">
        <v>2</v>
      </c>
      <c r="X415" s="272" t="n">
        <v>3</v>
      </c>
      <c r="Y415" s="272" t="n">
        <v>2</v>
      </c>
      <c r="Z415" s="272" t="n">
        <v>3</v>
      </c>
      <c r="AA415" s="272" t="n">
        <v>10</v>
      </c>
    </row>
    <row r="416">
      <c r="A416" s="270" t="n">
        <v>46087</v>
      </c>
      <c r="B416" s="271" t="inlineStr">
        <is>
          <t>Belenenses</t>
        </is>
      </c>
      <c r="C416" s="271" t="inlineStr">
        <is>
          <t>Nogueira</t>
        </is>
      </c>
      <c r="D416" s="271" t="inlineStr">
        <is>
          <t>Central</t>
        </is>
      </c>
      <c r="E416" s="272" t="n">
        <v>98</v>
      </c>
      <c r="F416" s="272" t="n">
        <v>9449</v>
      </c>
      <c r="G416" s="272" t="n">
        <v>313</v>
      </c>
      <c r="H416" s="272" t="n">
        <v>38</v>
      </c>
      <c r="I416" s="272" t="n">
        <v>80</v>
      </c>
      <c r="J416" s="272" t="n">
        <v>102</v>
      </c>
      <c r="K416" s="272" t="n">
        <v>8</v>
      </c>
      <c r="L416" s="273" t="n">
        <v>27.1</v>
      </c>
      <c r="M416" s="272" t="n">
        <v>10</v>
      </c>
      <c r="N416" s="272" t="n">
        <v>15</v>
      </c>
      <c r="O416" s="272" t="n">
        <v>8</v>
      </c>
      <c r="P416" s="272" t="n">
        <v>4</v>
      </c>
      <c r="Q416" s="271" t="inlineStr">
        <is>
          <t>Treino</t>
        </is>
      </c>
      <c r="R416" s="272" t="n">
        <v>10</v>
      </c>
      <c r="S416" s="271" t="inlineStr">
        <is>
          <t>MD-5</t>
        </is>
      </c>
      <c r="T416" s="272" t="n"/>
      <c r="U416" s="272" t="n"/>
      <c r="V416" s="274">
        <f>IF(_xlfn.MAXIFS(tblCarga[Data],tblCarga[Jogador],C416,tblCarga[Tipo],"Jogo",tblCarga[Data],"&lt;"&amp;A416)=0,"-",A416-_xlfn.MAXIFS(tblCarga[Data],tblCarga[Jogador],C416,tblCarga[Tipo],"Jogo",tblCarga[Data],"&lt;"&amp;A416))</f>
        <v/>
      </c>
      <c r="W416" s="272" t="n">
        <v>3</v>
      </c>
      <c r="X416" s="272" t="n">
        <v>1</v>
      </c>
      <c r="Y416" s="272" t="n">
        <v>1</v>
      </c>
      <c r="Z416" s="272" t="n">
        <v>2</v>
      </c>
      <c r="AA416" s="272" t="n">
        <v>7</v>
      </c>
    </row>
    <row r="417">
      <c r="A417" s="270" t="n">
        <v>46088</v>
      </c>
      <c r="B417" s="271" t="inlineStr">
        <is>
          <t>Belenenses</t>
        </is>
      </c>
      <c r="C417" s="271" t="inlineStr">
        <is>
          <t>Paulino</t>
        </is>
      </c>
      <c r="D417" s="271" t="inlineStr">
        <is>
          <t>Médio</t>
        </is>
      </c>
      <c r="E417" s="272" t="n">
        <v>85</v>
      </c>
      <c r="F417" s="272" t="n">
        <v>8892</v>
      </c>
      <c r="G417" s="272" t="n">
        <v>285</v>
      </c>
      <c r="H417" s="272" t="n">
        <v>135</v>
      </c>
      <c r="I417" s="272" t="n">
        <v>75</v>
      </c>
      <c r="J417" s="272" t="n">
        <v>83</v>
      </c>
      <c r="K417" s="272" t="n">
        <v>8</v>
      </c>
      <c r="L417" s="273" t="n">
        <v>31.1</v>
      </c>
      <c r="M417" s="272" t="n">
        <v>10</v>
      </c>
      <c r="N417" s="272" t="n">
        <v>12</v>
      </c>
      <c r="O417" s="272" t="n">
        <v>6</v>
      </c>
      <c r="P417" s="272" t="n">
        <v>2</v>
      </c>
      <c r="Q417" s="271" t="inlineStr">
        <is>
          <t>Treino</t>
        </is>
      </c>
      <c r="R417" s="272" t="n">
        <v>10</v>
      </c>
      <c r="S417" s="271" t="inlineStr">
        <is>
          <t>MD-4</t>
        </is>
      </c>
      <c r="T417" s="272" t="n"/>
      <c r="U417" s="272" t="n"/>
      <c r="V417" s="274">
        <f>IF(_xlfn.MAXIFS(tblCarga[Data],tblCarga[Jogador],C417,tblCarga[Tipo],"Jogo",tblCarga[Data],"&lt;"&amp;A417)=0,"-",A417-_xlfn.MAXIFS(tblCarga[Data],tblCarga[Jogador],C417,tblCarga[Tipo],"Jogo",tblCarga[Data],"&lt;"&amp;A417))</f>
        <v/>
      </c>
      <c r="W417" s="272" t="n">
        <v>2</v>
      </c>
      <c r="X417" s="272" t="n">
        <v>2</v>
      </c>
      <c r="Y417" s="272" t="n">
        <v>1</v>
      </c>
      <c r="Z417" s="272" t="n">
        <v>3</v>
      </c>
      <c r="AA417" s="272" t="n">
        <v>8</v>
      </c>
    </row>
    <row r="418">
      <c r="A418" s="270" t="n">
        <v>46088</v>
      </c>
      <c r="B418" s="271" t="inlineStr">
        <is>
          <t>Belenenses</t>
        </is>
      </c>
      <c r="C418" s="271" t="inlineStr">
        <is>
          <t>Artur</t>
        </is>
      </c>
      <c r="D418" s="271" t="inlineStr">
        <is>
          <t>Médio</t>
        </is>
      </c>
      <c r="E418" s="272" t="n">
        <v>79</v>
      </c>
      <c r="F418" s="272" t="n">
        <v>8185</v>
      </c>
      <c r="G418" s="272" t="n">
        <v>261</v>
      </c>
      <c r="H418" s="272" t="n">
        <v>95</v>
      </c>
      <c r="I418" s="272" t="n">
        <v>83</v>
      </c>
      <c r="J418" s="272" t="n">
        <v>77</v>
      </c>
      <c r="K418" s="272" t="n">
        <v>8</v>
      </c>
      <c r="L418" s="273" t="n">
        <v>29.6</v>
      </c>
      <c r="M418" s="272" t="n">
        <v>10</v>
      </c>
      <c r="N418" s="272" t="n">
        <v>13</v>
      </c>
      <c r="O418" s="272" t="n">
        <v>6</v>
      </c>
      <c r="P418" s="272" t="n">
        <v>3</v>
      </c>
      <c r="Q418" s="271" t="inlineStr">
        <is>
          <t>Treino</t>
        </is>
      </c>
      <c r="R418" s="272" t="n">
        <v>10</v>
      </c>
      <c r="S418" s="271" t="inlineStr">
        <is>
          <t>MD-4</t>
        </is>
      </c>
      <c r="T418" s="272" t="n"/>
      <c r="U418" s="272" t="n"/>
      <c r="V418" s="274">
        <f>IF(_xlfn.MAXIFS(tblCarga[Data],tblCarga[Jogador],C418,tblCarga[Tipo],"Jogo",tblCarga[Data],"&lt;"&amp;A418)=0,"-",A418-_xlfn.MAXIFS(tblCarga[Data],tblCarga[Jogador],C418,tblCarga[Tipo],"Jogo",tblCarga[Data],"&lt;"&amp;A418))</f>
        <v/>
      </c>
      <c r="W418" s="272" t="n">
        <v>1</v>
      </c>
      <c r="X418" s="272" t="n">
        <v>2</v>
      </c>
      <c r="Y418" s="272" t="n">
        <v>3</v>
      </c>
      <c r="Z418" s="272" t="n">
        <v>2</v>
      </c>
      <c r="AA418" s="272" t="n">
        <v>8</v>
      </c>
    </row>
    <row r="419">
      <c r="A419" s="270" t="n">
        <v>46088</v>
      </c>
      <c r="B419" s="271" t="inlineStr">
        <is>
          <t>Belenenses</t>
        </is>
      </c>
      <c r="C419" s="271" t="inlineStr">
        <is>
          <t>Gomes</t>
        </is>
      </c>
      <c r="D419" s="271" t="inlineStr">
        <is>
          <t>Médio</t>
        </is>
      </c>
      <c r="E419" s="272" t="n">
        <v>92</v>
      </c>
      <c r="F419" s="272" t="n">
        <v>9229</v>
      </c>
      <c r="G419" s="272" t="n">
        <v>261</v>
      </c>
      <c r="H419" s="272" t="n">
        <v>99</v>
      </c>
      <c r="I419" s="272" t="n">
        <v>85</v>
      </c>
      <c r="J419" s="272" t="n">
        <v>89</v>
      </c>
      <c r="K419" s="272" t="n">
        <v>9</v>
      </c>
      <c r="L419" s="273" t="n">
        <v>29.3</v>
      </c>
      <c r="M419" s="272" t="n">
        <v>10</v>
      </c>
      <c r="N419" s="272" t="n">
        <v>17</v>
      </c>
      <c r="O419" s="272" t="n">
        <v>6</v>
      </c>
      <c r="P419" s="272" t="n">
        <v>2</v>
      </c>
      <c r="Q419" s="271" t="inlineStr">
        <is>
          <t>Treino</t>
        </is>
      </c>
      <c r="R419" s="272" t="n">
        <v>10</v>
      </c>
      <c r="S419" s="271" t="inlineStr">
        <is>
          <t>MD-4</t>
        </is>
      </c>
      <c r="T419" s="272" t="n"/>
      <c r="U419" s="272" t="n"/>
      <c r="V419" s="274">
        <f>IF(_xlfn.MAXIFS(tblCarga[Data],tblCarga[Jogador],C419,tblCarga[Tipo],"Jogo",tblCarga[Data],"&lt;"&amp;A419)=0,"-",A419-_xlfn.MAXIFS(tblCarga[Data],tblCarga[Jogador],C419,tblCarga[Tipo],"Jogo",tblCarga[Data],"&lt;"&amp;A419))</f>
        <v/>
      </c>
      <c r="W419" s="272" t="n">
        <v>2</v>
      </c>
      <c r="X419" s="272" t="n">
        <v>3</v>
      </c>
      <c r="Y419" s="272" t="n">
        <v>2</v>
      </c>
      <c r="Z419" s="272" t="n">
        <v>1</v>
      </c>
      <c r="AA419" s="272" t="n">
        <v>8</v>
      </c>
    </row>
    <row r="420">
      <c r="A420" s="270" t="n">
        <v>46088</v>
      </c>
      <c r="B420" s="271" t="inlineStr">
        <is>
          <t>Belenenses</t>
        </is>
      </c>
      <c r="C420" s="271" t="inlineStr">
        <is>
          <t>Sá</t>
        </is>
      </c>
      <c r="D420" s="271" t="inlineStr">
        <is>
          <t>Médio</t>
        </is>
      </c>
      <c r="E420" s="272" t="n">
        <v>90</v>
      </c>
      <c r="F420" s="272" t="n">
        <v>9142</v>
      </c>
      <c r="G420" s="272" t="n">
        <v>253</v>
      </c>
      <c r="H420" s="272" t="n">
        <v>106</v>
      </c>
      <c r="I420" s="272" t="n">
        <v>78</v>
      </c>
      <c r="J420" s="272" t="n">
        <v>79</v>
      </c>
      <c r="K420" s="272" t="n">
        <v>7</v>
      </c>
      <c r="L420" s="273" t="n">
        <v>30</v>
      </c>
      <c r="M420" s="272" t="n">
        <v>10</v>
      </c>
      <c r="N420" s="272" t="n">
        <v>15</v>
      </c>
      <c r="O420" s="272" t="n">
        <v>6</v>
      </c>
      <c r="P420" s="272" t="n">
        <v>2</v>
      </c>
      <c r="Q420" s="271" t="inlineStr">
        <is>
          <t>Treino</t>
        </is>
      </c>
      <c r="R420" s="272" t="n">
        <v>10</v>
      </c>
      <c r="S420" s="271" t="inlineStr">
        <is>
          <t>MD-4</t>
        </is>
      </c>
      <c r="T420" s="272" t="n"/>
      <c r="U420" s="272" t="n"/>
      <c r="V420" s="274">
        <f>IF(_xlfn.MAXIFS(tblCarga[Data],tblCarga[Jogador],C420,tblCarga[Tipo],"Jogo",tblCarga[Data],"&lt;"&amp;A420)=0,"-",A420-_xlfn.MAXIFS(tblCarga[Data],tblCarga[Jogador],C420,tblCarga[Tipo],"Jogo",tblCarga[Data],"&lt;"&amp;A420))</f>
        <v/>
      </c>
      <c r="W420" s="272" t="n">
        <v>3</v>
      </c>
      <c r="X420" s="272" t="n">
        <v>3</v>
      </c>
      <c r="Y420" s="272" t="n">
        <v>2</v>
      </c>
      <c r="Z420" s="272" t="n">
        <v>1</v>
      </c>
      <c r="AA420" s="272" t="n">
        <v>9</v>
      </c>
    </row>
    <row r="421">
      <c r="A421" s="270" t="n">
        <v>46088</v>
      </c>
      <c r="B421" s="271" t="inlineStr">
        <is>
          <t>Belenenses</t>
        </is>
      </c>
      <c r="C421" s="271" t="inlineStr">
        <is>
          <t>Varela</t>
        </is>
      </c>
      <c r="D421" s="271" t="inlineStr">
        <is>
          <t>Lateral</t>
        </is>
      </c>
      <c r="E421" s="272" t="n">
        <v>85</v>
      </c>
      <c r="F421" s="272" t="n">
        <v>11793</v>
      </c>
      <c r="G421" s="272" t="n">
        <v>489</v>
      </c>
      <c r="H421" s="272" t="n">
        <v>188</v>
      </c>
      <c r="I421" s="272" t="n">
        <v>82</v>
      </c>
      <c r="J421" s="272" t="n">
        <v>88</v>
      </c>
      <c r="K421" s="272" t="n">
        <v>7</v>
      </c>
      <c r="L421" s="273" t="n">
        <v>32.3</v>
      </c>
      <c r="M421" s="272" t="n">
        <v>10</v>
      </c>
      <c r="N421" s="272" t="n">
        <v>14</v>
      </c>
      <c r="O421" s="272" t="n">
        <v>6</v>
      </c>
      <c r="P421" s="272" t="n">
        <v>2</v>
      </c>
      <c r="Q421" s="271" t="inlineStr">
        <is>
          <t>Treino</t>
        </is>
      </c>
      <c r="R421" s="272" t="n">
        <v>10</v>
      </c>
      <c r="S421" s="271" t="inlineStr">
        <is>
          <t>MD-4</t>
        </is>
      </c>
      <c r="T421" s="272" t="n"/>
      <c r="U421" s="272" t="n"/>
      <c r="V421" s="274">
        <f>IF(_xlfn.MAXIFS(tblCarga[Data],tblCarga[Jogador],C421,tblCarga[Tipo],"Jogo",tblCarga[Data],"&lt;"&amp;A421)=0,"-",A421-_xlfn.MAXIFS(tblCarga[Data],tblCarga[Jogador],C421,tblCarga[Tipo],"Jogo",tblCarga[Data],"&lt;"&amp;A421))</f>
        <v/>
      </c>
      <c r="W421" s="272" t="n">
        <v>1</v>
      </c>
      <c r="X421" s="272" t="n">
        <v>2</v>
      </c>
      <c r="Y421" s="272" t="n">
        <v>3</v>
      </c>
      <c r="Z421" s="272" t="n">
        <v>3</v>
      </c>
      <c r="AA421" s="272" t="n">
        <v>9</v>
      </c>
    </row>
    <row r="422">
      <c r="A422" s="270" t="n">
        <v>46088</v>
      </c>
      <c r="B422" s="271" t="inlineStr">
        <is>
          <t>Belenenses</t>
        </is>
      </c>
      <c r="C422" s="271" t="inlineStr">
        <is>
          <t>Edu</t>
        </is>
      </c>
      <c r="D422" s="271" t="inlineStr">
        <is>
          <t>Lateral</t>
        </is>
      </c>
      <c r="E422" s="272" t="n">
        <v>89</v>
      </c>
      <c r="F422" s="272" t="n">
        <v>11624</v>
      </c>
      <c r="G422" s="272" t="n">
        <v>533</v>
      </c>
      <c r="H422" s="272" t="n">
        <v>214</v>
      </c>
      <c r="I422" s="272" t="n">
        <v>86</v>
      </c>
      <c r="J422" s="272" t="n">
        <v>88</v>
      </c>
      <c r="K422" s="272" t="n">
        <v>9</v>
      </c>
      <c r="L422" s="273" t="n">
        <v>34</v>
      </c>
      <c r="M422" s="272" t="n">
        <v>10</v>
      </c>
      <c r="N422" s="272" t="n">
        <v>15</v>
      </c>
      <c r="O422" s="272" t="n">
        <v>8</v>
      </c>
      <c r="P422" s="272" t="n">
        <v>3</v>
      </c>
      <c r="Q422" s="271" t="inlineStr">
        <is>
          <t>Treino</t>
        </is>
      </c>
      <c r="R422" s="272" t="n">
        <v>10</v>
      </c>
      <c r="S422" s="271" t="inlineStr">
        <is>
          <t>MD-4</t>
        </is>
      </c>
      <c r="T422" s="272" t="n"/>
      <c r="U422" s="272" t="n"/>
      <c r="V422" s="274">
        <f>IF(_xlfn.MAXIFS(tblCarga[Data],tblCarga[Jogador],C422,tblCarga[Tipo],"Jogo",tblCarga[Data],"&lt;"&amp;A422)=0,"-",A422-_xlfn.MAXIFS(tblCarga[Data],tblCarga[Jogador],C422,tblCarga[Tipo],"Jogo",tblCarga[Data],"&lt;"&amp;A422))</f>
        <v/>
      </c>
      <c r="W422" s="272" t="n">
        <v>3</v>
      </c>
      <c r="X422" s="272" t="n">
        <v>2</v>
      </c>
      <c r="Y422" s="272" t="n">
        <v>2</v>
      </c>
      <c r="Z422" s="272" t="n">
        <v>3</v>
      </c>
      <c r="AA422" s="272" t="n">
        <v>10</v>
      </c>
    </row>
    <row r="423">
      <c r="A423" s="270" t="n">
        <v>46088</v>
      </c>
      <c r="B423" s="271" t="inlineStr">
        <is>
          <t>Belenenses</t>
        </is>
      </c>
      <c r="C423" s="271" t="inlineStr">
        <is>
          <t>Capitulo</t>
        </is>
      </c>
      <c r="D423" s="271" t="inlineStr">
        <is>
          <t>Lateral</t>
        </is>
      </c>
      <c r="E423" s="272" t="n">
        <v>87</v>
      </c>
      <c r="F423" s="272" t="n">
        <v>12849</v>
      </c>
      <c r="G423" s="272" t="n">
        <v>474</v>
      </c>
      <c r="H423" s="272" t="n">
        <v>185</v>
      </c>
      <c r="I423" s="272" t="n">
        <v>94</v>
      </c>
      <c r="J423" s="272" t="n">
        <v>92</v>
      </c>
      <c r="K423" s="272" t="n">
        <v>9</v>
      </c>
      <c r="L423" s="273" t="n">
        <v>32.2</v>
      </c>
      <c r="M423" s="272" t="n">
        <v>10</v>
      </c>
      <c r="N423" s="272" t="n">
        <v>19</v>
      </c>
      <c r="O423" s="272" t="n">
        <v>10</v>
      </c>
      <c r="P423" s="272" t="n">
        <v>5</v>
      </c>
      <c r="Q423" s="271" t="inlineStr">
        <is>
          <t>Treino</t>
        </is>
      </c>
      <c r="R423" s="272" t="n">
        <v>10</v>
      </c>
      <c r="S423" s="271" t="inlineStr">
        <is>
          <t>MD-4</t>
        </is>
      </c>
      <c r="T423" s="272" t="n"/>
      <c r="U423" s="272" t="n"/>
      <c r="V423" s="274">
        <f>IF(_xlfn.MAXIFS(tblCarga[Data],tblCarga[Jogador],C423,tblCarga[Tipo],"Jogo",tblCarga[Data],"&lt;"&amp;A423)=0,"-",A423-_xlfn.MAXIFS(tblCarga[Data],tblCarga[Jogador],C423,tblCarga[Tipo],"Jogo",tblCarga[Data],"&lt;"&amp;A423))</f>
        <v/>
      </c>
      <c r="W423" s="272" t="n">
        <v>2</v>
      </c>
      <c r="X423" s="272" t="n">
        <v>2</v>
      </c>
      <c r="Y423" s="272" t="n">
        <v>3</v>
      </c>
      <c r="Z423" s="272" t="n">
        <v>2</v>
      </c>
      <c r="AA423" s="272" t="n">
        <v>9</v>
      </c>
    </row>
    <row r="424">
      <c r="A424" s="270" t="n">
        <v>46088</v>
      </c>
      <c r="B424" s="271" t="inlineStr">
        <is>
          <t>Belenenses</t>
        </is>
      </c>
      <c r="C424" s="271" t="inlineStr">
        <is>
          <t>Enzo Hugo</t>
        </is>
      </c>
      <c r="D424" s="271" t="inlineStr">
        <is>
          <t>Central</t>
        </is>
      </c>
      <c r="E424" s="272" t="n">
        <v>94</v>
      </c>
      <c r="F424" s="272" t="n">
        <v>10377</v>
      </c>
      <c r="G424" s="272" t="n">
        <v>305</v>
      </c>
      <c r="H424" s="272" t="n">
        <v>45</v>
      </c>
      <c r="I424" s="272" t="n">
        <v>82</v>
      </c>
      <c r="J424" s="272" t="n">
        <v>100</v>
      </c>
      <c r="K424" s="272" t="n">
        <v>9</v>
      </c>
      <c r="L424" s="273" t="n">
        <v>27.8</v>
      </c>
      <c r="M424" s="272" t="n">
        <v>10</v>
      </c>
      <c r="N424" s="272" t="n">
        <v>10</v>
      </c>
      <c r="O424" s="272" t="n">
        <v>4</v>
      </c>
      <c r="P424" s="272" t="n">
        <v>1</v>
      </c>
      <c r="Q424" s="271" t="inlineStr">
        <is>
          <t>Treino</t>
        </is>
      </c>
      <c r="R424" s="272" t="n">
        <v>10</v>
      </c>
      <c r="S424" s="271" t="inlineStr">
        <is>
          <t>MD-4</t>
        </is>
      </c>
      <c r="T424" s="272" t="n"/>
      <c r="U424" s="272" t="n"/>
      <c r="V424" s="274">
        <f>IF(_xlfn.MAXIFS(tblCarga[Data],tblCarga[Jogador],C424,tblCarga[Tipo],"Jogo",tblCarga[Data],"&lt;"&amp;A424)=0,"-",A424-_xlfn.MAXIFS(tblCarga[Data],tblCarga[Jogador],C424,tblCarga[Tipo],"Jogo",tblCarga[Data],"&lt;"&amp;A424))</f>
        <v/>
      </c>
      <c r="W424" s="272" t="n">
        <v>1</v>
      </c>
      <c r="X424" s="272" t="n">
        <v>1</v>
      </c>
      <c r="Y424" s="272" t="n">
        <v>1</v>
      </c>
      <c r="Z424" s="272" t="n">
        <v>2</v>
      </c>
      <c r="AA424" s="272" t="n">
        <v>5</v>
      </c>
    </row>
    <row r="425">
      <c r="A425" s="270" t="n">
        <v>46088</v>
      </c>
      <c r="B425" s="271" t="inlineStr">
        <is>
          <t>Belenenses</t>
        </is>
      </c>
      <c r="C425" s="271" t="inlineStr">
        <is>
          <t>Nogueira</t>
        </is>
      </c>
      <c r="D425" s="271" t="inlineStr">
        <is>
          <t>Central</t>
        </is>
      </c>
      <c r="E425" s="272" t="n">
        <v>88</v>
      </c>
      <c r="F425" s="272" t="n">
        <v>10912</v>
      </c>
      <c r="G425" s="272" t="n">
        <v>386</v>
      </c>
      <c r="H425" s="272" t="n">
        <v>44</v>
      </c>
      <c r="I425" s="272" t="n">
        <v>73</v>
      </c>
      <c r="J425" s="272" t="n">
        <v>94</v>
      </c>
      <c r="K425" s="272" t="n">
        <v>8</v>
      </c>
      <c r="L425" s="273" t="n">
        <v>30.4</v>
      </c>
      <c r="M425" s="272" t="n">
        <v>10</v>
      </c>
      <c r="N425" s="272" t="n">
        <v>15</v>
      </c>
      <c r="O425" s="272" t="n">
        <v>6</v>
      </c>
      <c r="P425" s="272" t="n">
        <v>3</v>
      </c>
      <c r="Q425" s="271" t="inlineStr">
        <is>
          <t>Treino</t>
        </is>
      </c>
      <c r="R425" s="272" t="n">
        <v>10</v>
      </c>
      <c r="S425" s="271" t="inlineStr">
        <is>
          <t>MD-4</t>
        </is>
      </c>
      <c r="T425" s="272" t="n"/>
      <c r="U425" s="272" t="n"/>
      <c r="V425" s="274">
        <f>IF(_xlfn.MAXIFS(tblCarga[Data],tblCarga[Jogador],C425,tblCarga[Tipo],"Jogo",tblCarga[Data],"&lt;"&amp;A425)=0,"-",A425-_xlfn.MAXIFS(tblCarga[Data],tblCarga[Jogador],C425,tblCarga[Tipo],"Jogo",tblCarga[Data],"&lt;"&amp;A425))</f>
        <v/>
      </c>
      <c r="W425" s="272" t="n">
        <v>2</v>
      </c>
      <c r="X425" s="272" t="n">
        <v>2</v>
      </c>
      <c r="Y425" s="272" t="n">
        <v>2</v>
      </c>
      <c r="Z425" s="272" t="n">
        <v>3</v>
      </c>
      <c r="AA425" s="272" t="n">
        <v>9</v>
      </c>
    </row>
    <row r="426">
      <c r="A426" s="270" t="n">
        <v>46089</v>
      </c>
      <c r="B426" s="271" t="inlineStr">
        <is>
          <t>Belenenses</t>
        </is>
      </c>
      <c r="C426" s="271" t="inlineStr">
        <is>
          <t>Paulino</t>
        </is>
      </c>
      <c r="D426" s="271" t="inlineStr">
        <is>
          <t>Médio</t>
        </is>
      </c>
      <c r="E426" s="272" t="n">
        <v>81</v>
      </c>
      <c r="F426" s="272" t="n">
        <v>8389</v>
      </c>
      <c r="G426" s="272" t="n">
        <v>254</v>
      </c>
      <c r="H426" s="272" t="n">
        <v>142</v>
      </c>
      <c r="I426" s="272" t="n">
        <v>73</v>
      </c>
      <c r="J426" s="272" t="n">
        <v>71</v>
      </c>
      <c r="K426" s="272" t="n">
        <v>8</v>
      </c>
      <c r="L426" s="273" t="n">
        <v>31.1</v>
      </c>
      <c r="M426" s="272" t="n">
        <v>10</v>
      </c>
      <c r="N426" s="272" t="n">
        <v>14</v>
      </c>
      <c r="O426" s="272" t="n">
        <v>6</v>
      </c>
      <c r="P426" s="272" t="n">
        <v>2</v>
      </c>
      <c r="Q426" s="271" t="inlineStr">
        <is>
          <t>Treino</t>
        </is>
      </c>
      <c r="R426" s="272" t="n">
        <v>10</v>
      </c>
      <c r="S426" s="271" t="inlineStr">
        <is>
          <t>MD-3</t>
        </is>
      </c>
      <c r="T426" s="272" t="n"/>
      <c r="U426" s="272" t="n"/>
      <c r="V426" s="274">
        <f>IF(_xlfn.MAXIFS(tblCarga[Data],tblCarga[Jogador],C426,tblCarga[Tipo],"Jogo",tblCarga[Data],"&lt;"&amp;A426)=0,"-",A426-_xlfn.MAXIFS(tblCarga[Data],tblCarga[Jogador],C426,tblCarga[Tipo],"Jogo",tblCarga[Data],"&lt;"&amp;A426))</f>
        <v/>
      </c>
      <c r="W426" s="272" t="n">
        <v>1</v>
      </c>
      <c r="X426" s="272" t="n">
        <v>3</v>
      </c>
      <c r="Y426" s="272" t="n">
        <v>3</v>
      </c>
      <c r="Z426" s="272" t="n">
        <v>2</v>
      </c>
      <c r="AA426" s="272" t="n">
        <v>9</v>
      </c>
    </row>
    <row r="427">
      <c r="A427" s="270" t="n">
        <v>46089</v>
      </c>
      <c r="B427" s="271" t="inlineStr">
        <is>
          <t>Belenenses</t>
        </is>
      </c>
      <c r="C427" s="271" t="inlineStr">
        <is>
          <t>Artur</t>
        </is>
      </c>
      <c r="D427" s="271" t="inlineStr">
        <is>
          <t>Médio</t>
        </is>
      </c>
      <c r="E427" s="272" t="n">
        <v>85</v>
      </c>
      <c r="F427" s="272" t="n">
        <v>7557</v>
      </c>
      <c r="G427" s="272" t="n">
        <v>235</v>
      </c>
      <c r="H427" s="272" t="n">
        <v>100</v>
      </c>
      <c r="I427" s="272" t="n">
        <v>76</v>
      </c>
      <c r="J427" s="272" t="n">
        <v>72</v>
      </c>
      <c r="K427" s="272" t="n">
        <v>8</v>
      </c>
      <c r="L427" s="273" t="n">
        <v>30.6</v>
      </c>
      <c r="M427" s="272" t="n">
        <v>10</v>
      </c>
      <c r="N427" s="272" t="n">
        <v>10</v>
      </c>
      <c r="O427" s="272" t="n">
        <v>5</v>
      </c>
      <c r="P427" s="272" t="n">
        <v>2</v>
      </c>
      <c r="Q427" s="271" t="inlineStr">
        <is>
          <t>Treino</t>
        </is>
      </c>
      <c r="R427" s="272" t="n">
        <v>10</v>
      </c>
      <c r="S427" s="271" t="inlineStr">
        <is>
          <t>MD-3</t>
        </is>
      </c>
      <c r="T427" s="272" t="n"/>
      <c r="U427" s="272" t="n"/>
      <c r="V427" s="274">
        <f>IF(_xlfn.MAXIFS(tblCarga[Data],tblCarga[Jogador],C427,tblCarga[Tipo],"Jogo",tblCarga[Data],"&lt;"&amp;A427)=0,"-",A427-_xlfn.MAXIFS(tblCarga[Data],tblCarga[Jogador],C427,tblCarga[Tipo],"Jogo",tblCarga[Data],"&lt;"&amp;A427))</f>
        <v/>
      </c>
      <c r="W427" s="272" t="n">
        <v>3</v>
      </c>
      <c r="X427" s="272" t="n">
        <v>1</v>
      </c>
      <c r="Y427" s="272" t="n">
        <v>2</v>
      </c>
      <c r="Z427" s="272" t="n">
        <v>1</v>
      </c>
      <c r="AA427" s="272" t="n">
        <v>7</v>
      </c>
    </row>
    <row r="428">
      <c r="A428" s="270" t="n">
        <v>46089</v>
      </c>
      <c r="B428" s="271" t="inlineStr">
        <is>
          <t>Belenenses</t>
        </is>
      </c>
      <c r="C428" s="271" t="inlineStr">
        <is>
          <t>Gomes</t>
        </is>
      </c>
      <c r="D428" s="271" t="inlineStr">
        <is>
          <t>Médio</t>
        </is>
      </c>
      <c r="E428" s="272" t="n">
        <v>79</v>
      </c>
      <c r="F428" s="272" t="n">
        <v>8158</v>
      </c>
      <c r="G428" s="272" t="n">
        <v>238</v>
      </c>
      <c r="H428" s="272" t="n">
        <v>104</v>
      </c>
      <c r="I428" s="272" t="n">
        <v>82</v>
      </c>
      <c r="J428" s="272" t="n">
        <v>83</v>
      </c>
      <c r="K428" s="272" t="n">
        <v>7</v>
      </c>
      <c r="L428" s="273" t="n">
        <v>28.4</v>
      </c>
      <c r="M428" s="272" t="n">
        <v>10</v>
      </c>
      <c r="N428" s="272" t="n">
        <v>16</v>
      </c>
      <c r="O428" s="272" t="n">
        <v>8</v>
      </c>
      <c r="P428" s="272" t="n">
        <v>3</v>
      </c>
      <c r="Q428" s="271" t="inlineStr">
        <is>
          <t>Treino</t>
        </is>
      </c>
      <c r="R428" s="272" t="n">
        <v>10</v>
      </c>
      <c r="S428" s="271" t="inlineStr">
        <is>
          <t>MD-3</t>
        </is>
      </c>
      <c r="T428" s="272" t="n"/>
      <c r="U428" s="272" t="n"/>
      <c r="V428" s="274">
        <f>IF(_xlfn.MAXIFS(tblCarga[Data],tblCarga[Jogador],C428,tblCarga[Tipo],"Jogo",tblCarga[Data],"&lt;"&amp;A428)=0,"-",A428-_xlfn.MAXIFS(tblCarga[Data],tblCarga[Jogador],C428,tblCarga[Tipo],"Jogo",tblCarga[Data],"&lt;"&amp;A428))</f>
        <v/>
      </c>
      <c r="W428" s="272" t="n">
        <v>1</v>
      </c>
      <c r="X428" s="272" t="n">
        <v>2</v>
      </c>
      <c r="Y428" s="272" t="n">
        <v>3</v>
      </c>
      <c r="Z428" s="272" t="n">
        <v>2</v>
      </c>
      <c r="AA428" s="272" t="n">
        <v>8</v>
      </c>
    </row>
    <row r="429">
      <c r="A429" s="270" t="n">
        <v>46089</v>
      </c>
      <c r="B429" s="271" t="inlineStr">
        <is>
          <t>Belenenses</t>
        </is>
      </c>
      <c r="C429" s="271" t="inlineStr">
        <is>
          <t>Sá</t>
        </is>
      </c>
      <c r="D429" s="271" t="inlineStr">
        <is>
          <t>Médio</t>
        </is>
      </c>
      <c r="E429" s="272" t="n">
        <v>84</v>
      </c>
      <c r="F429" s="272" t="n">
        <v>9158</v>
      </c>
      <c r="G429" s="272" t="n">
        <v>253</v>
      </c>
      <c r="H429" s="272" t="n">
        <v>117</v>
      </c>
      <c r="I429" s="272" t="n">
        <v>78</v>
      </c>
      <c r="J429" s="272" t="n">
        <v>85</v>
      </c>
      <c r="K429" s="272" t="n">
        <v>7</v>
      </c>
      <c r="L429" s="273" t="n">
        <v>31.1</v>
      </c>
      <c r="M429" s="272" t="n">
        <v>10</v>
      </c>
      <c r="N429" s="272" t="n">
        <v>14</v>
      </c>
      <c r="O429" s="272" t="n">
        <v>7</v>
      </c>
      <c r="P429" s="272" t="n">
        <v>3</v>
      </c>
      <c r="Q429" s="271" t="inlineStr">
        <is>
          <t>Treino</t>
        </is>
      </c>
      <c r="R429" s="272" t="n">
        <v>10</v>
      </c>
      <c r="S429" s="271" t="inlineStr">
        <is>
          <t>MD-3</t>
        </is>
      </c>
      <c r="T429" s="272" t="n"/>
      <c r="U429" s="272" t="n"/>
      <c r="V429" s="274">
        <f>IF(_xlfn.MAXIFS(tblCarga[Data],tblCarga[Jogador],C429,tblCarga[Tipo],"Jogo",tblCarga[Data],"&lt;"&amp;A429)=0,"-",A429-_xlfn.MAXIFS(tblCarga[Data],tblCarga[Jogador],C429,tblCarga[Tipo],"Jogo",tblCarga[Data],"&lt;"&amp;A429))</f>
        <v/>
      </c>
      <c r="W429" s="272" t="n">
        <v>2</v>
      </c>
      <c r="X429" s="272" t="n">
        <v>3</v>
      </c>
      <c r="Y429" s="272" t="n">
        <v>2</v>
      </c>
      <c r="Z429" s="272" t="n">
        <v>3</v>
      </c>
      <c r="AA429" s="272" t="n">
        <v>10</v>
      </c>
    </row>
    <row r="430">
      <c r="A430" s="270" t="n">
        <v>46089</v>
      </c>
      <c r="B430" s="271" t="inlineStr">
        <is>
          <t>Belenenses</t>
        </is>
      </c>
      <c r="C430" s="271" t="inlineStr">
        <is>
          <t>Varela</t>
        </is>
      </c>
      <c r="D430" s="271" t="inlineStr">
        <is>
          <t>Lateral</t>
        </is>
      </c>
      <c r="E430" s="272" t="n">
        <v>90</v>
      </c>
      <c r="F430" s="272" t="n">
        <v>11036</v>
      </c>
      <c r="G430" s="272" t="n">
        <v>449</v>
      </c>
      <c r="H430" s="272" t="n">
        <v>173</v>
      </c>
      <c r="I430" s="272" t="n">
        <v>74</v>
      </c>
      <c r="J430" s="272" t="n">
        <v>89</v>
      </c>
      <c r="K430" s="272" t="n">
        <v>7</v>
      </c>
      <c r="L430" s="273" t="n">
        <v>33.2</v>
      </c>
      <c r="M430" s="272" t="n">
        <v>10</v>
      </c>
      <c r="N430" s="272" t="n">
        <v>14</v>
      </c>
      <c r="O430" s="272" t="n">
        <v>6</v>
      </c>
      <c r="P430" s="272" t="n">
        <v>2</v>
      </c>
      <c r="Q430" s="271" t="inlineStr">
        <is>
          <t>Treino</t>
        </is>
      </c>
      <c r="R430" s="272" t="n">
        <v>10</v>
      </c>
      <c r="S430" s="271" t="inlineStr">
        <is>
          <t>MD-3</t>
        </is>
      </c>
      <c r="T430" s="272" t="n"/>
      <c r="U430" s="272" t="n"/>
      <c r="V430" s="274">
        <f>IF(_xlfn.MAXIFS(tblCarga[Data],tblCarga[Jogador],C430,tblCarga[Tipo],"Jogo",tblCarga[Data],"&lt;"&amp;A430)=0,"-",A430-_xlfn.MAXIFS(tblCarga[Data],tblCarga[Jogador],C430,tblCarga[Tipo],"Jogo",tblCarga[Data],"&lt;"&amp;A430))</f>
        <v/>
      </c>
      <c r="W430" s="272" t="n">
        <v>3</v>
      </c>
      <c r="X430" s="272" t="n">
        <v>3</v>
      </c>
      <c r="Y430" s="272" t="n">
        <v>1</v>
      </c>
      <c r="Z430" s="272" t="n">
        <v>2</v>
      </c>
      <c r="AA430" s="272" t="n">
        <v>9</v>
      </c>
    </row>
    <row r="431">
      <c r="A431" s="270" t="n">
        <v>46089</v>
      </c>
      <c r="B431" s="271" t="inlineStr">
        <is>
          <t>Belenenses</t>
        </is>
      </c>
      <c r="C431" s="271" t="inlineStr">
        <is>
          <t>Edu</t>
        </is>
      </c>
      <c r="D431" s="271" t="inlineStr">
        <is>
          <t>Lateral</t>
        </is>
      </c>
      <c r="E431" s="272" t="n">
        <v>87</v>
      </c>
      <c r="F431" s="272" t="n">
        <v>10215</v>
      </c>
      <c r="G431" s="272" t="n">
        <v>466</v>
      </c>
      <c r="H431" s="272" t="n">
        <v>204</v>
      </c>
      <c r="I431" s="272" t="n">
        <v>78</v>
      </c>
      <c r="J431" s="272" t="n">
        <v>85</v>
      </c>
      <c r="K431" s="272" t="n">
        <v>7</v>
      </c>
      <c r="L431" s="273" t="n">
        <v>31.8</v>
      </c>
      <c r="M431" s="272" t="n">
        <v>10</v>
      </c>
      <c r="N431" s="272" t="n">
        <v>12</v>
      </c>
      <c r="O431" s="272" t="n">
        <v>4</v>
      </c>
      <c r="P431" s="272" t="n">
        <v>1</v>
      </c>
      <c r="Q431" s="271" t="inlineStr">
        <is>
          <t>Treino</t>
        </is>
      </c>
      <c r="R431" s="272" t="n">
        <v>10</v>
      </c>
      <c r="S431" s="271" t="inlineStr">
        <is>
          <t>MD-3</t>
        </is>
      </c>
      <c r="T431" s="272" t="n"/>
      <c r="U431" s="272" t="n"/>
      <c r="V431" s="274">
        <f>IF(_xlfn.MAXIFS(tblCarga[Data],tblCarga[Jogador],C431,tblCarga[Tipo],"Jogo",tblCarga[Data],"&lt;"&amp;A431)=0,"-",A431-_xlfn.MAXIFS(tblCarga[Data],tblCarga[Jogador],C431,tblCarga[Tipo],"Jogo",tblCarga[Data],"&lt;"&amp;A431))</f>
        <v/>
      </c>
      <c r="W431" s="272" t="n">
        <v>3</v>
      </c>
      <c r="X431" s="272" t="n">
        <v>2</v>
      </c>
      <c r="Y431" s="272" t="n">
        <v>2</v>
      </c>
      <c r="Z431" s="272" t="n">
        <v>3</v>
      </c>
      <c r="AA431" s="272" t="n">
        <v>10</v>
      </c>
    </row>
    <row r="432">
      <c r="A432" s="270" t="n">
        <v>46089</v>
      </c>
      <c r="B432" s="271" t="inlineStr">
        <is>
          <t>Belenenses</t>
        </is>
      </c>
      <c r="C432" s="271" t="inlineStr">
        <is>
          <t>Capitulo</t>
        </is>
      </c>
      <c r="D432" s="271" t="inlineStr">
        <is>
          <t>Lateral</t>
        </is>
      </c>
      <c r="E432" s="272" t="n">
        <v>96</v>
      </c>
      <c r="F432" s="272" t="n">
        <v>11092</v>
      </c>
      <c r="G432" s="272" t="n">
        <v>530</v>
      </c>
      <c r="H432" s="272" t="n">
        <v>180</v>
      </c>
      <c r="I432" s="272" t="n">
        <v>91</v>
      </c>
      <c r="J432" s="272" t="n">
        <v>92</v>
      </c>
      <c r="K432" s="272" t="n">
        <v>7</v>
      </c>
      <c r="L432" s="273" t="n">
        <v>29.7</v>
      </c>
      <c r="M432" s="272" t="n">
        <v>10</v>
      </c>
      <c r="N432" s="272" t="n">
        <v>10</v>
      </c>
      <c r="O432" s="272" t="n">
        <v>4</v>
      </c>
      <c r="P432" s="272" t="n">
        <v>1</v>
      </c>
      <c r="Q432" s="271" t="inlineStr">
        <is>
          <t>Treino</t>
        </is>
      </c>
      <c r="R432" s="272" t="n">
        <v>10</v>
      </c>
      <c r="S432" s="271" t="inlineStr">
        <is>
          <t>MD-3</t>
        </is>
      </c>
      <c r="T432" s="272" t="n"/>
      <c r="U432" s="272" t="n"/>
      <c r="V432" s="274">
        <f>IF(_xlfn.MAXIFS(tblCarga[Data],tblCarga[Jogador],C432,tblCarga[Tipo],"Jogo",tblCarga[Data],"&lt;"&amp;A432)=0,"-",A432-_xlfn.MAXIFS(tblCarga[Data],tblCarga[Jogador],C432,tblCarga[Tipo],"Jogo",tblCarga[Data],"&lt;"&amp;A432))</f>
        <v/>
      </c>
      <c r="W432" s="272" t="n">
        <v>2</v>
      </c>
      <c r="X432" s="272" t="n">
        <v>3</v>
      </c>
      <c r="Y432" s="272" t="n">
        <v>3</v>
      </c>
      <c r="Z432" s="272" t="n">
        <v>2</v>
      </c>
      <c r="AA432" s="272" t="n">
        <v>10</v>
      </c>
    </row>
    <row r="433">
      <c r="A433" s="270" t="n">
        <v>46089</v>
      </c>
      <c r="B433" s="271" t="inlineStr">
        <is>
          <t>Belenenses</t>
        </is>
      </c>
      <c r="C433" s="271" t="inlineStr">
        <is>
          <t>Enzo Hugo</t>
        </is>
      </c>
      <c r="D433" s="271" t="inlineStr">
        <is>
          <t>Central</t>
        </is>
      </c>
      <c r="E433" s="272" t="n">
        <v>94</v>
      </c>
      <c r="F433" s="272" t="n">
        <v>9694</v>
      </c>
      <c r="G433" s="272" t="n">
        <v>298</v>
      </c>
      <c r="H433" s="272" t="n">
        <v>48</v>
      </c>
      <c r="I433" s="272" t="n">
        <v>82</v>
      </c>
      <c r="J433" s="272" t="n">
        <v>92</v>
      </c>
      <c r="K433" s="272" t="n">
        <v>8</v>
      </c>
      <c r="L433" s="273" t="n">
        <v>27.6</v>
      </c>
      <c r="M433" s="272" t="n">
        <v>10</v>
      </c>
      <c r="N433" s="272" t="n">
        <v>16</v>
      </c>
      <c r="O433" s="272" t="n">
        <v>9</v>
      </c>
      <c r="P433" s="272" t="n">
        <v>4</v>
      </c>
      <c r="Q433" s="271" t="inlineStr">
        <is>
          <t>Treino</t>
        </is>
      </c>
      <c r="R433" s="272" t="n">
        <v>10</v>
      </c>
      <c r="S433" s="271" t="inlineStr">
        <is>
          <t>MD-3</t>
        </is>
      </c>
      <c r="T433" s="272" t="n"/>
      <c r="U433" s="272" t="n"/>
      <c r="V433" s="274">
        <f>IF(_xlfn.MAXIFS(tblCarga[Data],tblCarga[Jogador],C433,tblCarga[Tipo],"Jogo",tblCarga[Data],"&lt;"&amp;A433)=0,"-",A433-_xlfn.MAXIFS(tblCarga[Data],tblCarga[Jogador],C433,tblCarga[Tipo],"Jogo",tblCarga[Data],"&lt;"&amp;A433))</f>
        <v/>
      </c>
      <c r="W433" s="272" t="n">
        <v>2</v>
      </c>
      <c r="X433" s="272" t="n">
        <v>3</v>
      </c>
      <c r="Y433" s="272" t="n">
        <v>2</v>
      </c>
      <c r="Z433" s="272" t="n">
        <v>2</v>
      </c>
      <c r="AA433" s="272" t="n">
        <v>9</v>
      </c>
    </row>
    <row r="434">
      <c r="A434" s="270" t="n">
        <v>46089</v>
      </c>
      <c r="B434" s="271" t="inlineStr">
        <is>
          <t>Belenenses</t>
        </is>
      </c>
      <c r="C434" s="271" t="inlineStr">
        <is>
          <t>Nogueira</t>
        </is>
      </c>
      <c r="D434" s="271" t="inlineStr">
        <is>
          <t>Central</t>
        </is>
      </c>
      <c r="E434" s="272" t="n">
        <v>81</v>
      </c>
      <c r="F434" s="272" t="n">
        <v>9997</v>
      </c>
      <c r="G434" s="272" t="n">
        <v>314</v>
      </c>
      <c r="H434" s="272" t="n">
        <v>48</v>
      </c>
      <c r="I434" s="272" t="n">
        <v>67</v>
      </c>
      <c r="J434" s="272" t="n">
        <v>78</v>
      </c>
      <c r="K434" s="272" t="n">
        <v>8</v>
      </c>
      <c r="L434" s="273" t="n">
        <v>28.7</v>
      </c>
      <c r="M434" s="272" t="n">
        <v>10</v>
      </c>
      <c r="N434" s="272" t="n">
        <v>13</v>
      </c>
      <c r="O434" s="272" t="n">
        <v>7</v>
      </c>
      <c r="P434" s="272" t="n">
        <v>3</v>
      </c>
      <c r="Q434" s="271" t="inlineStr">
        <is>
          <t>Treino</t>
        </is>
      </c>
      <c r="R434" s="272" t="n">
        <v>10</v>
      </c>
      <c r="S434" s="271" t="inlineStr">
        <is>
          <t>MD-3</t>
        </is>
      </c>
      <c r="T434" s="272" t="n"/>
      <c r="U434" s="272" t="n"/>
      <c r="V434" s="274">
        <f>IF(_xlfn.MAXIFS(tblCarga[Data],tblCarga[Jogador],C434,tblCarga[Tipo],"Jogo",tblCarga[Data],"&lt;"&amp;A434)=0,"-",A434-_xlfn.MAXIFS(tblCarga[Data],tblCarga[Jogador],C434,tblCarga[Tipo],"Jogo",tblCarga[Data],"&lt;"&amp;A434))</f>
        <v/>
      </c>
      <c r="W434" s="272" t="n">
        <v>2</v>
      </c>
      <c r="X434" s="272" t="n">
        <v>3</v>
      </c>
      <c r="Y434" s="272" t="n">
        <v>1</v>
      </c>
      <c r="Z434" s="272" t="n">
        <v>2</v>
      </c>
      <c r="AA434" s="272" t="n">
        <v>8</v>
      </c>
    </row>
    <row r="435">
      <c r="A435" s="270" t="n">
        <v>46091</v>
      </c>
      <c r="B435" s="271" t="inlineStr">
        <is>
          <t>Belenenses</t>
        </is>
      </c>
      <c r="C435" s="271" t="inlineStr">
        <is>
          <t>Paulino</t>
        </is>
      </c>
      <c r="D435" s="271" t="inlineStr">
        <is>
          <t>Médio</t>
        </is>
      </c>
      <c r="E435" s="272" t="n">
        <v>83</v>
      </c>
      <c r="F435" s="272" t="n">
        <v>6764</v>
      </c>
      <c r="G435" s="272" t="n">
        <v>256</v>
      </c>
      <c r="H435" s="272" t="n">
        <v>103</v>
      </c>
      <c r="I435" s="272" t="n">
        <v>65</v>
      </c>
      <c r="J435" s="272" t="n">
        <v>75</v>
      </c>
      <c r="K435" s="272" t="n">
        <v>6</v>
      </c>
      <c r="L435" s="273" t="n">
        <v>28.2</v>
      </c>
      <c r="M435" s="272" t="n">
        <v>10</v>
      </c>
      <c r="N435" s="272" t="n">
        <v>13</v>
      </c>
      <c r="O435" s="272" t="n">
        <v>8</v>
      </c>
      <c r="P435" s="272" t="n">
        <v>3</v>
      </c>
      <c r="Q435" s="271" t="inlineStr">
        <is>
          <t>Treino</t>
        </is>
      </c>
      <c r="R435" s="272" t="n">
        <v>10</v>
      </c>
      <c r="S435" s="271" t="inlineStr">
        <is>
          <t>MD-2</t>
        </is>
      </c>
      <c r="T435" s="272" t="n"/>
      <c r="U435" s="272" t="n"/>
      <c r="V435" s="274">
        <f>IF(_xlfn.MAXIFS(tblCarga[Data],tblCarga[Jogador],C435,tblCarga[Tipo],"Jogo",tblCarga[Data],"&lt;"&amp;A435)=0,"-",A435-_xlfn.MAXIFS(tblCarga[Data],tblCarga[Jogador],C435,tblCarga[Tipo],"Jogo",tblCarga[Data],"&lt;"&amp;A435))</f>
        <v/>
      </c>
      <c r="W435" s="272" t="n">
        <v>3</v>
      </c>
      <c r="X435" s="272" t="n">
        <v>3</v>
      </c>
      <c r="Y435" s="272" t="n">
        <v>2</v>
      </c>
      <c r="Z435" s="272" t="n">
        <v>3</v>
      </c>
      <c r="AA435" s="272" t="n">
        <v>11</v>
      </c>
    </row>
    <row r="436">
      <c r="A436" s="270" t="n">
        <v>46091</v>
      </c>
      <c r="B436" s="271" t="inlineStr">
        <is>
          <t>Belenenses</t>
        </is>
      </c>
      <c r="C436" s="271" t="inlineStr">
        <is>
          <t>Artur</t>
        </is>
      </c>
      <c r="D436" s="271" t="inlineStr">
        <is>
          <t>Médio</t>
        </is>
      </c>
      <c r="E436" s="272" t="n">
        <v>87</v>
      </c>
      <c r="F436" s="272" t="n">
        <v>6755</v>
      </c>
      <c r="G436" s="272" t="n">
        <v>248</v>
      </c>
      <c r="H436" s="272" t="n">
        <v>84</v>
      </c>
      <c r="I436" s="272" t="n">
        <v>78</v>
      </c>
      <c r="J436" s="272" t="n">
        <v>75</v>
      </c>
      <c r="K436" s="272" t="n">
        <v>6</v>
      </c>
      <c r="L436" s="273" t="n">
        <v>29</v>
      </c>
      <c r="M436" s="272" t="n">
        <v>10</v>
      </c>
      <c r="N436" s="272" t="n">
        <v>9</v>
      </c>
      <c r="O436" s="272" t="n">
        <v>4</v>
      </c>
      <c r="P436" s="272" t="n">
        <v>2</v>
      </c>
      <c r="Q436" s="271" t="inlineStr">
        <is>
          <t>Treino</t>
        </is>
      </c>
      <c r="R436" s="272" t="n">
        <v>10</v>
      </c>
      <c r="S436" s="271" t="inlineStr">
        <is>
          <t>MD-2</t>
        </is>
      </c>
      <c r="T436" s="272" t="n"/>
      <c r="U436" s="272" t="n"/>
      <c r="V436" s="274">
        <f>IF(_xlfn.MAXIFS(tblCarga[Data],tblCarga[Jogador],C436,tblCarga[Tipo],"Jogo",tblCarga[Data],"&lt;"&amp;A436)=0,"-",A436-_xlfn.MAXIFS(tblCarga[Data],tblCarga[Jogador],C436,tblCarga[Tipo],"Jogo",tblCarga[Data],"&lt;"&amp;A436))</f>
        <v/>
      </c>
      <c r="W436" s="272" t="n">
        <v>2</v>
      </c>
      <c r="X436" s="272" t="n">
        <v>3</v>
      </c>
      <c r="Y436" s="272" t="n">
        <v>3</v>
      </c>
      <c r="Z436" s="272" t="n">
        <v>3</v>
      </c>
      <c r="AA436" s="272" t="n">
        <v>11</v>
      </c>
    </row>
    <row r="437">
      <c r="A437" s="270" t="n">
        <v>46091</v>
      </c>
      <c r="B437" s="271" t="inlineStr">
        <is>
          <t>Belenenses</t>
        </is>
      </c>
      <c r="C437" s="271" t="inlineStr">
        <is>
          <t>Gomes</t>
        </is>
      </c>
      <c r="D437" s="271" t="inlineStr">
        <is>
          <t>Médio</t>
        </is>
      </c>
      <c r="E437" s="272" t="n">
        <v>86</v>
      </c>
      <c r="F437" s="272" t="n">
        <v>8096</v>
      </c>
      <c r="G437" s="272" t="n">
        <v>256</v>
      </c>
      <c r="H437" s="272" t="n">
        <v>93</v>
      </c>
      <c r="I437" s="272" t="n">
        <v>74</v>
      </c>
      <c r="J437" s="272" t="n">
        <v>71</v>
      </c>
      <c r="K437" s="272" t="n">
        <v>8</v>
      </c>
      <c r="L437" s="273" t="n">
        <v>28.6</v>
      </c>
      <c r="M437" s="272" t="n">
        <v>10</v>
      </c>
      <c r="N437" s="272" t="n">
        <v>7</v>
      </c>
      <c r="O437" s="272" t="n">
        <v>3</v>
      </c>
      <c r="P437" s="272" t="n">
        <v>1</v>
      </c>
      <c r="Q437" s="271" t="inlineStr">
        <is>
          <t>Treino</t>
        </is>
      </c>
      <c r="R437" s="272" t="n">
        <v>10</v>
      </c>
      <c r="S437" s="271" t="inlineStr">
        <is>
          <t>MD-2</t>
        </is>
      </c>
      <c r="T437" s="272" t="n"/>
      <c r="U437" s="272" t="n"/>
      <c r="V437" s="274">
        <f>IF(_xlfn.MAXIFS(tblCarga[Data],tblCarga[Jogador],C437,tblCarga[Tipo],"Jogo",tblCarga[Data],"&lt;"&amp;A437)=0,"-",A437-_xlfn.MAXIFS(tblCarga[Data],tblCarga[Jogador],C437,tblCarga[Tipo],"Jogo",tblCarga[Data],"&lt;"&amp;A437))</f>
        <v/>
      </c>
      <c r="W437" s="272" t="n">
        <v>3</v>
      </c>
      <c r="X437" s="272" t="n">
        <v>1</v>
      </c>
      <c r="Y437" s="272" t="n">
        <v>2</v>
      </c>
      <c r="Z437" s="272" t="n">
        <v>2</v>
      </c>
      <c r="AA437" s="272" t="n">
        <v>8</v>
      </c>
    </row>
    <row r="438">
      <c r="A438" s="270" t="n">
        <v>46091</v>
      </c>
      <c r="B438" s="271" t="inlineStr">
        <is>
          <t>Belenenses</t>
        </is>
      </c>
      <c r="C438" s="271" t="inlineStr">
        <is>
          <t>Sá</t>
        </is>
      </c>
      <c r="D438" s="271" t="inlineStr">
        <is>
          <t>Médio</t>
        </is>
      </c>
      <c r="E438" s="272" t="n">
        <v>83</v>
      </c>
      <c r="F438" s="272" t="n">
        <v>8194</v>
      </c>
      <c r="G438" s="272" t="n">
        <v>259</v>
      </c>
      <c r="H438" s="272" t="n">
        <v>105</v>
      </c>
      <c r="I438" s="272" t="n">
        <v>66</v>
      </c>
      <c r="J438" s="272" t="n">
        <v>82</v>
      </c>
      <c r="K438" s="272" t="n">
        <v>7</v>
      </c>
      <c r="L438" s="273" t="n">
        <v>31.3</v>
      </c>
      <c r="M438" s="272" t="n">
        <v>10</v>
      </c>
      <c r="N438" s="272" t="n">
        <v>9</v>
      </c>
      <c r="O438" s="272" t="n">
        <v>5</v>
      </c>
      <c r="P438" s="272" t="n">
        <v>2</v>
      </c>
      <c r="Q438" s="271" t="inlineStr">
        <is>
          <t>Treino</t>
        </is>
      </c>
      <c r="R438" s="272" t="n">
        <v>10</v>
      </c>
      <c r="S438" s="271" t="inlineStr">
        <is>
          <t>MD-2</t>
        </is>
      </c>
      <c r="T438" s="272" t="n"/>
      <c r="U438" s="272" t="n"/>
      <c r="V438" s="274">
        <f>IF(_xlfn.MAXIFS(tblCarga[Data],tblCarga[Jogador],C438,tblCarga[Tipo],"Jogo",tblCarga[Data],"&lt;"&amp;A438)=0,"-",A438-_xlfn.MAXIFS(tblCarga[Data],tblCarga[Jogador],C438,tblCarga[Tipo],"Jogo",tblCarga[Data],"&lt;"&amp;A438))</f>
        <v/>
      </c>
      <c r="W438" s="272" t="n">
        <v>1</v>
      </c>
      <c r="X438" s="272" t="n">
        <v>1</v>
      </c>
      <c r="Y438" s="272" t="n">
        <v>2</v>
      </c>
      <c r="Z438" s="272" t="n">
        <v>2</v>
      </c>
      <c r="AA438" s="272" t="n">
        <v>6</v>
      </c>
    </row>
    <row r="439">
      <c r="A439" s="270" t="n">
        <v>46091</v>
      </c>
      <c r="B439" s="271" t="inlineStr">
        <is>
          <t>Belenenses</t>
        </is>
      </c>
      <c r="C439" s="271" t="inlineStr">
        <is>
          <t>Varela</t>
        </is>
      </c>
      <c r="D439" s="271" t="inlineStr">
        <is>
          <t>Lateral</t>
        </is>
      </c>
      <c r="E439" s="272" t="n">
        <v>77</v>
      </c>
      <c r="F439" s="272" t="n">
        <v>10864</v>
      </c>
      <c r="G439" s="272" t="n">
        <v>417</v>
      </c>
      <c r="H439" s="272" t="n">
        <v>153</v>
      </c>
      <c r="I439" s="272" t="n">
        <v>79</v>
      </c>
      <c r="J439" s="272" t="n">
        <v>82</v>
      </c>
      <c r="K439" s="272" t="n">
        <v>7</v>
      </c>
      <c r="L439" s="273" t="n">
        <v>30.9</v>
      </c>
      <c r="M439" s="272" t="n">
        <v>10</v>
      </c>
      <c r="N439" s="272" t="n">
        <v>13</v>
      </c>
      <c r="O439" s="272" t="n">
        <v>7</v>
      </c>
      <c r="P439" s="272" t="n">
        <v>2</v>
      </c>
      <c r="Q439" s="271" t="inlineStr">
        <is>
          <t>Treino</t>
        </is>
      </c>
      <c r="R439" s="272" t="n">
        <v>10</v>
      </c>
      <c r="S439" s="271" t="inlineStr">
        <is>
          <t>MD-2</t>
        </is>
      </c>
      <c r="T439" s="272" t="n"/>
      <c r="U439" s="272" t="n"/>
      <c r="V439" s="274">
        <f>IF(_xlfn.MAXIFS(tblCarga[Data],tblCarga[Jogador],C439,tblCarga[Tipo],"Jogo",tblCarga[Data],"&lt;"&amp;A439)=0,"-",A439-_xlfn.MAXIFS(tblCarga[Data],tblCarga[Jogador],C439,tblCarga[Tipo],"Jogo",tblCarga[Data],"&lt;"&amp;A439))</f>
        <v/>
      </c>
      <c r="W439" s="272" t="n">
        <v>1</v>
      </c>
      <c r="X439" s="272" t="n">
        <v>1</v>
      </c>
      <c r="Y439" s="272" t="n">
        <v>3</v>
      </c>
      <c r="Z439" s="272" t="n">
        <v>3</v>
      </c>
      <c r="AA439" s="272" t="n">
        <v>8</v>
      </c>
    </row>
    <row r="440">
      <c r="A440" s="270" t="n">
        <v>46091</v>
      </c>
      <c r="B440" s="271" t="inlineStr">
        <is>
          <t>Belenenses</t>
        </is>
      </c>
      <c r="C440" s="271" t="inlineStr">
        <is>
          <t>Edu</t>
        </is>
      </c>
      <c r="D440" s="271" t="inlineStr">
        <is>
          <t>Lateral</t>
        </is>
      </c>
      <c r="E440" s="272" t="n">
        <v>80</v>
      </c>
      <c r="F440" s="272" t="n">
        <v>10001</v>
      </c>
      <c r="G440" s="272" t="n">
        <v>388</v>
      </c>
      <c r="H440" s="272" t="n">
        <v>177</v>
      </c>
      <c r="I440" s="272" t="n">
        <v>69</v>
      </c>
      <c r="J440" s="272" t="n">
        <v>73</v>
      </c>
      <c r="K440" s="272" t="n">
        <v>7</v>
      </c>
      <c r="L440" s="273" t="n">
        <v>31.4</v>
      </c>
      <c r="M440" s="272" t="n">
        <v>10</v>
      </c>
      <c r="N440" s="272" t="n">
        <v>10</v>
      </c>
      <c r="O440" s="272" t="n">
        <v>4</v>
      </c>
      <c r="P440" s="272" t="n">
        <v>1</v>
      </c>
      <c r="Q440" s="271" t="inlineStr">
        <is>
          <t>Treino</t>
        </is>
      </c>
      <c r="R440" s="272" t="n">
        <v>10</v>
      </c>
      <c r="S440" s="271" t="inlineStr">
        <is>
          <t>MD-2</t>
        </is>
      </c>
      <c r="T440" s="272" t="n"/>
      <c r="U440" s="272" t="n"/>
      <c r="V440" s="274">
        <f>IF(_xlfn.MAXIFS(tblCarga[Data],tblCarga[Jogador],C440,tblCarga[Tipo],"Jogo",tblCarga[Data],"&lt;"&amp;A440)=0,"-",A440-_xlfn.MAXIFS(tblCarga[Data],tblCarga[Jogador],C440,tblCarga[Tipo],"Jogo",tblCarga[Data],"&lt;"&amp;A440))</f>
        <v/>
      </c>
      <c r="W440" s="272" t="n">
        <v>2</v>
      </c>
      <c r="X440" s="272" t="n">
        <v>2</v>
      </c>
      <c r="Y440" s="272" t="n">
        <v>2</v>
      </c>
      <c r="Z440" s="272" t="n">
        <v>1</v>
      </c>
      <c r="AA440" s="272" t="n">
        <v>7</v>
      </c>
    </row>
    <row r="441">
      <c r="A441" s="270" t="n">
        <v>46091</v>
      </c>
      <c r="B441" s="271" t="inlineStr">
        <is>
          <t>Belenenses</t>
        </is>
      </c>
      <c r="C441" s="271" t="inlineStr">
        <is>
          <t>Capitulo</t>
        </is>
      </c>
      <c r="D441" s="271" t="inlineStr">
        <is>
          <t>Lateral</t>
        </is>
      </c>
      <c r="E441" s="272" t="n">
        <v>79</v>
      </c>
      <c r="F441" s="272" t="n">
        <v>10225</v>
      </c>
      <c r="G441" s="272" t="n">
        <v>457</v>
      </c>
      <c r="H441" s="272" t="n">
        <v>169</v>
      </c>
      <c r="I441" s="272" t="n">
        <v>79</v>
      </c>
      <c r="J441" s="272" t="n">
        <v>80</v>
      </c>
      <c r="K441" s="272" t="n">
        <v>8</v>
      </c>
      <c r="L441" s="273" t="n">
        <v>31.8</v>
      </c>
      <c r="M441" s="272" t="n">
        <v>10</v>
      </c>
      <c r="N441" s="272" t="n">
        <v>17</v>
      </c>
      <c r="O441" s="272" t="n">
        <v>9</v>
      </c>
      <c r="P441" s="272" t="n">
        <v>3</v>
      </c>
      <c r="Q441" s="271" t="inlineStr">
        <is>
          <t>Treino</t>
        </is>
      </c>
      <c r="R441" s="272" t="n">
        <v>10</v>
      </c>
      <c r="S441" s="271" t="inlineStr">
        <is>
          <t>MD-2</t>
        </is>
      </c>
      <c r="T441" s="272" t="n"/>
      <c r="U441" s="272" t="n"/>
      <c r="V441" s="274">
        <f>IF(_xlfn.MAXIFS(tblCarga[Data],tblCarga[Jogador],C441,tblCarga[Tipo],"Jogo",tblCarga[Data],"&lt;"&amp;A441)=0,"-",A441-_xlfn.MAXIFS(tblCarga[Data],tblCarga[Jogador],C441,tblCarga[Tipo],"Jogo",tblCarga[Data],"&lt;"&amp;A441))</f>
        <v/>
      </c>
      <c r="W441" s="272" t="n">
        <v>2</v>
      </c>
      <c r="X441" s="272" t="n">
        <v>2</v>
      </c>
      <c r="Y441" s="272" t="n">
        <v>2</v>
      </c>
      <c r="Z441" s="272" t="n">
        <v>2</v>
      </c>
      <c r="AA441" s="272" t="n">
        <v>8</v>
      </c>
    </row>
    <row r="442">
      <c r="A442" s="270" t="n">
        <v>46091</v>
      </c>
      <c r="B442" s="271" t="inlineStr">
        <is>
          <t>Belenenses</t>
        </is>
      </c>
      <c r="C442" s="271" t="inlineStr">
        <is>
          <t>Enzo Hugo</t>
        </is>
      </c>
      <c r="D442" s="271" t="inlineStr">
        <is>
          <t>Central</t>
        </is>
      </c>
      <c r="E442" s="272" t="n">
        <v>82</v>
      </c>
      <c r="F442" s="272" t="n">
        <v>8531</v>
      </c>
      <c r="G442" s="272" t="n">
        <v>269</v>
      </c>
      <c r="H442" s="272" t="n">
        <v>42</v>
      </c>
      <c r="I442" s="272" t="n">
        <v>79</v>
      </c>
      <c r="J442" s="272" t="n">
        <v>80</v>
      </c>
      <c r="K442" s="272" t="n">
        <v>6</v>
      </c>
      <c r="L442" s="273" t="n">
        <v>28.1</v>
      </c>
      <c r="M442" s="272" t="n">
        <v>10</v>
      </c>
      <c r="N442" s="272" t="n">
        <v>10</v>
      </c>
      <c r="O442" s="272" t="n">
        <v>4</v>
      </c>
      <c r="P442" s="272" t="n">
        <v>1</v>
      </c>
      <c r="Q442" s="271" t="inlineStr">
        <is>
          <t>Treino</t>
        </is>
      </c>
      <c r="R442" s="272" t="n">
        <v>10</v>
      </c>
      <c r="S442" s="271" t="inlineStr">
        <is>
          <t>MD-2</t>
        </is>
      </c>
      <c r="T442" s="272" t="n"/>
      <c r="U442" s="272" t="n"/>
      <c r="V442" s="274">
        <f>IF(_xlfn.MAXIFS(tblCarga[Data],tblCarga[Jogador],C442,tblCarga[Tipo],"Jogo",tblCarga[Data],"&lt;"&amp;A442)=0,"-",A442-_xlfn.MAXIFS(tblCarga[Data],tblCarga[Jogador],C442,tblCarga[Tipo],"Jogo",tblCarga[Data],"&lt;"&amp;A442))</f>
        <v/>
      </c>
      <c r="W442" s="272" t="n">
        <v>2</v>
      </c>
      <c r="X442" s="272" t="n">
        <v>3</v>
      </c>
      <c r="Y442" s="272" t="n">
        <v>2</v>
      </c>
      <c r="Z442" s="272" t="n">
        <v>3</v>
      </c>
      <c r="AA442" s="272" t="n">
        <v>10</v>
      </c>
    </row>
    <row r="443">
      <c r="A443" s="270" t="n">
        <v>46091</v>
      </c>
      <c r="B443" s="271" t="inlineStr">
        <is>
          <t>Belenenses</t>
        </is>
      </c>
      <c r="C443" s="271" t="inlineStr">
        <is>
          <t>Nogueira</t>
        </is>
      </c>
      <c r="D443" s="271" t="inlineStr">
        <is>
          <t>Central</t>
        </is>
      </c>
      <c r="E443" s="272" t="n">
        <v>86</v>
      </c>
      <c r="F443" s="272" t="n">
        <v>9278</v>
      </c>
      <c r="G443" s="272" t="n">
        <v>297</v>
      </c>
      <c r="H443" s="272" t="n">
        <v>40</v>
      </c>
      <c r="I443" s="272" t="n">
        <v>60</v>
      </c>
      <c r="J443" s="272" t="n">
        <v>88</v>
      </c>
      <c r="K443" s="272" t="n">
        <v>7</v>
      </c>
      <c r="L443" s="273" t="n">
        <v>29.3</v>
      </c>
      <c r="M443" s="272" t="n">
        <v>10</v>
      </c>
      <c r="N443" s="272" t="n">
        <v>8</v>
      </c>
      <c r="O443" s="272" t="n">
        <v>4</v>
      </c>
      <c r="P443" s="272" t="n">
        <v>2</v>
      </c>
      <c r="Q443" s="271" t="inlineStr">
        <is>
          <t>Treino</t>
        </is>
      </c>
      <c r="R443" s="272" t="n">
        <v>10</v>
      </c>
      <c r="S443" s="271" t="inlineStr">
        <is>
          <t>MD-2</t>
        </is>
      </c>
      <c r="T443" s="272" t="n"/>
      <c r="U443" s="272" t="n"/>
      <c r="V443" s="274">
        <f>IF(_xlfn.MAXIFS(tblCarga[Data],tblCarga[Jogador],C443,tblCarga[Tipo],"Jogo",tblCarga[Data],"&lt;"&amp;A443)=0,"-",A443-_xlfn.MAXIFS(tblCarga[Data],tblCarga[Jogador],C443,tblCarga[Tipo],"Jogo",tblCarga[Data],"&lt;"&amp;A443))</f>
        <v/>
      </c>
      <c r="W443" s="272" t="n">
        <v>1</v>
      </c>
      <c r="X443" s="272" t="n">
        <v>2</v>
      </c>
      <c r="Y443" s="272" t="n">
        <v>3</v>
      </c>
      <c r="Z443" s="272" t="n">
        <v>3</v>
      </c>
      <c r="AA443" s="272" t="n">
        <v>9</v>
      </c>
    </row>
    <row r="444">
      <c r="A444" s="270" t="n">
        <v>46092</v>
      </c>
      <c r="B444" s="271" t="inlineStr">
        <is>
          <t>Belenenses</t>
        </is>
      </c>
      <c r="C444" s="271" t="inlineStr">
        <is>
          <t>Paulino</t>
        </is>
      </c>
      <c r="D444" s="271" t="inlineStr">
        <is>
          <t>Médio</t>
        </is>
      </c>
      <c r="E444" s="272" t="n">
        <v>65</v>
      </c>
      <c r="F444" s="272" t="n">
        <v>4554</v>
      </c>
      <c r="G444" s="272" t="n">
        <v>107</v>
      </c>
      <c r="H444" s="272" t="n">
        <v>25</v>
      </c>
      <c r="I444" s="272" t="n">
        <v>41</v>
      </c>
      <c r="J444" s="272" t="n">
        <v>36</v>
      </c>
      <c r="K444" s="272" t="n">
        <v>2</v>
      </c>
      <c r="L444" s="273" t="n">
        <v>28.1</v>
      </c>
      <c r="M444" s="272" t="n">
        <v>10</v>
      </c>
      <c r="N444" s="272" t="n">
        <v>7</v>
      </c>
      <c r="O444" s="272" t="n">
        <v>3</v>
      </c>
      <c r="P444" s="272" t="n">
        <v>1</v>
      </c>
      <c r="Q444" s="271" t="inlineStr">
        <is>
          <t>Treino</t>
        </is>
      </c>
      <c r="R444" s="272" t="n">
        <v>10</v>
      </c>
      <c r="S444" s="271" t="inlineStr">
        <is>
          <t>MD-1</t>
        </is>
      </c>
      <c r="T444" s="272" t="n"/>
      <c r="U444" s="272" t="n"/>
      <c r="V444" s="274">
        <f>IF(_xlfn.MAXIFS(tblCarga[Data],tblCarga[Jogador],C444,tblCarga[Tipo],"Jogo",tblCarga[Data],"&lt;"&amp;A444)=0,"-",A444-_xlfn.MAXIFS(tblCarga[Data],tblCarga[Jogador],C444,tblCarga[Tipo],"Jogo",tblCarga[Data],"&lt;"&amp;A444))</f>
        <v/>
      </c>
      <c r="W444" s="272" t="n">
        <v>1</v>
      </c>
      <c r="X444" s="272" t="n">
        <v>1</v>
      </c>
      <c r="Y444" s="272" t="n">
        <v>2</v>
      </c>
      <c r="Z444" s="272" t="n">
        <v>1</v>
      </c>
      <c r="AA444" s="272" t="n">
        <v>5</v>
      </c>
    </row>
    <row r="445">
      <c r="A445" s="270" t="n">
        <v>46092</v>
      </c>
      <c r="B445" s="271" t="inlineStr">
        <is>
          <t>Belenenses</t>
        </is>
      </c>
      <c r="C445" s="271" t="inlineStr">
        <is>
          <t>Artur</t>
        </is>
      </c>
      <c r="D445" s="271" t="inlineStr">
        <is>
          <t>Médio</t>
        </is>
      </c>
      <c r="E445" s="272" t="n">
        <v>60</v>
      </c>
      <c r="F445" s="272" t="n">
        <v>3995</v>
      </c>
      <c r="G445" s="272" t="n">
        <v>101</v>
      </c>
      <c r="H445" s="272" t="n">
        <v>21</v>
      </c>
      <c r="I445" s="272" t="n">
        <v>39</v>
      </c>
      <c r="J445" s="272" t="n">
        <v>37</v>
      </c>
      <c r="K445" s="272" t="n">
        <v>3</v>
      </c>
      <c r="L445" s="273" t="n">
        <v>26.7</v>
      </c>
      <c r="M445" s="272" t="n">
        <v>10</v>
      </c>
      <c r="N445" s="272" t="n">
        <v>6</v>
      </c>
      <c r="O445" s="272" t="n">
        <v>3</v>
      </c>
      <c r="P445" s="272" t="n">
        <v>1</v>
      </c>
      <c r="Q445" s="271" t="inlineStr">
        <is>
          <t>Treino</t>
        </is>
      </c>
      <c r="R445" s="272" t="n">
        <v>10</v>
      </c>
      <c r="S445" s="271" t="inlineStr">
        <is>
          <t>MD-1</t>
        </is>
      </c>
      <c r="T445" s="272" t="n"/>
      <c r="U445" s="272" t="n"/>
      <c r="V445" s="274">
        <f>IF(_xlfn.MAXIFS(tblCarga[Data],tblCarga[Jogador],C445,tblCarga[Tipo],"Jogo",tblCarga[Data],"&lt;"&amp;A445)=0,"-",A445-_xlfn.MAXIFS(tblCarga[Data],tblCarga[Jogador],C445,tblCarga[Tipo],"Jogo",tblCarga[Data],"&lt;"&amp;A445))</f>
        <v/>
      </c>
      <c r="W445" s="272" t="n">
        <v>1</v>
      </c>
      <c r="X445" s="272" t="n">
        <v>2</v>
      </c>
      <c r="Y445" s="272" t="n">
        <v>2</v>
      </c>
      <c r="Z445" s="272" t="n">
        <v>1</v>
      </c>
      <c r="AA445" s="272" t="n">
        <v>6</v>
      </c>
    </row>
    <row r="446">
      <c r="A446" s="270" t="n">
        <v>46092</v>
      </c>
      <c r="B446" s="271" t="inlineStr">
        <is>
          <t>Belenenses</t>
        </is>
      </c>
      <c r="C446" s="271" t="inlineStr">
        <is>
          <t>Gomes</t>
        </is>
      </c>
      <c r="D446" s="271" t="inlineStr">
        <is>
          <t>Médio</t>
        </is>
      </c>
      <c r="E446" s="272" t="n">
        <v>58</v>
      </c>
      <c r="F446" s="272" t="n">
        <v>4875</v>
      </c>
      <c r="G446" s="272" t="n">
        <v>106</v>
      </c>
      <c r="H446" s="272" t="n">
        <v>21</v>
      </c>
      <c r="I446" s="272" t="n">
        <v>41</v>
      </c>
      <c r="J446" s="272" t="n">
        <v>45</v>
      </c>
      <c r="K446" s="272" t="n">
        <v>3</v>
      </c>
      <c r="L446" s="273" t="n">
        <v>26</v>
      </c>
      <c r="M446" s="272" t="n">
        <v>10</v>
      </c>
      <c r="N446" s="272" t="n">
        <v>5</v>
      </c>
      <c r="O446" s="272" t="n">
        <v>2</v>
      </c>
      <c r="P446" s="272" t="n">
        <v>0</v>
      </c>
      <c r="Q446" s="271" t="inlineStr">
        <is>
          <t>Treino</t>
        </is>
      </c>
      <c r="R446" s="272" t="n">
        <v>10</v>
      </c>
      <c r="S446" s="271" t="inlineStr">
        <is>
          <t>MD-1</t>
        </is>
      </c>
      <c r="T446" s="272" t="n"/>
      <c r="U446" s="272" t="n"/>
      <c r="V446" s="274">
        <f>IF(_xlfn.MAXIFS(tblCarga[Data],tblCarga[Jogador],C446,tblCarga[Tipo],"Jogo",tblCarga[Data],"&lt;"&amp;A446)=0,"-",A446-_xlfn.MAXIFS(tblCarga[Data],tblCarga[Jogador],C446,tblCarga[Tipo],"Jogo",tblCarga[Data],"&lt;"&amp;A446))</f>
        <v/>
      </c>
      <c r="W446" s="272" t="n">
        <v>1</v>
      </c>
      <c r="X446" s="272" t="n">
        <v>1</v>
      </c>
      <c r="Y446" s="272" t="n">
        <v>2</v>
      </c>
      <c r="Z446" s="272" t="n">
        <v>1</v>
      </c>
      <c r="AA446" s="272" t="n">
        <v>5</v>
      </c>
    </row>
    <row r="447">
      <c r="A447" s="270" t="n">
        <v>46092</v>
      </c>
      <c r="B447" s="271" t="inlineStr">
        <is>
          <t>Belenenses</t>
        </is>
      </c>
      <c r="C447" s="271" t="inlineStr">
        <is>
          <t>Sá</t>
        </is>
      </c>
      <c r="D447" s="271" t="inlineStr">
        <is>
          <t>Médio</t>
        </is>
      </c>
      <c r="E447" s="272" t="n">
        <v>67</v>
      </c>
      <c r="F447" s="272" t="n">
        <v>5060</v>
      </c>
      <c r="G447" s="272" t="n">
        <v>102</v>
      </c>
      <c r="H447" s="272" t="n">
        <v>24</v>
      </c>
      <c r="I447" s="272" t="n">
        <v>37</v>
      </c>
      <c r="J447" s="272" t="n">
        <v>42</v>
      </c>
      <c r="K447" s="272" t="n">
        <v>2</v>
      </c>
      <c r="L447" s="273" t="n">
        <v>27.6</v>
      </c>
      <c r="M447" s="272" t="n">
        <v>10</v>
      </c>
      <c r="N447" s="272" t="n">
        <v>7</v>
      </c>
      <c r="O447" s="272" t="n">
        <v>3</v>
      </c>
      <c r="P447" s="272" t="n">
        <v>1</v>
      </c>
      <c r="Q447" s="271" t="inlineStr">
        <is>
          <t>Treino</t>
        </is>
      </c>
      <c r="R447" s="272" t="n">
        <v>10</v>
      </c>
      <c r="S447" s="271" t="inlineStr">
        <is>
          <t>MD-1</t>
        </is>
      </c>
      <c r="T447" s="272" t="n"/>
      <c r="U447" s="272" t="n"/>
      <c r="V447" s="274">
        <f>IF(_xlfn.MAXIFS(tblCarga[Data],tblCarga[Jogador],C447,tblCarga[Tipo],"Jogo",tblCarga[Data],"&lt;"&amp;A447)=0,"-",A447-_xlfn.MAXIFS(tblCarga[Data],tblCarga[Jogador],C447,tblCarga[Tipo],"Jogo",tblCarga[Data],"&lt;"&amp;A447))</f>
        <v/>
      </c>
      <c r="W447" s="272" t="n">
        <v>1</v>
      </c>
      <c r="X447" s="272" t="n">
        <v>2</v>
      </c>
      <c r="Y447" s="272" t="n">
        <v>2</v>
      </c>
      <c r="Z447" s="272" t="n">
        <v>2</v>
      </c>
      <c r="AA447" s="272" t="n">
        <v>7</v>
      </c>
    </row>
    <row r="448">
      <c r="A448" s="270" t="n">
        <v>46092</v>
      </c>
      <c r="B448" s="271" t="inlineStr">
        <is>
          <t>Belenenses</t>
        </is>
      </c>
      <c r="C448" s="271" t="inlineStr">
        <is>
          <t>Varela</t>
        </is>
      </c>
      <c r="D448" s="271" t="inlineStr">
        <is>
          <t>Lateral</t>
        </is>
      </c>
      <c r="E448" s="272" t="n">
        <v>62</v>
      </c>
      <c r="F448" s="272" t="n">
        <v>5971</v>
      </c>
      <c r="G448" s="272" t="n">
        <v>189</v>
      </c>
      <c r="H448" s="272" t="n">
        <v>34</v>
      </c>
      <c r="I448" s="272" t="n">
        <v>45</v>
      </c>
      <c r="J448" s="272" t="n">
        <v>44</v>
      </c>
      <c r="K448" s="272" t="n">
        <v>3</v>
      </c>
      <c r="L448" s="273" t="n">
        <v>27.7</v>
      </c>
      <c r="M448" s="272" t="n">
        <v>10</v>
      </c>
      <c r="N448" s="272" t="n">
        <v>8</v>
      </c>
      <c r="O448" s="272" t="n">
        <v>3</v>
      </c>
      <c r="P448" s="272" t="n">
        <v>1</v>
      </c>
      <c r="Q448" s="271" t="inlineStr">
        <is>
          <t>Treino</t>
        </is>
      </c>
      <c r="R448" s="272" t="n">
        <v>10</v>
      </c>
      <c r="S448" s="271" t="inlineStr">
        <is>
          <t>MD-1</t>
        </is>
      </c>
      <c r="T448" s="272" t="n"/>
      <c r="U448" s="272" t="n"/>
      <c r="V448" s="274">
        <f>IF(_xlfn.MAXIFS(tblCarga[Data],tblCarga[Jogador],C448,tblCarga[Tipo],"Jogo",tblCarga[Data],"&lt;"&amp;A448)=0,"-",A448-_xlfn.MAXIFS(tblCarga[Data],tblCarga[Jogador],C448,tblCarga[Tipo],"Jogo",tblCarga[Data],"&lt;"&amp;A448))</f>
        <v/>
      </c>
      <c r="W448" s="272" t="n">
        <v>1</v>
      </c>
      <c r="X448" s="272" t="n">
        <v>1</v>
      </c>
      <c r="Y448" s="272" t="n">
        <v>2</v>
      </c>
      <c r="Z448" s="272" t="n">
        <v>2</v>
      </c>
      <c r="AA448" s="272" t="n">
        <v>6</v>
      </c>
    </row>
    <row r="449">
      <c r="A449" s="270" t="n">
        <v>46092</v>
      </c>
      <c r="B449" s="271" t="inlineStr">
        <is>
          <t>Belenenses</t>
        </is>
      </c>
      <c r="C449" s="271" t="inlineStr">
        <is>
          <t>Edu</t>
        </is>
      </c>
      <c r="D449" s="271" t="inlineStr">
        <is>
          <t>Lateral</t>
        </is>
      </c>
      <c r="E449" s="272" t="n">
        <v>62</v>
      </c>
      <c r="F449" s="272" t="n">
        <v>6707</v>
      </c>
      <c r="G449" s="272" t="n">
        <v>193</v>
      </c>
      <c r="H449" s="272" t="n">
        <v>37</v>
      </c>
      <c r="I449" s="272" t="n">
        <v>38</v>
      </c>
      <c r="J449" s="272" t="n">
        <v>43</v>
      </c>
      <c r="K449" s="272" t="n">
        <v>2</v>
      </c>
      <c r="L449" s="273" t="n">
        <v>28.8</v>
      </c>
      <c r="M449" s="272" t="n">
        <v>10</v>
      </c>
      <c r="N449" s="272" t="n">
        <v>5</v>
      </c>
      <c r="O449" s="272" t="n">
        <v>2</v>
      </c>
      <c r="P449" s="272" t="n">
        <v>0</v>
      </c>
      <c r="Q449" s="271" t="inlineStr">
        <is>
          <t>Treino</t>
        </is>
      </c>
      <c r="R449" s="272" t="n">
        <v>10</v>
      </c>
      <c r="S449" s="271" t="inlineStr">
        <is>
          <t>MD-1</t>
        </is>
      </c>
      <c r="T449" s="272" t="n"/>
      <c r="U449" s="272" t="n"/>
      <c r="V449" s="274">
        <f>IF(_xlfn.MAXIFS(tblCarga[Data],tblCarga[Jogador],C449,tblCarga[Tipo],"Jogo",tblCarga[Data],"&lt;"&amp;A449)=0,"-",A449-_xlfn.MAXIFS(tblCarga[Data],tblCarga[Jogador],C449,tblCarga[Tipo],"Jogo",tblCarga[Data],"&lt;"&amp;A449))</f>
        <v/>
      </c>
      <c r="W449" s="272" t="n">
        <v>2</v>
      </c>
      <c r="X449" s="272" t="n">
        <v>1</v>
      </c>
      <c r="Y449" s="272" t="n">
        <v>1</v>
      </c>
      <c r="Z449" s="272" t="n">
        <v>1</v>
      </c>
      <c r="AA449" s="272" t="n">
        <v>5</v>
      </c>
    </row>
    <row r="450">
      <c r="A450" s="270" t="n">
        <v>46092</v>
      </c>
      <c r="B450" s="271" t="inlineStr">
        <is>
          <t>Belenenses</t>
        </is>
      </c>
      <c r="C450" s="271" t="inlineStr">
        <is>
          <t>Capitulo</t>
        </is>
      </c>
      <c r="D450" s="271" t="inlineStr">
        <is>
          <t>Lateral</t>
        </is>
      </c>
      <c r="E450" s="272" t="n">
        <v>57</v>
      </c>
      <c r="F450" s="272" t="n">
        <v>6292</v>
      </c>
      <c r="G450" s="272" t="n">
        <v>197</v>
      </c>
      <c r="H450" s="272" t="n">
        <v>36</v>
      </c>
      <c r="I450" s="272" t="n">
        <v>41</v>
      </c>
      <c r="J450" s="272" t="n">
        <v>45</v>
      </c>
      <c r="K450" s="272" t="n">
        <v>2</v>
      </c>
      <c r="L450" s="273" t="n">
        <v>28.9</v>
      </c>
      <c r="M450" s="272" t="n">
        <v>10</v>
      </c>
      <c r="N450" s="272" t="n">
        <v>5</v>
      </c>
      <c r="O450" s="272" t="n">
        <v>2</v>
      </c>
      <c r="P450" s="272" t="n">
        <v>0</v>
      </c>
      <c r="Q450" s="271" t="inlineStr">
        <is>
          <t>Treino</t>
        </is>
      </c>
      <c r="R450" s="272" t="n">
        <v>10</v>
      </c>
      <c r="S450" s="271" t="inlineStr">
        <is>
          <t>MD-1</t>
        </is>
      </c>
      <c r="T450" s="272" t="n"/>
      <c r="U450" s="272" t="n"/>
      <c r="V450" s="274">
        <f>IF(_xlfn.MAXIFS(tblCarga[Data],tblCarga[Jogador],C450,tblCarga[Tipo],"Jogo",tblCarga[Data],"&lt;"&amp;A450)=0,"-",A450-_xlfn.MAXIFS(tblCarga[Data],tblCarga[Jogador],C450,tblCarga[Tipo],"Jogo",tblCarga[Data],"&lt;"&amp;A450))</f>
        <v/>
      </c>
      <c r="W450" s="272" t="n">
        <v>2</v>
      </c>
      <c r="X450" s="272" t="n">
        <v>1</v>
      </c>
      <c r="Y450" s="272" t="n">
        <v>3</v>
      </c>
      <c r="Z450" s="272" t="n">
        <v>1</v>
      </c>
      <c r="AA450" s="272" t="n">
        <v>7</v>
      </c>
    </row>
    <row r="451">
      <c r="A451" s="270" t="n">
        <v>46092</v>
      </c>
      <c r="B451" s="271" t="inlineStr">
        <is>
          <t>Belenenses</t>
        </is>
      </c>
      <c r="C451" s="271" t="inlineStr">
        <is>
          <t>Enzo Hugo</t>
        </is>
      </c>
      <c r="D451" s="271" t="inlineStr">
        <is>
          <t>Central</t>
        </is>
      </c>
      <c r="E451" s="272" t="n">
        <v>63</v>
      </c>
      <c r="F451" s="272" t="n">
        <v>4923</v>
      </c>
      <c r="G451" s="272" t="n">
        <v>131</v>
      </c>
      <c r="H451" s="272" t="n">
        <v>9</v>
      </c>
      <c r="I451" s="272" t="n">
        <v>45</v>
      </c>
      <c r="J451" s="272" t="n">
        <v>47</v>
      </c>
      <c r="K451" s="272" t="n">
        <v>3</v>
      </c>
      <c r="L451" s="273" t="n">
        <v>24.5</v>
      </c>
      <c r="M451" s="272" t="n">
        <v>10</v>
      </c>
      <c r="N451" s="272" t="n">
        <v>7</v>
      </c>
      <c r="O451" s="272" t="n">
        <v>3</v>
      </c>
      <c r="P451" s="272" t="n">
        <v>1</v>
      </c>
      <c r="Q451" s="271" t="inlineStr">
        <is>
          <t>Treino</t>
        </is>
      </c>
      <c r="R451" s="272" t="n">
        <v>10</v>
      </c>
      <c r="S451" s="271" t="inlineStr">
        <is>
          <t>MD-1</t>
        </is>
      </c>
      <c r="T451" s="272" t="n"/>
      <c r="U451" s="272" t="n"/>
      <c r="V451" s="274">
        <f>IF(_xlfn.MAXIFS(tblCarga[Data],tblCarga[Jogador],C451,tblCarga[Tipo],"Jogo",tblCarga[Data],"&lt;"&amp;A451)=0,"-",A451-_xlfn.MAXIFS(tblCarga[Data],tblCarga[Jogador],C451,tblCarga[Tipo],"Jogo",tblCarga[Data],"&lt;"&amp;A451))</f>
        <v/>
      </c>
      <c r="W451" s="272" t="n">
        <v>1</v>
      </c>
      <c r="X451" s="272" t="n">
        <v>1</v>
      </c>
      <c r="Y451" s="272" t="n">
        <v>1</v>
      </c>
      <c r="Z451" s="272" t="n">
        <v>1</v>
      </c>
      <c r="AA451" s="272" t="n">
        <v>4</v>
      </c>
    </row>
    <row r="452">
      <c r="A452" s="270" t="n">
        <v>46092</v>
      </c>
      <c r="B452" s="271" t="inlineStr">
        <is>
          <t>Belenenses</t>
        </is>
      </c>
      <c r="C452" s="271" t="inlineStr">
        <is>
          <t>Nogueira</t>
        </is>
      </c>
      <c r="D452" s="271" t="inlineStr">
        <is>
          <t>Central</t>
        </is>
      </c>
      <c r="E452" s="272" t="n">
        <v>57</v>
      </c>
      <c r="F452" s="272" t="n">
        <v>5646</v>
      </c>
      <c r="G452" s="272" t="n">
        <v>136</v>
      </c>
      <c r="H452" s="272" t="n">
        <v>9</v>
      </c>
      <c r="I452" s="272" t="n">
        <v>32</v>
      </c>
      <c r="J452" s="272" t="n">
        <v>45</v>
      </c>
      <c r="K452" s="272" t="n">
        <v>2</v>
      </c>
      <c r="L452" s="273" t="n">
        <v>25.5</v>
      </c>
      <c r="M452" s="272" t="n">
        <v>10</v>
      </c>
      <c r="N452" s="272" t="n">
        <v>5</v>
      </c>
      <c r="O452" s="272" t="n">
        <v>2</v>
      </c>
      <c r="P452" s="272" t="n">
        <v>0</v>
      </c>
      <c r="Q452" s="271" t="inlineStr">
        <is>
          <t>Treino</t>
        </is>
      </c>
      <c r="R452" s="272" t="n">
        <v>10</v>
      </c>
      <c r="S452" s="271" t="inlineStr">
        <is>
          <t>MD-1</t>
        </is>
      </c>
      <c r="T452" s="272" t="n"/>
      <c r="U452" s="272" t="n"/>
      <c r="V452" s="274">
        <f>IF(_xlfn.MAXIFS(tblCarga[Data],tblCarga[Jogador],C452,tblCarga[Tipo],"Jogo",tblCarga[Data],"&lt;"&amp;A452)=0,"-",A452-_xlfn.MAXIFS(tblCarga[Data],tblCarga[Jogador],C452,tblCarga[Tipo],"Jogo",tblCarga[Data],"&lt;"&amp;A452))</f>
        <v/>
      </c>
      <c r="W452" s="272" t="n">
        <v>1</v>
      </c>
      <c r="X452" s="272" t="n">
        <v>1</v>
      </c>
      <c r="Y452" s="272" t="n">
        <v>2</v>
      </c>
      <c r="Z452" s="272" t="n">
        <v>1</v>
      </c>
      <c r="AA452" s="272" t="n">
        <v>5</v>
      </c>
    </row>
    <row r="453">
      <c r="A453" s="270" t="n">
        <v>46093</v>
      </c>
      <c r="B453" s="271" t="inlineStr">
        <is>
          <t>Belenenses</t>
        </is>
      </c>
      <c r="C453" s="271" t="inlineStr">
        <is>
          <t>Paulino</t>
        </is>
      </c>
      <c r="D453" s="271" t="inlineStr">
        <is>
          <t>Médio</t>
        </is>
      </c>
      <c r="E453" s="272" t="n">
        <v>92</v>
      </c>
      <c r="F453" s="272" t="n">
        <v>9655</v>
      </c>
      <c r="G453" s="272" t="n">
        <v>435</v>
      </c>
      <c r="H453" s="272" t="n">
        <v>231</v>
      </c>
      <c r="I453" s="272" t="n">
        <v>79</v>
      </c>
      <c r="J453" s="272" t="n">
        <v>81</v>
      </c>
      <c r="K453" s="272" t="n">
        <v>10</v>
      </c>
      <c r="L453" s="273" t="n">
        <v>32.7</v>
      </c>
      <c r="M453" s="272" t="n">
        <v>10</v>
      </c>
      <c r="N453" s="272" t="n">
        <v>8</v>
      </c>
      <c r="O453" s="272" t="n">
        <v>4</v>
      </c>
      <c r="P453" s="272" t="n">
        <v>1</v>
      </c>
      <c r="Q453" s="271" t="inlineStr">
        <is>
          <t>Jogo</t>
        </is>
      </c>
      <c r="R453" s="272" t="n">
        <v>10</v>
      </c>
      <c r="S453" s="271" t="inlineStr">
        <is>
          <t>MD</t>
        </is>
      </c>
      <c r="T453" s="272" t="n"/>
      <c r="U453" s="272" t="n"/>
      <c r="V453" s="274">
        <f>IF(_xlfn.MAXIFS(tblCarga[Data],tblCarga[Jogador],C453,tblCarga[Tipo],"Jogo",tblCarga[Data],"&lt;"&amp;A453)=0,"-",A453-_xlfn.MAXIFS(tblCarga[Data],tblCarga[Jogador],C453,tblCarga[Tipo],"Jogo",tblCarga[Data],"&lt;"&amp;A453))</f>
        <v/>
      </c>
      <c r="W453" s="272" t="n">
        <v>2</v>
      </c>
      <c r="X453" s="272" t="n">
        <v>3</v>
      </c>
      <c r="Y453" s="272" t="n">
        <v>4</v>
      </c>
      <c r="Z453" s="272" t="n">
        <v>2</v>
      </c>
      <c r="AA453" s="272" t="n">
        <v>11</v>
      </c>
    </row>
    <row r="454">
      <c r="A454" s="270" t="n">
        <v>46093</v>
      </c>
      <c r="B454" s="271" t="inlineStr">
        <is>
          <t>Belenenses</t>
        </is>
      </c>
      <c r="C454" s="271" t="inlineStr">
        <is>
          <t>Artur</t>
        </is>
      </c>
      <c r="D454" s="271" t="inlineStr">
        <is>
          <t>Médio</t>
        </is>
      </c>
      <c r="E454" s="272" t="n">
        <v>89</v>
      </c>
      <c r="F454" s="272" t="n">
        <v>9225</v>
      </c>
      <c r="G454" s="272" t="n">
        <v>412</v>
      </c>
      <c r="H454" s="272" t="n">
        <v>166</v>
      </c>
      <c r="I454" s="272" t="n">
        <v>90</v>
      </c>
      <c r="J454" s="272" t="n">
        <v>82</v>
      </c>
      <c r="K454" s="272" t="n">
        <v>10</v>
      </c>
      <c r="L454" s="273" t="n">
        <v>31.8</v>
      </c>
      <c r="M454" s="272" t="n">
        <v>10</v>
      </c>
      <c r="N454" s="272" t="n">
        <v>12</v>
      </c>
      <c r="O454" s="272" t="n">
        <v>7</v>
      </c>
      <c r="P454" s="272" t="n">
        <v>3</v>
      </c>
      <c r="Q454" s="271" t="inlineStr">
        <is>
          <t>Jogo</t>
        </is>
      </c>
      <c r="R454" s="272" t="n">
        <v>10</v>
      </c>
      <c r="S454" s="271" t="inlineStr">
        <is>
          <t>MD</t>
        </is>
      </c>
      <c r="T454" s="272" t="n"/>
      <c r="U454" s="272" t="n"/>
      <c r="V454" s="274">
        <f>IF(_xlfn.MAXIFS(tblCarga[Data],tblCarga[Jogador],C454,tblCarga[Tipo],"Jogo",tblCarga[Data],"&lt;"&amp;A454)=0,"-",A454-_xlfn.MAXIFS(tblCarga[Data],tblCarga[Jogador],C454,tblCarga[Tipo],"Jogo",tblCarga[Data],"&lt;"&amp;A454))</f>
        <v/>
      </c>
      <c r="W454" s="272" t="n">
        <v>2</v>
      </c>
      <c r="X454" s="272" t="n">
        <v>3</v>
      </c>
      <c r="Y454" s="272" t="n">
        <v>3</v>
      </c>
      <c r="Z454" s="272" t="n">
        <v>1</v>
      </c>
      <c r="AA454" s="272" t="n">
        <v>9</v>
      </c>
    </row>
    <row r="455">
      <c r="A455" s="270" t="n">
        <v>46093</v>
      </c>
      <c r="B455" s="271" t="inlineStr">
        <is>
          <t>Belenenses</t>
        </is>
      </c>
      <c r="C455" s="271" t="inlineStr">
        <is>
          <t>Gomes</t>
        </is>
      </c>
      <c r="D455" s="271" t="inlineStr">
        <is>
          <t>Médio</t>
        </is>
      </c>
      <c r="E455" s="272" t="n">
        <v>80</v>
      </c>
      <c r="F455" s="272" t="n">
        <v>11286</v>
      </c>
      <c r="G455" s="272" t="n">
        <v>449</v>
      </c>
      <c r="H455" s="272" t="n">
        <v>184</v>
      </c>
      <c r="I455" s="272" t="n">
        <v>84</v>
      </c>
      <c r="J455" s="272" t="n">
        <v>78</v>
      </c>
      <c r="K455" s="272" t="n">
        <v>10</v>
      </c>
      <c r="L455" s="273" t="n">
        <v>30.1</v>
      </c>
      <c r="M455" s="272" t="n">
        <v>10</v>
      </c>
      <c r="N455" s="272" t="n">
        <v>15</v>
      </c>
      <c r="O455" s="272" t="n">
        <v>7</v>
      </c>
      <c r="P455" s="272" t="n">
        <v>2</v>
      </c>
      <c r="Q455" s="271" t="inlineStr">
        <is>
          <t>Jogo</t>
        </is>
      </c>
      <c r="R455" s="272" t="n">
        <v>10</v>
      </c>
      <c r="S455" s="271" t="inlineStr">
        <is>
          <t>MD</t>
        </is>
      </c>
      <c r="T455" s="272" t="n"/>
      <c r="U455" s="272" t="n"/>
      <c r="V455" s="274">
        <f>IF(_xlfn.MAXIFS(tblCarga[Data],tblCarga[Jogador],C455,tblCarga[Tipo],"Jogo",tblCarga[Data],"&lt;"&amp;A455)=0,"-",A455-_xlfn.MAXIFS(tblCarga[Data],tblCarga[Jogador],C455,tblCarga[Tipo],"Jogo",tblCarga[Data],"&lt;"&amp;A455))</f>
        <v/>
      </c>
      <c r="W455" s="272" t="n">
        <v>2</v>
      </c>
      <c r="X455" s="272" t="n">
        <v>3</v>
      </c>
      <c r="Y455" s="272" t="n">
        <v>3</v>
      </c>
      <c r="Z455" s="272" t="n">
        <v>2</v>
      </c>
      <c r="AA455" s="272" t="n">
        <v>10</v>
      </c>
    </row>
    <row r="456">
      <c r="A456" s="270" t="n">
        <v>46093</v>
      </c>
      <c r="B456" s="271" t="inlineStr">
        <is>
          <t>Belenenses</t>
        </is>
      </c>
      <c r="C456" s="271" t="inlineStr">
        <is>
          <t>Sá</t>
        </is>
      </c>
      <c r="D456" s="271" t="inlineStr">
        <is>
          <t>Médio</t>
        </is>
      </c>
      <c r="E456" s="272" t="n">
        <v>101</v>
      </c>
      <c r="F456" s="272" t="n">
        <v>10069</v>
      </c>
      <c r="G456" s="272" t="n">
        <v>437</v>
      </c>
      <c r="H456" s="272" t="n">
        <v>180</v>
      </c>
      <c r="I456" s="272" t="n">
        <v>80</v>
      </c>
      <c r="J456" s="272" t="n">
        <v>90</v>
      </c>
      <c r="K456" s="272" t="n">
        <v>10</v>
      </c>
      <c r="L456" s="273" t="n">
        <v>32.2</v>
      </c>
      <c r="M456" s="272" t="n">
        <v>10</v>
      </c>
      <c r="N456" s="272" t="n">
        <v>9</v>
      </c>
      <c r="O456" s="272" t="n">
        <v>4</v>
      </c>
      <c r="P456" s="272" t="n">
        <v>1</v>
      </c>
      <c r="Q456" s="271" t="inlineStr">
        <is>
          <t>Jogo</t>
        </is>
      </c>
      <c r="R456" s="272" t="n">
        <v>10</v>
      </c>
      <c r="S456" s="271" t="inlineStr">
        <is>
          <t>MD</t>
        </is>
      </c>
      <c r="T456" s="272" t="n"/>
      <c r="U456" s="272" t="n"/>
      <c r="V456" s="274">
        <f>IF(_xlfn.MAXIFS(tblCarga[Data],tblCarga[Jogador],C456,tblCarga[Tipo],"Jogo",tblCarga[Data],"&lt;"&amp;A456)=0,"-",A456-_xlfn.MAXIFS(tblCarga[Data],tblCarga[Jogador],C456,tblCarga[Tipo],"Jogo",tblCarga[Data],"&lt;"&amp;A456))</f>
        <v/>
      </c>
      <c r="W456" s="272" t="n">
        <v>1</v>
      </c>
      <c r="X456" s="272" t="n">
        <v>2</v>
      </c>
      <c r="Y456" s="272" t="n">
        <v>2</v>
      </c>
      <c r="Z456" s="272" t="n">
        <v>2</v>
      </c>
      <c r="AA456" s="272" t="n">
        <v>7</v>
      </c>
    </row>
    <row r="457">
      <c r="A457" s="270" t="n">
        <v>46093</v>
      </c>
      <c r="B457" s="271" t="inlineStr">
        <is>
          <t>Belenenses</t>
        </is>
      </c>
      <c r="C457" s="271" t="inlineStr">
        <is>
          <t>Varela</t>
        </is>
      </c>
      <c r="D457" s="271" t="inlineStr">
        <is>
          <t>Lateral</t>
        </is>
      </c>
      <c r="E457" s="272" t="n">
        <v>89</v>
      </c>
      <c r="F457" s="272" t="n">
        <v>12251</v>
      </c>
      <c r="G457" s="272" t="n">
        <v>715</v>
      </c>
      <c r="H457" s="272" t="n">
        <v>299</v>
      </c>
      <c r="I457" s="272" t="n">
        <v>83</v>
      </c>
      <c r="J457" s="272" t="n">
        <v>92</v>
      </c>
      <c r="K457" s="272" t="n">
        <v>10</v>
      </c>
      <c r="L457" s="273" t="n">
        <v>34.3</v>
      </c>
      <c r="M457" s="272" t="n">
        <v>10</v>
      </c>
      <c r="N457" s="272" t="n">
        <v>12</v>
      </c>
      <c r="O457" s="272" t="n">
        <v>7</v>
      </c>
      <c r="P457" s="272" t="n">
        <v>2</v>
      </c>
      <c r="Q457" s="271" t="inlineStr">
        <is>
          <t>Jogo</t>
        </is>
      </c>
      <c r="R457" s="272" t="n">
        <v>10</v>
      </c>
      <c r="S457" s="271" t="inlineStr">
        <is>
          <t>MD</t>
        </is>
      </c>
      <c r="T457" s="272" t="n"/>
      <c r="U457" s="272" t="n"/>
      <c r="V457" s="274">
        <f>IF(_xlfn.MAXIFS(tblCarga[Data],tblCarga[Jogador],C457,tblCarga[Tipo],"Jogo",tblCarga[Data],"&lt;"&amp;A457)=0,"-",A457-_xlfn.MAXIFS(tblCarga[Data],tblCarga[Jogador],C457,tblCarga[Tipo],"Jogo",tblCarga[Data],"&lt;"&amp;A457))</f>
        <v/>
      </c>
      <c r="W457" s="272" t="n">
        <v>2</v>
      </c>
      <c r="X457" s="272" t="n">
        <v>4</v>
      </c>
      <c r="Y457" s="272" t="n">
        <v>3</v>
      </c>
      <c r="Z457" s="272" t="n">
        <v>1</v>
      </c>
      <c r="AA457" s="272" t="n">
        <v>10</v>
      </c>
    </row>
    <row r="458">
      <c r="A458" s="270" t="n">
        <v>46093</v>
      </c>
      <c r="B458" s="271" t="inlineStr">
        <is>
          <t>Belenenses</t>
        </is>
      </c>
      <c r="C458" s="271" t="inlineStr">
        <is>
          <t>Edu</t>
        </is>
      </c>
      <c r="D458" s="271" t="inlineStr">
        <is>
          <t>Lateral</t>
        </is>
      </c>
      <c r="E458" s="272" t="n">
        <v>84</v>
      </c>
      <c r="F458" s="272" t="n">
        <v>12761</v>
      </c>
      <c r="G458" s="272" t="n">
        <v>710</v>
      </c>
      <c r="H458" s="272" t="n">
        <v>386</v>
      </c>
      <c r="I458" s="272" t="n">
        <v>80</v>
      </c>
      <c r="J458" s="272" t="n">
        <v>82</v>
      </c>
      <c r="K458" s="272" t="n">
        <v>10</v>
      </c>
      <c r="L458" s="273" t="n">
        <v>33.7</v>
      </c>
      <c r="M458" s="272" t="n">
        <v>10</v>
      </c>
      <c r="N458" s="272" t="n">
        <v>15</v>
      </c>
      <c r="O458" s="272" t="n">
        <v>8</v>
      </c>
      <c r="P458" s="272" t="n">
        <v>2</v>
      </c>
      <c r="Q458" s="271" t="inlineStr">
        <is>
          <t>Jogo</t>
        </is>
      </c>
      <c r="R458" s="272" t="n">
        <v>10</v>
      </c>
      <c r="S458" s="271" t="inlineStr">
        <is>
          <t>MD</t>
        </is>
      </c>
      <c r="T458" s="272" t="n"/>
      <c r="U458" s="272" t="n"/>
      <c r="V458" s="274">
        <f>IF(_xlfn.MAXIFS(tblCarga[Data],tblCarga[Jogador],C458,tblCarga[Tipo],"Jogo",tblCarga[Data],"&lt;"&amp;A458)=0,"-",A458-_xlfn.MAXIFS(tblCarga[Data],tblCarga[Jogador],C458,tblCarga[Tipo],"Jogo",tblCarga[Data],"&lt;"&amp;A458))</f>
        <v/>
      </c>
      <c r="W458" s="272" t="n">
        <v>2</v>
      </c>
      <c r="X458" s="272" t="n">
        <v>4</v>
      </c>
      <c r="Y458" s="272" t="n">
        <v>4</v>
      </c>
      <c r="Z458" s="272" t="n">
        <v>1</v>
      </c>
      <c r="AA458" s="272" t="n">
        <v>11</v>
      </c>
    </row>
    <row r="459">
      <c r="A459" s="270" t="n">
        <v>46093</v>
      </c>
      <c r="B459" s="271" t="inlineStr">
        <is>
          <t>Belenenses</t>
        </is>
      </c>
      <c r="C459" s="271" t="inlineStr">
        <is>
          <t>Capitulo</t>
        </is>
      </c>
      <c r="D459" s="271" t="inlineStr">
        <is>
          <t>Lateral</t>
        </is>
      </c>
      <c r="E459" s="272" t="n">
        <v>94</v>
      </c>
      <c r="F459" s="272" t="n">
        <v>13176</v>
      </c>
      <c r="G459" s="272" t="n">
        <v>860</v>
      </c>
      <c r="H459" s="272" t="n">
        <v>372</v>
      </c>
      <c r="I459" s="272" t="n">
        <v>91</v>
      </c>
      <c r="J459" s="272" t="n">
        <v>99</v>
      </c>
      <c r="K459" s="272" t="n">
        <v>10</v>
      </c>
      <c r="L459" s="273" t="n">
        <v>32.9</v>
      </c>
      <c r="M459" s="272" t="n">
        <v>10</v>
      </c>
      <c r="N459" s="272" t="n">
        <v>10</v>
      </c>
      <c r="O459" s="272" t="n">
        <v>6</v>
      </c>
      <c r="P459" s="272" t="n">
        <v>2</v>
      </c>
      <c r="Q459" s="271" t="inlineStr">
        <is>
          <t>Jogo</t>
        </is>
      </c>
      <c r="R459" s="272" t="n">
        <v>10</v>
      </c>
      <c r="S459" s="271" t="inlineStr">
        <is>
          <t>MD</t>
        </is>
      </c>
      <c r="T459" s="272" t="n"/>
      <c r="U459" s="272" t="n"/>
      <c r="V459" s="274">
        <f>IF(_xlfn.MAXIFS(tblCarga[Data],tblCarga[Jogador],C459,tblCarga[Tipo],"Jogo",tblCarga[Data],"&lt;"&amp;A459)=0,"-",A459-_xlfn.MAXIFS(tblCarga[Data],tblCarga[Jogador],C459,tblCarga[Tipo],"Jogo",tblCarga[Data],"&lt;"&amp;A459))</f>
        <v/>
      </c>
      <c r="W459" s="272" t="n">
        <v>1</v>
      </c>
      <c r="X459" s="272" t="n">
        <v>2</v>
      </c>
      <c r="Y459" s="272" t="n">
        <v>3</v>
      </c>
      <c r="Z459" s="272" t="n">
        <v>3</v>
      </c>
      <c r="AA459" s="272" t="n">
        <v>9</v>
      </c>
    </row>
    <row r="460">
      <c r="A460" s="270" t="n">
        <v>46093</v>
      </c>
      <c r="B460" s="271" t="inlineStr">
        <is>
          <t>Belenenses</t>
        </is>
      </c>
      <c r="C460" s="271" t="inlineStr">
        <is>
          <t>Enzo Hugo</t>
        </is>
      </c>
      <c r="D460" s="271" t="inlineStr">
        <is>
          <t>Central</t>
        </is>
      </c>
      <c r="E460" s="272" t="n">
        <v>96</v>
      </c>
      <c r="F460" s="272" t="n">
        <v>10756</v>
      </c>
      <c r="G460" s="272" t="n">
        <v>580</v>
      </c>
      <c r="H460" s="272" t="n">
        <v>86</v>
      </c>
      <c r="I460" s="272" t="n">
        <v>89</v>
      </c>
      <c r="J460" s="272" t="n">
        <v>104</v>
      </c>
      <c r="K460" s="272" t="n">
        <v>10</v>
      </c>
      <c r="L460" s="273" t="n">
        <v>31</v>
      </c>
      <c r="M460" s="272" t="n">
        <v>10</v>
      </c>
      <c r="N460" s="272" t="n">
        <v>17</v>
      </c>
      <c r="O460" s="272" t="n">
        <v>9</v>
      </c>
      <c r="P460" s="272" t="n">
        <v>3</v>
      </c>
      <c r="Q460" s="271" t="inlineStr">
        <is>
          <t>Jogo</t>
        </is>
      </c>
      <c r="R460" s="272" t="n">
        <v>10</v>
      </c>
      <c r="S460" s="271" t="inlineStr">
        <is>
          <t>MD</t>
        </is>
      </c>
      <c r="T460" s="272" t="n"/>
      <c r="U460" s="272" t="n"/>
      <c r="V460" s="274">
        <f>IF(_xlfn.MAXIFS(tblCarga[Data],tblCarga[Jogador],C460,tblCarga[Tipo],"Jogo",tblCarga[Data],"&lt;"&amp;A460)=0,"-",A460-_xlfn.MAXIFS(tblCarga[Data],tblCarga[Jogador],C460,tblCarga[Tipo],"Jogo",tblCarga[Data],"&lt;"&amp;A460))</f>
        <v/>
      </c>
      <c r="W460" s="272" t="n">
        <v>2</v>
      </c>
      <c r="X460" s="272" t="n">
        <v>3</v>
      </c>
      <c r="Y460" s="272" t="n">
        <v>2</v>
      </c>
      <c r="Z460" s="272" t="n">
        <v>3</v>
      </c>
      <c r="AA460" s="272" t="n">
        <v>10</v>
      </c>
    </row>
    <row r="461">
      <c r="A461" s="270" t="n">
        <v>46093</v>
      </c>
      <c r="B461" s="271" t="inlineStr">
        <is>
          <t>Belenenses</t>
        </is>
      </c>
      <c r="C461" s="271" t="inlineStr">
        <is>
          <t>Nogueira</t>
        </is>
      </c>
      <c r="D461" s="271" t="inlineStr">
        <is>
          <t>Central</t>
        </is>
      </c>
      <c r="E461" s="272" t="n">
        <v>81</v>
      </c>
      <c r="F461" s="272" t="n">
        <v>12174</v>
      </c>
      <c r="G461" s="272" t="n">
        <v>591</v>
      </c>
      <c r="H461" s="272" t="n">
        <v>81</v>
      </c>
      <c r="I461" s="272" t="n">
        <v>68</v>
      </c>
      <c r="J461" s="272" t="n">
        <v>84</v>
      </c>
      <c r="K461" s="272" t="n">
        <v>10</v>
      </c>
      <c r="L461" s="273" t="n">
        <v>30</v>
      </c>
      <c r="M461" s="272" t="n">
        <v>10</v>
      </c>
      <c r="N461" s="272" t="n">
        <v>11</v>
      </c>
      <c r="O461" s="272" t="n">
        <v>5</v>
      </c>
      <c r="P461" s="272" t="n">
        <v>2</v>
      </c>
      <c r="Q461" s="271" t="inlineStr">
        <is>
          <t>Jogo</t>
        </is>
      </c>
      <c r="R461" s="272" t="n">
        <v>10</v>
      </c>
      <c r="S461" s="271" t="inlineStr">
        <is>
          <t>MD</t>
        </is>
      </c>
      <c r="T461" s="272" t="n"/>
      <c r="U461" s="272" t="n"/>
      <c r="V461" s="274">
        <f>IF(_xlfn.MAXIFS(tblCarga[Data],tblCarga[Jogador],C461,tblCarga[Tipo],"Jogo",tblCarga[Data],"&lt;"&amp;A461)=0,"-",A461-_xlfn.MAXIFS(tblCarga[Data],tblCarga[Jogador],C461,tblCarga[Tipo],"Jogo",tblCarga[Data],"&lt;"&amp;A461))</f>
        <v/>
      </c>
      <c r="W461" s="272" t="n">
        <v>2</v>
      </c>
      <c r="X461" s="272" t="n">
        <v>4</v>
      </c>
      <c r="Y461" s="272" t="n">
        <v>3</v>
      </c>
      <c r="Z461" s="272" t="n">
        <v>1</v>
      </c>
      <c r="AA461" s="272" t="n">
        <v>10</v>
      </c>
    </row>
    <row r="462">
      <c r="A462" s="270" t="n">
        <v>46138</v>
      </c>
      <c r="B462" s="271" t="inlineStr">
        <is>
          <t>Belenenses</t>
        </is>
      </c>
      <c r="C462" s="271" t="inlineStr">
        <is>
          <t>Paulino</t>
        </is>
      </c>
      <c r="D462" s="271" t="inlineStr">
        <is>
          <t>Médio</t>
        </is>
      </c>
      <c r="E462" s="272" t="n">
        <v>65</v>
      </c>
      <c r="F462" s="272" t="n">
        <v>4554</v>
      </c>
      <c r="G462" s="272" t="n">
        <v>107</v>
      </c>
      <c r="H462" s="272" t="n">
        <v>25</v>
      </c>
      <c r="I462" s="272" t="n">
        <v>41</v>
      </c>
      <c r="J462" s="272" t="n">
        <v>36</v>
      </c>
      <c r="K462" s="272" t="n">
        <v>2</v>
      </c>
      <c r="L462" s="273" t="n">
        <v>25</v>
      </c>
      <c r="M462" s="272" t="n">
        <v>10</v>
      </c>
      <c r="N462" s="272" t="n">
        <v>7</v>
      </c>
      <c r="O462" s="272" t="n">
        <v>3</v>
      </c>
      <c r="P462" s="272" t="n">
        <v>1</v>
      </c>
      <c r="Q462" s="271" t="inlineStr">
        <is>
          <t>Treino</t>
        </is>
      </c>
      <c r="R462" s="272" t="n">
        <v>10</v>
      </c>
      <c r="S462" s="271" t="inlineStr">
        <is>
          <t>MD-1</t>
        </is>
      </c>
      <c r="T462" s="272" t="n"/>
      <c r="U462" s="272" t="n"/>
      <c r="V462" s="274">
        <f>IF(_xlfn.MAXIFS(tblCarga[Data],tblCarga[Jogador],C462,tblCarga[Tipo],"Jogo",tblCarga[Data],"&lt;"&amp;A462)=0,"-",A462-_xlfn.MAXIFS(tblCarga[Data],tblCarga[Jogador],C462,tblCarga[Tipo],"Jogo",tblCarga[Data],"&lt;"&amp;A462))</f>
        <v/>
      </c>
      <c r="W462" s="272" t="n">
        <v>1</v>
      </c>
      <c r="X462" s="272" t="n">
        <v>1</v>
      </c>
      <c r="Y462" s="272" t="n">
        <v>2</v>
      </c>
      <c r="Z462" s="272" t="n">
        <v>1</v>
      </c>
      <c r="AA462" s="272" t="n">
        <v>5</v>
      </c>
    </row>
    <row r="463">
      <c r="A463" s="270" t="n">
        <v>46138</v>
      </c>
      <c r="B463" s="271" t="inlineStr">
        <is>
          <t>Belenenses</t>
        </is>
      </c>
      <c r="C463" s="271" t="inlineStr">
        <is>
          <t>Artur</t>
        </is>
      </c>
      <c r="D463" s="271" t="inlineStr">
        <is>
          <t>Médio</t>
        </is>
      </c>
      <c r="E463" s="272" t="n">
        <v>60</v>
      </c>
      <c r="F463" s="272" t="n">
        <v>3995</v>
      </c>
      <c r="G463" s="272" t="n">
        <v>101</v>
      </c>
      <c r="H463" s="272" t="n">
        <v>21</v>
      </c>
      <c r="I463" s="272" t="n">
        <v>39</v>
      </c>
      <c r="J463" s="272" t="n">
        <v>37</v>
      </c>
      <c r="K463" s="272" t="n">
        <v>3</v>
      </c>
      <c r="L463" s="273" t="n">
        <v>25</v>
      </c>
      <c r="M463" s="272" t="n">
        <v>10</v>
      </c>
      <c r="N463" s="272" t="n">
        <v>6</v>
      </c>
      <c r="O463" s="272" t="n">
        <v>3</v>
      </c>
      <c r="P463" s="272" t="n">
        <v>1</v>
      </c>
      <c r="Q463" s="271" t="inlineStr">
        <is>
          <t>Treino</t>
        </is>
      </c>
      <c r="R463" s="272" t="n">
        <v>10</v>
      </c>
      <c r="S463" s="271" t="inlineStr">
        <is>
          <t>MD-1</t>
        </is>
      </c>
      <c r="T463" s="272" t="n"/>
      <c r="U463" s="272" t="n"/>
      <c r="V463" s="274">
        <f>IF(_xlfn.MAXIFS(tblCarga[Data],tblCarga[Jogador],C463,tblCarga[Tipo],"Jogo",tblCarga[Data],"&lt;"&amp;A463)=0,"-",A463-_xlfn.MAXIFS(tblCarga[Data],tblCarga[Jogador],C463,tblCarga[Tipo],"Jogo",tblCarga[Data],"&lt;"&amp;A463))</f>
        <v/>
      </c>
      <c r="W463" s="272" t="n">
        <v>1</v>
      </c>
      <c r="X463" s="272" t="n">
        <v>2</v>
      </c>
      <c r="Y463" s="272" t="n">
        <v>2</v>
      </c>
      <c r="Z463" s="272" t="n">
        <v>1</v>
      </c>
      <c r="AA463" s="272" t="n">
        <v>6</v>
      </c>
    </row>
    <row r="464">
      <c r="A464" s="270" t="n">
        <v>46138</v>
      </c>
      <c r="B464" s="271" t="inlineStr">
        <is>
          <t>Belenenses</t>
        </is>
      </c>
      <c r="C464" s="271" t="inlineStr">
        <is>
          <t>Gomes</t>
        </is>
      </c>
      <c r="D464" s="271" t="inlineStr">
        <is>
          <t>Médio</t>
        </is>
      </c>
      <c r="E464" s="272" t="n">
        <v>58</v>
      </c>
      <c r="F464" s="272" t="n">
        <v>4875</v>
      </c>
      <c r="G464" s="272" t="n">
        <v>106</v>
      </c>
      <c r="H464" s="272" t="n">
        <v>21</v>
      </c>
      <c r="I464" s="272" t="n">
        <v>41</v>
      </c>
      <c r="J464" s="272" t="n">
        <v>45</v>
      </c>
      <c r="K464" s="272" t="n">
        <v>3</v>
      </c>
      <c r="L464" s="273" t="n">
        <v>25</v>
      </c>
      <c r="M464" s="272" t="n">
        <v>10</v>
      </c>
      <c r="N464" s="272" t="n">
        <v>5</v>
      </c>
      <c r="O464" s="272" t="n">
        <v>2</v>
      </c>
      <c r="P464" s="272" t="n">
        <v>0</v>
      </c>
      <c r="Q464" s="271" t="inlineStr">
        <is>
          <t>Treino</t>
        </is>
      </c>
      <c r="R464" s="272" t="n">
        <v>10</v>
      </c>
      <c r="S464" s="271" t="inlineStr">
        <is>
          <t>MD-1</t>
        </is>
      </c>
      <c r="T464" s="272" t="n"/>
      <c r="U464" s="272" t="n"/>
      <c r="V464" s="274">
        <f>IF(_xlfn.MAXIFS(tblCarga[Data],tblCarga[Jogador],C464,tblCarga[Tipo],"Jogo",tblCarga[Data],"&lt;"&amp;A464)=0,"-",A464-_xlfn.MAXIFS(tblCarga[Data],tblCarga[Jogador],C464,tblCarga[Tipo],"Jogo",tblCarga[Data],"&lt;"&amp;A464))</f>
        <v/>
      </c>
      <c r="W464" s="272" t="n">
        <v>1</v>
      </c>
      <c r="X464" s="272" t="n">
        <v>1</v>
      </c>
      <c r="Y464" s="272" t="n">
        <v>2</v>
      </c>
      <c r="Z464" s="272" t="n">
        <v>1</v>
      </c>
      <c r="AA464" s="272" t="n">
        <v>5</v>
      </c>
    </row>
    <row r="465">
      <c r="A465" s="270" t="n">
        <v>46138</v>
      </c>
      <c r="B465" s="271" t="inlineStr">
        <is>
          <t>Belenenses</t>
        </is>
      </c>
      <c r="C465" s="271" t="inlineStr">
        <is>
          <t>Sá</t>
        </is>
      </c>
      <c r="D465" s="271" t="inlineStr">
        <is>
          <t>Médio</t>
        </is>
      </c>
      <c r="E465" s="272" t="n">
        <v>67</v>
      </c>
      <c r="F465" s="272" t="n">
        <v>5060</v>
      </c>
      <c r="G465" s="272" t="n">
        <v>102</v>
      </c>
      <c r="H465" s="272" t="n">
        <v>24</v>
      </c>
      <c r="I465" s="272" t="n">
        <v>37</v>
      </c>
      <c r="J465" s="272" t="n">
        <v>42</v>
      </c>
      <c r="K465" s="272" t="n">
        <v>2</v>
      </c>
      <c r="L465" s="273" t="n">
        <v>25</v>
      </c>
      <c r="M465" s="272" t="n">
        <v>10</v>
      </c>
      <c r="N465" s="272" t="n">
        <v>7</v>
      </c>
      <c r="O465" s="272" t="n">
        <v>3</v>
      </c>
      <c r="P465" s="272" t="n">
        <v>1</v>
      </c>
      <c r="Q465" s="271" t="inlineStr">
        <is>
          <t>Treino</t>
        </is>
      </c>
      <c r="R465" s="272" t="n">
        <v>10</v>
      </c>
      <c r="S465" s="271" t="inlineStr">
        <is>
          <t>MD-1</t>
        </is>
      </c>
      <c r="T465" s="272" t="n"/>
      <c r="U465" s="272" t="n"/>
      <c r="V465" s="274">
        <f>IF(_xlfn.MAXIFS(tblCarga[Data],tblCarga[Jogador],C465,tblCarga[Tipo],"Jogo",tblCarga[Data],"&lt;"&amp;A465)=0,"-",A465-_xlfn.MAXIFS(tblCarga[Data],tblCarga[Jogador],C465,tblCarga[Tipo],"Jogo",tblCarga[Data],"&lt;"&amp;A465))</f>
        <v/>
      </c>
      <c r="W465" s="272" t="n">
        <v>1</v>
      </c>
      <c r="X465" s="272" t="n">
        <v>2</v>
      </c>
      <c r="Y465" s="272" t="n">
        <v>2</v>
      </c>
      <c r="Z465" s="272" t="n">
        <v>2</v>
      </c>
      <c r="AA465" s="272" t="n">
        <v>7</v>
      </c>
    </row>
    <row r="466">
      <c r="A466" s="270" t="n">
        <v>46138</v>
      </c>
      <c r="B466" s="271" t="inlineStr">
        <is>
          <t>Belenenses</t>
        </is>
      </c>
      <c r="C466" s="271" t="inlineStr">
        <is>
          <t>Varela</t>
        </is>
      </c>
      <c r="D466" s="271" t="inlineStr">
        <is>
          <t>Lateral</t>
        </is>
      </c>
      <c r="E466" s="272" t="n">
        <v>62</v>
      </c>
      <c r="F466" s="272" t="n">
        <v>5971</v>
      </c>
      <c r="G466" s="272" t="n">
        <v>189</v>
      </c>
      <c r="H466" s="272" t="n">
        <v>34</v>
      </c>
      <c r="I466" s="272" t="n">
        <v>45</v>
      </c>
      <c r="J466" s="272" t="n">
        <v>44</v>
      </c>
      <c r="K466" s="272" t="n">
        <v>3</v>
      </c>
      <c r="L466" s="273" t="n">
        <v>25</v>
      </c>
      <c r="M466" s="272" t="n">
        <v>10</v>
      </c>
      <c r="N466" s="272" t="n">
        <v>8</v>
      </c>
      <c r="O466" s="272" t="n">
        <v>3</v>
      </c>
      <c r="P466" s="272" t="n">
        <v>1</v>
      </c>
      <c r="Q466" s="271" t="inlineStr">
        <is>
          <t>Treino</t>
        </is>
      </c>
      <c r="R466" s="272" t="n">
        <v>10</v>
      </c>
      <c r="S466" s="271" t="inlineStr">
        <is>
          <t>MD-1</t>
        </is>
      </c>
      <c r="T466" s="272" t="n"/>
      <c r="U466" s="272" t="n"/>
      <c r="V466" s="274">
        <f>IF(_xlfn.MAXIFS(tblCarga[Data],tblCarga[Jogador],C466,tblCarga[Tipo],"Jogo",tblCarga[Data],"&lt;"&amp;A466)=0,"-",A466-_xlfn.MAXIFS(tblCarga[Data],tblCarga[Jogador],C466,tblCarga[Tipo],"Jogo",tblCarga[Data],"&lt;"&amp;A466))</f>
        <v/>
      </c>
      <c r="W466" s="272" t="n">
        <v>1</v>
      </c>
      <c r="X466" s="272" t="n">
        <v>1</v>
      </c>
      <c r="Y466" s="272" t="n">
        <v>2</v>
      </c>
      <c r="Z466" s="272" t="n">
        <v>2</v>
      </c>
      <c r="AA466" s="272" t="n">
        <v>6</v>
      </c>
    </row>
    <row r="467">
      <c r="A467" s="270" t="n">
        <v>46138</v>
      </c>
      <c r="B467" s="271" t="inlineStr">
        <is>
          <t>Belenenses</t>
        </is>
      </c>
      <c r="C467" s="271" t="inlineStr">
        <is>
          <t>Edu</t>
        </is>
      </c>
      <c r="D467" s="271" t="inlineStr">
        <is>
          <t>Lateral</t>
        </is>
      </c>
      <c r="E467" s="272" t="n">
        <v>62</v>
      </c>
      <c r="F467" s="272" t="n">
        <v>6707</v>
      </c>
      <c r="G467" s="272" t="n">
        <v>193</v>
      </c>
      <c r="H467" s="272" t="n">
        <v>37</v>
      </c>
      <c r="I467" s="272" t="n">
        <v>38</v>
      </c>
      <c r="J467" s="272" t="n">
        <v>43</v>
      </c>
      <c r="K467" s="272" t="n">
        <v>2</v>
      </c>
      <c r="L467" s="273" t="n">
        <v>25</v>
      </c>
      <c r="M467" s="272" t="n">
        <v>10</v>
      </c>
      <c r="N467" s="272" t="n">
        <v>5</v>
      </c>
      <c r="O467" s="272" t="n">
        <v>2</v>
      </c>
      <c r="P467" s="272" t="n">
        <v>0</v>
      </c>
      <c r="Q467" s="271" t="inlineStr">
        <is>
          <t>Treino</t>
        </is>
      </c>
      <c r="R467" s="272" t="n">
        <v>10</v>
      </c>
      <c r="S467" s="271" t="inlineStr">
        <is>
          <t>MD-1</t>
        </is>
      </c>
      <c r="T467" s="272" t="n"/>
      <c r="U467" s="272" t="n"/>
      <c r="V467" s="274">
        <f>IF(_xlfn.MAXIFS(tblCarga[Data],tblCarga[Jogador],C467,tblCarga[Tipo],"Jogo",tblCarga[Data],"&lt;"&amp;A467)=0,"-",A467-_xlfn.MAXIFS(tblCarga[Data],tblCarga[Jogador],C467,tblCarga[Tipo],"Jogo",tblCarga[Data],"&lt;"&amp;A467))</f>
        <v/>
      </c>
      <c r="W467" s="272" t="n">
        <v>2</v>
      </c>
      <c r="X467" s="272" t="n">
        <v>1</v>
      </c>
      <c r="Y467" s="272" t="n">
        <v>1</v>
      </c>
      <c r="Z467" s="272" t="n">
        <v>1</v>
      </c>
      <c r="AA467" s="272" t="n">
        <v>5</v>
      </c>
    </row>
    <row r="468">
      <c r="A468" s="270" t="n">
        <v>46138</v>
      </c>
      <c r="B468" s="271" t="inlineStr">
        <is>
          <t>Belenenses</t>
        </is>
      </c>
      <c r="C468" s="271" t="inlineStr">
        <is>
          <t>Capitulo</t>
        </is>
      </c>
      <c r="D468" s="271" t="inlineStr">
        <is>
          <t>Lateral</t>
        </is>
      </c>
      <c r="E468" s="272" t="n">
        <v>57</v>
      </c>
      <c r="F468" s="272" t="n">
        <v>6292</v>
      </c>
      <c r="G468" s="272" t="n">
        <v>197</v>
      </c>
      <c r="H468" s="272" t="n">
        <v>36</v>
      </c>
      <c r="I468" s="272" t="n">
        <v>41</v>
      </c>
      <c r="J468" s="272" t="n">
        <v>45</v>
      </c>
      <c r="K468" s="272" t="n">
        <v>2</v>
      </c>
      <c r="L468" s="273" t="n">
        <v>25</v>
      </c>
      <c r="M468" s="272" t="n">
        <v>10</v>
      </c>
      <c r="N468" s="272" t="n">
        <v>5</v>
      </c>
      <c r="O468" s="272" t="n">
        <v>2</v>
      </c>
      <c r="P468" s="272" t="n">
        <v>0</v>
      </c>
      <c r="Q468" s="271" t="inlineStr">
        <is>
          <t>Treino</t>
        </is>
      </c>
      <c r="R468" s="272" t="n">
        <v>10</v>
      </c>
      <c r="S468" s="271" t="inlineStr">
        <is>
          <t>MD-1</t>
        </is>
      </c>
      <c r="T468" s="272" t="n"/>
      <c r="U468" s="272" t="n"/>
      <c r="V468" s="274">
        <f>IF(_xlfn.MAXIFS(tblCarga[Data],tblCarga[Jogador],C468,tblCarga[Tipo],"Jogo",tblCarga[Data],"&lt;"&amp;A468)=0,"-",A468-_xlfn.MAXIFS(tblCarga[Data],tblCarga[Jogador],C468,tblCarga[Tipo],"Jogo",tblCarga[Data],"&lt;"&amp;A468))</f>
        <v/>
      </c>
      <c r="W468" s="272" t="n">
        <v>2</v>
      </c>
      <c r="X468" s="272" t="n">
        <v>1</v>
      </c>
      <c r="Y468" s="272" t="n">
        <v>3</v>
      </c>
      <c r="Z468" s="272" t="n">
        <v>1</v>
      </c>
      <c r="AA468" s="272" t="n">
        <v>7</v>
      </c>
    </row>
    <row r="469">
      <c r="A469" s="270" t="n">
        <v>46138</v>
      </c>
      <c r="B469" s="271" t="inlineStr">
        <is>
          <t>Belenenses</t>
        </is>
      </c>
      <c r="C469" s="271" t="inlineStr">
        <is>
          <t>Enzo Hugo</t>
        </is>
      </c>
      <c r="D469" s="271" t="inlineStr">
        <is>
          <t>Central</t>
        </is>
      </c>
      <c r="E469" s="272" t="n">
        <v>63</v>
      </c>
      <c r="F469" s="272" t="n">
        <v>4923</v>
      </c>
      <c r="G469" s="272" t="n">
        <v>131</v>
      </c>
      <c r="H469" s="272" t="n">
        <v>9</v>
      </c>
      <c r="I469" s="272" t="n">
        <v>45</v>
      </c>
      <c r="J469" s="272" t="n">
        <v>47</v>
      </c>
      <c r="K469" s="272" t="n">
        <v>3</v>
      </c>
      <c r="L469" s="273" t="n">
        <v>25</v>
      </c>
      <c r="M469" s="272" t="n">
        <v>10</v>
      </c>
      <c r="N469" s="272" t="n">
        <v>7</v>
      </c>
      <c r="O469" s="272" t="n">
        <v>3</v>
      </c>
      <c r="P469" s="272" t="n">
        <v>1</v>
      </c>
      <c r="Q469" s="271" t="inlineStr">
        <is>
          <t>Treino</t>
        </is>
      </c>
      <c r="R469" s="272" t="n">
        <v>10</v>
      </c>
      <c r="S469" s="271" t="inlineStr">
        <is>
          <t>MD-1</t>
        </is>
      </c>
      <c r="T469" s="272" t="n"/>
      <c r="U469" s="272" t="n"/>
      <c r="V469" s="274">
        <f>IF(_xlfn.MAXIFS(tblCarga[Data],tblCarga[Jogador],C469,tblCarga[Tipo],"Jogo",tblCarga[Data],"&lt;"&amp;A469)=0,"-",A469-_xlfn.MAXIFS(tblCarga[Data],tblCarga[Jogador],C469,tblCarga[Tipo],"Jogo",tblCarga[Data],"&lt;"&amp;A469))</f>
        <v/>
      </c>
      <c r="W469" s="272" t="n">
        <v>1</v>
      </c>
      <c r="X469" s="272" t="n">
        <v>1</v>
      </c>
      <c r="Y469" s="272" t="n">
        <v>1</v>
      </c>
      <c r="Z469" s="272" t="n">
        <v>1</v>
      </c>
      <c r="AA469" s="272" t="n">
        <v>4</v>
      </c>
    </row>
    <row r="470">
      <c r="A470" s="270" t="n">
        <v>46138</v>
      </c>
      <c r="B470" s="271" t="inlineStr">
        <is>
          <t>Belenenses</t>
        </is>
      </c>
      <c r="C470" s="271" t="inlineStr">
        <is>
          <t>Nogueira</t>
        </is>
      </c>
      <c r="D470" s="271" t="inlineStr">
        <is>
          <t>Central</t>
        </is>
      </c>
      <c r="E470" s="272" t="n">
        <v>57</v>
      </c>
      <c r="F470" s="272" t="n">
        <v>5646</v>
      </c>
      <c r="G470" s="272" t="n">
        <v>136</v>
      </c>
      <c r="H470" s="272" t="n">
        <v>9</v>
      </c>
      <c r="I470" s="272" t="n">
        <v>32</v>
      </c>
      <c r="J470" s="272" t="n">
        <v>45</v>
      </c>
      <c r="K470" s="272" t="n">
        <v>2</v>
      </c>
      <c r="L470" s="273" t="n">
        <v>25</v>
      </c>
      <c r="M470" s="272" t="n">
        <v>10</v>
      </c>
      <c r="N470" s="272" t="n">
        <v>5</v>
      </c>
      <c r="O470" s="272" t="n">
        <v>2</v>
      </c>
      <c r="P470" s="272" t="n">
        <v>0</v>
      </c>
      <c r="Q470" s="271" t="inlineStr">
        <is>
          <t>Treino</t>
        </is>
      </c>
      <c r="R470" s="272" t="n">
        <v>10</v>
      </c>
      <c r="S470" s="271" t="inlineStr">
        <is>
          <t>MD-1</t>
        </is>
      </c>
      <c r="T470" s="272" t="n"/>
      <c r="U470" s="272" t="n"/>
      <c r="V470" s="274">
        <f>IF(_xlfn.MAXIFS(tblCarga[Data],tblCarga[Jogador],C470,tblCarga[Tipo],"Jogo",tblCarga[Data],"&lt;"&amp;A470)=0,"-",A470-_xlfn.MAXIFS(tblCarga[Data],tblCarga[Jogador],C470,tblCarga[Tipo],"Jogo",tblCarga[Data],"&lt;"&amp;A470))</f>
        <v/>
      </c>
      <c r="W470" s="272" t="n">
        <v>1</v>
      </c>
      <c r="X470" s="272" t="n">
        <v>1</v>
      </c>
      <c r="Y470" s="272" t="n">
        <v>2</v>
      </c>
      <c r="Z470" s="272" t="n">
        <v>1</v>
      </c>
      <c r="AA470" s="272" t="n">
        <v>5</v>
      </c>
    </row>
  </sheetData>
  <dataValidations count="11">
    <dataValidation sqref="S3:S1008 V3:V470" showDropDown="0" showInputMessage="1" showErrorMessage="1" allowBlank="1" errorTitle="Dia MD inválido" error="Usa o formato MD-X (ex: MD-3, MD-1, MD, MD+1)." type="list" errorStyle="warning">
      <formula1>"MD-5,MD-4,MD-3,MD-2,MD-1,MD,MD+1,MD+2"</formula1>
    </dataValidation>
    <dataValidation sqref="T3:T470" showDropDown="0" showInputMessage="1" showErrorMessage="1" allowBlank="1" errorTitle="Valor inválido" error="Fadiga deve ser entre 1 e 5" type="whole">
      <formula1>0</formula1>
      <formula2>5</formula2>
    </dataValidation>
    <dataValidation sqref="U3:U470" showDropDown="0" showInputMessage="1" showErrorMessage="1" allowBlank="1" errorTitle="Valor inválido" error="Min Jogo deve ser entre 0 e 120" type="whole">
      <formula1>0</formula1>
      <formula2>120</formula2>
    </dataValidation>
    <dataValidation sqref="Q3:Q1008" showDropDown="0" showInputMessage="1" showErrorMessage="1" allowBlank="1" errorTitle="Tipo inválido" error="Apenas 'Treino' ou 'Jogo' são permitidos." type="list">
      <formula1>"Treino,Jogo"</formula1>
    </dataValidation>
    <dataValidation sqref="K3:K1008" showDropDown="0" showInputMessage="1" showErrorMessage="1" allowBlank="1" errorTitle="PSE fora do intervalo" error="O PSE deve ser um número inteiro entre 1 e 10." type="whole">
      <formula1>1</formula1>
      <formula2>10</formula2>
    </dataValidation>
    <dataValidation sqref="E3:E1008" showDropDown="0" showInputMessage="1" showErrorMessage="1" allowBlank="1" errorTitle="Duração inválida" error="A duração deve ser entre 1 e 180 minutos." type="whole">
      <formula1>1</formula1>
      <formula2>180</formula2>
    </dataValidation>
    <dataValidation sqref="F3:F1008" showDropDown="0" showInputMessage="1" showErrorMessage="1" allowBlank="1" errorTitle="Distância inválida" error="A distância deve ser entre 0 e 20.000 metros." type="decimal">
      <formula1>0</formula1>
      <formula2>20000</formula2>
    </dataValidation>
    <dataValidation sqref="L3:L1008" showDropDown="0" showInputMessage="1" showErrorMessage="1" allowBlank="1" errorTitle="Velocidade inválida" error="A velocidade máxima deve ser entre 0 e 45 km/h." type="decimal">
      <formula1>0</formula1>
      <formula2>45</formula2>
    </dataValidation>
    <dataValidation sqref="G3:H1008" showDropDown="0" showInputMessage="1" showErrorMessage="1" allowBlank="1" errorTitle="Valor inválido" error="HSR/Sprint deve ser entre 0 e 5.000 metros." type="decimal">
      <formula1>0</formula1>
      <formula2>5000</formula2>
    </dataValidation>
    <dataValidation sqref="I3:J1008" showDropDown="0" showInputMessage="1" showErrorMessage="1" allowBlank="1" errorTitle="Valor inválido" error="Acelerações/Desacelerações devem ser entre 0 e 500." type="whole">
      <formula1>0</formula1>
      <formula2>500</formula2>
    </dataValidation>
    <dataValidation sqref="N3:P1008" showDropDown="0" showInputMessage="1" showErrorMessage="1" allowBlank="1" errorTitle="Valor inválido" error="O número de sprints ≥ Vmáx deve ser entre 0 e 100." type="whole">
      <formula1>0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2C41A"/>
    <outlinePr summaryBelow="1" summaryRight="1"/>
    <pageSetUpPr/>
  </sheetPr>
  <dimension ref="A1:T49"/>
  <sheetViews>
    <sheetView zoomScale="82" workbookViewId="0">
      <pane ySplit="7" topLeftCell="A8" activePane="bottomLeft" state="frozen"/>
      <selection pane="bottomLeft" activeCell="G1" sqref="G1"/>
    </sheetView>
  </sheetViews>
  <sheetFormatPr baseColWidth="8" defaultRowHeight="15"/>
  <cols>
    <col width="5.7109375" customWidth="1" min="1" max="1"/>
    <col width="18.140625" customWidth="1" min="2" max="2"/>
    <col width="9.5703125" customWidth="1" min="3" max="3"/>
    <col width="10.42578125" customWidth="1" min="4" max="4"/>
    <col width="32.42578125" customWidth="1" min="5" max="5"/>
    <col width="9.140625" customWidth="1" min="6" max="6"/>
    <col width="11.42578125" customWidth="1" min="7" max="7"/>
    <col width="10.42578125" customWidth="1" min="8" max="9"/>
    <col width="12.42578125" customWidth="1" min="10" max="11"/>
    <col width="10.42578125" customWidth="1" min="12" max="12"/>
    <col width="43.85546875" customWidth="1" min="13" max="13"/>
    <col width="14.28515625" customWidth="1" min="14" max="14"/>
    <col width="10.42578125" customWidth="1" min="15" max="15"/>
    <col outlineLevel="1" width="9.140625" customWidth="1" min="16" max="20"/>
  </cols>
  <sheetData>
    <row r="1" ht="50.1" customHeight="1">
      <c r="A1" s="117" t="inlineStr">
        <is>
          <t>🏆  PAINEL CENTRAL  |  Belenenses</t>
        </is>
      </c>
      <c r="B1" s="117" t="n"/>
      <c r="C1" s="117" t="n"/>
      <c r="D1" s="117" t="n"/>
      <c r="E1" s="117" t="n"/>
      <c r="F1" s="117" t="n"/>
      <c r="G1" s="178" t="inlineStr">
        <is>
          <t>MC:</t>
        </is>
      </c>
      <c r="H1" s="179" t="n">
        <v>10</v>
      </c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117" t="n"/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42" customHeight="1">
      <c r="A3" s="180" t="inlineStr">
        <is>
          <t>🔴</t>
        </is>
      </c>
      <c r="B3" s="181">
        <f>COUNTIF($C$8:$C$32,"🔴")</f>
        <v/>
      </c>
      <c r="C3" s="182" t="inlineStr">
        <is>
          <t>Risco</t>
        </is>
      </c>
      <c r="D3" s="183" t="inlineStr">
        <is>
          <t>🟡</t>
        </is>
      </c>
      <c r="E3" s="184">
        <f>COUNTIF($C$8:$C$32,"🟡")</f>
        <v/>
      </c>
      <c r="F3" s="185" t="inlineStr">
        <is>
          <t>Atenção</t>
        </is>
      </c>
      <c r="G3" s="186" t="inlineStr">
        <is>
          <t>🟢</t>
        </is>
      </c>
      <c r="H3" s="187">
        <f>COUNTIF($C$8:$C$32,"🟢")</f>
        <v/>
      </c>
      <c r="I3" s="188" t="inlineStr">
        <is>
          <t>OK</t>
        </is>
      </c>
      <c r="J3" s="189" t="inlineStr">
        <is>
          <t>Equipa:</t>
        </is>
      </c>
      <c r="K3" s="120">
        <f>COUNTIF($C$8:$C$32,"🔴")&amp;"🔴  "&amp;COUNTIF($C$8:$C$32,"🟡")&amp;"🟡  "&amp;COUNTIF($C$8:$C$32,"🟢")&amp;"🟢"</f>
        <v/>
      </c>
    </row>
    <row r="4" ht="3.9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</row>
    <row r="5" ht="21.95" customHeight="1">
      <c r="A5" s="190" t="inlineStr">
        <is>
          <t>▬▬▬  ESTADO POR JOGADOR  ▬▬▬▬▬▬▬▬▬▬▬▬▬▬▬▬▬▬▬▬▬▬▬▬▬▬▬▬▬▬▬▬▬▬▬▬▬▬▬▬▬▬▬▬▬▬▬▬▬▬▬▬▬▬▬▬▬▬▬▬</t>
        </is>
      </c>
      <c r="B5" s="632" t="n"/>
      <c r="C5" s="632" t="n"/>
      <c r="D5" s="632" t="n"/>
      <c r="E5" s="632" t="n"/>
      <c r="F5" s="632" t="n"/>
      <c r="G5" s="632" t="n"/>
      <c r="H5" s="632" t="n"/>
      <c r="I5" s="632" t="n"/>
      <c r="J5" s="632" t="n"/>
      <c r="K5" s="632" t="n"/>
      <c r="L5" s="632" t="n"/>
      <c r="M5" s="632" t="n"/>
      <c r="N5" s="632" t="n"/>
      <c r="O5" s="632" t="n"/>
      <c r="P5" s="632" t="n"/>
      <c r="Q5" s="632" t="n"/>
      <c r="R5" s="632" t="n"/>
      <c r="S5" s="632" t="n"/>
      <c r="T5" s="632" t="n"/>
    </row>
    <row r="6" ht="3.95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 ht="39.95" customHeight="1" thickBot="1">
      <c r="A7" s="195" t="inlineStr">
        <is>
          <t>#</t>
        </is>
      </c>
      <c r="B7" s="195" t="inlineStr">
        <is>
          <t>Jogador</t>
        </is>
      </c>
      <c r="C7" s="195" t="inlineStr">
        <is>
          <t>Estado</t>
        </is>
      </c>
      <c r="D7" s="195" t="inlineStr">
        <is>
          <t>Risco
(1-10)</t>
        </is>
      </c>
      <c r="E7" s="195" t="inlineStr">
        <is>
          <t>Motivo Principal</t>
        </is>
      </c>
      <c r="F7" s="195" t="inlineStr">
        <is>
          <t>Δ Carga</t>
        </is>
      </c>
      <c r="G7" s="195" t="inlineStr">
        <is>
          <t>ACWR
(EWMA)</t>
        </is>
      </c>
      <c r="H7" s="195" t="inlineStr">
        <is>
          <t>Monot.</t>
        </is>
      </c>
      <c r="I7" s="195" t="inlineStr">
        <is>
          <t>Dias s/
≥90%</t>
        </is>
      </c>
      <c r="J7" s="195" t="inlineStr">
        <is>
          <t>CI Sem.
(MC atual)</t>
        </is>
      </c>
      <c r="K7" s="195" t="inlineStr">
        <is>
          <t>Min. Jogo
(último MC)</t>
        </is>
      </c>
      <c r="L7" s="195" t="inlineStr">
        <is>
          <t>Jogos
Consec.</t>
        </is>
      </c>
      <c r="M7" s="195" t="inlineStr">
        <is>
          <t>Ação Recomendada</t>
        </is>
      </c>
      <c r="N7" s="195" t="inlineStr">
        <is>
          <t>Tendência
CI (4MC)</t>
        </is>
      </c>
      <c r="O7" s="195" t="inlineStr">
        <is>
          <t>Hooper
(último)</t>
        </is>
      </c>
      <c r="P7" s="195" t="inlineStr">
        <is>
          <t>MC-3</t>
        </is>
      </c>
      <c r="Q7" s="195" t="inlineStr">
        <is>
          <t>MC-2</t>
        </is>
      </c>
      <c r="R7" s="195" t="inlineStr">
        <is>
          <t>MC-1</t>
        </is>
      </c>
      <c r="S7" s="195" t="inlineStr">
        <is>
          <t>MC atual</t>
        </is>
      </c>
      <c r="T7" s="195" t="inlineStr">
        <is>
          <t>Congestão
(dias)</t>
        </is>
      </c>
    </row>
    <row r="8" ht="32.1" customHeight="1">
      <c r="A8" s="196">
        <f>IF(B8="","",ROW()-7)</f>
        <v/>
      </c>
      <c r="B8" s="197">
        <f t="array" ref="B8">IFERROR(IF(INDEX(_xlfn._xlws.SORT(_xlfn.UNIQUE(tblCarga[Jogador])),ROW()-7)=0,"",INDEX(_xlfn._xlws.SORT(_xlfn.UNIQUE(tblCarga[Jogador])),ROW()-7)),"")</f>
        <v/>
      </c>
      <c r="C8" s="198">
        <f>IF(B8="","",IF(D8&gt;=7,"🔴",IF(D8&gt;=4,"🟡","🟢")))</f>
        <v/>
      </c>
      <c r="D8" s="199">
        <f>IF(B8="","",_xlfn.LET(_xlpm.acwr,G8,_xlpm.monot,H8,_xlpm.dias,I8,_xlpm.tend,F8,_xlpm.cong,T8,_xlpm.hooper,O8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8" s="200">
        <f>IF(B8="","",IF(D8&lt;4,"✅ Sem alertas",_xlfn.LET(_xlpm.acwr,G8,_xlpm.monot,H8,_xlpm.dias,I8,_xlpm.reasons,IF(AND(_xlpm.acwr&lt;&gt;"—",OR(_xlpm.acwr&gt;1.3,_xlpm.acwr&lt;0.8)),"ACWR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8" s="201">
        <f t="array" ref="F8">IF(B8="","",IFERROR(_xlfn.LET(_xlpm.cur,J8,_xlpm.prev,SUMPRODUCT((tblCarga[Jogador]=B8)*(tblCarga[Microciclo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8" s="202">
        <f>IF(B8="","",IFERROR(J8/(P8*0.4+Q8*0.3+R8*0.2+J8*0.1),"—"))</f>
        <v/>
      </c>
      <c r="H8" s="203">
        <f>IF(B8="","",IFERROR(INDEX(Monot_Strain!F$9:F$38,MATCH(B8,Monot_Strain!A$9:A$38,0)),0))</f>
        <v/>
      </c>
      <c r="I8" s="204">
        <f t="array" ref="I8">IF(B8="","",IFERROR(TODAY()-MAX(_xlfn._xlws.FILTER(tblCarga[Data],(tblCarga[Jogador]=B8)*(tblCarga[Nº ≥90% Vmáx]&gt;0))),999))</f>
        <v/>
      </c>
      <c r="J8" s="205">
        <f t="array" ref="J8">IF(B8="","",SUMPRODUCT((tblCarga[Jogador]=B8)*(tblCarga[Microciclo (Nr)]=$H$1)*(tblCarga[Tipo]="Treino")*tblCarga[PSE Sessão]*tblCarga[Duração (min)]))</f>
        <v/>
      </c>
      <c r="K8" s="204">
        <f t="array" ref="K8">IF(B8="","",IFERROR(SUMPRODUCT((tblCarga[Jogador]=B8)*(tblCarga[Microciclo (Nr)]=$H$1)*(tblCarga[Tipo]="Jogo")*tblCarga[Duração (min)]),0))</f>
        <v/>
      </c>
      <c r="L8" s="204">
        <f t="array" ref="L8">IF(B8="","",IFERROR(_xlfn.LET(_xlpm.mcs,_xlfn._xlws.SORT(_xlfn.UNIQUE(_xlfn._xlws.FILTER(tblCarga[Microciclo (Nr)],(tblCarga[Jogador]=B8)*(tblCarga[Tipo]="Jogo"))),,,-1),_xlpm.curMC,$H$1,_xlpm.streak,0,IF(ROWS(_xlpm.mcs)=0,0,SUMPRODUCT(--(_xlpm.mcs&gt;=_xlpm.curMC-ROWS(_xlpm.mcs)+1),--(_xlpm.mcs&lt;=_xlpm.curMC)))),0))</f>
        <v/>
      </c>
      <c r="M8" s="200">
        <f>IF(B8="","",IF(D8&gt;=7,"⚠️ Reduzir carga. Consultar staff médico.",IF(D8&gt;=4,"🔍 Monitorizar. Ajustar volume se necessário.","✅ Manter plano de treino.")))</f>
        <v/>
      </c>
      <c r="N8" s="206">
        <f>IF(B8="","",IF(S8&gt;R8,"▲ "&amp;ROUND(J8,0),IF(S8&lt;R8,"▼ "&amp;ROUND(J8,0),"→ "&amp;ROUND(J8,0))))</f>
        <v/>
      </c>
      <c r="O8" s="204">
        <f t="array" ref="O8">IF(B8="","",IFERROR(INDEX(tblCarga[Hooper Index],MATCH(1,(tblCarga[Jogador]=B8)*(tblCarga[Data]=_xlfn.MAXIFS(tblCarga[Data],tblCarga[Jogador],B8,tblCarga[Hooper Index],"&gt;0")),0)),"—"))</f>
        <v/>
      </c>
      <c r="P8" s="247">
        <f t="array" ref="P8">IF(B8="","",SUMPRODUCT((tblCarga[Jogador]=B8)*(tblCarga[Microciclo (Nr)]=($H$1-3))*(tblCarga[Tipo]="Treino")*tblCarga[PSE Sessão]*tblCarga[Duração (min)]))</f>
        <v/>
      </c>
      <c r="Q8" s="247">
        <f t="array" ref="Q8">IF(B8="","",SUMPRODUCT((tblCarga[Jogador]=B8)*(tblCarga[Microciclo (Nr)]=($H$1-2))*(tblCarga[Tipo]="Treino")*tblCarga[PSE Sessão]*tblCarga[Duração (min)]))</f>
        <v/>
      </c>
      <c r="R8" s="247">
        <f t="array" ref="R8">IF(B8="","",SUMPRODUCT((tblCarga[Jogador]=B8)*(tblCarga[Microciclo (Nr)]=($H$1-1))*(tblCarga[Tipo]="Treino")*tblCarga[PSE Sessão]*tblCarga[Duração (min)]))</f>
        <v/>
      </c>
      <c r="S8" s="247">
        <f>J8</f>
        <v/>
      </c>
      <c r="T8" s="207">
        <f>IF(B8="","",IFERROR(TODAY()-_xlfn.MAXIFS(tblCarga[Data],tblCarga[Jogador],B8,tblCarga[Tipo],"Jogo"),"—"))</f>
        <v/>
      </c>
    </row>
    <row r="9" ht="32.1" customHeight="1">
      <c r="A9" s="209">
        <f>IF(B9="","",ROW()-7)</f>
        <v/>
      </c>
      <c r="B9" s="210">
        <f t="array" ref="B9">IFERROR(IF(INDEX(_xlfn._xlws.SORT(_xlfn.UNIQUE(tblCarga[Jogador])),ROW()-7)=0,"",INDEX(_xlfn._xlws.SORT(_xlfn.UNIQUE(tblCarga[Jogador])),ROW()-7)),"")</f>
        <v/>
      </c>
      <c r="C9" s="211">
        <f>IF(B9="","",IF(D9&gt;=7,"🔴",IF(D9&gt;=4,"🟡","🟢")))</f>
        <v/>
      </c>
      <c r="D9" s="212">
        <f>IF(B9="","",_xlfn.LET(_xlpm.acwr,G9,_xlpm.monot,H9,_xlpm.dias,I9,_xlpm.tend,F9,_xlpm.cong,T9,_xlpm.hooper,O9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9" s="213">
        <f>IF(B9="","",IF(D9&lt;4,"✅ Sem alertas",_xlfn.LET(_xlpm.acwr,G9,_xlpm.monot,H9,_xlpm.dias,I9,_xlpm.reasons,IF(AND(_xlpm.acwr&lt;&gt;"—",OR(_xlpm.acwr&gt;1.3,_xlpm.acwr&lt;0.8)),"ACWR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9" s="214">
        <f t="array" ref="F9">IF(B9="","",IFERROR(_xlfn.LET(_xlpm.cur,J9,_xlpm.prev,SUMPRODUCT((tblCarga[Jogador]=B9)*(tblCarga[Microciclo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9" s="215">
        <f>IF(B9="","",IFERROR(J9/(P9*0.4+Q9*0.3+R9*0.2+J9*0.1),"—"))</f>
        <v/>
      </c>
      <c r="H9" s="216">
        <f>IF(B9="","",IFERROR(INDEX(Monot_Strain!F$9:F$38,MATCH(B9,Monot_Strain!A$9:A$38,0)),0))</f>
        <v/>
      </c>
      <c r="I9" s="217">
        <f t="array" ref="I9">IF(B9="","",IFERROR(TODAY()-MAX(_xlfn._xlws.FILTER(tblCarga[Data],(tblCarga[Jogador]=B9)*(tblCarga[Nº ≥90% Vmáx]&gt;0))),999))</f>
        <v/>
      </c>
      <c r="J9" s="218">
        <f t="array" ref="J9">IF(B9="","",SUMPRODUCT((tblCarga[Jogador]=B9)*(tblCarga[Microciclo (Nr)]=$H$1)*(tblCarga[Tipo]="Treino")*tblCarga[PSE Sessão]*tblCarga[Duração (min)]))</f>
        <v/>
      </c>
      <c r="K9" s="217">
        <f t="array" ref="K9">IF(B9="","",IFERROR(SUMPRODUCT((tblCarga[Jogador]=B9)*(tblCarga[Microciclo (Nr)]=$H$1)*(tblCarga[Tipo]="Jogo")*tblCarga[Duração (min)]),0))</f>
        <v/>
      </c>
      <c r="L9" s="217">
        <f t="array" ref="L9">IF(B9="","",IFERROR(_xlfn.LET(_xlpm.mcs,_xlfn._xlws.SORT(_xlfn.UNIQUE(_xlfn._xlws.FILTER(tblCarga[Microciclo (Nr)],(tblCarga[Jogador]=B9)*(tblCarga[Tipo]="Jogo"))),,,-1),_xlpm.curMC,$H$1,_xlpm.streak,0,IF(ROWS(_xlpm.mcs)=0,0,SUMPRODUCT(--(_xlpm.mcs&gt;=_xlpm.curMC-ROWS(_xlpm.mcs)+1),--(_xlpm.mcs&lt;=_xlpm.curMC)))),0))</f>
        <v/>
      </c>
      <c r="M9" s="213">
        <f>IF(B9="","",IF(D9&gt;=7,"⚠️ Reduzir carga. Consultar staff médico.",IF(D9&gt;=4,"🔍 Monitorizar. Ajustar volume se necessário.","✅ Manter plano de treino.")))</f>
        <v/>
      </c>
      <c r="N9" s="219">
        <f>IF(B9="","",IF(S9&gt;R9,"▲ "&amp;ROUND(J9,0),IF(S9&lt;R9,"▼ "&amp;ROUND(J9,0),"→ "&amp;ROUND(J9,0))))</f>
        <v/>
      </c>
      <c r="O9" s="217">
        <f t="array" ref="O9">IF(B9="","",IFERROR(INDEX(tblCarga[Hooper Index],MATCH(1,(tblCarga[Jogador]=B9)*(tblCarga[Data]=_xlfn.MAXIFS(tblCarga[Data],tblCarga[Jogador],B9,tblCarga[Hooper Index],"&gt;0")),0)),"—"))</f>
        <v/>
      </c>
      <c r="P9" s="248">
        <f t="array" ref="P9">IF(B9="","",SUMPRODUCT((tblCarga[Jogador]=B9)*(tblCarga[Microciclo (Nr)]=($H$1-3))*(tblCarga[Tipo]="Treino")*tblCarga[PSE Sessão]*tblCarga[Duração (min)]))</f>
        <v/>
      </c>
      <c r="Q9" s="248">
        <f t="array" ref="Q9">IF(B9="","",SUMPRODUCT((tblCarga[Jogador]=B9)*(tblCarga[Microciclo (Nr)]=($H$1-2))*(tblCarga[Tipo]="Treino")*tblCarga[PSE Sessão]*tblCarga[Duração (min)]))</f>
        <v/>
      </c>
      <c r="R9" s="248">
        <f t="array" ref="R9">IF(B9="","",SUMPRODUCT((tblCarga[Jogador]=B9)*(tblCarga[Microciclo (Nr)]=($H$1-1))*(tblCarga[Tipo]="Treino")*tblCarga[PSE Sessão]*tblCarga[Duração (min)]))</f>
        <v/>
      </c>
      <c r="S9" s="248">
        <f>J9</f>
        <v/>
      </c>
      <c r="T9" s="220">
        <f>IF(B9="","",IFERROR(TODAY()-_xlfn.MAXIFS(tblCarga[Data],tblCarga[Jogador],B9,tblCarga[Tipo],"Jogo"),"—"))</f>
        <v/>
      </c>
    </row>
    <row r="10" ht="32.1" customHeight="1">
      <c r="A10" s="234">
        <f>IF(B10="","",ROW()-7)</f>
        <v/>
      </c>
      <c r="B10" s="235">
        <f t="array" ref="B10">IFERROR(IF(INDEX(_xlfn._xlws.SORT(_xlfn.UNIQUE(tblCarga[Jogador])),ROW()-7)=0,"",INDEX(_xlfn._xlws.SORT(_xlfn.UNIQUE(tblCarga[Jogador])),ROW()-7)),"")</f>
        <v/>
      </c>
      <c r="C10" s="236">
        <f>IF(B10="","",IF(D10&gt;=7,"🔴",IF(D10&gt;=4,"🟡","🟢")))</f>
        <v/>
      </c>
      <c r="D10" s="237">
        <f>IF(B10="","",_xlfn.LET(_xlpm.acwr,G10,_xlpm.monot,H10,_xlpm.dias,I10,_xlpm.tend,F10,_xlpm.cong,T10,_xlpm.hooper,O10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0" s="238">
        <f>IF(B10="","",IF(D10&lt;4,"✅ Sem alertas",_xlfn.LET(_xlpm.acwr,G10,_xlpm.monot,H10,_xlpm.dias,I10,_xlpm.reasons,IF(AND(_xlpm.acwr&lt;&gt;"—",OR(_xlpm.acwr&gt;1.3,_xlpm.acwr&lt;0.8)),"ACWR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0" s="239">
        <f t="array" ref="F10">IF(B10="","",IFERROR(_xlfn.LET(_xlpm.cur,J10,_xlpm.prev,SUMPRODUCT((tblCarga[Jogador]=B10)*(tblCarga[Microciclo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0" s="240">
        <f>IF(B10="","",IFERROR(J10/(P10*0.4+Q10*0.3+R10*0.2+J10*0.1),"—"))</f>
        <v/>
      </c>
      <c r="H10" s="241">
        <f>IF(B10="","",IFERROR(INDEX(Monot_Strain!F$9:F$38,MATCH(B10,Monot_Strain!A$9:A$38,0)),0))</f>
        <v/>
      </c>
      <c r="I10" s="242">
        <f t="array" ref="I10">IF(B10="","",IFERROR(TODAY()-MAX(_xlfn._xlws.FILTER(tblCarga[Data],(tblCarga[Jogador]=B10)*(tblCarga[Nº ≥90% Vmáx]&gt;0))),999))</f>
        <v/>
      </c>
      <c r="J10" s="243">
        <f t="array" ref="J10">IF(B10="","",SUMPRODUCT((tblCarga[Jogador]=B10)*(tblCarga[Microciclo (Nr)]=$H$1)*(tblCarga[Tipo]="Treino")*tblCarga[PSE Sessão]*tblCarga[Duração (min)]))</f>
        <v/>
      </c>
      <c r="K10" s="242">
        <f t="array" ref="K10">IF(B10="","",IFERROR(SUMPRODUCT((tblCarga[Jogador]=B10)*(tblCarga[Microciclo (Nr)]=$H$1)*(tblCarga[Tipo]="Jogo")*tblCarga[Duração (min)]),0))</f>
        <v/>
      </c>
      <c r="L10" s="242">
        <f t="array" ref="L10">IF(B10="","",IFERROR(_xlfn.LET(_xlpm.mcs,_xlfn._xlws.SORT(_xlfn.UNIQUE(_xlfn._xlws.FILTER(tblCarga[Microciclo (Nr)],(tblCarga[Jogador]=B10)*(tblCarga[Tipo]="Jogo"))),,,-1),_xlpm.curMC,$H$1,_xlpm.streak,0,IF(ROWS(_xlpm.mcs)=0,0,SUMPRODUCT(--(_xlpm.mcs&gt;=_xlpm.curMC-ROWS(_xlpm.mcs)+1),--(_xlpm.mcs&lt;=_xlpm.curMC)))),0))</f>
        <v/>
      </c>
      <c r="M10" s="238">
        <f>IF(B10="","",IF(D10&gt;=7,"⚠️ Reduzir carga. Consultar staff médico.",IF(D10&gt;=4,"🔍 Monitorizar. Ajustar volume se necessário.","✅ Manter plano de treino.")))</f>
        <v/>
      </c>
      <c r="N10" s="244">
        <f>IF(B10="","",IF(S10&gt;R10,"▲ "&amp;ROUND(J10,0),IF(S10&lt;R10,"▼ "&amp;ROUND(J10,0),"→ "&amp;ROUND(J10,0))))</f>
        <v/>
      </c>
      <c r="O10" s="242">
        <f t="array" ref="O10">IF(B10="","",IFERROR(INDEX(tblCarga[Hooper Index],MATCH(1,(tblCarga[Jogador]=B10)*(tblCarga[Data]=_xlfn.MAXIFS(tblCarga[Data],tblCarga[Jogador],B10,tblCarga[Hooper Index],"&gt;0")),0)),"—"))</f>
        <v/>
      </c>
      <c r="P10" s="249">
        <f t="array" ref="P10">IF(B10="","",SUMPRODUCT((tblCarga[Jogador]=B10)*(tblCarga[Microciclo (Nr)]=($H$1-3))*(tblCarga[Tipo]="Treino")*tblCarga[PSE Sessão]*tblCarga[Duração (min)]))</f>
        <v/>
      </c>
      <c r="Q10" s="249">
        <f t="array" ref="Q10">IF(B10="","",SUMPRODUCT((tblCarga[Jogador]=B10)*(tblCarga[Microciclo (Nr)]=($H$1-2))*(tblCarga[Tipo]="Treino")*tblCarga[PSE Sessão]*tblCarga[Duração (min)]))</f>
        <v/>
      </c>
      <c r="R10" s="249">
        <f t="array" ref="R10">IF(B10="","",SUMPRODUCT((tblCarga[Jogador]=B10)*(tblCarga[Microciclo (Nr)]=($H$1-1))*(tblCarga[Tipo]="Treino")*tblCarga[PSE Sessão]*tblCarga[Duração (min)]))</f>
        <v/>
      </c>
      <c r="S10" s="249">
        <f>J10</f>
        <v/>
      </c>
      <c r="T10" s="245">
        <f>IF(B10="","",IFERROR(TODAY()-_xlfn.MAXIFS(tblCarga[Data],tblCarga[Jogador],B10,tblCarga[Tipo],"Jogo"),"—"))</f>
        <v/>
      </c>
    </row>
    <row r="11" ht="32.1" customHeight="1">
      <c r="A11" s="209">
        <f>IF(B11="","",ROW()-7)</f>
        <v/>
      </c>
      <c r="B11" s="210">
        <f t="array" ref="B11">IFERROR(IF(INDEX(_xlfn._xlws.SORT(_xlfn.UNIQUE(tblCarga[Jogador])),ROW()-7)=0,"",INDEX(_xlfn._xlws.SORT(_xlfn.UNIQUE(tblCarga[Jogador])),ROW()-7)),"")</f>
        <v/>
      </c>
      <c r="C11" s="211">
        <f>IF(B11="","",IF(D11&gt;=7,"🔴",IF(D11&gt;=4,"🟡","🟢")))</f>
        <v/>
      </c>
      <c r="D11" s="212">
        <f>IF(B11="","",_xlfn.LET(_xlpm.acwr,G11,_xlpm.monot,H11,_xlpm.dias,I11,_xlpm.tend,F11,_xlpm.cong,T11,_xlpm.hooper,O11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1" s="213">
        <f>IF(B11="","",IF(D11&lt;4,"✅ Sem alertas",_xlfn.LET(_xlpm.acwr,G11,_xlpm.monot,H11,_xlpm.dias,I11,_xlpm.reasons,IF(AND(_xlpm.acwr&lt;&gt;"—",OR(_xlpm.acwr&gt;1.3,_xlpm.acwr&lt;0.8)),"ACWR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1" s="214">
        <f t="array" ref="F11">IF(B11="","",IFERROR(_xlfn.LET(_xlpm.cur,J11,_xlpm.prev,SUMPRODUCT((tblCarga[Jogador]=B11)*(tblCarga[Microciclo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1" s="246">
        <f>IF(B11="","",IFERROR(J11/AVERAGE(P11,Q11,R11),"—"))</f>
        <v/>
      </c>
      <c r="H11" s="216">
        <f>IF(B11="","",IFERROR(INDEX(Monot_Strain!F$9:F$38,MATCH(B11,Monot_Strain!A$9:A$38,0)),0))</f>
        <v/>
      </c>
      <c r="I11" s="217">
        <f t="array" ref="I11">IF(B11="","",IFERROR(TODAY()-MAX(_xlfn._xlws.FILTER(tblCarga[Data],(tblCarga[Jogador]=B11)*(tblCarga[Nº ≥90% Vmáx]&gt;0))),999))</f>
        <v/>
      </c>
      <c r="J11" s="218">
        <f t="array" ref="J11">IF(B11="","",SUMPRODUCT((tblCarga[Jogador]=B11)*(tblCarga[Microciclo (Nr)]=$H$1)*(tblCarga[Tipo]="Treino")*tblCarga[PSE Sessão]*tblCarga[Duração (min)]))</f>
        <v/>
      </c>
      <c r="K11" s="217">
        <f t="array" ref="K11">IF(B11="","",IFERROR(SUMPRODUCT((tblCarga[Jogador]=B11)*(tblCarga[Microciclo (Nr)]=$H$1)*(tblCarga[Tipo]="Jogo")*tblCarga[Duração (min)]),0))</f>
        <v/>
      </c>
      <c r="L11" s="217">
        <f t="array" ref="L11">IF(B11="","",IFERROR(_xlfn.LET(_xlpm.mcs,_xlfn._xlws.SORT(_xlfn.UNIQUE(_xlfn._xlws.FILTER(tblCarga[Microciclo (Nr)],(tblCarga[Jogador]=B11)*(tblCarga[Tipo]="Jogo"))),,,-1),_xlpm.curMC,$H$1,_xlpm.streak,0,IF(ROWS(_xlpm.mcs)=0,0,SUMPRODUCT(--(_xlpm.mcs&gt;=_xlpm.curMC-ROWS(_xlpm.mcs)+1),--(_xlpm.mcs&lt;=_xlpm.curMC)))),0))</f>
        <v/>
      </c>
      <c r="M11" s="213">
        <f>IF(B11="","",IF(D11&gt;=7,"⚠️ Reduzir carga. Consultar staff médico.",IF(D11&gt;=4,"🔍 Monitorizar. Ajustar volume se necessário.","✅ Manter plano de treino.")))</f>
        <v/>
      </c>
      <c r="N11" s="219">
        <f>IF(B11="","",IF(S11&gt;R11,"▲ "&amp;ROUND(J11,0),IF(S11&lt;R11,"▼ "&amp;ROUND(J11,0),"→ "&amp;ROUND(J11,0))))</f>
        <v/>
      </c>
      <c r="O11" s="217">
        <f t="array" ref="O11">IF(B11="","",IFERROR(INDEX(tblCarga[Hooper Index],MATCH(1,(tblCarga[Jogador]=B11)*(tblCarga[Data]=_xlfn.MAXIFS(tblCarga[Data],tblCarga[Jogador],B11,tblCarga[Hooper Index],"&gt;0")),0)),"—"))</f>
        <v/>
      </c>
      <c r="P11" s="248">
        <f t="array" ref="P11">IF(B11="","",SUMPRODUCT((tblCarga[Jogador]=B11)*(tblCarga[Microciclo (Nr)]=($H$1-3))*(tblCarga[Tipo]="Treino")*tblCarga[PSE Sessão]*tblCarga[Duração (min)]))</f>
        <v/>
      </c>
      <c r="Q11" s="248">
        <f t="array" ref="Q11">IF(B11="","",SUMPRODUCT((tblCarga[Jogador]=B11)*(tblCarga[Microciclo (Nr)]=($H$1-2))*(tblCarga[Tipo]="Treino")*tblCarga[PSE Sessão]*tblCarga[Duração (min)]))</f>
        <v/>
      </c>
      <c r="R11" s="248">
        <f t="array" ref="R11">IF(B11="","",SUMPRODUCT((tblCarga[Jogador]=B11)*(tblCarga[Microciclo (Nr)]=($H$1-1))*(tblCarga[Tipo]="Treino")*tblCarga[PSE Sessão]*tblCarga[Duração (min)]))</f>
        <v/>
      </c>
      <c r="S11" s="248">
        <f>J11</f>
        <v/>
      </c>
      <c r="T11" s="220">
        <f>IF(B11="","",IFERROR(TODAY()-_xlfn.MAXIFS(tblCarga[Data],tblCarga[Jogador],B11,tblCarga[Tipo],"Jogo"),"—"))</f>
        <v/>
      </c>
    </row>
    <row r="12" ht="32.1" customHeight="1">
      <c r="A12" s="234">
        <f>IF(B12="","",ROW()-7)</f>
        <v/>
      </c>
      <c r="B12" s="235">
        <f t="array" ref="B12">IFERROR(IF(INDEX(_xlfn._xlws.SORT(_xlfn.UNIQUE(tblCarga[Jogador])),ROW()-7)=0,"",INDEX(_xlfn._xlws.SORT(_xlfn.UNIQUE(tblCarga[Jogador])),ROW()-7)),"")</f>
        <v/>
      </c>
      <c r="C12" s="236">
        <f>IF(B12="","",IF(D12&gt;=7,"🔴",IF(D12&gt;=4,"🟡","🟢")))</f>
        <v/>
      </c>
      <c r="D12" s="237">
        <f>IF(B12="","",_xlfn.LET(_xlpm.acwr,G12,_xlpm.monot,H12,_xlpm.dias,I12,_xlpm.tend,F12,_xlpm.cong,T12,_xlpm.hooper,O12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2" s="238">
        <f>IF(B12="","",IF(D12&lt;4,"✅ Sem alertas",_xlfn.LET(_xlpm.acwr,G12,_xlpm.monot,H12,_xlpm.dias,I12,_xlpm.reasons,IF(AND(_xlpm.acwr&lt;&gt;"—",OR(_xlpm.acwr&gt;1.3,_xlpm.acwr&lt;0.8)),"ACWR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2" s="239">
        <f t="array" ref="F12">IF(B12="","",IFERROR(_xlfn.LET(_xlpm.cur,J12,_xlpm.prev,SUMPRODUCT((tblCarga[Jogador]=B12)*(tblCarga[Microciclo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2" s="240">
        <f>IF(B12="","",IFERROR(J12/AVERAGE(P12,Q12,R12),"—"))</f>
        <v/>
      </c>
      <c r="H12" s="241">
        <f>IF(B12="","",IFERROR(INDEX(Monot_Strain!F$9:F$38,MATCH(B12,Monot_Strain!A$9:A$38,0)),0))</f>
        <v/>
      </c>
      <c r="I12" s="242">
        <f t="array" ref="I12">IF(B12="","",IFERROR(TODAY()-MAX(_xlfn._xlws.FILTER(tblCarga[Data],(tblCarga[Jogador]=B12)*(tblCarga[Nº ≥90% Vmáx]&gt;0))),999))</f>
        <v/>
      </c>
      <c r="J12" s="243">
        <f t="array" ref="J12">IF(B12="","",SUMPRODUCT((tblCarga[Jogador]=B12)*(tblCarga[Microciclo (Nr)]=$H$1)*(tblCarga[Tipo]="Treino")*tblCarga[PSE Sessão]*tblCarga[Duração (min)]))</f>
        <v/>
      </c>
      <c r="K12" s="242">
        <f t="array" ref="K12">IF(B12="","",IFERROR(SUMPRODUCT((tblCarga[Jogador]=B12)*(tblCarga[Microciclo (Nr)]=$H$1)*(tblCarga[Tipo]="Jogo")*tblCarga[Duração (min)]),0))</f>
        <v/>
      </c>
      <c r="L12" s="242">
        <f t="array" ref="L12">IF(B12="","",IFERROR(_xlfn.LET(_xlpm.mcs,_xlfn._xlws.SORT(_xlfn.UNIQUE(_xlfn._xlws.FILTER(tblCarga[Microciclo (Nr)],(tblCarga[Jogador]=B12)*(tblCarga[Tipo]="Jogo"))),,,-1),_xlpm.curMC,$H$1,_xlpm.streak,0,IF(ROWS(_xlpm.mcs)=0,0,SUMPRODUCT(--(_xlpm.mcs&gt;=_xlpm.curMC-ROWS(_xlpm.mcs)+1),--(_xlpm.mcs&lt;=_xlpm.curMC)))),0))</f>
        <v/>
      </c>
      <c r="M12" s="238">
        <f>IF(B12="","",IF(D12&gt;=7,"⚠️ Reduzir carga. Consultar staff médico.",IF(D12&gt;=4,"🔍 Monitorizar. Ajustar volume se necessário.","✅ Manter plano de treino.")))</f>
        <v/>
      </c>
      <c r="N12" s="244">
        <f>IF(B12="","",IF(S12&gt;R12,"▲ "&amp;ROUND(J12,0),IF(S12&lt;R12,"▼ "&amp;ROUND(J12,0),"→ "&amp;ROUND(J12,0))))</f>
        <v/>
      </c>
      <c r="O12" s="242">
        <f t="array" ref="O12">IF(B12="","",IFERROR(INDEX(tblCarga[Hooper Index],MATCH(1,(tblCarga[Jogador]=B12)*(tblCarga[Data]=_xlfn.MAXIFS(tblCarga[Data],tblCarga[Jogador],B12,tblCarga[Hooper Index],"&gt;0")),0)),"—"))</f>
        <v/>
      </c>
      <c r="P12" s="249">
        <f t="array" ref="P12">IF(B12="","",SUMPRODUCT((tblCarga[Jogador]=B12)*(tblCarga[Microciclo (Nr)]=($H$1-3))*(tblCarga[Tipo]="Treino")*tblCarga[PSE Sessão]*tblCarga[Duração (min)]))</f>
        <v/>
      </c>
      <c r="Q12" s="249">
        <f t="array" ref="Q12">IF(B12="","",SUMPRODUCT((tblCarga[Jogador]=B12)*(tblCarga[Microciclo (Nr)]=($H$1-2))*(tblCarga[Tipo]="Treino")*tblCarga[PSE Sessão]*tblCarga[Duração (min)]))</f>
        <v/>
      </c>
      <c r="R12" s="249">
        <f t="array" ref="R12">IF(B12="","",SUMPRODUCT((tblCarga[Jogador]=B12)*(tblCarga[Microciclo (Nr)]=($H$1-1))*(tblCarga[Tipo]="Treino")*tblCarga[PSE Sessão]*tblCarga[Duração (min)]))</f>
        <v/>
      </c>
      <c r="S12" s="249">
        <f>J12</f>
        <v/>
      </c>
      <c r="T12" s="245">
        <f>IF(B12="","",IFERROR(TODAY()-_xlfn.MAXIFS(tblCarga[Data],tblCarga[Jogador],B12,tblCarga[Tipo],"Jogo"),"—"))</f>
        <v/>
      </c>
    </row>
    <row r="13" ht="32.1" customHeight="1">
      <c r="A13" s="209">
        <f>IF(B13="","",ROW()-7)</f>
        <v/>
      </c>
      <c r="B13" s="210">
        <f t="array" ref="B13">IFERROR(IF(INDEX(_xlfn._xlws.SORT(_xlfn.UNIQUE(tblCarga[Jogador])),ROW()-7)=0,"",INDEX(_xlfn._xlws.SORT(_xlfn.UNIQUE(tblCarga[Jogador])),ROW()-7)),"")</f>
        <v/>
      </c>
      <c r="C13" s="211">
        <f>IF(B13="","",IF(D13&gt;=7,"🔴",IF(D13&gt;=4,"🟡","🟢")))</f>
        <v/>
      </c>
      <c r="D13" s="212">
        <f>IF(B13="","",_xlfn.LET(_xlpm.acwr,G13,_xlpm.monot,H13,_xlpm.dias,I13,_xlpm.tend,F13,_xlpm.cong,T13,_xlpm.hooper,O13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3" s="213">
        <f>IF(B13="","",IF(D13&lt;4,"✅ Sem alertas",_xlfn.LET(_xlpm.acwr,G13,_xlpm.monot,H13,_xlpm.dias,I13,_xlpm.reasons,IF(AND(_xlpm.acwr&lt;&gt;"—",OR(_xlpm.acwr&gt;1.3,_xlpm.acwr&lt;0.8)),"ACWR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3" s="214">
        <f t="array" ref="F13">IF(B13="","",IFERROR(_xlfn.LET(_xlpm.cur,J13,_xlpm.prev,SUMPRODUCT((tblCarga[Jogador]=B13)*(tblCarga[Microciclo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3" s="246">
        <f>IF(B13="","",IFERROR(J13/AVERAGE(P13,Q13,R13),"—"))</f>
        <v/>
      </c>
      <c r="H13" s="216">
        <f>IF(B13="","",IFERROR(INDEX(Monot_Strain!F$9:F$38,MATCH(B13,Monot_Strain!A$9:A$38,0)),0))</f>
        <v/>
      </c>
      <c r="I13" s="217">
        <f t="array" ref="I13">IF(B13="","",IFERROR(TODAY()-MAX(_xlfn._xlws.FILTER(tblCarga[Data],(tblCarga[Jogador]=B13)*(tblCarga[Nº ≥90% Vmáx]&gt;0))),999))</f>
        <v/>
      </c>
      <c r="J13" s="218">
        <f t="array" ref="J13">IF(B13="","",SUMPRODUCT((tblCarga[Jogador]=B13)*(tblCarga[Microciclo (Nr)]=$H$1)*(tblCarga[Tipo]="Treino")*tblCarga[PSE Sessão]*tblCarga[Duração (min)]))</f>
        <v/>
      </c>
      <c r="K13" s="217">
        <f t="array" ref="K13">IF(B13="","",IFERROR(SUMPRODUCT((tblCarga[Jogador]=B13)*(tblCarga[Microciclo (Nr)]=$H$1)*(tblCarga[Tipo]="Jogo")*tblCarga[Duração (min)]),0))</f>
        <v/>
      </c>
      <c r="L13" s="217">
        <f t="array" ref="L13">IF(B13="","",IFERROR(_xlfn.LET(_xlpm.mcs,_xlfn._xlws.SORT(_xlfn.UNIQUE(_xlfn._xlws.FILTER(tblCarga[Microciclo (Nr)],(tblCarga[Jogador]=B13)*(tblCarga[Tipo]="Jogo"))),,,-1),_xlpm.curMC,$H$1,_xlpm.streak,0,IF(ROWS(_xlpm.mcs)=0,0,SUMPRODUCT(--(_xlpm.mcs&gt;=_xlpm.curMC-ROWS(_xlpm.mcs)+1),--(_xlpm.mcs&lt;=_xlpm.curMC)))),0))</f>
        <v/>
      </c>
      <c r="M13" s="213">
        <f>IF(B13="","",IF(D13&gt;=7,"⚠️ Reduzir carga. Consultar staff médico.",IF(D13&gt;=4,"🔍 Monitorizar. Ajustar volume se necessário.","✅ Manter plano de treino.")))</f>
        <v/>
      </c>
      <c r="N13" s="219">
        <f>IF(B13="","",IF(S13&gt;R13,"▲ "&amp;ROUND(J13,0),IF(S13&lt;R13,"▼ "&amp;ROUND(J13,0),"→ "&amp;ROUND(J13,0))))</f>
        <v/>
      </c>
      <c r="O13" s="217">
        <f t="array" ref="O13">IF(B13="","",IFERROR(INDEX(tblCarga[Hooper Index],MATCH(1,(tblCarga[Jogador]=B13)*(tblCarga[Data]=_xlfn.MAXIFS(tblCarga[Data],tblCarga[Jogador],B13,tblCarga[Hooper Index],"&gt;0")),0)),"—"))</f>
        <v/>
      </c>
      <c r="P13" s="248">
        <f t="array" ref="P13">IF(B13="","",SUMPRODUCT((tblCarga[Jogador]=B13)*(tblCarga[Microciclo (Nr)]=($H$1-3))*(tblCarga[Tipo]="Treino")*tblCarga[PSE Sessão]*tblCarga[Duração (min)]))</f>
        <v/>
      </c>
      <c r="Q13" s="248">
        <f t="array" ref="Q13">IF(B13="","",SUMPRODUCT((tblCarga[Jogador]=B13)*(tblCarga[Microciclo (Nr)]=($H$1-2))*(tblCarga[Tipo]="Treino")*tblCarga[PSE Sessão]*tblCarga[Duração (min)]))</f>
        <v/>
      </c>
      <c r="R13" s="248">
        <f t="array" ref="R13">IF(B13="","",SUMPRODUCT((tblCarga[Jogador]=B13)*(tblCarga[Microciclo (Nr)]=($H$1-1))*(tblCarga[Tipo]="Treino")*tblCarga[PSE Sessão]*tblCarga[Duração (min)]))</f>
        <v/>
      </c>
      <c r="S13" s="248">
        <f>J13</f>
        <v/>
      </c>
      <c r="T13" s="220">
        <f>IF(B13="","",IFERROR(TODAY()-_xlfn.MAXIFS(tblCarga[Data],tblCarga[Jogador],B13,tblCarga[Tipo],"Jogo"),"—"))</f>
        <v/>
      </c>
    </row>
    <row r="14" ht="32.1" customHeight="1">
      <c r="A14" s="234">
        <f>IF(B14="","",ROW()-7)</f>
        <v/>
      </c>
      <c r="B14" s="235">
        <f t="array" ref="B14">IFERROR(IF(INDEX(_xlfn._xlws.SORT(_xlfn.UNIQUE(tblCarga[Jogador])),ROW()-7)=0,"",INDEX(_xlfn._xlws.SORT(_xlfn.UNIQUE(tblCarga[Jogador])),ROW()-7)),"")</f>
        <v/>
      </c>
      <c r="C14" s="236">
        <f>IF(B14="","",IF(D14&gt;=7,"🔴",IF(D14&gt;=4,"🟡","🟢")))</f>
        <v/>
      </c>
      <c r="D14" s="237">
        <f>IF(B14="","",_xlfn.LET(_xlpm.acwr,G14,_xlpm.monot,H14,_xlpm.dias,I14,_xlpm.tend,F14,_xlpm.cong,T14,_xlpm.hooper,O14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4" s="238">
        <f>IF(B14="","",IF(D14&lt;4,"✅ Sem alertas",_xlfn.LET(_xlpm.acwr,G14,_xlpm.monot,H14,_xlpm.dias,I14,_xlpm.reasons,IF(AND(_xlpm.acwr&lt;&gt;"—",OR(_xlpm.acwr&gt;1.3,_xlpm.acwr&lt;0.8)),"ACWR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4" s="239">
        <f t="array" ref="F14">IF(B14="","",IFERROR(_xlfn.LET(_xlpm.cur,J14,_xlpm.prev,SUMPRODUCT((tblCarga[Jogador]=B14)*(tblCarga[Microciclo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4" s="240">
        <f>IF(B14="","",IFERROR(J14/AVERAGE(P14,Q14,R14),"—"))</f>
        <v/>
      </c>
      <c r="H14" s="241">
        <f>IF(B14="","",IFERROR(INDEX(Monot_Strain!F$9:F$38,MATCH(B14,Monot_Strain!A$9:A$38,0)),0))</f>
        <v/>
      </c>
      <c r="I14" s="242">
        <f t="array" ref="I14">IF(B14="","",IFERROR(TODAY()-MAX(_xlfn._xlws.FILTER(tblCarga[Data],(tblCarga[Jogador]=B14)*(tblCarga[Nº ≥90% Vmáx]&gt;0))),999))</f>
        <v/>
      </c>
      <c r="J14" s="243">
        <f t="array" ref="J14">IF(B14="","",SUMPRODUCT((tblCarga[Jogador]=B14)*(tblCarga[Microciclo (Nr)]=$H$1)*(tblCarga[Tipo]="Treino")*tblCarga[PSE Sessão]*tblCarga[Duração (min)]))</f>
        <v/>
      </c>
      <c r="K14" s="242">
        <f t="array" ref="K14">IF(B14="","",IFERROR(SUMPRODUCT((tblCarga[Jogador]=B14)*(tblCarga[Microciclo (Nr)]=$H$1)*(tblCarga[Tipo]="Jogo")*tblCarga[Duração (min)]),0))</f>
        <v/>
      </c>
      <c r="L14" s="242">
        <f t="array" ref="L14">IF(B14="","",IFERROR(_xlfn.LET(_xlpm.mcs,_xlfn._xlws.SORT(_xlfn.UNIQUE(_xlfn._xlws.FILTER(tblCarga[Microciclo (Nr)],(tblCarga[Jogador]=B14)*(tblCarga[Tipo]="Jogo"))),,,-1),_xlpm.curMC,$H$1,_xlpm.streak,0,IF(ROWS(_xlpm.mcs)=0,0,SUMPRODUCT(--(_xlpm.mcs&gt;=_xlpm.curMC-ROWS(_xlpm.mcs)+1),--(_xlpm.mcs&lt;=_xlpm.curMC)))),0))</f>
        <v/>
      </c>
      <c r="M14" s="238">
        <f>IF(B14="","",IF(D14&gt;=7,"⚠️ Reduzir carga. Consultar staff médico.",IF(D14&gt;=4,"🔍 Monitorizar. Ajustar volume se necessário.","✅ Manter plano de treino.")))</f>
        <v/>
      </c>
      <c r="N14" s="244">
        <f>IF(B14="","",IF(S14&gt;R14,"▲ "&amp;ROUND(J14,0),IF(S14&lt;R14,"▼ "&amp;ROUND(J14,0),"→ "&amp;ROUND(J14,0))))</f>
        <v/>
      </c>
      <c r="O14" s="242">
        <f t="array" ref="O14">IF(B14="","",IFERROR(INDEX(tblCarga[Hooper Index],MATCH(1,(tblCarga[Jogador]=B14)*(tblCarga[Data]=_xlfn.MAXIFS(tblCarga[Data],tblCarga[Jogador],B14,tblCarga[Hooper Index],"&gt;0")),0)),"—"))</f>
        <v/>
      </c>
      <c r="P14" s="249">
        <f t="array" ref="P14">IF(B14="","",SUMPRODUCT((tblCarga[Jogador]=B14)*(tblCarga[Microciclo (Nr)]=($H$1-3))*(tblCarga[Tipo]="Treino")*tblCarga[PSE Sessão]*tblCarga[Duração (min)]))</f>
        <v/>
      </c>
      <c r="Q14" s="249">
        <f t="array" ref="Q14">IF(B14="","",SUMPRODUCT((tblCarga[Jogador]=B14)*(tblCarga[Microciclo (Nr)]=($H$1-2))*(tblCarga[Tipo]="Treino")*tblCarga[PSE Sessão]*tblCarga[Duração (min)]))</f>
        <v/>
      </c>
      <c r="R14" s="249">
        <f t="array" ref="R14">IF(B14="","",SUMPRODUCT((tblCarga[Jogador]=B14)*(tblCarga[Microciclo (Nr)]=($H$1-1))*(tblCarga[Tipo]="Treino")*tblCarga[PSE Sessão]*tblCarga[Duração (min)]))</f>
        <v/>
      </c>
      <c r="S14" s="249">
        <f>J14</f>
        <v/>
      </c>
      <c r="T14" s="245">
        <f>IF(B14="","",IFERROR(TODAY()-_xlfn.MAXIFS(tblCarga[Data],tblCarga[Jogador],B14,tblCarga[Tipo],"Jogo"),"—"))</f>
        <v/>
      </c>
    </row>
    <row r="15" ht="32.1" customHeight="1">
      <c r="A15" s="209">
        <f>IF(B15="","",ROW()-7)</f>
        <v/>
      </c>
      <c r="B15" s="210">
        <f t="array" ref="B15">IFERROR(IF(INDEX(_xlfn._xlws.SORT(_xlfn.UNIQUE(tblCarga[Jogador])),ROW()-7)=0,"",INDEX(_xlfn._xlws.SORT(_xlfn.UNIQUE(tblCarga[Jogador])),ROW()-7)),"")</f>
        <v/>
      </c>
      <c r="C15" s="211">
        <f>IF(B15="","",IF(D15&gt;=7,"🔴",IF(D15&gt;=4,"🟡","🟢")))</f>
        <v/>
      </c>
      <c r="D15" s="212">
        <f>IF(B15="","",_xlfn.LET(_xlpm.acwr,G15,_xlpm.monot,H15,_xlpm.dias,I15,_xlpm.tend,F15,_xlpm.cong,T15,_xlpm.hooper,O15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5" s="213">
        <f>IF(B15="","",IF(D15&lt;4,"✅ Sem alertas",_xlfn.LET(_xlpm.acwr,G15,_xlpm.monot,H15,_xlpm.dias,I15,_xlpm.reasons,IF(AND(_xlpm.acwr&lt;&gt;"—",OR(_xlpm.acwr&gt;1.3,_xlpm.acwr&lt;0.8)),"ACWR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5" s="214">
        <f t="array" ref="F15">IF(B15="","",IFERROR(_xlfn.LET(_xlpm.cur,J15,_xlpm.prev,SUMPRODUCT((tblCarga[Jogador]=B15)*(tblCarga[Microciclo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5" s="246">
        <f>IF(B15="","",IFERROR(J15/AVERAGE(P15,Q15,R15),"—"))</f>
        <v/>
      </c>
      <c r="H15" s="216">
        <f>IF(B15="","",IFERROR(INDEX(Monot_Strain!F$9:F$38,MATCH(B15,Monot_Strain!A$9:A$38,0)),0))</f>
        <v/>
      </c>
      <c r="I15" s="217">
        <f t="array" ref="I15">IF(B15="","",IFERROR(TODAY()-MAX(_xlfn._xlws.FILTER(tblCarga[Data],(tblCarga[Jogador]=B15)*(tblCarga[Nº ≥90% Vmáx]&gt;0))),999))</f>
        <v/>
      </c>
      <c r="J15" s="218">
        <f t="array" ref="J15">IF(B15="","",SUMPRODUCT((tblCarga[Jogador]=B15)*(tblCarga[Microciclo (Nr)]=$H$1)*(tblCarga[Tipo]="Treino")*tblCarga[PSE Sessão]*tblCarga[Duração (min)]))</f>
        <v/>
      </c>
      <c r="K15" s="217">
        <f t="array" ref="K15">IF(B15="","",IFERROR(SUMPRODUCT((tblCarga[Jogador]=B15)*(tblCarga[Microciclo (Nr)]=$H$1)*(tblCarga[Tipo]="Jogo")*tblCarga[Duração (min)]),0))</f>
        <v/>
      </c>
      <c r="L15" s="217">
        <f t="array" ref="L15">IF(B15="","",IFERROR(_xlfn.LET(_xlpm.mcs,_xlfn._xlws.SORT(_xlfn.UNIQUE(_xlfn._xlws.FILTER(tblCarga[Microciclo (Nr)],(tblCarga[Jogador]=B15)*(tblCarga[Tipo]="Jogo"))),,,-1),_xlpm.curMC,$H$1,_xlpm.streak,0,IF(ROWS(_xlpm.mcs)=0,0,SUMPRODUCT(--(_xlpm.mcs&gt;=_xlpm.curMC-ROWS(_xlpm.mcs)+1),--(_xlpm.mcs&lt;=_xlpm.curMC)))),0))</f>
        <v/>
      </c>
      <c r="M15" s="213">
        <f>IF(B15="","",IF(D15&gt;=7,"⚠️ Reduzir carga. Consultar staff médico.",IF(D15&gt;=4,"🔍 Monitorizar. Ajustar volume se necessário.","✅ Manter plano de treino.")))</f>
        <v/>
      </c>
      <c r="N15" s="219">
        <f>IF(B15="","",IF(S15&gt;R15,"▲ "&amp;ROUND(J15,0),IF(S15&lt;R15,"▼ "&amp;ROUND(J15,0),"→ "&amp;ROUND(J15,0))))</f>
        <v/>
      </c>
      <c r="O15" s="217">
        <f t="array" ref="O15">IF(B15="","",IFERROR(INDEX(tblCarga[Hooper Index],MATCH(1,(tblCarga[Jogador]=B15)*(tblCarga[Data]=_xlfn.MAXIFS(tblCarga[Data],tblCarga[Jogador],B15,tblCarga[Hooper Index],"&gt;0")),0)),"—"))</f>
        <v/>
      </c>
      <c r="P15" s="248">
        <f t="array" ref="P15">IF(B15="","",SUMPRODUCT((tblCarga[Jogador]=B15)*(tblCarga[Microciclo (Nr)]=($H$1-3))*(tblCarga[Tipo]="Treino")*tblCarga[PSE Sessão]*tblCarga[Duração (min)]))</f>
        <v/>
      </c>
      <c r="Q15" s="248">
        <f t="array" ref="Q15">IF(B15="","",SUMPRODUCT((tblCarga[Jogador]=B15)*(tblCarga[Microciclo (Nr)]=($H$1-2))*(tblCarga[Tipo]="Treino")*tblCarga[PSE Sessão]*tblCarga[Duração (min)]))</f>
        <v/>
      </c>
      <c r="R15" s="248">
        <f t="array" ref="R15">IF(B15="","",SUMPRODUCT((tblCarga[Jogador]=B15)*(tblCarga[Microciclo (Nr)]=($H$1-1))*(tblCarga[Tipo]="Treino")*tblCarga[PSE Sessão]*tblCarga[Duração (min)]))</f>
        <v/>
      </c>
      <c r="S15" s="248">
        <f>J15</f>
        <v/>
      </c>
      <c r="T15" s="220">
        <f>IF(B15="","",IFERROR(TODAY()-_xlfn.MAXIFS(tblCarga[Data],tblCarga[Jogador],B15,tblCarga[Tipo],"Jogo"),"—"))</f>
        <v/>
      </c>
    </row>
    <row r="16" ht="32.1" customHeight="1">
      <c r="A16" s="221">
        <f>IF(B16="","",ROW()-7)</f>
        <v/>
      </c>
      <c r="B16" s="232">
        <f t="array" ref="B16">IFERROR(IF(INDEX(_xlfn._xlws.SORT(_xlfn.UNIQUE(tblCarga[Jogador])),ROW()-7)=0,"",INDEX(_xlfn._xlws.SORT(_xlfn.UNIQUE(tblCarga[Jogador])),ROW()-7)),"")</f>
        <v/>
      </c>
      <c r="C16" s="223">
        <f>IF(B16="","",IF(D16&gt;=7,"🔴",IF(D16&gt;=4,"🟡","🟢")))</f>
        <v/>
      </c>
      <c r="D16" s="233">
        <f>IF(B16="","",_xlfn.LET(_xlpm.acwr,G16,_xlpm.monot,H16,_xlpm.dias,I16,_xlpm.tend,F16,_xlpm.cong,T16,_xlpm.hooper,O16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6" s="224">
        <f>IF(B16="","",IF(D16&lt;4,"✅ Sem alertas",_xlfn.LET(_xlpm.acwr,G16,_xlpm.monot,H16,_xlpm.dias,I16,_xlpm.reasons,IF(AND(_xlpm.acwr&lt;&gt;"—",OR(_xlpm.acwr&gt;1.3,_xlpm.acwr&lt;0.8)),"ACWR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6" s="225">
        <f t="array" ref="F16">IF(B16="","",IFERROR(_xlfn.LET(_xlpm.cur,J16,_xlpm.prev,SUMPRODUCT((tblCarga[Jogador]=B16)*(tblCarga[Microciclo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6" s="226">
        <f>IF(B16="","",IFERROR(J16/AVERAGE(P16,Q16,R16),"—"))</f>
        <v/>
      </c>
      <c r="H16" s="227">
        <f>IF(B16="","",IFERROR(INDEX(Monot_Strain!F$9:F$38,MATCH(B16,Monot_Strain!A$9:A$38,0)),0))</f>
        <v/>
      </c>
      <c r="I16" s="228">
        <f t="array" ref="I16">IF(B16="","",IFERROR(TODAY()-MAX(_xlfn._xlws.FILTER(tblCarga[Data],(tblCarga[Jogador]=B16)*(tblCarga[Nº ≥90% Vmáx]&gt;0))),999))</f>
        <v/>
      </c>
      <c r="J16" s="229">
        <f t="array" ref="J16">IF(B16="","",SUMPRODUCT((tblCarga[Jogador]=B16)*(tblCarga[Microciclo (Nr)]=$H$1)*(tblCarga[Tipo]="Treino")*tblCarga[PSE Sessão]*tblCarga[Duração (min)]))</f>
        <v/>
      </c>
      <c r="K16" s="228">
        <f t="array" ref="K16">IF(B16="","",IFERROR(SUMPRODUCT((tblCarga[Jogador]=B16)*(tblCarga[Microciclo (Nr)]=$H$1)*(tblCarga[Tipo]="Jogo")*tblCarga[Duração (min)]),0))</f>
        <v/>
      </c>
      <c r="L16" s="228">
        <f t="array" ref="L16">IF(B16="","",IFERROR(_xlfn.LET(_xlpm.mcs,_xlfn._xlws.SORT(_xlfn.UNIQUE(_xlfn._xlws.FILTER(tblCarga[Microciclo (Nr)],(tblCarga[Jogador]=B16)*(tblCarga[Tipo]="Jogo"))),,,-1),_xlpm.curMC,$H$1,_xlpm.streak,0,IF(ROWS(_xlpm.mcs)=0,0,SUMPRODUCT(--(_xlpm.mcs&gt;=_xlpm.curMC-ROWS(_xlpm.mcs)+1),--(_xlpm.mcs&lt;=_xlpm.curMC)))),0))</f>
        <v/>
      </c>
      <c r="M16" s="224">
        <f>IF(B16="","",IF(D16&gt;=7,"⚠️ Reduzir carga. Consultar staff médico.",IF(D16&gt;=4,"🔍 Monitorizar. Ajustar volume se necessário.","✅ Manter plano de treino.")))</f>
        <v/>
      </c>
      <c r="N16" s="230">
        <f>IF(B16="","",IF(S16&gt;R16,"▲ "&amp;ROUND(J16,0),IF(S16&lt;R16,"▼ "&amp;ROUND(J16,0),"→ "&amp;ROUND(J16,0))))</f>
        <v/>
      </c>
      <c r="O16" s="228">
        <f t="array" ref="O16">IF(B16="","",IFERROR(INDEX(tblCarga[Hooper Index],MATCH(1,(tblCarga[Jogador]=B16)*(tblCarga[Data]=_xlfn.MAXIFS(tblCarga[Data],tblCarga[Jogador],B16,tblCarga[Hooper Index],"&gt;0")),0)),"—"))</f>
        <v/>
      </c>
      <c r="P16" s="250">
        <f t="array" ref="P16">IF(B16="","",SUMPRODUCT((tblCarga[Jogador]=B16)*(tblCarga[Microciclo (Nr)]=($H$1-3))*(tblCarga[Tipo]="Treino")*tblCarga[PSE Sessão]*tblCarga[Duração (min)]))</f>
        <v/>
      </c>
      <c r="Q16" s="250">
        <f t="array" ref="Q16">IF(B16="","",SUMPRODUCT((tblCarga[Jogador]=B16)*(tblCarga[Microciclo (Nr)]=($H$1-2))*(tblCarga[Tipo]="Treino")*tblCarga[PSE Sessão]*tblCarga[Duração (min)]))</f>
        <v/>
      </c>
      <c r="R16" s="250">
        <f t="array" ref="R16">IF(B16="","",SUMPRODUCT((tblCarga[Jogador]=B16)*(tblCarga[Microciclo (Nr)]=($H$1-1))*(tblCarga[Tipo]="Treino")*tblCarga[PSE Sessão]*tblCarga[Duração (min)]))</f>
        <v/>
      </c>
      <c r="S16" s="250">
        <f>J16</f>
        <v/>
      </c>
      <c r="T16" s="231">
        <f>IF(B16="","",IFERROR(TODAY()-_xlfn.MAXIFS(tblCarga[Data],tblCarga[Jogador],B16,tblCarga[Tipo],"Jogo"),"—"))</f>
        <v/>
      </c>
    </row>
    <row r="17" ht="21" customHeight="1">
      <c r="A17" s="77">
        <f>IF(B17="","",ROW()-7)</f>
        <v/>
      </c>
      <c r="B17" s="85">
        <f t="array" ref="B17">IFERROR(IF(INDEX(_xlfn._xlws.SORT(_xlfn.UNIQUE(tblCarga[Jogador])),ROW()-7)=0,"",INDEX(_xlfn._xlws.SORT(_xlfn.UNIQUE(tblCarga[Jogador])),ROW()-7)),"")</f>
        <v/>
      </c>
      <c r="C17" s="78">
        <f>IF(B17="","",IF(D17&gt;=7,"🔴",IF(D17&gt;=4,"🟡","🟢")))</f>
        <v/>
      </c>
      <c r="D17" s="79">
        <f>IF(B17="","",_xlfn.LET(_xlpm.acwr,G17,_xlpm.monot,H17,_xlpm.dias,I17,_xlpm.tend,F17,_xlpm.cong,T17,_xlpm.hooper,O17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7" s="80">
        <f>IF(B17="","",IF(D17&lt;4,"✅ Sem alertas",_xlfn.LET(_xlpm.acwr,G17,_xlpm.monot,H17,_xlpm.dias,I17,_xlpm.reasons,IF(AND(_xlpm.acwr&lt;&gt;"—",OR(_xlpm.acwr&gt;1.3,_xlpm.acwr&lt;0.8)),"ACWR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7" s="86">
        <f t="array" ref="F17">IF(B17="","",IFERROR(_xlfn.LET(_xlpm.cur,J17,_xlpm.prev,SUMPRODUCT((tblCarga[Jogador]=B17)*(tblCarga[Microciclo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7" s="87">
        <f>IF(B17="","",IFERROR(J17/AVERAGE(P17,Q17,R17),"—"))</f>
        <v/>
      </c>
      <c r="H17" s="88">
        <f>IF(B17="","",IFERROR(INDEX(Monot_Strain!F$9:F$38,MATCH(B17,Monot_Strain!A$9:A$38,0)),0))</f>
        <v/>
      </c>
      <c r="I17" s="82">
        <f t="array" ref="I17">IF(B17="","",IFERROR(TODAY()-MAX(_xlfn._xlws.FILTER(tblCarga[Data],(tblCarga[Jogador]=B17)*(tblCarga[Nº ≥90% Vmáx]&gt;0))),999))</f>
        <v/>
      </c>
      <c r="J17" s="89">
        <f t="array" ref="J17">IF(B17="","",SUMPRODUCT((tblCarga[Jogador]=B17)*(tblCarga[Microciclo (Nr)]=$H$1)*(tblCarga[Tipo]="Treino")*tblCarga[PSE Sessão]*tblCarga[Duração (min)]))</f>
        <v/>
      </c>
      <c r="K17" s="82">
        <f t="array" ref="K17">IF(B17="","",IFERROR(SUMPRODUCT((tblCarga[Jogador]=B17)*(tblCarga[Microciclo (Nr)]=$H$1)*(tblCarga[Tipo]="Jogo")*tblCarga[Duração (min)]),0))</f>
        <v/>
      </c>
      <c r="L17" s="82">
        <f t="array" ref="L17">IF(B17="","",IFERROR(_xlfn.LET(_xlpm.mcs,_xlfn._xlws.SORT(_xlfn.UNIQUE(_xlfn._xlws.FILTER(tblCarga[Microciclo (Nr)],(tblCarga[Jogador]=B17)*(tblCarga[Tipo]="Jogo"))),,,-1),_xlpm.curMC,$H$1,_xlpm.streak,0,IF(ROWS(_xlpm.mcs)=0,0,SUMPRODUCT(--(_xlpm.mcs&gt;=_xlpm.curMC-ROWS(_xlpm.mcs)+1),--(_xlpm.mcs&lt;=_xlpm.curMC)))),0))</f>
        <v/>
      </c>
      <c r="M17" s="80">
        <f>IF(B17="","",IF(D17&gt;=7,"⚠️ Reduzir carga. Consultar staff médico.",IF(D17&gt;=4,"🔍 Monitorizar. Ajustar volume se necessário.","✅ Manter plano de treino.")))</f>
        <v/>
      </c>
      <c r="N17" s="81">
        <f>IF(B17="","",IF(S17&gt;R17,"▲ "&amp;ROUND(J17,0),IF(S17&lt;R17,"▼ "&amp;ROUND(J17,0),"→ "&amp;ROUND(J17,0))))</f>
        <v/>
      </c>
      <c r="O17" s="82">
        <f t="array" ref="O17">IF(B17="","",IFERROR(INDEX(tblCarga[Hooper Index],MATCH(1,(tblCarga[Jogador]=B17)*(tblCarga[Data]=_xlfn.MAXIFS(tblCarga[Data],tblCarga[Jogador],B17,tblCarga[Hooper Index],"&gt;0")),0)),"—"))</f>
        <v/>
      </c>
      <c r="P17" s="83">
        <f t="array" ref="P17">IF(B17="","",SUMPRODUCT((tblCarga[Jogador]=B17)*(tblCarga[Microciclo (Nr)]=($H$1-3))*(tblCarga[Tipo]="Treino")*tblCarga[PSE Sessão]*tblCarga[Duração (min)]))</f>
        <v/>
      </c>
      <c r="Q17" s="83">
        <f t="array" ref="Q17">IF(B17="","",SUMPRODUCT((tblCarga[Jogador]=B17)*(tblCarga[Microciclo (Nr)]=($H$1-2))*(tblCarga[Tipo]="Treino")*tblCarga[PSE Sessão]*tblCarga[Duração (min)]))</f>
        <v/>
      </c>
      <c r="R17" s="83">
        <f t="array" ref="R17">IF(B17="","",SUMPRODUCT((tblCarga[Jogador]=B17)*(tblCarga[Microciclo (Nr)]=($H$1-1))*(tblCarga[Tipo]="Treino")*tblCarga[PSE Sessão]*tblCarga[Duração (min)]))</f>
        <v/>
      </c>
      <c r="S17" s="83">
        <f>J17</f>
        <v/>
      </c>
      <c r="T17" s="84">
        <f>IF(B17="","",IFERROR(TODAY()-_xlfn.MAXIFS(tblCarga[Data],tblCarga[Jogador],B17,tblCarga[Tipo],"Jogo"),"—"))</f>
        <v/>
      </c>
    </row>
    <row r="18" ht="21" customHeight="1">
      <c r="A18" s="77">
        <f>IF(B18="","",ROW()-7)</f>
        <v/>
      </c>
      <c r="B18" s="85">
        <f t="array" ref="B18">IFERROR(IF(INDEX(_xlfn._xlws.SORT(_xlfn.UNIQUE(tblCarga[Jogador])),ROW()-7)=0,"",INDEX(_xlfn._xlws.SORT(_xlfn.UNIQUE(tblCarga[Jogador])),ROW()-7)),"")</f>
        <v/>
      </c>
      <c r="C18" s="78">
        <f>IF(B18="","",IF(D18&gt;=7,"🔴",IF(D18&gt;=4,"🟡","🟢")))</f>
        <v/>
      </c>
      <c r="D18" s="79">
        <f>IF(B18="","",_xlfn.LET(_xlpm.acwr,G18,_xlpm.monot,H18,_xlpm.dias,I18,_xlpm.tend,F18,_xlpm.cong,T18,_xlpm.hooper,O18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8" s="80">
        <f>IF(B18="","",IF(D18&lt;4,"✅ Sem alertas",_xlfn.LET(_xlpm.acwr,G18,_xlpm.monot,H18,_xlpm.dias,I18,_xlpm.reasons,IF(AND(_xlpm.acwr&lt;&gt;"—",OR(_xlpm.acwr&gt;1.3,_xlpm.acwr&lt;0.8)),"ACWR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8" s="86">
        <f t="array" ref="F18">IF(B18="","",IFERROR(_xlfn.LET(_xlpm.cur,J18,_xlpm.prev,SUMPRODUCT((tblCarga[Jogador]=B18)*(tblCarga[Microciclo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8" s="87">
        <f>IF(B18="","",IFERROR(J18/AVERAGE(P18,Q18,R18),"—"))</f>
        <v/>
      </c>
      <c r="H18" s="88">
        <f>IF(B18="","",IFERROR(INDEX(Monot_Strain!F$9:F$38,MATCH(B18,Monot_Strain!A$9:A$38,0)),0))</f>
        <v/>
      </c>
      <c r="I18" s="82">
        <f t="array" ref="I18">IF(B18="","",IFERROR(TODAY()-MAX(_xlfn._xlws.FILTER(tblCarga[Data],(tblCarga[Jogador]=B18)*(tblCarga[Nº ≥90% Vmáx]&gt;0))),999))</f>
        <v/>
      </c>
      <c r="J18" s="89">
        <f t="array" ref="J18">IF(B18="","",SUMPRODUCT((tblCarga[Jogador]=B18)*(tblCarga[Microciclo (Nr)]=$H$1)*(tblCarga[Tipo]="Treino")*tblCarga[PSE Sessão]*tblCarga[Duração (min)]))</f>
        <v/>
      </c>
      <c r="K18" s="82">
        <f t="array" ref="K18">IF(B18="","",IFERROR(SUMPRODUCT((tblCarga[Jogador]=B18)*(tblCarga[Microciclo (Nr)]=$H$1)*(tblCarga[Tipo]="Jogo")*tblCarga[Duração (min)]),0))</f>
        <v/>
      </c>
      <c r="L18" s="82">
        <f t="array" ref="L18">IF(B18="","",IFERROR(_xlfn.LET(_xlpm.mcs,_xlfn._xlws.SORT(_xlfn.UNIQUE(_xlfn._xlws.FILTER(tblCarga[Microciclo (Nr)],(tblCarga[Jogador]=B18)*(tblCarga[Tipo]="Jogo"))),,,-1),_xlpm.curMC,$H$1,_xlpm.streak,0,IF(ROWS(_xlpm.mcs)=0,0,SUMPRODUCT(--(_xlpm.mcs&gt;=_xlpm.curMC-ROWS(_xlpm.mcs)+1),--(_xlpm.mcs&lt;=_xlpm.curMC)))),0))</f>
        <v/>
      </c>
      <c r="M18" s="80">
        <f>IF(B18="","",IF(D18&gt;=7,"⚠️ Reduzir carga. Consultar staff médico.",IF(D18&gt;=4,"🔍 Monitorizar. Ajustar volume se necessário.","✅ Manter plano de treino.")))</f>
        <v/>
      </c>
      <c r="N18" s="81">
        <f>IF(B18="","",IF(S18&gt;R18,"▲ "&amp;ROUND(J18,0),IF(S18&lt;R18,"▼ "&amp;ROUND(J18,0),"→ "&amp;ROUND(J18,0))))</f>
        <v/>
      </c>
      <c r="O18" s="82">
        <f t="array" ref="O18">IF(B18="","",IFERROR(INDEX(tblCarga[Hooper Index],MATCH(1,(tblCarga[Jogador]=B18)*(tblCarga[Data]=_xlfn.MAXIFS(tblCarga[Data],tblCarga[Jogador],B18,tblCarga[Hooper Index],"&gt;0")),0)),"—"))</f>
        <v/>
      </c>
      <c r="P18" s="83">
        <f t="array" ref="P18">IF(B18="","",SUMPRODUCT((tblCarga[Jogador]=B18)*(tblCarga[Microciclo (Nr)]=($H$1-3))*(tblCarga[Tipo]="Treino")*tblCarga[PSE Sessão]*tblCarga[Duração (min)]))</f>
        <v/>
      </c>
      <c r="Q18" s="83">
        <f t="array" ref="Q18">IF(B18="","",SUMPRODUCT((tblCarga[Jogador]=B18)*(tblCarga[Microciclo (Nr)]=($H$1-2))*(tblCarga[Tipo]="Treino")*tblCarga[PSE Sessão]*tblCarga[Duração (min)]))</f>
        <v/>
      </c>
      <c r="R18" s="83">
        <f t="array" ref="R18">IF(B18="","",SUMPRODUCT((tblCarga[Jogador]=B18)*(tblCarga[Microciclo (Nr)]=($H$1-1))*(tblCarga[Tipo]="Treino")*tblCarga[PSE Sessão]*tblCarga[Duração (min)]))</f>
        <v/>
      </c>
      <c r="S18" s="83">
        <f>J18</f>
        <v/>
      </c>
      <c r="T18" s="84">
        <f>IF(B18="","",IFERROR(TODAY()-_xlfn.MAXIFS(tblCarga[Data],tblCarga[Jogador],B18,tblCarga[Tipo],"Jogo"),"—"))</f>
        <v/>
      </c>
    </row>
    <row r="19" ht="21" customHeight="1">
      <c r="A19" s="77">
        <f>IF(B19="","",ROW()-7)</f>
        <v/>
      </c>
      <c r="B19" s="85">
        <f t="array" ref="B19">IFERROR(IF(INDEX(_xlfn._xlws.SORT(_xlfn.UNIQUE(tblCarga[Jogador])),ROW()-7)=0,"",INDEX(_xlfn._xlws.SORT(_xlfn.UNIQUE(tblCarga[Jogador])),ROW()-7)),"")</f>
        <v/>
      </c>
      <c r="C19" s="78">
        <f>IF(B19="","",IF(D19&gt;=7,"🔴",IF(D19&gt;=4,"🟡","🟢")))</f>
        <v/>
      </c>
      <c r="D19" s="79">
        <f>IF(B19="","",_xlfn.LET(_xlpm.acwr,G19,_xlpm.monot,H19,_xlpm.dias,I19,_xlpm.tend,F19,_xlpm.cong,T19,_xlpm.hooper,O19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19" s="80">
        <f>IF(B19="","",IF(D19&lt;4,"✅ Sem alertas",_xlfn.LET(_xlpm.acwr,G19,_xlpm.monot,H19,_xlpm.dias,I19,_xlpm.reasons,IF(AND(_xlpm.acwr&lt;&gt;"—",OR(_xlpm.acwr&gt;1.3,_xlpm.acwr&lt;0.8)),"ACWR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19" s="86">
        <f t="array" ref="F19">IF(B19="","",IFERROR(_xlfn.LET(_xlpm.cur,J19,_xlpm.prev,SUMPRODUCT((tblCarga[Jogador]=B19)*(tblCarga[Microciclo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19" s="87">
        <f>IF(B19="","",IFERROR(J19/AVERAGE(P19,Q19,R19),"—"))</f>
        <v/>
      </c>
      <c r="H19" s="88">
        <f>IF(B19="","",IFERROR(INDEX(Monot_Strain!F$9:F$38,MATCH(B19,Monot_Strain!A$9:A$38,0)),0))</f>
        <v/>
      </c>
      <c r="I19" s="82">
        <f t="array" ref="I19">IF(B19="","",IFERROR(TODAY()-MAX(_xlfn._xlws.FILTER(tblCarga[Data],(tblCarga[Jogador]=B19)*(tblCarga[Nº ≥90% Vmáx]&gt;0))),999))</f>
        <v/>
      </c>
      <c r="J19" s="89">
        <f t="array" ref="J19">IF(B19="","",SUMPRODUCT((tblCarga[Jogador]=B19)*(tblCarga[Microciclo (Nr)]=$H$1)*(tblCarga[Tipo]="Treino")*tblCarga[PSE Sessão]*tblCarga[Duração (min)]))</f>
        <v/>
      </c>
      <c r="K19" s="82">
        <f t="array" ref="K19">IF(B19="","",IFERROR(SUMPRODUCT((tblCarga[Jogador]=B19)*(tblCarga[Microciclo (Nr)]=$H$1)*(tblCarga[Tipo]="Jogo")*tblCarga[Duração (min)]),0))</f>
        <v/>
      </c>
      <c r="L19" s="82">
        <f t="array" ref="L19">IF(B19="","",IFERROR(_xlfn.LET(_xlpm.mcs,_xlfn._xlws.SORT(_xlfn.UNIQUE(_xlfn._xlws.FILTER(tblCarga[Microciclo (Nr)],(tblCarga[Jogador]=B19)*(tblCarga[Tipo]="Jogo"))),,,-1),_xlpm.curMC,$H$1,_xlpm.streak,0,IF(ROWS(_xlpm.mcs)=0,0,SUMPRODUCT(--(_xlpm.mcs&gt;=_xlpm.curMC-ROWS(_xlpm.mcs)+1),--(_xlpm.mcs&lt;=_xlpm.curMC)))),0))</f>
        <v/>
      </c>
      <c r="M19" s="80">
        <f>IF(B19="","",IF(D19&gt;=7,"⚠️ Reduzir carga. Consultar staff médico.",IF(D19&gt;=4,"🔍 Monitorizar. Ajustar volume se necessário.","✅ Manter plano de treino.")))</f>
        <v/>
      </c>
      <c r="N19" s="81">
        <f>IF(B19="","",IF(S19&gt;R19,"▲ "&amp;ROUND(J19,0),IF(S19&lt;R19,"▼ "&amp;ROUND(J19,0),"→ "&amp;ROUND(J19,0))))</f>
        <v/>
      </c>
      <c r="O19" s="82">
        <f t="array" ref="O19">IF(B19="","",IFERROR(INDEX(tblCarga[Hooper Index],MATCH(1,(tblCarga[Jogador]=B19)*(tblCarga[Data]=_xlfn.MAXIFS(tblCarga[Data],tblCarga[Jogador],B19,tblCarga[Hooper Index],"&gt;0")),0)),"—"))</f>
        <v/>
      </c>
      <c r="P19" s="83">
        <f t="array" ref="P19">IF(B19="","",SUMPRODUCT((tblCarga[Jogador]=B19)*(tblCarga[Microciclo (Nr)]=($H$1-3))*(tblCarga[Tipo]="Treino")*tblCarga[PSE Sessão]*tblCarga[Duração (min)]))</f>
        <v/>
      </c>
      <c r="Q19" s="83">
        <f t="array" ref="Q19">IF(B19="","",SUMPRODUCT((tblCarga[Jogador]=B19)*(tblCarga[Microciclo (Nr)]=($H$1-2))*(tblCarga[Tipo]="Treino")*tblCarga[PSE Sessão]*tblCarga[Duração (min)]))</f>
        <v/>
      </c>
      <c r="R19" s="83">
        <f t="array" ref="R19">IF(B19="","",SUMPRODUCT((tblCarga[Jogador]=B19)*(tblCarga[Microciclo (Nr)]=($H$1-1))*(tblCarga[Tipo]="Treino")*tblCarga[PSE Sessão]*tblCarga[Duração (min)]))</f>
        <v/>
      </c>
      <c r="S19" s="83">
        <f>J19</f>
        <v/>
      </c>
      <c r="T19" s="84">
        <f>IF(B19="","",IFERROR(TODAY()-_xlfn.MAXIFS(tblCarga[Data],tblCarga[Jogador],B19,tblCarga[Tipo],"Jogo"),"—"))</f>
        <v/>
      </c>
    </row>
    <row r="20" ht="21" customHeight="1">
      <c r="A20" s="77">
        <f>IF(B20="","",ROW()-7)</f>
        <v/>
      </c>
      <c r="B20" s="85">
        <f t="array" ref="B20">IFERROR(IF(INDEX(_xlfn._xlws.SORT(_xlfn.UNIQUE(tblCarga[Jogador])),ROW()-7)=0,"",INDEX(_xlfn._xlws.SORT(_xlfn.UNIQUE(tblCarga[Jogador])),ROW()-7)),"")</f>
        <v/>
      </c>
      <c r="C20" s="78">
        <f>IF(B20="","",IF(D20&gt;=7,"🔴",IF(D20&gt;=4,"🟡","🟢")))</f>
        <v/>
      </c>
      <c r="D20" s="79">
        <f>IF(B20="","",_xlfn.LET(_xlpm.acwr,G20,_xlpm.monot,H20,_xlpm.dias,I20,_xlpm.tend,F20,_xlpm.cong,T20,_xlpm.hooper,O20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0" s="80">
        <f>IF(B20="","",IF(D20&lt;4,"✅ Sem alertas",_xlfn.LET(_xlpm.acwr,G20,_xlpm.monot,H20,_xlpm.dias,I20,_xlpm.reasons,IF(AND(_xlpm.acwr&lt;&gt;"—",OR(_xlpm.acwr&gt;1.3,_xlpm.acwr&lt;0.8)),"ACWR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0" s="86">
        <f t="array" ref="F20">IF(B20="","",IFERROR(_xlfn.LET(_xlpm.cur,J20,_xlpm.prev,SUMPRODUCT((tblCarga[Jogador]=B20)*(tblCarga[Microciclo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0" s="87">
        <f>IF(B20="","",IFERROR(J20/AVERAGE(P20,Q20,R20),"—"))</f>
        <v/>
      </c>
      <c r="H20" s="88">
        <f>IF(B20="","",IFERROR(INDEX(Monot_Strain!F$9:F$38,MATCH(B20,Monot_Strain!A$9:A$38,0)),0))</f>
        <v/>
      </c>
      <c r="I20" s="82">
        <f t="array" ref="I20">IF(B20="","",IFERROR(TODAY()-MAX(_xlfn._xlws.FILTER(tblCarga[Data],(tblCarga[Jogador]=B20)*(tblCarga[Nº ≥90% Vmáx]&gt;0))),999))</f>
        <v/>
      </c>
      <c r="J20" s="89">
        <f t="array" ref="J20">IF(B20="","",SUMPRODUCT((tblCarga[Jogador]=B20)*(tblCarga[Microciclo (Nr)]=$H$1)*(tblCarga[Tipo]="Treino")*tblCarga[PSE Sessão]*tblCarga[Duração (min)]))</f>
        <v/>
      </c>
      <c r="K20" s="82">
        <f t="array" ref="K20">IF(B20="","",IFERROR(SUMPRODUCT((tblCarga[Jogador]=B20)*(tblCarga[Microciclo (Nr)]=$H$1)*(tblCarga[Tipo]="Jogo")*tblCarga[Duração (min)]),0))</f>
        <v/>
      </c>
      <c r="L20" s="82">
        <f t="array" ref="L20">IF(B20="","",IFERROR(_xlfn.LET(_xlpm.mcs,_xlfn._xlws.SORT(_xlfn.UNIQUE(_xlfn._xlws.FILTER(tblCarga[Microciclo (Nr)],(tblCarga[Jogador]=B20)*(tblCarga[Tipo]="Jogo"))),,,-1),_xlpm.curMC,$H$1,_xlpm.streak,0,IF(ROWS(_xlpm.mcs)=0,0,SUMPRODUCT(--(_xlpm.mcs&gt;=_xlpm.curMC-ROWS(_xlpm.mcs)+1),--(_xlpm.mcs&lt;=_xlpm.curMC)))),0))</f>
        <v/>
      </c>
      <c r="M20" s="80">
        <f>IF(B20="","",IF(D20&gt;=7,"⚠️ Reduzir carga. Consultar staff médico.",IF(D20&gt;=4,"🔍 Monitorizar. Ajustar volume se necessário.","✅ Manter plano de treino.")))</f>
        <v/>
      </c>
      <c r="N20" s="81">
        <f>IF(B20="","",IF(S20&gt;R20,"▲ "&amp;ROUND(J20,0),IF(S20&lt;R20,"▼ "&amp;ROUND(J20,0),"→ "&amp;ROUND(J20,0))))</f>
        <v/>
      </c>
      <c r="O20" s="82">
        <f t="array" ref="O20">IF(B20="","",IFERROR(INDEX(tblCarga[Hooper Index],MATCH(1,(tblCarga[Jogador]=B20)*(tblCarga[Data]=_xlfn.MAXIFS(tblCarga[Data],tblCarga[Jogador],B20,tblCarga[Hooper Index],"&gt;0")),0)),"—"))</f>
        <v/>
      </c>
      <c r="P20" s="83">
        <f t="array" ref="P20">IF(B20="","",SUMPRODUCT((tblCarga[Jogador]=B20)*(tblCarga[Microciclo (Nr)]=($H$1-3))*(tblCarga[Tipo]="Treino")*tblCarga[PSE Sessão]*tblCarga[Duração (min)]))</f>
        <v/>
      </c>
      <c r="Q20" s="83">
        <f t="array" ref="Q20">IF(B20="","",SUMPRODUCT((tblCarga[Jogador]=B20)*(tblCarga[Microciclo (Nr)]=($H$1-2))*(tblCarga[Tipo]="Treino")*tblCarga[PSE Sessão]*tblCarga[Duração (min)]))</f>
        <v/>
      </c>
      <c r="R20" s="83">
        <f t="array" ref="R20">IF(B20="","",SUMPRODUCT((tblCarga[Jogador]=B20)*(tblCarga[Microciclo (Nr)]=($H$1-1))*(tblCarga[Tipo]="Treino")*tblCarga[PSE Sessão]*tblCarga[Duração (min)]))</f>
        <v/>
      </c>
      <c r="S20" s="83">
        <f>J20</f>
        <v/>
      </c>
      <c r="T20" s="84">
        <f>IF(B20="","",IFERROR(TODAY()-_xlfn.MAXIFS(tblCarga[Data],tblCarga[Jogador],B20,tblCarga[Tipo],"Jogo"),"—"))</f>
        <v/>
      </c>
    </row>
    <row r="21" ht="21" customHeight="1">
      <c r="A21" s="77">
        <f>IF(B21="","",ROW()-7)</f>
        <v/>
      </c>
      <c r="B21" s="85">
        <f t="array" ref="B21">IFERROR(IF(INDEX(_xlfn._xlws.SORT(_xlfn.UNIQUE(tblCarga[Jogador])),ROW()-7)=0,"",INDEX(_xlfn._xlws.SORT(_xlfn.UNIQUE(tblCarga[Jogador])),ROW()-7)),"")</f>
        <v/>
      </c>
      <c r="C21" s="78">
        <f>IF(B21="","",IF(D21&gt;=7,"🔴",IF(D21&gt;=4,"🟡","🟢")))</f>
        <v/>
      </c>
      <c r="D21" s="79">
        <f>IF(B21="","",_xlfn.LET(_xlpm.acwr,G21,_xlpm.monot,H21,_xlpm.dias,I21,_xlpm.tend,F21,_xlpm.cong,T21,_xlpm.hooper,O21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1" s="80">
        <f>IF(B21="","",IF(D21&lt;4,"✅ Sem alertas",_xlfn.LET(_xlpm.acwr,G21,_xlpm.monot,H21,_xlpm.dias,I21,_xlpm.reasons,IF(AND(_xlpm.acwr&lt;&gt;"—",OR(_xlpm.acwr&gt;1.3,_xlpm.acwr&lt;0.8)),"ACWR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1" s="86">
        <f t="array" ref="F21">IF(B21="","",IFERROR(_xlfn.LET(_xlpm.cur,J21,_xlpm.prev,SUMPRODUCT((tblCarga[Jogador]=B21)*(tblCarga[Microciclo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1" s="87">
        <f>IF(B21="","",IFERROR(J21/AVERAGE(P21,Q21,R21),"—"))</f>
        <v/>
      </c>
      <c r="H21" s="88">
        <f>IF(B21="","",IFERROR(INDEX(Monot_Strain!F$9:F$38,MATCH(B21,Monot_Strain!A$9:A$38,0)),0))</f>
        <v/>
      </c>
      <c r="I21" s="82">
        <f t="array" ref="I21">IF(B21="","",IFERROR(TODAY()-MAX(_xlfn._xlws.FILTER(tblCarga[Data],(tblCarga[Jogador]=B21)*(tblCarga[Nº ≥90% Vmáx]&gt;0))),999))</f>
        <v/>
      </c>
      <c r="J21" s="89">
        <f t="array" ref="J21">IF(B21="","",SUMPRODUCT((tblCarga[Jogador]=B21)*(tblCarga[Microciclo (Nr)]=$H$1)*(tblCarga[Tipo]="Treino")*tblCarga[PSE Sessão]*tblCarga[Duração (min)]))</f>
        <v/>
      </c>
      <c r="K21" s="82">
        <f t="array" ref="K21">IF(B21="","",IFERROR(SUMPRODUCT((tblCarga[Jogador]=B21)*(tblCarga[Microciclo (Nr)]=$H$1)*(tblCarga[Tipo]="Jogo")*tblCarga[Duração (min)]),0))</f>
        <v/>
      </c>
      <c r="L21" s="82">
        <f t="array" ref="L21">IF(B21="","",IFERROR(_xlfn.LET(_xlpm.mcs,_xlfn._xlws.SORT(_xlfn.UNIQUE(_xlfn._xlws.FILTER(tblCarga[Microciclo (Nr)],(tblCarga[Jogador]=B21)*(tblCarga[Tipo]="Jogo"))),,,-1),_xlpm.curMC,$H$1,_xlpm.streak,0,IF(ROWS(_xlpm.mcs)=0,0,SUMPRODUCT(--(_xlpm.mcs&gt;=_xlpm.curMC-ROWS(_xlpm.mcs)+1),--(_xlpm.mcs&lt;=_xlpm.curMC)))),0))</f>
        <v/>
      </c>
      <c r="M21" s="80">
        <f>IF(B21="","",IF(D21&gt;=7,"⚠️ Reduzir carga. Consultar staff médico.",IF(D21&gt;=4,"🔍 Monitorizar. Ajustar volume se necessário.","✅ Manter plano de treino.")))</f>
        <v/>
      </c>
      <c r="N21" s="81">
        <f>IF(B21="","",IF(S21&gt;R21,"▲ "&amp;ROUND(J21,0),IF(S21&lt;R21,"▼ "&amp;ROUND(J21,0),"→ "&amp;ROUND(J21,0))))</f>
        <v/>
      </c>
      <c r="O21" s="82">
        <f t="array" ref="O21">IF(B21="","",IFERROR(INDEX(tblCarga[Hooper Index],MATCH(1,(tblCarga[Jogador]=B21)*(tblCarga[Data]=_xlfn.MAXIFS(tblCarga[Data],tblCarga[Jogador],B21,tblCarga[Hooper Index],"&gt;0")),0)),"—"))</f>
        <v/>
      </c>
      <c r="P21" s="83">
        <f t="array" ref="P21">IF(B21="","",SUMPRODUCT((tblCarga[Jogador]=B21)*(tblCarga[Microciclo (Nr)]=($H$1-3))*(tblCarga[Tipo]="Treino")*tblCarga[PSE Sessão]*tblCarga[Duração (min)]))</f>
        <v/>
      </c>
      <c r="Q21" s="83">
        <f t="array" ref="Q21">IF(B21="","",SUMPRODUCT((tblCarga[Jogador]=B21)*(tblCarga[Microciclo (Nr)]=($H$1-2))*(tblCarga[Tipo]="Treino")*tblCarga[PSE Sessão]*tblCarga[Duração (min)]))</f>
        <v/>
      </c>
      <c r="R21" s="83">
        <f t="array" ref="R21">IF(B21="","",SUMPRODUCT((tblCarga[Jogador]=B21)*(tblCarga[Microciclo (Nr)]=($H$1-1))*(tblCarga[Tipo]="Treino")*tblCarga[PSE Sessão]*tblCarga[Duração (min)]))</f>
        <v/>
      </c>
      <c r="S21" s="83">
        <f>J21</f>
        <v/>
      </c>
      <c r="T21" s="84">
        <f>IF(B21="","",IFERROR(TODAY()-_xlfn.MAXIFS(tblCarga[Data],tblCarga[Jogador],B21,tblCarga[Tipo],"Jogo"),"—"))</f>
        <v/>
      </c>
    </row>
    <row r="22" ht="21" customHeight="1">
      <c r="A22" s="77">
        <f>IF(B22="","",ROW()-7)</f>
        <v/>
      </c>
      <c r="B22" s="85">
        <f t="array" ref="B22">IFERROR(IF(INDEX(_xlfn._xlws.SORT(_xlfn.UNIQUE(tblCarga[Jogador])),ROW()-7)=0,"",INDEX(_xlfn._xlws.SORT(_xlfn.UNIQUE(tblCarga[Jogador])),ROW()-7)),"")</f>
        <v/>
      </c>
      <c r="C22" s="78">
        <f>IF(B22="","",IF(D22&gt;=7,"🔴",IF(D22&gt;=4,"🟡","🟢")))</f>
        <v/>
      </c>
      <c r="D22" s="79">
        <f>IF(B22="","",_xlfn.LET(_xlpm.acwr,G22,_xlpm.monot,H22,_xlpm.dias,I22,_xlpm.tend,F22,_xlpm.cong,T22,_xlpm.hooper,O22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2" s="80">
        <f>IF(B22="","",IF(D22&lt;4,"✅ Sem alertas",_xlfn.LET(_xlpm.acwr,G22,_xlpm.monot,H22,_xlpm.dias,I22,_xlpm.reasons,IF(AND(_xlpm.acwr&lt;&gt;"—",OR(_xlpm.acwr&gt;1.3,_xlpm.acwr&lt;0.8)),"ACWR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2" s="86">
        <f t="array" ref="F22">IF(B22="","",IFERROR(_xlfn.LET(_xlpm.cur,J22,_xlpm.prev,SUMPRODUCT((tblCarga[Jogador]=B22)*(tblCarga[Microciclo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2" s="87">
        <f>IF(B22="","",IFERROR(J22/AVERAGE(P22,Q22,R22),"—"))</f>
        <v/>
      </c>
      <c r="H22" s="88">
        <f>IF(B22="","",IFERROR(INDEX(Monot_Strain!F$9:F$38,MATCH(B22,Monot_Strain!A$9:A$38,0)),0))</f>
        <v/>
      </c>
      <c r="I22" s="82">
        <f t="array" ref="I22">IF(B22="","",IFERROR(TODAY()-MAX(_xlfn._xlws.FILTER(tblCarga[Data],(tblCarga[Jogador]=B22)*(tblCarga[Nº ≥90% Vmáx]&gt;0))),999))</f>
        <v/>
      </c>
      <c r="J22" s="89">
        <f t="array" ref="J22">IF(B22="","",SUMPRODUCT((tblCarga[Jogador]=B22)*(tblCarga[Microciclo (Nr)]=$H$1)*(tblCarga[Tipo]="Treino")*tblCarga[PSE Sessão]*tblCarga[Duração (min)]))</f>
        <v/>
      </c>
      <c r="K22" s="82">
        <f t="array" ref="K22">IF(B22="","",IFERROR(SUMPRODUCT((tblCarga[Jogador]=B22)*(tblCarga[Microciclo (Nr)]=$H$1)*(tblCarga[Tipo]="Jogo")*tblCarga[Duração (min)]),0))</f>
        <v/>
      </c>
      <c r="L22" s="82">
        <f t="array" ref="L22">IF(B22="","",IFERROR(_xlfn.LET(_xlpm.mcs,_xlfn._xlws.SORT(_xlfn.UNIQUE(_xlfn._xlws.FILTER(tblCarga[Microciclo (Nr)],(tblCarga[Jogador]=B22)*(tblCarga[Tipo]="Jogo"))),,,-1),_xlpm.curMC,$H$1,_xlpm.streak,0,IF(ROWS(_xlpm.mcs)=0,0,SUMPRODUCT(--(_xlpm.mcs&gt;=_xlpm.curMC-ROWS(_xlpm.mcs)+1),--(_xlpm.mcs&lt;=_xlpm.curMC)))),0))</f>
        <v/>
      </c>
      <c r="M22" s="80">
        <f>IF(B22="","",IF(D22&gt;=7,"⚠️ Reduzir carga. Consultar staff médico.",IF(D22&gt;=4,"🔍 Monitorizar. Ajustar volume se necessário.","✅ Manter plano de treino.")))</f>
        <v/>
      </c>
      <c r="N22" s="81">
        <f>IF(B22="","",IF(S22&gt;R22,"▲ "&amp;ROUND(J22,0),IF(S22&lt;R22,"▼ "&amp;ROUND(J22,0),"→ "&amp;ROUND(J22,0))))</f>
        <v/>
      </c>
      <c r="O22" s="82">
        <f t="array" ref="O22">IF(B22="","",IFERROR(INDEX(tblCarga[Hooper Index],MATCH(1,(tblCarga[Jogador]=B22)*(tblCarga[Data]=_xlfn.MAXIFS(tblCarga[Data],tblCarga[Jogador],B22,tblCarga[Hooper Index],"&gt;0")),0)),"—"))</f>
        <v/>
      </c>
      <c r="P22" s="83">
        <f t="array" ref="P22">IF(B22="","",SUMPRODUCT((tblCarga[Jogador]=B22)*(tblCarga[Microciclo (Nr)]=($H$1-3))*(tblCarga[Tipo]="Treino")*tblCarga[PSE Sessão]*tblCarga[Duração (min)]))</f>
        <v/>
      </c>
      <c r="Q22" s="83">
        <f t="array" ref="Q22">IF(B22="","",SUMPRODUCT((tblCarga[Jogador]=B22)*(tblCarga[Microciclo (Nr)]=($H$1-2))*(tblCarga[Tipo]="Treino")*tblCarga[PSE Sessão]*tblCarga[Duração (min)]))</f>
        <v/>
      </c>
      <c r="R22" s="83">
        <f t="array" ref="R22">IF(B22="","",SUMPRODUCT((tblCarga[Jogador]=B22)*(tblCarga[Microciclo (Nr)]=($H$1-1))*(tblCarga[Tipo]="Treino")*tblCarga[PSE Sessão]*tblCarga[Duração (min)]))</f>
        <v/>
      </c>
      <c r="S22" s="83">
        <f>J22</f>
        <v/>
      </c>
      <c r="T22" s="84">
        <f>IF(B22="","",IFERROR(TODAY()-_xlfn.MAXIFS(tblCarga[Data],tblCarga[Jogador],B22,tblCarga[Tipo],"Jogo"),"—"))</f>
        <v/>
      </c>
    </row>
    <row r="23" ht="21" customHeight="1">
      <c r="A23" s="77">
        <f>IF(B23="","",ROW()-7)</f>
        <v/>
      </c>
      <c r="B23" s="85">
        <f t="array" ref="B23">IFERROR(IF(INDEX(_xlfn._xlws.SORT(_xlfn.UNIQUE(tblCarga[Jogador])),ROW()-7)=0,"",INDEX(_xlfn._xlws.SORT(_xlfn.UNIQUE(tblCarga[Jogador])),ROW()-7)),"")</f>
        <v/>
      </c>
      <c r="C23" s="78">
        <f>IF(B23="","",IF(D23&gt;=7,"🔴",IF(D23&gt;=4,"🟡","🟢")))</f>
        <v/>
      </c>
      <c r="D23" s="79">
        <f>IF(B23="","",_xlfn.LET(_xlpm.acwr,G23,_xlpm.monot,H23,_xlpm.dias,I23,_xlpm.tend,F23,_xlpm.cong,T23,_xlpm.hooper,O23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3" s="80">
        <f>IF(B23="","",IF(D23&lt;4,"✅ Sem alertas",_xlfn.LET(_xlpm.acwr,G23,_xlpm.monot,H23,_xlpm.dias,I23,_xlpm.reasons,IF(AND(_xlpm.acwr&lt;&gt;"—",OR(_xlpm.acwr&gt;1.3,_xlpm.acwr&lt;0.8)),"ACWR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3" s="86">
        <f t="array" ref="F23">IF(B23="","",IFERROR(_xlfn.LET(_xlpm.cur,J23,_xlpm.prev,SUMPRODUCT((tblCarga[Jogador]=B23)*(tblCarga[Microciclo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3" s="87">
        <f>IF(B23="","",IFERROR(J23/AVERAGE(P23,Q23,R23),"—"))</f>
        <v/>
      </c>
      <c r="H23" s="88">
        <f>IF(B23="","",IFERROR(INDEX(Monot_Strain!F$9:F$38,MATCH(B23,Monot_Strain!A$9:A$38,0)),0))</f>
        <v/>
      </c>
      <c r="I23" s="82">
        <f t="array" ref="I23">IF(B23="","",IFERROR(TODAY()-MAX(_xlfn._xlws.FILTER(tblCarga[Data],(tblCarga[Jogador]=B23)*(tblCarga[Nº ≥90% Vmáx]&gt;0))),999))</f>
        <v/>
      </c>
      <c r="J23" s="89">
        <f t="array" ref="J23">IF(B23="","",SUMPRODUCT((tblCarga[Jogador]=B23)*(tblCarga[Microciclo (Nr)]=$H$1)*(tblCarga[Tipo]="Treino")*tblCarga[PSE Sessão]*tblCarga[Duração (min)]))</f>
        <v/>
      </c>
      <c r="K23" s="82">
        <f t="array" ref="K23">IF(B23="","",IFERROR(SUMPRODUCT((tblCarga[Jogador]=B23)*(tblCarga[Microciclo (Nr)]=$H$1)*(tblCarga[Tipo]="Jogo")*tblCarga[Duração (min)]),0))</f>
        <v/>
      </c>
      <c r="L23" s="82">
        <f t="array" ref="L23">IF(B23="","",IFERROR(_xlfn.LET(_xlpm.mcs,_xlfn._xlws.SORT(_xlfn.UNIQUE(_xlfn._xlws.FILTER(tblCarga[Microciclo (Nr)],(tblCarga[Jogador]=B23)*(tblCarga[Tipo]="Jogo"))),,,-1),_xlpm.curMC,$H$1,_xlpm.streak,0,IF(ROWS(_xlpm.mcs)=0,0,SUMPRODUCT(--(_xlpm.mcs&gt;=_xlpm.curMC-ROWS(_xlpm.mcs)+1),--(_xlpm.mcs&lt;=_xlpm.curMC)))),0))</f>
        <v/>
      </c>
      <c r="M23" s="80">
        <f>IF(B23="","",IF(D23&gt;=7,"⚠️ Reduzir carga. Consultar staff médico.",IF(D23&gt;=4,"🔍 Monitorizar. Ajustar volume se necessário.","✅ Manter plano de treino.")))</f>
        <v/>
      </c>
      <c r="N23" s="81">
        <f>IF(B23="","",IF(S23&gt;R23,"▲ "&amp;ROUND(J23,0),IF(S23&lt;R23,"▼ "&amp;ROUND(J23,0),"→ "&amp;ROUND(J23,0))))</f>
        <v/>
      </c>
      <c r="O23" s="82">
        <f t="array" ref="O23">IF(B23="","",IFERROR(INDEX(tblCarga[Hooper Index],MATCH(1,(tblCarga[Jogador]=B23)*(tblCarga[Data]=_xlfn.MAXIFS(tblCarga[Data],tblCarga[Jogador],B23,tblCarga[Hooper Index],"&gt;0")),0)),"—"))</f>
        <v/>
      </c>
      <c r="P23" s="83">
        <f t="array" ref="P23">IF(B23="","",SUMPRODUCT((tblCarga[Jogador]=B23)*(tblCarga[Microciclo (Nr)]=($H$1-3))*(tblCarga[Tipo]="Treino")*tblCarga[PSE Sessão]*tblCarga[Duração (min)]))</f>
        <v/>
      </c>
      <c r="Q23" s="83">
        <f t="array" ref="Q23">IF(B23="","",SUMPRODUCT((tblCarga[Jogador]=B23)*(tblCarga[Microciclo (Nr)]=($H$1-2))*(tblCarga[Tipo]="Treino")*tblCarga[PSE Sessão]*tblCarga[Duração (min)]))</f>
        <v/>
      </c>
      <c r="R23" s="83">
        <f t="array" ref="R23">IF(B23="","",SUMPRODUCT((tblCarga[Jogador]=B23)*(tblCarga[Microciclo (Nr)]=($H$1-1))*(tblCarga[Tipo]="Treino")*tblCarga[PSE Sessão]*tblCarga[Duração (min)]))</f>
        <v/>
      </c>
      <c r="S23" s="83">
        <f>J23</f>
        <v/>
      </c>
      <c r="T23" s="84">
        <f>IF(B23="","",IFERROR(TODAY()-_xlfn.MAXIFS(tblCarga[Data],tblCarga[Jogador],B23,tblCarga[Tipo],"Jogo"),"—"))</f>
        <v/>
      </c>
    </row>
    <row r="24" ht="21" customHeight="1">
      <c r="A24" s="77">
        <f>IF(B24="","",ROW()-7)</f>
        <v/>
      </c>
      <c r="B24" s="85">
        <f t="array" ref="B24">IFERROR(IF(INDEX(_xlfn._xlws.SORT(_xlfn.UNIQUE(tblCarga[Jogador])),ROW()-7)=0,"",INDEX(_xlfn._xlws.SORT(_xlfn.UNIQUE(tblCarga[Jogador])),ROW()-7)),"")</f>
        <v/>
      </c>
      <c r="C24" s="78">
        <f>IF(B24="","",IF(D24&gt;=7,"🔴",IF(D24&gt;=4,"🟡","🟢")))</f>
        <v/>
      </c>
      <c r="D24" s="79">
        <f>IF(B24="","",_xlfn.LET(_xlpm.acwr,G24,_xlpm.monot,H24,_xlpm.dias,I24,_xlpm.tend,F24,_xlpm.cong,T24,_xlpm.hooper,O24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4" s="80">
        <f>IF(B24="","",IF(D24&lt;4,"✅ Sem alertas",_xlfn.LET(_xlpm.acwr,G24,_xlpm.monot,H24,_xlpm.dias,I24,_xlpm.reasons,IF(AND(_xlpm.acwr&lt;&gt;"—",OR(_xlpm.acwr&gt;1.3,_xlpm.acwr&lt;0.8)),"ACWR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4" s="86">
        <f t="array" ref="F24">IF(B24="","",IFERROR(_xlfn.LET(_xlpm.cur,J24,_xlpm.prev,SUMPRODUCT((tblCarga[Jogador]=B24)*(tblCarga[Microciclo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4" s="87">
        <f>IF(B24="","",IFERROR(J24/AVERAGE(P24,Q24,R24),"—"))</f>
        <v/>
      </c>
      <c r="H24" s="88">
        <f>IF(B24="","",IFERROR(INDEX(Monot_Strain!F$9:F$38,MATCH(B24,Monot_Strain!A$9:A$38,0)),0))</f>
        <v/>
      </c>
      <c r="I24" s="82">
        <f t="array" ref="I24">IF(B24="","",IFERROR(TODAY()-MAX(_xlfn._xlws.FILTER(tblCarga[Data],(tblCarga[Jogador]=B24)*(tblCarga[Nº ≥90% Vmáx]&gt;0))),999))</f>
        <v/>
      </c>
      <c r="J24" s="89">
        <f t="array" ref="J24">IF(B24="","",SUMPRODUCT((tblCarga[Jogador]=B24)*(tblCarga[Microciclo (Nr)]=$H$1)*(tblCarga[Tipo]="Treino")*tblCarga[PSE Sessão]*tblCarga[Duração (min)]))</f>
        <v/>
      </c>
      <c r="K24" s="82">
        <f t="array" ref="K24">IF(B24="","",IFERROR(SUMPRODUCT((tblCarga[Jogador]=B24)*(tblCarga[Microciclo (Nr)]=$H$1)*(tblCarga[Tipo]="Jogo")*tblCarga[Duração (min)]),0))</f>
        <v/>
      </c>
      <c r="L24" s="82">
        <f t="array" ref="L24">IF(B24="","",IFERROR(_xlfn.LET(_xlpm.mcs,_xlfn._xlws.SORT(_xlfn.UNIQUE(_xlfn._xlws.FILTER(tblCarga[Microciclo (Nr)],(tblCarga[Jogador]=B24)*(tblCarga[Tipo]="Jogo"))),,,-1),_xlpm.curMC,$H$1,_xlpm.streak,0,IF(ROWS(_xlpm.mcs)=0,0,SUMPRODUCT(--(_xlpm.mcs&gt;=_xlpm.curMC-ROWS(_xlpm.mcs)+1),--(_xlpm.mcs&lt;=_xlpm.curMC)))),0))</f>
        <v/>
      </c>
      <c r="M24" s="80">
        <f>IF(B24="","",IF(D24&gt;=7,"⚠️ Reduzir carga. Consultar staff médico.",IF(D24&gt;=4,"🔍 Monitorizar. Ajustar volume se necessário.","✅ Manter plano de treino.")))</f>
        <v/>
      </c>
      <c r="N24" s="81">
        <f>IF(B24="","",IF(S24&gt;R24,"▲ "&amp;ROUND(J24,0),IF(S24&lt;R24,"▼ "&amp;ROUND(J24,0),"→ "&amp;ROUND(J24,0))))</f>
        <v/>
      </c>
      <c r="O24" s="82">
        <f t="array" ref="O24">IF(B24="","",IFERROR(INDEX(tblCarga[Hooper Index],MATCH(1,(tblCarga[Jogador]=B24)*(tblCarga[Data]=_xlfn.MAXIFS(tblCarga[Data],tblCarga[Jogador],B24,tblCarga[Hooper Index],"&gt;0")),0)),"—"))</f>
        <v/>
      </c>
      <c r="P24" s="83">
        <f t="array" ref="P24">IF(B24="","",SUMPRODUCT((tblCarga[Jogador]=B24)*(tblCarga[Microciclo (Nr)]=($H$1-3))*(tblCarga[Tipo]="Treino")*tblCarga[PSE Sessão]*tblCarga[Duração (min)]))</f>
        <v/>
      </c>
      <c r="Q24" s="83">
        <f t="array" ref="Q24">IF(B24="","",SUMPRODUCT((tblCarga[Jogador]=B24)*(tblCarga[Microciclo (Nr)]=($H$1-2))*(tblCarga[Tipo]="Treino")*tblCarga[PSE Sessão]*tblCarga[Duração (min)]))</f>
        <v/>
      </c>
      <c r="R24" s="83">
        <f t="array" ref="R24">IF(B24="","",SUMPRODUCT((tblCarga[Jogador]=B24)*(tblCarga[Microciclo (Nr)]=($H$1-1))*(tblCarga[Tipo]="Treino")*tblCarga[PSE Sessão]*tblCarga[Duração (min)]))</f>
        <v/>
      </c>
      <c r="S24" s="83">
        <f>J24</f>
        <v/>
      </c>
      <c r="T24" s="84">
        <f>IF(B24="","",IFERROR(TODAY()-_xlfn.MAXIFS(tblCarga[Data],tblCarga[Jogador],B24,tblCarga[Tipo],"Jogo"),"—"))</f>
        <v/>
      </c>
    </row>
    <row r="25" ht="21" customHeight="1">
      <c r="A25" s="77">
        <f>IF(B25="","",ROW()-7)</f>
        <v/>
      </c>
      <c r="B25" s="85">
        <f t="array" ref="B25">IFERROR(IF(INDEX(_xlfn._xlws.SORT(_xlfn.UNIQUE(tblCarga[Jogador])),ROW()-7)=0,"",INDEX(_xlfn._xlws.SORT(_xlfn.UNIQUE(tblCarga[Jogador])),ROW()-7)),"")</f>
        <v/>
      </c>
      <c r="C25" s="78">
        <f>IF(B25="","",IF(D25&gt;=7,"🔴",IF(D25&gt;=4,"🟡","🟢")))</f>
        <v/>
      </c>
      <c r="D25" s="79">
        <f>IF(B25="","",_xlfn.LET(_xlpm.acwr,G25,_xlpm.monot,H25,_xlpm.dias,I25,_xlpm.tend,F25,_xlpm.cong,T25,_xlpm.hooper,O25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5" s="80">
        <f>IF(B25="","",IF(D25&lt;4,"✅ Sem alertas",_xlfn.LET(_xlpm.acwr,G25,_xlpm.monot,H25,_xlpm.dias,I25,_xlpm.reasons,IF(AND(_xlpm.acwr&lt;&gt;"—",OR(_xlpm.acwr&gt;1.3,_xlpm.acwr&lt;0.8)),"ACWR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5" s="86">
        <f t="array" ref="F25">IF(B25="","",IFERROR(_xlfn.LET(_xlpm.cur,J25,_xlpm.prev,SUMPRODUCT((tblCarga[Jogador]=B25)*(tblCarga[Microciclo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5" s="87">
        <f>IF(B25="","",IFERROR(J25/AVERAGE(P25,Q25,R25),"—"))</f>
        <v/>
      </c>
      <c r="H25" s="88">
        <f>IF(B25="","",IFERROR(INDEX(Monot_Strain!F$9:F$38,MATCH(B25,Monot_Strain!A$9:A$38,0)),0))</f>
        <v/>
      </c>
      <c r="I25" s="82">
        <f t="array" ref="I25">IF(B25="","",IFERROR(TODAY()-MAX(_xlfn._xlws.FILTER(tblCarga[Data],(tblCarga[Jogador]=B25)*(tblCarga[Nº ≥90% Vmáx]&gt;0))),999))</f>
        <v/>
      </c>
      <c r="J25" s="89">
        <f t="array" ref="J25">IF(B25="","",SUMPRODUCT((tblCarga[Jogador]=B25)*(tblCarga[Microciclo (Nr)]=$H$1)*(tblCarga[Tipo]="Treino")*tblCarga[PSE Sessão]*tblCarga[Duração (min)]))</f>
        <v/>
      </c>
      <c r="K25" s="82">
        <f t="array" ref="K25">IF(B25="","",IFERROR(SUMPRODUCT((tblCarga[Jogador]=B25)*(tblCarga[Microciclo (Nr)]=$H$1)*(tblCarga[Tipo]="Jogo")*tblCarga[Duração (min)]),0))</f>
        <v/>
      </c>
      <c r="L25" s="82">
        <f t="array" ref="L25">IF(B25="","",IFERROR(_xlfn.LET(_xlpm.mcs,_xlfn._xlws.SORT(_xlfn.UNIQUE(_xlfn._xlws.FILTER(tblCarga[Microciclo (Nr)],(tblCarga[Jogador]=B25)*(tblCarga[Tipo]="Jogo"))),,,-1),_xlpm.curMC,$H$1,_xlpm.streak,0,IF(ROWS(_xlpm.mcs)=0,0,SUMPRODUCT(--(_xlpm.mcs&gt;=_xlpm.curMC-ROWS(_xlpm.mcs)+1),--(_xlpm.mcs&lt;=_xlpm.curMC)))),0))</f>
        <v/>
      </c>
      <c r="M25" s="80">
        <f>IF(B25="","",IF(D25&gt;=7,"⚠️ Reduzir carga. Consultar staff médico.",IF(D25&gt;=4,"🔍 Monitorizar. Ajustar volume se necessário.","✅ Manter plano de treino.")))</f>
        <v/>
      </c>
      <c r="N25" s="81">
        <f>IF(B25="","",IF(S25&gt;R25,"▲ "&amp;ROUND(J25,0),IF(S25&lt;R25,"▼ "&amp;ROUND(J25,0),"→ "&amp;ROUND(J25,0))))</f>
        <v/>
      </c>
      <c r="O25" s="82">
        <f t="array" ref="O25">IF(B25="","",IFERROR(INDEX(tblCarga[Hooper Index],MATCH(1,(tblCarga[Jogador]=B25)*(tblCarga[Data]=_xlfn.MAXIFS(tblCarga[Data],tblCarga[Jogador],B25,tblCarga[Hooper Index],"&gt;0")),0)),"—"))</f>
        <v/>
      </c>
      <c r="P25" s="83">
        <f t="array" ref="P25">IF(B25="","",SUMPRODUCT((tblCarga[Jogador]=B25)*(tblCarga[Microciclo (Nr)]=($H$1-3))*(tblCarga[Tipo]="Treino")*tblCarga[PSE Sessão]*tblCarga[Duração (min)]))</f>
        <v/>
      </c>
      <c r="Q25" s="83">
        <f t="array" ref="Q25">IF(B25="","",SUMPRODUCT((tblCarga[Jogador]=B25)*(tblCarga[Microciclo (Nr)]=($H$1-2))*(tblCarga[Tipo]="Treino")*tblCarga[PSE Sessão]*tblCarga[Duração (min)]))</f>
        <v/>
      </c>
      <c r="R25" s="83">
        <f t="array" ref="R25">IF(B25="","",SUMPRODUCT((tblCarga[Jogador]=B25)*(tblCarga[Microciclo (Nr)]=($H$1-1))*(tblCarga[Tipo]="Treino")*tblCarga[PSE Sessão]*tblCarga[Duração (min)]))</f>
        <v/>
      </c>
      <c r="S25" s="83">
        <f>J25</f>
        <v/>
      </c>
      <c r="T25" s="84">
        <f>IF(B25="","",IFERROR(TODAY()-_xlfn.MAXIFS(tblCarga[Data],tblCarga[Jogador],B25,tblCarga[Tipo],"Jogo"),"—"))</f>
        <v/>
      </c>
    </row>
    <row r="26" ht="21" customHeight="1">
      <c r="A26" s="77">
        <f>IF(B26="","",ROW()-7)</f>
        <v/>
      </c>
      <c r="B26" s="85">
        <f t="array" ref="B26">IFERROR(IF(INDEX(_xlfn._xlws.SORT(_xlfn.UNIQUE(tblCarga[Jogador])),ROW()-7)=0,"",INDEX(_xlfn._xlws.SORT(_xlfn.UNIQUE(tblCarga[Jogador])),ROW()-7)),"")</f>
        <v/>
      </c>
      <c r="C26" s="78">
        <f>IF(B26="","",IF(D26&gt;=7,"🔴",IF(D26&gt;=4,"🟡","🟢")))</f>
        <v/>
      </c>
      <c r="D26" s="79">
        <f>IF(B26="","",_xlfn.LET(_xlpm.acwr,G26,_xlpm.monot,H26,_xlpm.dias,I26,_xlpm.tend,F26,_xlpm.cong,T26,_xlpm.hooper,O26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6" s="80">
        <f>IF(B26="","",IF(D26&lt;4,"✅ Sem alertas",_xlfn.LET(_xlpm.acwr,G26,_xlpm.monot,H26,_xlpm.dias,I26,_xlpm.reasons,IF(AND(_xlpm.acwr&lt;&gt;"—",OR(_xlpm.acwr&gt;1.3,_xlpm.acwr&lt;0.8)),"ACWR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6" s="86">
        <f t="array" ref="F26">IF(B26="","",IFERROR(_xlfn.LET(_xlpm.cur,J26,_xlpm.prev,SUMPRODUCT((tblCarga[Jogador]=B26)*(tblCarga[Microciclo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6" s="87">
        <f>IF(B26="","",IFERROR(J26/AVERAGE(P26,Q26,R26),"—"))</f>
        <v/>
      </c>
      <c r="H26" s="88">
        <f>IF(B26="","",IFERROR(INDEX(Monot_Strain!F$9:F$38,MATCH(B26,Monot_Strain!A$9:A$38,0)),0))</f>
        <v/>
      </c>
      <c r="I26" s="82">
        <f t="array" ref="I26">IF(B26="","",IFERROR(TODAY()-MAX(_xlfn._xlws.FILTER(tblCarga[Data],(tblCarga[Jogador]=B26)*(tblCarga[Nº ≥90% Vmáx]&gt;0))),999))</f>
        <v/>
      </c>
      <c r="J26" s="89">
        <f t="array" ref="J26">IF(B26="","",SUMPRODUCT((tblCarga[Jogador]=B26)*(tblCarga[Microciclo (Nr)]=$H$1)*(tblCarga[Tipo]="Treino")*tblCarga[PSE Sessão]*tblCarga[Duração (min)]))</f>
        <v/>
      </c>
      <c r="K26" s="82">
        <f t="array" ref="K26">IF(B26="","",IFERROR(SUMPRODUCT((tblCarga[Jogador]=B26)*(tblCarga[Microciclo (Nr)]=$H$1)*(tblCarga[Tipo]="Jogo")*tblCarga[Duração (min)]),0))</f>
        <v/>
      </c>
      <c r="L26" s="82">
        <f t="array" ref="L26">IF(B26="","",IFERROR(_xlfn.LET(_xlpm.mcs,_xlfn._xlws.SORT(_xlfn.UNIQUE(_xlfn._xlws.FILTER(tblCarga[Microciclo (Nr)],(tblCarga[Jogador]=B26)*(tblCarga[Tipo]="Jogo"))),,,-1),_xlpm.curMC,$H$1,_xlpm.streak,0,IF(ROWS(_xlpm.mcs)=0,0,SUMPRODUCT(--(_xlpm.mcs&gt;=_xlpm.curMC-ROWS(_xlpm.mcs)+1),--(_xlpm.mcs&lt;=_xlpm.curMC)))),0))</f>
        <v/>
      </c>
      <c r="M26" s="80">
        <f>IF(B26="","",IF(D26&gt;=7,"⚠️ Reduzir carga. Consultar staff médico.",IF(D26&gt;=4,"🔍 Monitorizar. Ajustar volume se necessário.","✅ Manter plano de treino.")))</f>
        <v/>
      </c>
      <c r="N26" s="81">
        <f>IF(B26="","",IF(S26&gt;R26,"▲ "&amp;ROUND(J26,0),IF(S26&lt;R26,"▼ "&amp;ROUND(J26,0),"→ "&amp;ROUND(J26,0))))</f>
        <v/>
      </c>
      <c r="O26" s="82">
        <f t="array" ref="O26">IF(B26="","",IFERROR(INDEX(tblCarga[Hooper Index],MATCH(1,(tblCarga[Jogador]=B26)*(tblCarga[Data]=_xlfn.MAXIFS(tblCarga[Data],tblCarga[Jogador],B26,tblCarga[Hooper Index],"&gt;0")),0)),"—"))</f>
        <v/>
      </c>
      <c r="P26" s="83">
        <f t="array" ref="P26">IF(B26="","",SUMPRODUCT((tblCarga[Jogador]=B26)*(tblCarga[Microciclo (Nr)]=($H$1-3))*(tblCarga[Tipo]="Treino")*tblCarga[PSE Sessão]*tblCarga[Duração (min)]))</f>
        <v/>
      </c>
      <c r="Q26" s="83">
        <f t="array" ref="Q26">IF(B26="","",SUMPRODUCT((tblCarga[Jogador]=B26)*(tblCarga[Microciclo (Nr)]=($H$1-2))*(tblCarga[Tipo]="Treino")*tblCarga[PSE Sessão]*tblCarga[Duração (min)]))</f>
        <v/>
      </c>
      <c r="R26" s="83">
        <f t="array" ref="R26">IF(B26="","",SUMPRODUCT((tblCarga[Jogador]=B26)*(tblCarga[Microciclo (Nr)]=($H$1-1))*(tblCarga[Tipo]="Treino")*tblCarga[PSE Sessão]*tblCarga[Duração (min)]))</f>
        <v/>
      </c>
      <c r="S26" s="83">
        <f>J26</f>
        <v/>
      </c>
      <c r="T26" s="84">
        <f>IF(B26="","",IFERROR(TODAY()-_xlfn.MAXIFS(tblCarga[Data],tblCarga[Jogador],B26,tblCarga[Tipo],"Jogo"),"—"))</f>
        <v/>
      </c>
    </row>
    <row r="27" ht="21" customHeight="1">
      <c r="A27" s="77">
        <f>IF(B27="","",ROW()-7)</f>
        <v/>
      </c>
      <c r="B27" s="85">
        <f t="array" ref="B27">IFERROR(IF(INDEX(_xlfn._xlws.SORT(_xlfn.UNIQUE(tblCarga[Jogador])),ROW()-7)=0,"",INDEX(_xlfn._xlws.SORT(_xlfn.UNIQUE(tblCarga[Jogador])),ROW()-7)),"")</f>
        <v/>
      </c>
      <c r="C27" s="78">
        <f>IF(B27="","",IF(D27&gt;=7,"🔴",IF(D27&gt;=4,"🟡","🟢")))</f>
        <v/>
      </c>
      <c r="D27" s="79">
        <f>IF(B27="","",_xlfn.LET(_xlpm.acwr,G27,_xlpm.monot,H27,_xlpm.dias,I27,_xlpm.tend,F27,_xlpm.cong,T27,_xlpm.hooper,O27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7" s="80">
        <f>IF(B27="","",IF(D27&lt;4,"✅ Sem alertas",_xlfn.LET(_xlpm.acwr,G27,_xlpm.monot,H27,_xlpm.dias,I27,_xlpm.reasons,IF(AND(_xlpm.acwr&lt;&gt;"—",OR(_xlpm.acwr&gt;1.3,_xlpm.acwr&lt;0.8)),"ACWR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7" s="86">
        <f t="array" ref="F27">IF(B27="","",IFERROR(_xlfn.LET(_xlpm.cur,J27,_xlpm.prev,SUMPRODUCT((tblCarga[Jogador]=B27)*(tblCarga[Microciclo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7" s="87">
        <f>IF(B27="","",IFERROR(J27/AVERAGE(P27,Q27,R27),"—"))</f>
        <v/>
      </c>
      <c r="H27" s="88">
        <f>IF(B27="","",IFERROR(INDEX(Monot_Strain!F$9:F$38,MATCH(B27,Monot_Strain!A$9:A$38,0)),0))</f>
        <v/>
      </c>
      <c r="I27" s="82">
        <f t="array" ref="I27">IF(B27="","",IFERROR(TODAY()-MAX(_xlfn._xlws.FILTER(tblCarga[Data],(tblCarga[Jogador]=B27)*(tblCarga[Nº ≥90% Vmáx]&gt;0))),999))</f>
        <v/>
      </c>
      <c r="J27" s="89">
        <f t="array" ref="J27">IF(B27="","",SUMPRODUCT((tblCarga[Jogador]=B27)*(tblCarga[Microciclo (Nr)]=$H$1)*(tblCarga[Tipo]="Treino")*tblCarga[PSE Sessão]*tblCarga[Duração (min)]))</f>
        <v/>
      </c>
      <c r="K27" s="82">
        <f t="array" ref="K27">IF(B27="","",IFERROR(SUMPRODUCT((tblCarga[Jogador]=B27)*(tblCarga[Microciclo (Nr)]=$H$1)*(tblCarga[Tipo]="Jogo")*tblCarga[Duração (min)]),0))</f>
        <v/>
      </c>
      <c r="L27" s="82">
        <f t="array" ref="L27">IF(B27="","",IFERROR(_xlfn.LET(_xlpm.mcs,_xlfn._xlws.SORT(_xlfn.UNIQUE(_xlfn._xlws.FILTER(tblCarga[Microciclo (Nr)],(tblCarga[Jogador]=B27)*(tblCarga[Tipo]="Jogo"))),,,-1),_xlpm.curMC,$H$1,_xlpm.streak,0,IF(ROWS(_xlpm.mcs)=0,0,SUMPRODUCT(--(_xlpm.mcs&gt;=_xlpm.curMC-ROWS(_xlpm.mcs)+1),--(_xlpm.mcs&lt;=_xlpm.curMC)))),0))</f>
        <v/>
      </c>
      <c r="M27" s="80">
        <f>IF(B27="","",IF(D27&gt;=7,"⚠️ Reduzir carga. Consultar staff médico.",IF(D27&gt;=4,"🔍 Monitorizar. Ajustar volume se necessário.","✅ Manter plano de treino.")))</f>
        <v/>
      </c>
      <c r="N27" s="81">
        <f>IF(B27="","",IF(S27&gt;R27,"▲ "&amp;ROUND(J27,0),IF(S27&lt;R27,"▼ "&amp;ROUND(J27,0),"→ "&amp;ROUND(J27,0))))</f>
        <v/>
      </c>
      <c r="O27" s="82">
        <f t="array" ref="O27">IF(B27="","",IFERROR(INDEX(tblCarga[Hooper Index],MATCH(1,(tblCarga[Jogador]=B27)*(tblCarga[Data]=_xlfn.MAXIFS(tblCarga[Data],tblCarga[Jogador],B27,tblCarga[Hooper Index],"&gt;0")),0)),"—"))</f>
        <v/>
      </c>
      <c r="P27" s="83">
        <f t="array" ref="P27">IF(B27="","",SUMPRODUCT((tblCarga[Jogador]=B27)*(tblCarga[Microciclo (Nr)]=($H$1-3))*(tblCarga[Tipo]="Treino")*tblCarga[PSE Sessão]*tblCarga[Duração (min)]))</f>
        <v/>
      </c>
      <c r="Q27" s="83">
        <f t="array" ref="Q27">IF(B27="","",SUMPRODUCT((tblCarga[Jogador]=B27)*(tblCarga[Microciclo (Nr)]=($H$1-2))*(tblCarga[Tipo]="Treino")*tblCarga[PSE Sessão]*tblCarga[Duração (min)]))</f>
        <v/>
      </c>
      <c r="R27" s="83">
        <f t="array" ref="R27">IF(B27="","",SUMPRODUCT((tblCarga[Jogador]=B27)*(tblCarga[Microciclo (Nr)]=($H$1-1))*(tblCarga[Tipo]="Treino")*tblCarga[PSE Sessão]*tblCarga[Duração (min)]))</f>
        <v/>
      </c>
      <c r="S27" s="83">
        <f>J27</f>
        <v/>
      </c>
      <c r="T27" s="84">
        <f>IF(B27="","",IFERROR(TODAY()-_xlfn.MAXIFS(tblCarga[Data],tblCarga[Jogador],B27,tblCarga[Tipo],"Jogo"),"—"))</f>
        <v/>
      </c>
    </row>
    <row r="28" ht="21" customHeight="1">
      <c r="A28" s="77">
        <f>IF(B28="","",ROW()-7)</f>
        <v/>
      </c>
      <c r="B28" s="85">
        <f t="array" ref="B28">IFERROR(IF(INDEX(_xlfn._xlws.SORT(_xlfn.UNIQUE(tblCarga[Jogador])),ROW()-7)=0,"",INDEX(_xlfn._xlws.SORT(_xlfn.UNIQUE(tblCarga[Jogador])),ROW()-7)),"")</f>
        <v/>
      </c>
      <c r="C28" s="78">
        <f>IF(B28="","",IF(D28&gt;=7,"🔴",IF(D28&gt;=4,"🟡","🟢")))</f>
        <v/>
      </c>
      <c r="D28" s="79">
        <f>IF(B28="","",_xlfn.LET(_xlpm.acwr,G28,_xlpm.monot,H28,_xlpm.dias,I28,_xlpm.tend,F28,_xlpm.cong,T28,_xlpm.hooper,O28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8" s="80">
        <f>IF(B28="","",IF(D28&lt;4,"✅ Sem alertas",_xlfn.LET(_xlpm.acwr,G28,_xlpm.monot,H28,_xlpm.dias,I28,_xlpm.reasons,IF(AND(_xlpm.acwr&lt;&gt;"—",OR(_xlpm.acwr&gt;1.3,_xlpm.acwr&lt;0.8)),"ACWR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8" s="86">
        <f t="array" ref="F28">IF(B28="","",IFERROR(_xlfn.LET(_xlpm.cur,J28,_xlpm.prev,SUMPRODUCT((tblCarga[Jogador]=B28)*(tblCarga[Microciclo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8" s="87">
        <f>IF(B28="","",IFERROR(J28/AVERAGE(P28,Q28,R28),"—"))</f>
        <v/>
      </c>
      <c r="H28" s="88">
        <f>IF(B28="","",IFERROR(INDEX(Monot_Strain!F$9:F$38,MATCH(B28,Monot_Strain!A$9:A$38,0)),0))</f>
        <v/>
      </c>
      <c r="I28" s="82">
        <f t="array" ref="I28">IF(B28="","",IFERROR(TODAY()-MAX(_xlfn._xlws.FILTER(tblCarga[Data],(tblCarga[Jogador]=B28)*(tblCarga[Nº ≥90% Vmáx]&gt;0))),999))</f>
        <v/>
      </c>
      <c r="J28" s="89">
        <f t="array" ref="J28">IF(B28="","",SUMPRODUCT((tblCarga[Jogador]=B28)*(tblCarga[Microciclo (Nr)]=$H$1)*(tblCarga[Tipo]="Treino")*tblCarga[PSE Sessão]*tblCarga[Duração (min)]))</f>
        <v/>
      </c>
      <c r="K28" s="82">
        <f t="array" ref="K28">IF(B28="","",IFERROR(SUMPRODUCT((tblCarga[Jogador]=B28)*(tblCarga[Microciclo (Nr)]=$H$1)*(tblCarga[Tipo]="Jogo")*tblCarga[Duração (min)]),0))</f>
        <v/>
      </c>
      <c r="L28" s="82">
        <f t="array" ref="L28">IF(B28="","",IFERROR(_xlfn.LET(_xlpm.mcs,_xlfn._xlws.SORT(_xlfn.UNIQUE(_xlfn._xlws.FILTER(tblCarga[Microciclo (Nr)],(tblCarga[Jogador]=B28)*(tblCarga[Tipo]="Jogo"))),,,-1),_xlpm.curMC,$H$1,_xlpm.streak,0,IF(ROWS(_xlpm.mcs)=0,0,SUMPRODUCT(--(_xlpm.mcs&gt;=_xlpm.curMC-ROWS(_xlpm.mcs)+1),--(_xlpm.mcs&lt;=_xlpm.curMC)))),0))</f>
        <v/>
      </c>
      <c r="M28" s="80">
        <f>IF(B28="","",IF(D28&gt;=7,"⚠️ Reduzir carga. Consultar staff médico.",IF(D28&gt;=4,"🔍 Monitorizar. Ajustar volume se necessário.","✅ Manter plano de treino.")))</f>
        <v/>
      </c>
      <c r="N28" s="81">
        <f>IF(B28="","",IF(S28&gt;R28,"▲ "&amp;ROUND(J28,0),IF(S28&lt;R28,"▼ "&amp;ROUND(J28,0),"→ "&amp;ROUND(J28,0))))</f>
        <v/>
      </c>
      <c r="O28" s="82">
        <f t="array" ref="O28">IF(B28="","",IFERROR(INDEX(tblCarga[Hooper Index],MATCH(1,(tblCarga[Jogador]=B28)*(tblCarga[Data]=_xlfn.MAXIFS(tblCarga[Data],tblCarga[Jogador],B28,tblCarga[Hooper Index],"&gt;0")),0)),"—"))</f>
        <v/>
      </c>
      <c r="P28" s="83">
        <f t="array" ref="P28">IF(B28="","",SUMPRODUCT((tblCarga[Jogador]=B28)*(tblCarga[Microciclo (Nr)]=($H$1-3))*(tblCarga[Tipo]="Treino")*tblCarga[PSE Sessão]*tblCarga[Duração (min)]))</f>
        <v/>
      </c>
      <c r="Q28" s="83">
        <f t="array" ref="Q28">IF(B28="","",SUMPRODUCT((tblCarga[Jogador]=B28)*(tblCarga[Microciclo (Nr)]=($H$1-2))*(tblCarga[Tipo]="Treino")*tblCarga[PSE Sessão]*tblCarga[Duração (min)]))</f>
        <v/>
      </c>
      <c r="R28" s="83">
        <f t="array" ref="R28">IF(B28="","",SUMPRODUCT((tblCarga[Jogador]=B28)*(tblCarga[Microciclo (Nr)]=($H$1-1))*(tblCarga[Tipo]="Treino")*tblCarga[PSE Sessão]*tblCarga[Duração (min)]))</f>
        <v/>
      </c>
      <c r="S28" s="83">
        <f>J28</f>
        <v/>
      </c>
      <c r="T28" s="84">
        <f>IF(B28="","",IFERROR(TODAY()-_xlfn.MAXIFS(tblCarga[Data],tblCarga[Jogador],B28,tblCarga[Tipo],"Jogo"),"—"))</f>
        <v/>
      </c>
    </row>
    <row r="29" ht="21" customHeight="1">
      <c r="A29" s="77">
        <f>IF(B29="","",ROW()-7)</f>
        <v/>
      </c>
      <c r="B29" s="85">
        <f t="array" ref="B29">IFERROR(IF(INDEX(_xlfn._xlws.SORT(_xlfn.UNIQUE(tblCarga[Jogador])),ROW()-7)=0,"",INDEX(_xlfn._xlws.SORT(_xlfn.UNIQUE(tblCarga[Jogador])),ROW()-7)),"")</f>
        <v/>
      </c>
      <c r="C29" s="78">
        <f>IF(B29="","",IF(D29&gt;=7,"🔴",IF(D29&gt;=4,"🟡","🟢")))</f>
        <v/>
      </c>
      <c r="D29" s="79">
        <f>IF(B29="","",_xlfn.LET(_xlpm.acwr,G29,_xlpm.monot,H29,_xlpm.dias,I29,_xlpm.tend,F29,_xlpm.cong,T29,_xlpm.hooper,O29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29" s="80">
        <f>IF(B29="","",IF(D29&lt;4,"✅ Sem alertas",_xlfn.LET(_xlpm.acwr,G29,_xlpm.monot,H29,_xlpm.dias,I29,_xlpm.reasons,IF(AND(_xlpm.acwr&lt;&gt;"—",OR(_xlpm.acwr&gt;1.3,_xlpm.acwr&lt;0.8)),"ACWR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29" s="86">
        <f t="array" ref="F29">IF(B29="","",IFERROR(_xlfn.LET(_xlpm.cur,J29,_xlpm.prev,SUMPRODUCT((tblCarga[Jogador]=B29)*(tblCarga[Microciclo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29" s="87">
        <f>IF(B29="","",IFERROR(J29/AVERAGE(P29,Q29,R29),"—"))</f>
        <v/>
      </c>
      <c r="H29" s="88">
        <f>IF(B29="","",IFERROR(INDEX(Monot_Strain!F$9:F$38,MATCH(B29,Monot_Strain!A$9:A$38,0)),0))</f>
        <v/>
      </c>
      <c r="I29" s="82">
        <f t="array" ref="I29">IF(B29="","",IFERROR(TODAY()-MAX(_xlfn._xlws.FILTER(tblCarga[Data],(tblCarga[Jogador]=B29)*(tblCarga[Nº ≥90% Vmáx]&gt;0))),999))</f>
        <v/>
      </c>
      <c r="J29" s="89">
        <f t="array" ref="J29">IF(B29="","",SUMPRODUCT((tblCarga[Jogador]=B29)*(tblCarga[Microciclo (Nr)]=$H$1)*(tblCarga[Tipo]="Treino")*tblCarga[PSE Sessão]*tblCarga[Duração (min)]))</f>
        <v/>
      </c>
      <c r="K29" s="82">
        <f t="array" ref="K29">IF(B29="","",IFERROR(SUMPRODUCT((tblCarga[Jogador]=B29)*(tblCarga[Microciclo (Nr)]=$H$1)*(tblCarga[Tipo]="Jogo")*tblCarga[Duração (min)]),0))</f>
        <v/>
      </c>
      <c r="L29" s="82">
        <f t="array" ref="L29">IF(B29="","",IFERROR(_xlfn.LET(_xlpm.mcs,_xlfn._xlws.SORT(_xlfn.UNIQUE(_xlfn._xlws.FILTER(tblCarga[Microciclo (Nr)],(tblCarga[Jogador]=B29)*(tblCarga[Tipo]="Jogo"))),,,-1),_xlpm.curMC,$H$1,_xlpm.streak,0,IF(ROWS(_xlpm.mcs)=0,0,SUMPRODUCT(--(_xlpm.mcs&gt;=_xlpm.curMC-ROWS(_xlpm.mcs)+1),--(_xlpm.mcs&lt;=_xlpm.curMC)))),0))</f>
        <v/>
      </c>
      <c r="M29" s="80">
        <f>IF(B29="","",IF(D29&gt;=7,"⚠️ Reduzir carga. Consultar staff médico.",IF(D29&gt;=4,"🔍 Monitorizar. Ajustar volume se necessário.","✅ Manter plano de treino.")))</f>
        <v/>
      </c>
      <c r="N29" s="81">
        <f>IF(B29="","",IF(S29&gt;R29,"▲ "&amp;ROUND(J29,0),IF(S29&lt;R29,"▼ "&amp;ROUND(J29,0),"→ "&amp;ROUND(J29,0))))</f>
        <v/>
      </c>
      <c r="O29" s="82">
        <f t="array" ref="O29">IF(B29="","",IFERROR(INDEX(tblCarga[Hooper Index],MATCH(1,(tblCarga[Jogador]=B29)*(tblCarga[Data]=_xlfn.MAXIFS(tblCarga[Data],tblCarga[Jogador],B29,tblCarga[Hooper Index],"&gt;0")),0)),"—"))</f>
        <v/>
      </c>
      <c r="P29" s="83">
        <f t="array" ref="P29">IF(B29="","",SUMPRODUCT((tblCarga[Jogador]=B29)*(tblCarga[Microciclo (Nr)]=($H$1-3))*(tblCarga[Tipo]="Treino")*tblCarga[PSE Sessão]*tblCarga[Duração (min)]))</f>
        <v/>
      </c>
      <c r="Q29" s="83">
        <f t="array" ref="Q29">IF(B29="","",SUMPRODUCT((tblCarga[Jogador]=B29)*(tblCarga[Microciclo (Nr)]=($H$1-2))*(tblCarga[Tipo]="Treino")*tblCarga[PSE Sessão]*tblCarga[Duração (min)]))</f>
        <v/>
      </c>
      <c r="R29" s="83">
        <f t="array" ref="R29">IF(B29="","",SUMPRODUCT((tblCarga[Jogador]=B29)*(tblCarga[Microciclo (Nr)]=($H$1-1))*(tblCarga[Tipo]="Treino")*tblCarga[PSE Sessão]*tblCarga[Duração (min)]))</f>
        <v/>
      </c>
      <c r="S29" s="83">
        <f>J29</f>
        <v/>
      </c>
      <c r="T29" s="84">
        <f>IF(B29="","",IFERROR(TODAY()-_xlfn.MAXIFS(tblCarga[Data],tblCarga[Jogador],B29,tblCarga[Tipo],"Jogo"),"—"))</f>
        <v/>
      </c>
    </row>
    <row r="30" ht="21" customHeight="1">
      <c r="A30" s="77">
        <f>IF(B30="","",ROW()-7)</f>
        <v/>
      </c>
      <c r="B30" s="85">
        <f t="array" ref="B30">IFERROR(IF(INDEX(_xlfn._xlws.SORT(_xlfn.UNIQUE(tblCarga[Jogador])),ROW()-7)=0,"",INDEX(_xlfn._xlws.SORT(_xlfn.UNIQUE(tblCarga[Jogador])),ROW()-7)),"")</f>
        <v/>
      </c>
      <c r="C30" s="78">
        <f>IF(B30="","",IF(D30&gt;=7,"🔴",IF(D30&gt;=4,"🟡","🟢")))</f>
        <v/>
      </c>
      <c r="D30" s="79">
        <f>IF(B30="","",_xlfn.LET(_xlpm.acwr,G30,_xlpm.monot,H30,_xlpm.dias,I30,_xlpm.tend,F30,_xlpm.cong,T30,_xlpm.hooper,O30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30" s="80">
        <f>IF(B30="","",IF(D30&lt;4,"✅ Sem alertas",_xlfn.LET(_xlpm.acwr,G30,_xlpm.monot,H30,_xlpm.dias,I30,_xlpm.reasons,IF(AND(_xlpm.acwr&lt;&gt;"—",OR(_xlpm.acwr&gt;1.3,_xlpm.acwr&lt;0.8)),"ACWR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30" s="86">
        <f t="array" ref="F30">IF(B30="","",IFERROR(_xlfn.LET(_xlpm.cur,J30,_xlpm.prev,SUMPRODUCT((tblCarga[Jogador]=B30)*(tblCarga[Microciclo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30" s="87">
        <f>IF(B30="","",IFERROR(J30/AVERAGE(P30,Q30,R30),"—"))</f>
        <v/>
      </c>
      <c r="H30" s="88">
        <f>IF(B30="","",IFERROR(INDEX(Monot_Strain!F$9:F$38,MATCH(B30,Monot_Strain!A$9:A$38,0)),0))</f>
        <v/>
      </c>
      <c r="I30" s="82">
        <f t="array" ref="I30">IF(B30="","",IFERROR(TODAY()-MAX(_xlfn._xlws.FILTER(tblCarga[Data],(tblCarga[Jogador]=B30)*(tblCarga[Nº ≥90% Vmáx]&gt;0))),999))</f>
        <v/>
      </c>
      <c r="J30" s="89">
        <f t="array" ref="J30">IF(B30="","",SUMPRODUCT((tblCarga[Jogador]=B30)*(tblCarga[Microciclo (Nr)]=$H$1)*(tblCarga[Tipo]="Treino")*tblCarga[PSE Sessão]*tblCarga[Duração (min)]))</f>
        <v/>
      </c>
      <c r="K30" s="82">
        <f t="array" ref="K30">IF(B30="","",IFERROR(SUMPRODUCT((tblCarga[Jogador]=B30)*(tblCarga[Microciclo (Nr)]=$H$1)*(tblCarga[Tipo]="Jogo")*tblCarga[Duração (min)]),0))</f>
        <v/>
      </c>
      <c r="L30" s="82">
        <f t="array" ref="L30">IF(B30="","",IFERROR(_xlfn.LET(_xlpm.mcs,_xlfn._xlws.SORT(_xlfn.UNIQUE(_xlfn._xlws.FILTER(tblCarga[Microciclo (Nr)],(tblCarga[Jogador]=B30)*(tblCarga[Tipo]="Jogo"))),,,-1),_xlpm.curMC,$H$1,_xlpm.streak,0,IF(ROWS(_xlpm.mcs)=0,0,SUMPRODUCT(--(_xlpm.mcs&gt;=_xlpm.curMC-ROWS(_xlpm.mcs)+1),--(_xlpm.mcs&lt;=_xlpm.curMC)))),0))</f>
        <v/>
      </c>
      <c r="M30" s="80">
        <f>IF(B30="","",IF(D30&gt;=7,"⚠️ Reduzir carga. Consultar staff médico.",IF(D30&gt;=4,"🔍 Monitorizar. Ajustar volume se necessário.","✅ Manter plano de treino.")))</f>
        <v/>
      </c>
      <c r="N30" s="81">
        <f>IF(B30="","",IF(S30&gt;R30,"▲ "&amp;ROUND(J30,0),IF(S30&lt;R30,"▼ "&amp;ROUND(J30,0),"→ "&amp;ROUND(J30,0))))</f>
        <v/>
      </c>
      <c r="O30" s="82">
        <f t="array" ref="O30">IF(B30="","",IFERROR(INDEX(tblCarga[Hooper Index],MATCH(1,(tblCarga[Jogador]=B30)*(tblCarga[Data]=_xlfn.MAXIFS(tblCarga[Data],tblCarga[Jogador],B30,tblCarga[Hooper Index],"&gt;0")),0)),"—"))</f>
        <v/>
      </c>
      <c r="P30" s="83">
        <f t="array" ref="P30">IF(B30="","",SUMPRODUCT((tblCarga[Jogador]=B30)*(tblCarga[Microciclo (Nr)]=($H$1-3))*(tblCarga[Tipo]="Treino")*tblCarga[PSE Sessão]*tblCarga[Duração (min)]))</f>
        <v/>
      </c>
      <c r="Q30" s="83">
        <f t="array" ref="Q30">IF(B30="","",SUMPRODUCT((tblCarga[Jogador]=B30)*(tblCarga[Microciclo (Nr)]=($H$1-2))*(tblCarga[Tipo]="Treino")*tblCarga[PSE Sessão]*tblCarga[Duração (min)]))</f>
        <v/>
      </c>
      <c r="R30" s="83">
        <f t="array" ref="R30">IF(B30="","",SUMPRODUCT((tblCarga[Jogador]=B30)*(tblCarga[Microciclo (Nr)]=($H$1-1))*(tblCarga[Tipo]="Treino")*tblCarga[PSE Sessão]*tblCarga[Duração (min)]))</f>
        <v/>
      </c>
      <c r="S30" s="83">
        <f>J30</f>
        <v/>
      </c>
      <c r="T30" s="84">
        <f>IF(B30="","",IFERROR(TODAY()-_xlfn.MAXIFS(tblCarga[Data],tblCarga[Jogador],B30,tblCarga[Tipo],"Jogo"),"—"))</f>
        <v/>
      </c>
    </row>
    <row r="31" ht="21" customHeight="1">
      <c r="A31" s="77">
        <f>IF(B31="","",ROW()-7)</f>
        <v/>
      </c>
      <c r="B31" s="85">
        <f t="array" ref="B31">IFERROR(IF(INDEX(_xlfn._xlws.SORT(_xlfn.UNIQUE(tblCarga[Jogador])),ROW()-7)=0,"",INDEX(_xlfn._xlws.SORT(_xlfn.UNIQUE(tblCarga[Jogador])),ROW()-7)),"")</f>
        <v/>
      </c>
      <c r="C31" s="78">
        <f>IF(B31="","",IF(D31&gt;=7,"🔴",IF(D31&gt;=4,"🟡","🟢")))</f>
        <v/>
      </c>
      <c r="D31" s="79">
        <f>IF(B31="","",_xlfn.LET(_xlpm.acwr,G31,_xlpm.monot,H31,_xlpm.dias,I31,_xlpm.tend,F31,_xlpm.cong,T31,_xlpm.hooper,O31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31" s="80">
        <f>IF(B31="","",IF(D31&lt;4,"✅ Sem alertas",_xlfn.LET(_xlpm.acwr,G31,_xlpm.monot,H31,_xlpm.dias,I31,_xlpm.reasons,IF(AND(_xlpm.acwr&lt;&gt;"—",OR(_xlpm.acwr&gt;1.3,_xlpm.acwr&lt;0.8)),"ACWR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31" s="86">
        <f t="array" ref="F31">IF(B31="","",IFERROR(_xlfn.LET(_xlpm.cur,J31,_xlpm.prev,SUMPRODUCT((tblCarga[Jogador]=B31)*(tblCarga[Microciclo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31" s="87">
        <f>IF(B31="","",IFERROR(J31/AVERAGE(P31,Q31,R31),"—"))</f>
        <v/>
      </c>
      <c r="H31" s="88">
        <f>IF(B31="","",IFERROR(INDEX(Monot_Strain!F$9:F$38,MATCH(B31,Monot_Strain!A$9:A$38,0)),0))</f>
        <v/>
      </c>
      <c r="I31" s="82">
        <f t="array" ref="I31">IF(B31="","",IFERROR(TODAY()-MAX(_xlfn._xlws.FILTER(tblCarga[Data],(tblCarga[Jogador]=B31)*(tblCarga[Nº ≥90% Vmáx]&gt;0))),999))</f>
        <v/>
      </c>
      <c r="J31" s="89">
        <f t="array" ref="J31">IF(B31="","",SUMPRODUCT((tblCarga[Jogador]=B31)*(tblCarga[Microciclo (Nr)]=$H$1)*(tblCarga[Tipo]="Treino")*tblCarga[PSE Sessão]*tblCarga[Duração (min)]))</f>
        <v/>
      </c>
      <c r="K31" s="82">
        <f t="array" ref="K31">IF(B31="","",IFERROR(SUMPRODUCT((tblCarga[Jogador]=B31)*(tblCarga[Microciclo (Nr)]=$H$1)*(tblCarga[Tipo]="Jogo")*tblCarga[Duração (min)]),0))</f>
        <v/>
      </c>
      <c r="L31" s="82">
        <f t="array" ref="L31">IF(B31="","",IFERROR(_xlfn.LET(_xlpm.mcs,_xlfn._xlws.SORT(_xlfn.UNIQUE(_xlfn._xlws.FILTER(tblCarga[Microciclo (Nr)],(tblCarga[Jogador]=B31)*(tblCarga[Tipo]="Jogo"))),,,-1),_xlpm.curMC,$H$1,_xlpm.streak,0,IF(ROWS(_xlpm.mcs)=0,0,SUMPRODUCT(--(_xlpm.mcs&gt;=_xlpm.curMC-ROWS(_xlpm.mcs)+1),--(_xlpm.mcs&lt;=_xlpm.curMC)))),0))</f>
        <v/>
      </c>
      <c r="M31" s="80">
        <f>IF(B31="","",IF(D31&gt;=7,"⚠️ Reduzir carga. Consultar staff médico.",IF(D31&gt;=4,"🔍 Monitorizar. Ajustar volume se necessário.","✅ Manter plano de treino.")))</f>
        <v/>
      </c>
      <c r="N31" s="81">
        <f>IF(B31="","",IF(S31&gt;R31,"▲ "&amp;ROUND(J31,0),IF(S31&lt;R31,"▼ "&amp;ROUND(J31,0),"→ "&amp;ROUND(J31,0))))</f>
        <v/>
      </c>
      <c r="O31" s="82">
        <f t="array" ref="O31">IF(B31="","",IFERROR(INDEX(tblCarga[Hooper Index],MATCH(1,(tblCarga[Jogador]=B31)*(tblCarga[Data]=_xlfn.MAXIFS(tblCarga[Data],tblCarga[Jogador],B31,tblCarga[Hooper Index],"&gt;0")),0)),"—"))</f>
        <v/>
      </c>
      <c r="P31" s="83">
        <f t="array" ref="P31">IF(B31="","",SUMPRODUCT((tblCarga[Jogador]=B31)*(tblCarga[Microciclo (Nr)]=($H$1-3))*(tblCarga[Tipo]="Treino")*tblCarga[PSE Sessão]*tblCarga[Duração (min)]))</f>
        <v/>
      </c>
      <c r="Q31" s="83">
        <f t="array" ref="Q31">IF(B31="","",SUMPRODUCT((tblCarga[Jogador]=B31)*(tblCarga[Microciclo (Nr)]=($H$1-2))*(tblCarga[Tipo]="Treino")*tblCarga[PSE Sessão]*tblCarga[Duração (min)]))</f>
        <v/>
      </c>
      <c r="R31" s="83">
        <f t="array" ref="R31">IF(B31="","",SUMPRODUCT((tblCarga[Jogador]=B31)*(tblCarga[Microciclo (Nr)]=($H$1-1))*(tblCarga[Tipo]="Treino")*tblCarga[PSE Sessão]*tblCarga[Duração (min)]))</f>
        <v/>
      </c>
      <c r="S31" s="83">
        <f>J31</f>
        <v/>
      </c>
      <c r="T31" s="84">
        <f>IF(B31="","",IFERROR(TODAY()-_xlfn.MAXIFS(tblCarga[Data],tblCarga[Jogador],B31,tblCarga[Tipo],"Jogo"),"—"))</f>
        <v/>
      </c>
    </row>
    <row r="32" ht="21" customHeight="1">
      <c r="A32" s="77">
        <f>IF(B32="","",ROW()-7)</f>
        <v/>
      </c>
      <c r="B32" s="85">
        <f t="array" ref="B32">IFERROR(IF(INDEX(_xlfn._xlws.SORT(_xlfn.UNIQUE(tblCarga[Jogador])),ROW()-7)=0,"",INDEX(_xlfn._xlws.SORT(_xlfn.UNIQUE(tblCarga[Jogador])),ROW()-7)),"")</f>
        <v/>
      </c>
      <c r="C32" s="78">
        <f>IF(B32="","",IF(D32&gt;=7,"🔴",IF(D32&gt;=4,"🟡","🟢")))</f>
        <v/>
      </c>
      <c r="D32" s="79">
        <f>IF(B32="","",_xlfn.LET(_xlpm.acwr,G32,_xlpm.monot,H32,_xlpm.dias,I32,_xlpm.tend,F32,_xlpm.cong,T32,_xlpm.hooper,O32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32" s="80">
        <f>IF(B32="","",IF(D32&lt;4,"✅ Sem alertas",_xlfn.LET(_xlpm.acwr,G32,_xlpm.monot,H32,_xlpm.dias,I32,_xlpm.reasons,IF(AND(_xlpm.acwr&lt;&gt;"—",OR(_xlpm.acwr&gt;1.3,_xlpm.acwr&lt;0.8)),"ACWR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32" s="86">
        <f t="array" ref="F32">IF(B32="","",IFERROR(_xlfn.LET(_xlpm.cur,J32,_xlpm.prev,SUMPRODUCT((tblCarga[Jogador]=B32)*(tblCarga[Microciclo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32" s="87">
        <f>IF(B32="","",IFERROR(J32/AVERAGE(P32,Q32,R32),"—"))</f>
        <v/>
      </c>
      <c r="H32" s="88">
        <f>IF(B32="","",IFERROR(INDEX(Monot_Strain!F$9:F$38,MATCH(B32,Monot_Strain!A$9:A$38,0)),0))</f>
        <v/>
      </c>
      <c r="I32" s="82">
        <f t="array" ref="I32">IF(B32="","",IFERROR(TODAY()-MAX(_xlfn._xlws.FILTER(tblCarga[Data],(tblCarga[Jogador]=B32)*(tblCarga[Nº ≥90% Vmáx]&gt;0))),999))</f>
        <v/>
      </c>
      <c r="J32" s="89">
        <f t="array" ref="J32">IF(B32="","",SUMPRODUCT((tblCarga[Jogador]=B32)*(tblCarga[Microciclo (Nr)]=$H$1)*(tblCarga[Tipo]="Treino")*tblCarga[PSE Sessão]*tblCarga[Duração (min)]))</f>
        <v/>
      </c>
      <c r="K32" s="82">
        <f t="array" ref="K32">IF(B32="","",IFERROR(SUMPRODUCT((tblCarga[Jogador]=B32)*(tblCarga[Microciclo (Nr)]=$H$1)*(tblCarga[Tipo]="Jogo")*tblCarga[Duração (min)]),0))</f>
        <v/>
      </c>
      <c r="L32" s="82">
        <f t="array" ref="L32">IF(B32="","",IFERROR(_xlfn.LET(_xlpm.mcs,_xlfn._xlws.SORT(_xlfn.UNIQUE(_xlfn._xlws.FILTER(tblCarga[Microciclo (Nr)],(tblCarga[Jogador]=B32)*(tblCarga[Tipo]="Jogo"))),,,-1),_xlpm.curMC,$H$1,_xlpm.streak,0,IF(ROWS(_xlpm.mcs)=0,0,SUMPRODUCT(--(_xlpm.mcs&gt;=_xlpm.curMC-ROWS(_xlpm.mcs)+1),--(_xlpm.mcs&lt;=_xlpm.curMC)))),0))</f>
        <v/>
      </c>
      <c r="M32" s="80">
        <f>IF(B32="","",IF(D32&gt;=7,"⚠️ Reduzir carga. Consultar staff médico.",IF(D32&gt;=4,"🔍 Monitorizar. Ajustar volume se necessário.","✅ Manter plano de treino.")))</f>
        <v/>
      </c>
      <c r="N32" s="81">
        <f>IF(B32="","",IF(S32&gt;R32,"▲ "&amp;ROUND(J32,0),IF(S32&lt;R32,"▼ "&amp;ROUND(J32,0),"→ "&amp;ROUND(J32,0))))</f>
        <v/>
      </c>
      <c r="O32" s="82">
        <f t="array" ref="O32">IF(B32="","",IFERROR(INDEX(tblCarga[Hooper Index],MATCH(1,(tblCarga[Jogador]=B32)*(tblCarga[Data]=_xlfn.MAXIFS(tblCarga[Data],tblCarga[Jogador],B32,tblCarga[Hooper Index],"&gt;0")),0)),"—"))</f>
        <v/>
      </c>
      <c r="P32" s="83">
        <f t="array" ref="P32">IF(B32="","",SUMPRODUCT((tblCarga[Jogador]=B32)*(tblCarga[Microciclo (Nr)]=($H$1-3))*(tblCarga[Tipo]="Treino")*tblCarga[PSE Sessão]*tblCarga[Duração (min)]))</f>
        <v/>
      </c>
      <c r="Q32" s="83">
        <f t="array" ref="Q32">IF(B32="","",SUMPRODUCT((tblCarga[Jogador]=B32)*(tblCarga[Microciclo (Nr)]=($H$1-2))*(tblCarga[Tipo]="Treino")*tblCarga[PSE Sessão]*tblCarga[Duração (min)]))</f>
        <v/>
      </c>
      <c r="R32" s="83">
        <f t="array" ref="R32">IF(B32="","",SUMPRODUCT((tblCarga[Jogador]=B32)*(tblCarga[Microciclo (Nr)]=($H$1-1))*(tblCarga[Tipo]="Treino")*tblCarga[PSE Sessão]*tblCarga[Duração (min)]))</f>
        <v/>
      </c>
      <c r="S32" s="83">
        <f>J32</f>
        <v/>
      </c>
      <c r="T32" s="84">
        <f>IF(B32="","",IFERROR(TODAY()-_xlfn.MAXIFS(tblCarga[Data],tblCarga[Jogador],B32,tblCarga[Tipo],"Jogo"),"—"))</f>
        <v/>
      </c>
    </row>
    <row r="33" ht="21" customHeight="1">
      <c r="A33" s="77">
        <f>IF(B33="","",ROW()-7)</f>
        <v/>
      </c>
      <c r="B33" s="85">
        <f t="array" ref="B33">IFERROR(IF(INDEX(_xlfn._xlws.SORT(_xlfn.UNIQUE(tblCarga[Jogador])),ROW()-7)=0,"",INDEX(_xlfn._xlws.SORT(_xlfn.UNIQUE(tblCarga[Jogador])),ROW()-7)),"")</f>
        <v/>
      </c>
      <c r="C33" s="78">
        <f>IF(B33="","",IF(D33&gt;=7,"🔴",IF(D33&gt;=4,"🟡","🟢")))</f>
        <v/>
      </c>
      <c r="D33" s="79">
        <f>IF(B33="","",_xlfn.LET(_xlpm.acwr,G33,_xlpm.monot,H33,_xlpm.dias,I33,_xlpm.tend,F33,_xlpm.cong,T33,_xlpm.hooper,O33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33" s="80">
        <f>IF(B33="","",IF(D33&lt;4,"✅ Sem alertas",_xlfn.LET(_xlpm.acwr,G33,_xlpm.monot,H33,_xlpm.dias,I33,_xlpm.reasons,IF(AND(_xlpm.acwr&lt;&gt;"—",OR(_xlpm.acwr&gt;1.3,_xlpm.acwr&lt;0.8)),"ACWR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33" s="86">
        <f t="array" ref="F33">IF(B33="","",IFERROR(_xlfn.LET(_xlpm.cur,J33,_xlpm.prev,SUMPRODUCT((tblCarga[Jogador]=B33)*(tblCarga[Microciclo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33" s="87">
        <f>IF(B33="","",IFERROR(J33/AVERAGE(P33,Q33,R33),"—"))</f>
        <v/>
      </c>
      <c r="H33" s="88">
        <f>IF(B33="","",IFERROR(INDEX(Monot_Strain!F$9:F$38,MATCH(B33,Monot_Strain!A$9:A$38,0)),0))</f>
        <v/>
      </c>
      <c r="I33" s="82">
        <f t="array" ref="I33">IF(B33="","",IFERROR(TODAY()-MAX(_xlfn._xlws.FILTER(tblCarga[Data],(tblCarga[Jogador]=B33)*(tblCarga[Nº ≥90% Vmáx]&gt;0))),999))</f>
        <v/>
      </c>
      <c r="J33" s="89">
        <f t="array" ref="J33">IF(B33="","",SUMPRODUCT((tblCarga[Jogador]=B33)*(tblCarga[Microciclo (Nr)]=$H$1)*(tblCarga[Tipo]="Treino")*tblCarga[PSE Sessão]*tblCarga[Duração (min)]))</f>
        <v/>
      </c>
      <c r="K33" s="82">
        <f t="array" ref="K33">IF(B33="","",IFERROR(SUMPRODUCT((tblCarga[Jogador]=B33)*(tblCarga[Microciclo (Nr)]=$H$1)*(tblCarga[Tipo]="Jogo")*tblCarga[Duração (min)]),0))</f>
        <v/>
      </c>
      <c r="L33" s="82">
        <f t="array" ref="L33">IF(B33="","",IFERROR(_xlfn.LET(_xlpm.mcs,_xlfn._xlws.SORT(_xlfn.UNIQUE(_xlfn._xlws.FILTER(tblCarga[Microciclo (Nr)],(tblCarga[Jogador]=B33)*(tblCarga[Tipo]="Jogo"))),,,-1),_xlpm.curMC,$H$1,_xlpm.streak,0,IF(ROWS(_xlpm.mcs)=0,0,SUMPRODUCT(--(_xlpm.mcs&gt;=_xlpm.curMC-ROWS(_xlpm.mcs)+1),--(_xlpm.mcs&lt;=_xlpm.curMC)))),0))</f>
        <v/>
      </c>
      <c r="M33" s="80">
        <f>IF(B33="","",IF(D33&gt;=7,"⚠️ Reduzir carga. Consultar staff médico.",IF(D33&gt;=4,"🔍 Monitorizar. Ajustar volume se necessário.","✅ Manter plano de treino.")))</f>
        <v/>
      </c>
      <c r="N33" s="81">
        <f>IF(B33="","",IF(S33&gt;R33,"▲ "&amp;ROUND(J33,0),IF(S33&lt;R33,"▼ "&amp;ROUND(J33,0),"→ "&amp;ROUND(J33,0))))</f>
        <v/>
      </c>
      <c r="O33" s="82">
        <f t="array" ref="O33">IF(B33="","",IFERROR(INDEX(tblCarga[Hooper Index],MATCH(1,(tblCarga[Jogador]=B33)*(tblCarga[Data]=_xlfn.MAXIFS(tblCarga[Data],tblCarga[Jogador],B33,tblCarga[Hooper Index],"&gt;0")),0)),"—"))</f>
        <v/>
      </c>
      <c r="P33" s="83">
        <f t="array" ref="P33">IF(B33="","",SUMPRODUCT((tblCarga[Jogador]=B33)*(tblCarga[Microciclo (Nr)]=($H$1-3))*(tblCarga[Tipo]="Treino")*tblCarga[PSE Sessão]*tblCarga[Duração (min)]))</f>
        <v/>
      </c>
      <c r="Q33" s="83">
        <f t="array" ref="Q33">IF(B33="","",SUMPRODUCT((tblCarga[Jogador]=B33)*(tblCarga[Microciclo (Nr)]=($H$1-2))*(tblCarga[Tipo]="Treino")*tblCarga[PSE Sessão]*tblCarga[Duração (min)]))</f>
        <v/>
      </c>
      <c r="R33" s="83">
        <f t="array" ref="R33">IF(B33="","",SUMPRODUCT((tblCarga[Jogador]=B33)*(tblCarga[Microciclo (Nr)]=($H$1-1))*(tblCarga[Tipo]="Treino")*tblCarga[PSE Sessão]*tblCarga[Duração (min)]))</f>
        <v/>
      </c>
      <c r="S33" s="83">
        <f>J33</f>
        <v/>
      </c>
      <c r="T33" s="84">
        <f>IF(B33="","",IFERROR(TODAY()-_xlfn.MAXIFS(tblCarga[Data],tblCarga[Jogador],B33,tblCarga[Tipo],"Jogo"),"—"))</f>
        <v/>
      </c>
    </row>
    <row r="34" ht="21" customHeight="1">
      <c r="A34" s="77">
        <f>IF(B34="","",ROW()-7)</f>
        <v/>
      </c>
      <c r="B34" s="85">
        <f t="array" ref="B34">IFERROR(IF(INDEX(_xlfn._xlws.SORT(_xlfn.UNIQUE(tblCarga[Jogador])),ROW()-7)=0,"",INDEX(_xlfn._xlws.SORT(_xlfn.UNIQUE(tblCarga[Jogador])),ROW()-7)),"")</f>
        <v/>
      </c>
      <c r="C34" s="78">
        <f>IF(B34="","",IF(D34&gt;=7,"🔴",IF(D34&gt;=4,"🟡","🟢")))</f>
        <v/>
      </c>
      <c r="D34" s="79">
        <f>IF(B34="","",_xlfn.LET(_xlpm.acwr,G34,_xlpm.monot,H34,_xlpm.dias,I34,_xlpm.tend,F34,_xlpm.cong,T34,_xlpm.hooper,O34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34" s="80">
        <f>IF(B34="","",IF(D34&lt;4,"✅ Sem alertas",_xlfn.LET(_xlpm.acwr,G34,_xlpm.monot,H34,_xlpm.dias,I34,_xlpm.reasons,IF(AND(_xlpm.acwr&lt;&gt;"—",OR(_xlpm.acwr&gt;1.3,_xlpm.acwr&lt;0.8)),"ACWR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34" s="86">
        <f t="array" ref="F34">IF(B34="","",IFERROR(_xlfn.LET(_xlpm.cur,J34,_xlpm.prev,SUMPRODUCT((tblCarga[Jogador]=B34)*(tblCarga[Microciclo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34" s="87">
        <f>IF(B34="","",IFERROR(J34/AVERAGE(P34,Q34,R34),"—"))</f>
        <v/>
      </c>
      <c r="H34" s="88">
        <f>IF(B34="","",IFERROR(INDEX(Monot_Strain!F$9:F$38,MATCH(B34,Monot_Strain!A$9:A$38,0)),0))</f>
        <v/>
      </c>
      <c r="I34" s="82">
        <f t="array" ref="I34">IF(B34="","",IFERROR(TODAY()-MAX(_xlfn._xlws.FILTER(tblCarga[Data],(tblCarga[Jogador]=B34)*(tblCarga[Nº ≥90% Vmáx]&gt;0))),999))</f>
        <v/>
      </c>
      <c r="J34" s="89">
        <f t="array" ref="J34">IF(B34="","",SUMPRODUCT((tblCarga[Jogador]=B34)*(tblCarga[Microciclo (Nr)]=$H$1)*(tblCarga[Tipo]="Treino")*tblCarga[PSE Sessão]*tblCarga[Duração (min)]))</f>
        <v/>
      </c>
      <c r="K34" s="82">
        <f t="array" ref="K34">IF(B34="","",IFERROR(SUMPRODUCT((tblCarga[Jogador]=B34)*(tblCarga[Microciclo (Nr)]=$H$1)*(tblCarga[Tipo]="Jogo")*tblCarga[Duração (min)]),0))</f>
        <v/>
      </c>
      <c r="L34" s="82">
        <f t="array" ref="L34">IF(B34="","",IFERROR(_xlfn.LET(_xlpm.mcs,_xlfn._xlws.SORT(_xlfn.UNIQUE(_xlfn._xlws.FILTER(tblCarga[Microciclo (Nr)],(tblCarga[Jogador]=B34)*(tblCarga[Tipo]="Jogo"))),,,-1),_xlpm.curMC,$H$1,_xlpm.streak,0,IF(ROWS(_xlpm.mcs)=0,0,SUMPRODUCT(--(_xlpm.mcs&gt;=_xlpm.curMC-ROWS(_xlpm.mcs)+1),--(_xlpm.mcs&lt;=_xlpm.curMC)))),0))</f>
        <v/>
      </c>
      <c r="M34" s="80">
        <f>IF(B34="","",IF(D34&gt;=7,"⚠️ Reduzir carga. Consultar staff médico.",IF(D34&gt;=4,"🔍 Monitorizar. Ajustar volume se necessário.","✅ Manter plano de treino.")))</f>
        <v/>
      </c>
      <c r="N34" s="81">
        <f>IF(B34="","",IF(S34&gt;R34,"▲ "&amp;ROUND(J34,0),IF(S34&lt;R34,"▼ "&amp;ROUND(J34,0),"→ "&amp;ROUND(J34,0))))</f>
        <v/>
      </c>
      <c r="O34" s="82">
        <f t="array" ref="O34">IF(B34="","",IFERROR(INDEX(tblCarga[Hooper Index],MATCH(1,(tblCarga[Jogador]=B34)*(tblCarga[Data]=_xlfn.MAXIFS(tblCarga[Data],tblCarga[Jogador],B34,tblCarga[Hooper Index],"&gt;0")),0)),"—"))</f>
        <v/>
      </c>
      <c r="P34" s="83">
        <f t="array" ref="P34">IF(B34="","",SUMPRODUCT((tblCarga[Jogador]=B34)*(tblCarga[Microciclo (Nr)]=($H$1-3))*(tblCarga[Tipo]="Treino")*tblCarga[PSE Sessão]*tblCarga[Duração (min)]))</f>
        <v/>
      </c>
      <c r="Q34" s="83">
        <f t="array" ref="Q34">IF(B34="","",SUMPRODUCT((tblCarga[Jogador]=B34)*(tblCarga[Microciclo (Nr)]=($H$1-2))*(tblCarga[Tipo]="Treino")*tblCarga[PSE Sessão]*tblCarga[Duração (min)]))</f>
        <v/>
      </c>
      <c r="R34" s="83">
        <f t="array" ref="R34">IF(B34="","",SUMPRODUCT((tblCarga[Jogador]=B34)*(tblCarga[Microciclo (Nr)]=($H$1-1))*(tblCarga[Tipo]="Treino")*tblCarga[PSE Sessão]*tblCarga[Duração (min)]))</f>
        <v/>
      </c>
      <c r="S34" s="83">
        <f>J34</f>
        <v/>
      </c>
      <c r="T34" s="84">
        <f>IF(B34="","",IFERROR(TODAY()-_xlfn.MAXIFS(tblCarga[Data],tblCarga[Jogador],B34,tblCarga[Tipo],"Jogo"),"—"))</f>
        <v/>
      </c>
    </row>
    <row r="35" ht="21" customHeight="1">
      <c r="A35" s="77">
        <f>IF(B35="","",ROW()-7)</f>
        <v/>
      </c>
      <c r="B35" s="85">
        <f t="array" ref="B35">IFERROR(IF(INDEX(_xlfn._xlws.SORT(_xlfn.UNIQUE(tblCarga[Jogador])),ROW()-7)=0,"",INDEX(_xlfn._xlws.SORT(_xlfn.UNIQUE(tblCarga[Jogador])),ROW()-7)),"")</f>
        <v/>
      </c>
      <c r="C35" s="78">
        <f>IF(B35="","",IF(D35&gt;=7,"🔴",IF(D35&gt;=4,"🟡","🟢")))</f>
        <v/>
      </c>
      <c r="D35" s="79">
        <f>IF(B35="","",_xlfn.LET(_xlpm.acwr,G35,_xlpm.monot,H35,_xlpm.dias,I35,_xlpm.tend,F35,_xlpm.cong,T35,_xlpm.hooper,O35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35" s="80">
        <f>IF(B35="","",IF(D35&lt;4,"✅ Sem alertas",_xlfn.LET(_xlpm.acwr,G35,_xlpm.monot,H35,_xlpm.dias,I35,_xlpm.reasons,IF(AND(_xlpm.acwr&lt;&gt;"—",OR(_xlpm.acwr&gt;1.3,_xlpm.acwr&lt;0.8)),"ACWR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35" s="86">
        <f t="array" ref="F35">IF(B35="","",IFERROR(_xlfn.LET(_xlpm.cur,J35,_xlpm.prev,SUMPRODUCT((tblCarga[Jogador]=B35)*(tblCarga[Microciclo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35" s="87">
        <f>IF(B35="","",IFERROR(J35/AVERAGE(P35,Q35,R35),"—"))</f>
        <v/>
      </c>
      <c r="H35" s="88">
        <f>IF(B35="","",IFERROR(INDEX(Monot_Strain!F$9:F$38,MATCH(B35,Monot_Strain!A$9:A$38,0)),0))</f>
        <v/>
      </c>
      <c r="I35" s="82">
        <f t="array" ref="I35">IF(B35="","",IFERROR(TODAY()-MAX(_xlfn._xlws.FILTER(tblCarga[Data],(tblCarga[Jogador]=B35)*(tblCarga[Nº ≥90% Vmáx]&gt;0))),999))</f>
        <v/>
      </c>
      <c r="J35" s="89">
        <f t="array" ref="J35">IF(B35="","",SUMPRODUCT((tblCarga[Jogador]=B35)*(tblCarga[Microciclo (Nr)]=$H$1)*(tblCarga[Tipo]="Treino")*tblCarga[PSE Sessão]*tblCarga[Duração (min)]))</f>
        <v/>
      </c>
      <c r="K35" s="82">
        <f t="array" ref="K35">IF(B35="","",IFERROR(SUMPRODUCT((tblCarga[Jogador]=B35)*(tblCarga[Microciclo (Nr)]=$H$1)*(tblCarga[Tipo]="Jogo")*tblCarga[Duração (min)]),0))</f>
        <v/>
      </c>
      <c r="L35" s="82">
        <f t="array" ref="L35">IF(B35="","",IFERROR(_xlfn.LET(_xlpm.mcs,_xlfn._xlws.SORT(_xlfn.UNIQUE(_xlfn._xlws.FILTER(tblCarga[Microciclo (Nr)],(tblCarga[Jogador]=B35)*(tblCarga[Tipo]="Jogo"))),,,-1),_xlpm.curMC,$H$1,_xlpm.streak,0,IF(ROWS(_xlpm.mcs)=0,0,SUMPRODUCT(--(_xlpm.mcs&gt;=_xlpm.curMC-ROWS(_xlpm.mcs)+1),--(_xlpm.mcs&lt;=_xlpm.curMC)))),0))</f>
        <v/>
      </c>
      <c r="M35" s="80">
        <f>IF(B35="","",IF(D35&gt;=7,"⚠️ Reduzir carga. Consultar staff médico.",IF(D35&gt;=4,"🔍 Monitorizar. Ajustar volume se necessário.","✅ Manter plano de treino.")))</f>
        <v/>
      </c>
      <c r="N35" s="81">
        <f>IF(B35="","",IF(S35&gt;R35,"▲ "&amp;ROUND(J35,0),IF(S35&lt;R35,"▼ "&amp;ROUND(J35,0),"→ "&amp;ROUND(J35,0))))</f>
        <v/>
      </c>
      <c r="O35" s="82">
        <f t="array" ref="O35">IF(B35="","",IFERROR(INDEX(tblCarga[Hooper Index],MATCH(1,(tblCarga[Jogador]=B35)*(tblCarga[Data]=_xlfn.MAXIFS(tblCarga[Data],tblCarga[Jogador],B35,tblCarga[Hooper Index],"&gt;0")),0)),"—"))</f>
        <v/>
      </c>
      <c r="P35" s="83">
        <f t="array" ref="P35">IF(B35="","",SUMPRODUCT((tblCarga[Jogador]=B35)*(tblCarga[Microciclo (Nr)]=($H$1-3))*(tblCarga[Tipo]="Treino")*tblCarga[PSE Sessão]*tblCarga[Duração (min)]))</f>
        <v/>
      </c>
      <c r="Q35" s="83">
        <f t="array" ref="Q35">IF(B35="","",SUMPRODUCT((tblCarga[Jogador]=B35)*(tblCarga[Microciclo (Nr)]=($H$1-2))*(tblCarga[Tipo]="Treino")*tblCarga[PSE Sessão]*tblCarga[Duração (min)]))</f>
        <v/>
      </c>
      <c r="R35" s="83">
        <f t="array" ref="R35">IF(B35="","",SUMPRODUCT((tblCarga[Jogador]=B35)*(tblCarga[Microciclo (Nr)]=($H$1-1))*(tblCarga[Tipo]="Treino")*tblCarga[PSE Sessão]*tblCarga[Duração (min)]))</f>
        <v/>
      </c>
      <c r="S35" s="83">
        <f>J35</f>
        <v/>
      </c>
      <c r="T35" s="84">
        <f>IF(B35="","",IFERROR(TODAY()-_xlfn.MAXIFS(tblCarga[Data],tblCarga[Jogador],B35,tblCarga[Tipo],"Jogo"),"—"))</f>
        <v/>
      </c>
    </row>
    <row r="36" ht="21" customHeight="1">
      <c r="A36" s="77">
        <f>IF(B36="","",ROW()-7)</f>
        <v/>
      </c>
      <c r="B36" s="85">
        <f t="array" ref="B36">IFERROR(IF(INDEX(_xlfn._xlws.SORT(_xlfn.UNIQUE(tblCarga[Jogador])),ROW()-7)=0,"",INDEX(_xlfn._xlws.SORT(_xlfn.UNIQUE(tblCarga[Jogador])),ROW()-7)),"")</f>
        <v/>
      </c>
      <c r="C36" s="78">
        <f>IF(B36="","",IF(D36&gt;=7,"🔴",IF(D36&gt;=4,"🟡","🟢")))</f>
        <v/>
      </c>
      <c r="D36" s="79">
        <f>IF(B36="","",_xlfn.LET(_xlpm.acwr,G36,_xlpm.monot,H36,_xlpm.dias,I36,_xlpm.tend,F36,_xlpm.cong,T36,_xlpm.hooper,O36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36" s="80">
        <f>IF(B36="","",IF(D36&lt;4,"✅ Sem alertas",_xlfn.LET(_xlpm.acwr,G36,_xlpm.monot,H36,_xlpm.dias,I36,_xlpm.reasons,IF(AND(_xlpm.acwr&lt;&gt;"—",OR(_xlpm.acwr&gt;1.3,_xlpm.acwr&lt;0.8)),"ACWR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36" s="86">
        <f t="array" ref="F36">IF(B36="","",IFERROR(_xlfn.LET(_xlpm.cur,J36,_xlpm.prev,SUMPRODUCT((tblCarga[Jogador]=B36)*(tblCarga[Microciclo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36" s="87">
        <f>IF(B36="","",IFERROR(J36/AVERAGE(P36,Q36,R36),"—"))</f>
        <v/>
      </c>
      <c r="H36" s="88">
        <f>IF(B36="","",IFERROR(INDEX(Monot_Strain!F$9:F$38,MATCH(B36,Monot_Strain!A$9:A$38,0)),0))</f>
        <v/>
      </c>
      <c r="I36" s="82">
        <f t="array" ref="I36">IF(B36="","",IFERROR(TODAY()-MAX(_xlfn._xlws.FILTER(tblCarga[Data],(tblCarga[Jogador]=B36)*(tblCarga[Nº ≥90% Vmáx]&gt;0))),999))</f>
        <v/>
      </c>
      <c r="J36" s="89">
        <f t="array" ref="J36">IF(B36="","",SUMPRODUCT((tblCarga[Jogador]=B36)*(tblCarga[Microciclo (Nr)]=$H$1)*(tblCarga[Tipo]="Treino")*tblCarga[PSE Sessão]*tblCarga[Duração (min)]))</f>
        <v/>
      </c>
      <c r="K36" s="82">
        <f t="array" ref="K36">IF(B36="","",IFERROR(SUMPRODUCT((tblCarga[Jogador]=B36)*(tblCarga[Microciclo (Nr)]=$H$1)*(tblCarga[Tipo]="Jogo")*tblCarga[Duração (min)]),0))</f>
        <v/>
      </c>
      <c r="L36" s="82">
        <f t="array" ref="L36">IF(B36="","",IFERROR(_xlfn.LET(_xlpm.mcs,_xlfn._xlws.SORT(_xlfn.UNIQUE(_xlfn._xlws.FILTER(tblCarga[Microciclo (Nr)],(tblCarga[Jogador]=B36)*(tblCarga[Tipo]="Jogo"))),,,-1),_xlpm.curMC,$H$1,_xlpm.streak,0,IF(ROWS(_xlpm.mcs)=0,0,SUMPRODUCT(--(_xlpm.mcs&gt;=_xlpm.curMC-ROWS(_xlpm.mcs)+1),--(_xlpm.mcs&lt;=_xlpm.curMC)))),0))</f>
        <v/>
      </c>
      <c r="M36" s="80">
        <f>IF(B36="","",IF(D36&gt;=7,"⚠️ Reduzir carga. Consultar staff médico.",IF(D36&gt;=4,"🔍 Monitorizar. Ajustar volume se necessário.","✅ Manter plano de treino.")))</f>
        <v/>
      </c>
      <c r="N36" s="81">
        <f>IF(B36="","",IF(S36&gt;R36,"▲ "&amp;ROUND(J36,0),IF(S36&lt;R36,"▼ "&amp;ROUND(J36,0),"→ "&amp;ROUND(J36,0))))</f>
        <v/>
      </c>
      <c r="O36" s="82">
        <f t="array" ref="O36">IF(B36="","",IFERROR(INDEX(tblCarga[Hooper Index],MATCH(1,(tblCarga[Jogador]=B36)*(tblCarga[Data]=_xlfn.MAXIFS(tblCarga[Data],tblCarga[Jogador],B36,tblCarga[Hooper Index],"&gt;0")),0)),"—"))</f>
        <v/>
      </c>
      <c r="P36" s="83">
        <f t="array" ref="P36">IF(B36="","",SUMPRODUCT((tblCarga[Jogador]=B36)*(tblCarga[Microciclo (Nr)]=($H$1-3))*(tblCarga[Tipo]="Treino")*tblCarga[PSE Sessão]*tblCarga[Duração (min)]))</f>
        <v/>
      </c>
      <c r="Q36" s="83">
        <f t="array" ref="Q36">IF(B36="","",SUMPRODUCT((tblCarga[Jogador]=B36)*(tblCarga[Microciclo (Nr)]=($H$1-2))*(tblCarga[Tipo]="Treino")*tblCarga[PSE Sessão]*tblCarga[Duração (min)]))</f>
        <v/>
      </c>
      <c r="R36" s="83">
        <f t="array" ref="R36">IF(B36="","",SUMPRODUCT((tblCarga[Jogador]=B36)*(tblCarga[Microciclo (Nr)]=($H$1-1))*(tblCarga[Tipo]="Treino")*tblCarga[PSE Sessão]*tblCarga[Duração (min)]))</f>
        <v/>
      </c>
      <c r="S36" s="83">
        <f>J36</f>
        <v/>
      </c>
      <c r="T36" s="84">
        <f>IF(B36="","",IFERROR(TODAY()-_xlfn.MAXIFS(tblCarga[Data],tblCarga[Jogador],B36,tblCarga[Tipo],"Jogo"),"—"))</f>
        <v/>
      </c>
    </row>
    <row r="37" ht="21" customHeight="1">
      <c r="A37" s="77">
        <f>IF(B37="","",ROW()-7)</f>
        <v/>
      </c>
      <c r="B37" s="85">
        <f t="array" ref="B37">IFERROR(IF(INDEX(_xlfn._xlws.SORT(_xlfn.UNIQUE(tblCarga[Jogador])),ROW()-7)=0,"",INDEX(_xlfn._xlws.SORT(_xlfn.UNIQUE(tblCarga[Jogador])),ROW()-7)),"")</f>
        <v/>
      </c>
      <c r="C37" s="78">
        <f>IF(B37="","",IF(D37&gt;=7,"🔴",IF(D37&gt;=4,"🟡","🟢")))</f>
        <v/>
      </c>
      <c r="D37" s="79">
        <f>IF(B37="","",_xlfn.LET(_xlpm.acwr,G37,_xlpm.monot,H37,_xlpm.dias,I37,_xlpm.tend,F37,_xlpm.cong,T37,_xlpm.hooper,O37,_xlpm.rACWR,IF(_xlpm.acwr="—",0,IF(OR(_xlpm.acwr&gt;1.5,_xlpm.acwr&lt;0.6),3,IF(OR(_xlpm.acwr&gt;1.3,_xlpm.acwr&lt;0.8),2,IF(_xlpm.acwr&lt;=1.1,0.5,0)))),_xlpm.rMonot,IF(_xlpm.monot&gt;2.5,3,IF(_xlpm.monot&gt;2,2,IF(_xlpm.monot&gt;1.5,1,0))),_xlpm.rDias,IF(_xlpm.dias&gt;14,3,IF(_xlpm.dias&gt;7,2,IF(_xlpm.dias&gt;5,1,0))),_xlpm.rTend,IF(AND(_xlpm.tend="↑",_xlpm.acwr&gt;1.1),1,0),_xlpm.rCong,IF(AND(_xlpm.cong&lt;&gt;"—",_xlpm.cong&lt;4),2,IF(AND(_xlpm.cong&lt;&gt;"—",_xlpm.cong&lt;=5),1,0)),_xlpm.rHooper,IF(AND(_xlpm.hooper&lt;&gt;"—",_xlpm.hooper&gt;=15),1,0),MIN(10,ROUND(_xlpm.rACWR+_xlpm.rMonot+_xlpm.rDias+_xlpm.rTend+_xlpm.rCong+_xlpm.rHooper,0))))</f>
        <v/>
      </c>
      <c r="E37" s="80">
        <f>IF(B37="","",IF(D37&lt;4,"✅ Sem alertas",_xlfn.LET(_xlpm.acwr,G37,_xlpm.monot,H37,_xlpm.dias,I37,_xlpm.reasons,IF(AND(_xlpm.acwr&lt;&gt;"—",OR(_xlpm.acwr&gt;1.3,_xlpm.acwr&lt;0.8)),"ACWR "&amp;ROUND(_xlpm.acwr,2),"")&amp;IF(AND(_xlpm.monot&gt;2,AND(_xlpm.acwr&lt;&gt;"—",OR(_xlpm.acwr&gt;1.3,_xlpm.acwr&lt;0.8)))," | ","")&amp;IF(_xlpm.monot&gt;2,"Monot "&amp;ROUND(_xlpm.monot,1),"")&amp;IF(AND(_xlpm.dias&gt;7,OR(AND(_xlpm.acwr&lt;&gt;"—",OR(_xlpm.acwr&gt;1.3,_xlpm.acwr&lt;0.8)),_xlpm.monot&gt;2))," | ","")&amp;IF(_xlpm.dias&gt;7,"Vmáx "&amp;_xlpm.dias&amp;"d",""),IF(LEN(_xlpm.reasons)&gt;0,_xlpm.reasons,"Múltiplos fatores"))))</f>
        <v/>
      </c>
      <c r="F37" s="86">
        <f t="array" ref="F37">IF(B37="","",IFERROR(_xlfn.LET(_xlpm.cur,J37,_xlpm.prev,SUMPRODUCT((tblCarga[Jogador]=B37)*(tblCarga[Microciclo (Nr)]=($H$1-1))*(tblCarga[Tipo]="Treino")*tblCarga[PSE Sessão]*tblCarga[Duração (min)]),_xlpm.delta,(_xlpm.cur-_xlpm.prev)/IF(_xlpm.prev=0,1,_xlpm.prev),IF(_xlpm.delta&gt;0.1,"↑",IF(_xlpm.delta&lt;-0.1,"↓","→"))),"—"))</f>
        <v/>
      </c>
      <c r="G37" s="87">
        <f>IF(B37="","",IFERROR(J37/AVERAGE(P37,Q37,R37),"—"))</f>
        <v/>
      </c>
      <c r="H37" s="88">
        <f>IF(B37="","",IFERROR(INDEX(Monot_Strain!F$9:F$38,MATCH(B37,Monot_Strain!A$9:A$38,0)),0))</f>
        <v/>
      </c>
      <c r="I37" s="82">
        <f t="array" ref="I37">IF(B37="","",IFERROR(TODAY()-MAX(_xlfn._xlws.FILTER(tblCarga[Data],(tblCarga[Jogador]=B37)*(tblCarga[Nº ≥90% Vmáx]&gt;0))),999))</f>
        <v/>
      </c>
      <c r="J37" s="89">
        <f t="array" ref="J37">IF(B37="","",SUMPRODUCT((tblCarga[Jogador]=B37)*(tblCarga[Microciclo (Nr)]=$H$1)*(tblCarga[Tipo]="Treino")*tblCarga[PSE Sessão]*tblCarga[Duração (min)]))</f>
        <v/>
      </c>
      <c r="K37" s="82">
        <f t="array" ref="K37">IF(B37="","",IFERROR(SUMPRODUCT((tblCarga[Jogador]=B37)*(tblCarga[Microciclo (Nr)]=$H$1)*(tblCarga[Tipo]="Jogo")*tblCarga[Duração (min)]),0))</f>
        <v/>
      </c>
      <c r="L37" s="82">
        <f t="array" ref="L37">IF(B37="","",IFERROR(_xlfn.LET(_xlpm.mcs,_xlfn._xlws.SORT(_xlfn.UNIQUE(_xlfn._xlws.FILTER(tblCarga[Microciclo (Nr)],(tblCarga[Jogador]=B37)*(tblCarga[Tipo]="Jogo"))),,,-1),_xlpm.curMC,$H$1,_xlpm.streak,0,IF(ROWS(_xlpm.mcs)=0,0,SUMPRODUCT(--(_xlpm.mcs&gt;=_xlpm.curMC-ROWS(_xlpm.mcs)+1),--(_xlpm.mcs&lt;=_xlpm.curMC)))),0))</f>
        <v/>
      </c>
      <c r="M37" s="80">
        <f>IF(B37="","",IF(D37&gt;=7,"⚠️ Reduzir carga. Consultar staff médico.",IF(D37&gt;=4,"🔍 Monitorizar. Ajustar volume se necessário.","✅ Manter plano de treino.")))</f>
        <v/>
      </c>
      <c r="N37" s="81">
        <f>IF(B37="","",IF(S37&gt;R37,"▲ "&amp;ROUND(J37,0),IF(S37&lt;R37,"▼ "&amp;ROUND(J37,0),"→ "&amp;ROUND(J37,0))))</f>
        <v/>
      </c>
      <c r="O37" s="82">
        <f t="array" ref="O37">IF(B37="","",IFERROR(INDEX(tblCarga[Hooper Index],MATCH(1,(tblCarga[Jogador]=B37)*(tblCarga[Data]=_xlfn.MAXIFS(tblCarga[Data],tblCarga[Jogador],B37,tblCarga[Hooper Index],"&gt;0")),0)),"—"))</f>
        <v/>
      </c>
      <c r="P37" s="83">
        <f t="array" ref="P37">IF(B37="","",SUMPRODUCT((tblCarga[Jogador]=B37)*(tblCarga[Microciclo (Nr)]=($H$1-3))*(tblCarga[Tipo]="Treino")*tblCarga[PSE Sessão]*tblCarga[Duração (min)]))</f>
        <v/>
      </c>
      <c r="Q37" s="83">
        <f t="array" ref="Q37">IF(B37="","",SUMPRODUCT((tblCarga[Jogador]=B37)*(tblCarga[Microciclo (Nr)]=($H$1-2))*(tblCarga[Tipo]="Treino")*tblCarga[PSE Sessão]*tblCarga[Duração (min)]))</f>
        <v/>
      </c>
      <c r="R37" s="83">
        <f t="array" ref="R37">IF(B37="","",SUMPRODUCT((tblCarga[Jogador]=B37)*(tblCarga[Microciclo (Nr)]=($H$1-1))*(tblCarga[Tipo]="Treino")*tblCarga[PSE Sessão]*tblCarga[Duração (min)]))</f>
        <v/>
      </c>
      <c r="S37" s="83">
        <f>J37</f>
        <v/>
      </c>
      <c r="T37" s="84">
        <f>IF(B37="","",IFERROR(TODAY()-_xlfn.MAXIFS(tblCarga[Data],tblCarga[Jogador],B37,tblCarga[Tipo],"Jogo"),"—"))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</row>
    <row r="39">
      <c r="A39" s="115" t="inlineStr">
        <is>
          <t>📊  RESUMO DE EQUIPA  |  MC atual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</row>
    <row r="40" ht="30" customHeight="1">
      <c r="A40" s="251" t="n"/>
      <c r="B40" s="632" t="n"/>
      <c r="C40" s="632" t="n"/>
      <c r="D40" s="632" t="n"/>
      <c r="E40" s="632" t="n"/>
      <c r="F40" s="632" t="n"/>
      <c r="G40" s="632" t="n"/>
      <c r="H40" s="632" t="n"/>
      <c r="I40" s="632" t="n"/>
      <c r="J40" s="632" t="n"/>
      <c r="K40" s="632" t="n"/>
      <c r="L40" s="632" t="n"/>
      <c r="M40" s="632" t="n"/>
      <c r="N40" s="632" t="n"/>
      <c r="O40" s="632" t="n"/>
      <c r="P40" s="632" t="n"/>
      <c r="Q40" s="632" t="n"/>
      <c r="R40" s="632" t="n"/>
      <c r="S40" s="632" t="n"/>
      <c r="T40" s="632" t="n"/>
    </row>
    <row r="41" ht="6" customHeight="1">
      <c r="A41" s="153" t="inlineStr">
        <is>
          <t>Métrica</t>
        </is>
      </c>
      <c r="B41" s="252" t="inlineStr">
        <is>
          <t>Valor</t>
        </is>
      </c>
      <c r="C41" s="252" t="inlineStr">
        <is>
          <t>Estado</t>
        </is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</row>
    <row r="42" ht="27.95" customHeight="1">
      <c r="A42" s="122" t="inlineStr">
        <is>
          <t>🟢 Jogadores OK (Risco &lt;4)</t>
        </is>
      </c>
      <c r="B42" s="122">
        <f>COUNTIF(D8:D37,"&lt;4")</f>
        <v/>
      </c>
      <c r="C42" s="122">
        <f>IFERROR(ROUND(B42/COUNTA(B8:B37)*100,0)&amp;"%","—")</f>
        <v/>
      </c>
    </row>
    <row r="43" ht="26.1" customHeight="1">
      <c r="A43" s="260" t="inlineStr">
        <is>
          <t>🟡 Monitorizar (Risco 4-6)</t>
        </is>
      </c>
      <c r="B43" s="263">
        <f>COUNTIFS(D8:D37,"&gt;=4",D8:D37,"&lt;7")</f>
        <v/>
      </c>
      <c r="C43" s="253">
        <f>IFERROR(ROUND(B43/COUNTA(B8:B37)*100,0)&amp;"%","—")</f>
        <v/>
      </c>
    </row>
    <row r="44" ht="26.1" customHeight="1">
      <c r="A44" s="261" t="inlineStr">
        <is>
          <t>🔴 Alerta Alto (Risco ≥7)</t>
        </is>
      </c>
      <c r="B44" s="264">
        <f>COUNTIF(D8:D37,"&gt;=7")</f>
        <v/>
      </c>
      <c r="C44" s="256">
        <f>IFERROR(ROUND(B44/COUNTA(B8:B37)*100,0)&amp;"%","—")</f>
        <v/>
      </c>
    </row>
    <row r="45" ht="26.1" customHeight="1">
      <c r="A45" s="262" t="n"/>
      <c r="B45" s="265" t="n"/>
      <c r="C45" s="174" t="n"/>
    </row>
    <row r="46" ht="26.1" customHeight="1">
      <c r="A46" s="254" t="inlineStr">
        <is>
          <t>Risco Médio Equipa</t>
        </is>
      </c>
      <c r="B46" s="255">
        <f t="array" ref="B46">IFERROR(ROUND(AVERAGE(IF(D8:D37&lt;&gt;"",D8:D37)),1),"—")</f>
        <v/>
      </c>
      <c r="C46" s="169" t="n"/>
    </row>
    <row r="47" ht="26.1" customHeight="1">
      <c r="A47" s="258" t="inlineStr">
        <is>
          <t>ACWR Médio Equipa</t>
        </is>
      </c>
      <c r="B47" s="266">
        <f t="array" ref="B47">IFERROR(ROUND(AVERAGE(IF(G8:G37&lt;&gt;"—",IF(G8:G37&lt;&gt;"",G8:G37))),2),"—")</f>
        <v/>
      </c>
      <c r="C47" s="174" t="n"/>
    </row>
    <row r="48" ht="26.1" customHeight="1">
      <c r="A48" s="254" t="inlineStr">
        <is>
          <t>CI Média Semanal</t>
        </is>
      </c>
      <c r="B48" s="267">
        <f t="array" ref="B48">IFERROR(ROUND(AVERAGE(IF(J8:J37&lt;&gt;"",IF(J8:J37&lt;&gt;0,J8:J37))),0),"—")</f>
        <v/>
      </c>
      <c r="C48" s="169" t="n"/>
    </row>
    <row r="49" ht="26.1" customHeight="1">
      <c r="A49" s="257" t="inlineStr">
        <is>
          <t>Monotonia Média</t>
        </is>
      </c>
      <c r="B49" s="268">
        <f t="array" ref="B49">IFERROR(ROUND(AVERAGE(IF(H8:H37&lt;&gt;"",IF(H8:H37&lt;&gt;0,H8:H37))),1),"—")</f>
        <v/>
      </c>
      <c r="C49" s="170" t="n"/>
    </row>
  </sheetData>
  <conditionalFormatting sqref="D8:D16">
    <cfRule type="colorScale" priority="58">
      <colorScale>
        <cfvo type="min"/>
        <cfvo type="num" val="50"/>
        <cfvo type="max"/>
        <color rgb="FF52C41A"/>
        <color rgb="FFFAAD14"/>
        <color rgb="FFFF4D4F"/>
      </colorScale>
    </cfRule>
  </conditionalFormatting>
  <conditionalFormatting sqref="D8:D37">
    <cfRule type="cellIs" priority="52" operator="greaterThanOrEqual" dxfId="4">
      <formula>7</formula>
    </cfRule>
    <cfRule type="cellIs" priority="53" operator="between" dxfId="1">
      <formula>4</formula>
      <formula>6</formula>
    </cfRule>
    <cfRule type="cellIs" priority="54" operator="lessThan" dxfId="0">
      <formula>4</formula>
    </cfRule>
  </conditionalFormatting>
  <conditionalFormatting sqref="G8 G10:G37">
    <cfRule type="cellIs" priority="41" operator="greaterThan" dxfId="4">
      <formula>1.3</formula>
    </cfRule>
    <cfRule type="cellIs" priority="42" operator="lessThan" dxfId="4">
      <formula>0.6</formula>
    </cfRule>
    <cfRule type="cellIs" priority="43" operator="between" dxfId="1">
      <formula>0.6</formula>
      <formula>0.8</formula>
    </cfRule>
    <cfRule type="cellIs" priority="44" operator="between" dxfId="1">
      <formula>1.2</formula>
      <formula>1.3</formula>
    </cfRule>
    <cfRule type="cellIs" priority="45" operator="between" dxfId="0">
      <formula>0.8</formula>
      <formula>1.2</formula>
    </cfRule>
  </conditionalFormatting>
  <conditionalFormatting sqref="G8:G16">
    <cfRule type="colorScale" priority="59">
      <colorScale>
        <cfvo type="num" val="0"/>
        <cfvo type="num" val="50"/>
        <cfvo type="num" val="0"/>
        <color rgb="FFFF4D4F"/>
        <color rgb="FF52C41A"/>
        <color rgb="FFFF4D4F"/>
      </colorScale>
    </cfRule>
  </conditionalFormatting>
  <conditionalFormatting sqref="H8:H16">
    <cfRule type="colorScale" priority="60">
      <colorScale>
        <cfvo type="min"/>
        <cfvo type="num" val="50"/>
        <cfvo type="max"/>
        <color rgb="FF52C41A"/>
        <color rgb="FFFAAD14"/>
        <color rgb="FFFF4D4F"/>
      </colorScale>
    </cfRule>
  </conditionalFormatting>
  <conditionalFormatting sqref="H8:H37">
    <cfRule type="cellIs" priority="46" operator="greaterThan" dxfId="4">
      <formula>2.5</formula>
    </cfRule>
    <cfRule type="cellIs" priority="47" operator="between" dxfId="1">
      <formula>2</formula>
      <formula>2.5</formula>
    </cfRule>
    <cfRule type="cellIs" priority="48" operator="lessThanOrEqual" dxfId="0">
      <formula>2</formula>
    </cfRule>
  </conditionalFormatting>
  <conditionalFormatting sqref="I8:I16">
    <cfRule type="colorScale" priority="61">
      <colorScale>
        <cfvo type="min"/>
        <cfvo type="num" val="50"/>
        <cfvo type="max"/>
        <color rgb="FF52C41A"/>
        <color rgb="FFFAAD14"/>
        <color rgb="FFFF4D4F"/>
      </colorScale>
    </cfRule>
  </conditionalFormatting>
  <conditionalFormatting sqref="I8:I37">
    <cfRule type="cellIs" priority="49" operator="greaterThan" dxfId="4">
      <formula>14</formula>
    </cfRule>
    <cfRule type="cellIs" priority="50" operator="between" dxfId="1">
      <formula>7</formula>
      <formula>14</formula>
    </cfRule>
    <cfRule type="cellIs" priority="51" operator="lessThanOrEqual" dxfId="0">
      <formula>7</formula>
    </cfRule>
  </conditionalFormatting>
  <conditionalFormatting sqref="J8:J37">
    <cfRule type="dataBar" priority="16">
      <dataBar>
        <cfvo type="min"/>
        <cfvo type="max"/>
        <color rgb="FF638EC6"/>
      </dataBar>
    </cfRule>
  </conditionalFormatting>
  <conditionalFormatting sqref="K8:K37">
    <cfRule type="dataBar" priority="17">
      <dataBar>
        <cfvo type="min"/>
        <cfvo type="max"/>
        <color rgb="FF638EC6"/>
      </dataBar>
    </cfRule>
  </conditionalFormatting>
  <conditionalFormatting sqref="N8:N37">
    <cfRule type="containsText" priority="55" operator="containsText" dxfId="0" text="▲">
      <formula>NOT(ISERROR(SEARCH("▲",N8)))</formula>
    </cfRule>
    <cfRule type="containsText" priority="56" operator="containsText" dxfId="4" text="▼">
      <formula>NOT(ISERROR(SEARCH("▼",N8)))</formula>
    </cfRule>
    <cfRule type="containsText" priority="57" operator="containsText" dxfId="81" text="→">
      <formula>NOT(ISERROR(SEARCH("→",N8)))</formula>
    </cfRule>
  </conditionalFormatting>
  <conditionalFormatting sqref="O8:O37">
    <cfRule type="cellIs" priority="35" operator="greaterThanOrEqual" dxfId="4">
      <formula>15</formula>
    </cfRule>
    <cfRule type="cellIs" priority="36" operator="between" dxfId="1">
      <formula>9</formula>
      <formula>14</formula>
    </cfRule>
    <cfRule type="cellIs" priority="37" operator="between" dxfId="0">
      <formula>4</formula>
      <formula>8</formula>
    </cfRule>
  </conditionalFormatting>
  <conditionalFormatting sqref="T8:T37">
    <cfRule type="cellIs" priority="38" operator="between" dxfId="4">
      <formula>1</formula>
      <formula>3</formula>
    </cfRule>
    <cfRule type="cellIs" priority="39" operator="between" dxfId="1">
      <formula>4</formula>
      <formula>5</formula>
    </cfRule>
    <cfRule type="cellIs" priority="40" operator="greaterThanOrEqual" dxfId="0">
      <formula>6</formula>
    </cfRule>
  </conditionalFormatting>
  <dataValidations count="1">
    <dataValidation sqref="H1" showDropDown="0" showInputMessage="1" showErrorMessage="1" allowBlank="1" type="list">
      <formula1>"1,2,3,4,5,6,7,8,9,10,11,12,13,14,15,16,17,18,19,20,21,22,23,24,25,26,27,28,29,30,31,32,33,34,35,36,37,38,39,40,41,42,43,44,45,46,47,48,49,50,51,52"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63B3ED"/>
    <outlinePr summaryBelow="1" summaryRight="1"/>
    <pageSetUpPr/>
  </sheetPr>
  <dimension ref="A1:AJ208"/>
  <sheetViews>
    <sheetView zoomScale="67" workbookViewId="0">
      <pane xSplit="1" ySplit="8" topLeftCell="J9" activePane="bottomRight" state="frozen"/>
      <selection pane="topRight" activeCell="B1" sqref="B1"/>
      <selection pane="bottomLeft" activeCell="A9" sqref="A9"/>
      <selection pane="bottomRight" activeCell="B5" sqref="B5"/>
    </sheetView>
  </sheetViews>
  <sheetFormatPr baseColWidth="8" defaultRowHeight="15"/>
  <cols>
    <col width="38.85546875" customWidth="1" min="1" max="1"/>
    <col width="13.140625" customWidth="1" min="2" max="2"/>
    <col width="7.5703125" bestFit="1" customWidth="1" min="3" max="3"/>
    <col width="20.28515625" bestFit="1" customWidth="1" min="4" max="4"/>
    <col width="14" bestFit="1" customWidth="1" min="5" max="5"/>
    <col width="23.42578125" bestFit="1" customWidth="1" min="6" max="6"/>
    <col width="10" bestFit="1" customWidth="1" min="7" max="7"/>
    <col width="14.7109375" bestFit="1" customWidth="1" min="8" max="8"/>
    <col width="6.28515625" bestFit="1" customWidth="1" min="9" max="10"/>
    <col width="7" bestFit="1" customWidth="1" min="11" max="11"/>
    <col width="10.5703125" bestFit="1" customWidth="1" min="12" max="12"/>
    <col width="10.7109375" bestFit="1" customWidth="1" min="13" max="13"/>
    <col width="10.28515625" bestFit="1" customWidth="1" min="14" max="14"/>
    <col width="7.140625" bestFit="1" customWidth="1" min="15" max="15"/>
    <col width="10.7109375" bestFit="1" customWidth="1" min="16" max="16"/>
    <col width="10.28515625" bestFit="1" customWidth="1" min="17" max="17"/>
    <col width="7.140625" bestFit="1" customWidth="1" min="18" max="18"/>
    <col width="10.7109375" bestFit="1" customWidth="1" min="19" max="19"/>
    <col width="10.28515625" bestFit="1" customWidth="1" min="20" max="20"/>
    <col width="7.140625" bestFit="1" customWidth="1" min="21" max="21"/>
    <col width="10.7109375" bestFit="1" customWidth="1" min="22" max="22"/>
    <col width="10.28515625" bestFit="1" customWidth="1" min="23" max="23"/>
    <col width="7.140625" bestFit="1" customWidth="1" min="24" max="24"/>
    <col width="10.7109375" bestFit="1" customWidth="1" min="25" max="25"/>
    <col width="10.28515625" bestFit="1" customWidth="1" min="26" max="26"/>
    <col width="7.140625" bestFit="1" customWidth="1" min="27" max="27"/>
    <col width="10.7109375" bestFit="1" customWidth="1" min="28" max="28"/>
    <col width="10.28515625" bestFit="1" customWidth="1" min="29" max="29"/>
    <col width="7.140625" bestFit="1" customWidth="1" min="30" max="30"/>
    <col width="13.140625" bestFit="1" customWidth="1" min="31" max="31"/>
    <col width="10.85546875" bestFit="1" customWidth="1" min="34" max="34"/>
    <col width="10" bestFit="1" customWidth="1" min="35" max="35"/>
  </cols>
  <sheetData>
    <row r="1" ht="42" customHeight="1">
      <c r="A1" s="594" t="inlineStr">
        <is>
          <t>📊  ACWR — RÁCIO AGUDO:CRÓNICO (EWMA)  |  Carga Externa + Interna  |  Belenenses</t>
        </is>
      </c>
      <c r="B1" s="599" t="n"/>
      <c r="C1" s="599" t="n"/>
      <c r="D1" s="599" t="n"/>
      <c r="E1" s="599" t="n"/>
      <c r="F1" s="599" t="n"/>
      <c r="G1" s="599" t="n"/>
      <c r="H1" s="599" t="n"/>
      <c r="I1" s="599" t="n"/>
      <c r="J1" s="599" t="n"/>
      <c r="K1" s="599" t="n"/>
      <c r="L1" s="599" t="n"/>
      <c r="M1" s="599" t="n"/>
      <c r="N1" s="599" t="n"/>
      <c r="O1" s="599" t="n"/>
      <c r="P1" s="599" t="n"/>
      <c r="Q1" s="599" t="n"/>
      <c r="R1" s="599" t="n"/>
      <c r="S1" s="599" t="n"/>
      <c r="T1" s="599" t="n"/>
      <c r="U1" s="599" t="n"/>
      <c r="V1" s="599" t="n"/>
      <c r="W1" s="599" t="n"/>
      <c r="X1" s="599" t="n"/>
      <c r="Y1" s="599" t="n"/>
      <c r="Z1" s="599" t="n"/>
      <c r="AA1" s="599" t="n"/>
      <c r="AB1" s="599" t="n"/>
      <c r="AC1" s="599" t="n"/>
      <c r="AD1" s="599" t="n"/>
      <c r="AE1" s="599" t="n"/>
      <c r="AF1" s="599" t="n"/>
      <c r="AG1" s="599" t="n"/>
      <c r="AH1" s="285" t="inlineStr">
        <is>
          <t>_Jogadores</t>
        </is>
      </c>
      <c r="AI1" s="285" t="inlineStr">
        <is>
          <t>_Posições</t>
        </is>
      </c>
      <c r="AJ1" s="599" t="n"/>
    </row>
    <row r="2" ht="21.95" customHeight="1">
      <c r="A2" s="287" t="inlineStr">
        <is>
          <t>EWMA: λ_agudo = 2/(7+1) = 0.25  ·  λ_crónico = 2/(28+1) ≈ 0.069  ·  Semáforo: 🟢 0.8–1.3  |  🟡 1.3–1.5 ou &lt;0.8  |  🔴 &gt;1.5</t>
        </is>
      </c>
      <c r="B2" s="632" t="n"/>
      <c r="C2" s="632" t="n"/>
      <c r="D2" s="632" t="n"/>
      <c r="E2" s="632" t="n"/>
      <c r="F2" s="632" t="n"/>
      <c r="G2" s="632" t="n"/>
      <c r="H2" s="632" t="n"/>
      <c r="I2" s="632" t="n"/>
      <c r="J2" s="632" t="n"/>
      <c r="K2" s="632" t="n"/>
      <c r="L2" s="632" t="n"/>
      <c r="M2" s="632" t="n"/>
      <c r="N2" s="632" t="n"/>
      <c r="O2" s="632" t="n"/>
      <c r="P2" s="632" t="n"/>
      <c r="Q2" s="632" t="n"/>
      <c r="R2" s="632" t="n"/>
      <c r="S2" s="632" t="n"/>
      <c r="T2" s="632" t="n"/>
      <c r="U2" s="632" t="n"/>
      <c r="V2" s="632" t="n"/>
      <c r="W2" s="632" t="n"/>
      <c r="X2" s="632" t="n"/>
      <c r="Y2" s="632" t="n"/>
      <c r="Z2" s="632" t="n"/>
      <c r="AA2" s="632" t="n"/>
      <c r="AB2" s="632" t="n"/>
      <c r="AC2" s="632" t="n"/>
      <c r="AD2" s="632" t="n"/>
      <c r="AE2" s="632" t="n"/>
      <c r="AF2" s="632" t="n"/>
      <c r="AG2" s="632" t="n"/>
      <c r="AH2" s="632">
        <f t="array" ref="AH2:AH10">_xlfn._xlws.SORT(_xlfn.UNIQUE(tblCarga[Jogador]))</f>
        <v/>
      </c>
      <c r="AI2" s="632">
        <f t="array" ref="AI2:AI4">_xlfn._xlws.SORT(_xlfn.UNIQUE(tblCarga[Posição]))</f>
        <v/>
      </c>
      <c r="AJ2" s="632" t="n"/>
    </row>
    <row r="3" ht="24" customHeight="1">
      <c r="A3" s="113" t="n"/>
      <c r="B3" s="113" t="n"/>
      <c r="C3" s="113" t="n"/>
      <c r="D3" s="288" t="inlineStr">
        <is>
          <t>ZONAS ACWR:</t>
        </is>
      </c>
      <c r="E3" s="113" t="inlineStr">
        <is>
          <t>🟢 0.80 – 1.30</t>
        </is>
      </c>
      <c r="F3" s="113" t="inlineStr">
        <is>
          <t>🟡 1.30 – 1.50  ou  &lt; 0.80</t>
        </is>
      </c>
      <c r="G3" s="289" t="inlineStr">
        <is>
          <t>🔴 &gt; 1.50</t>
        </is>
      </c>
      <c r="H3" s="288" t="inlineStr">
        <is>
          <t>ÚLTIMO ACWR:</t>
        </is>
      </c>
      <c r="I3" s="288" t="inlineStr">
        <is>
          <t>Dist</t>
        </is>
      </c>
      <c r="J3" s="288" t="inlineStr">
        <is>
          <t>HSR</t>
        </is>
      </c>
      <c r="K3" s="288" t="inlineStr">
        <is>
          <t>Sprint</t>
        </is>
      </c>
      <c r="L3" s="290" t="inlineStr">
        <is>
          <t>CI</t>
        </is>
      </c>
      <c r="M3" s="113" t="n"/>
      <c r="N3" s="113" t="n"/>
      <c r="O3" s="113" t="n"/>
      <c r="P3" s="113" t="n"/>
      <c r="Q3" s="113" t="n"/>
      <c r="R3" s="113" t="n"/>
      <c r="S3" s="113" t="n"/>
      <c r="T3" s="113" t="n"/>
      <c r="U3" s="113" t="n"/>
      <c r="V3" s="113" t="n"/>
      <c r="W3" s="113" t="n"/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3" t="n"/>
      <c r="AH3" s="113" t="inlineStr">
        <is>
          <t>Capitulo</t>
        </is>
      </c>
      <c r="AI3" s="113" t="inlineStr">
        <is>
          <t>Lateral</t>
        </is>
      </c>
      <c r="AJ3" s="113" t="n"/>
    </row>
    <row r="4" ht="26.1" customHeight="1">
      <c r="A4" s="293" t="inlineStr">
        <is>
          <t>⚙️  PARÂMETROS</t>
        </is>
      </c>
      <c r="B4" s="601" t="n"/>
      <c r="C4" s="601" t="n"/>
      <c r="D4" s="601" t="n"/>
      <c r="E4" s="601" t="n"/>
      <c r="F4" s="601" t="n"/>
      <c r="G4" s="601" t="n"/>
      <c r="H4" s="601" t="n"/>
      <c r="I4" s="291">
        <f t="array" ref="I4">IFERROR(LOOKUP(2,1/(O9:O208&lt;&gt;""),O9:O208),"—")</f>
        <v/>
      </c>
      <c r="J4" s="291">
        <f t="array" ref="J4">IFERROR(LOOKUP(2,1/(R9:R208&lt;&gt;""),R9:R208),"—")</f>
        <v/>
      </c>
      <c r="K4" s="291">
        <f t="array" ref="K4">IFERROR(LOOKUP(2,1/(U9:U208&lt;&gt;""),U9:U208),"—")</f>
        <v/>
      </c>
      <c r="L4" s="291">
        <f t="array" ref="L4">IFERROR(LOOKUP(2,1/(AD9:AD208&lt;&gt;""),AD9:AD208),"—")</f>
        <v/>
      </c>
      <c r="M4" s="601" t="n"/>
      <c r="N4" s="601" t="n"/>
      <c r="O4" s="601" t="n"/>
      <c r="P4" s="601" t="n"/>
      <c r="Q4" s="601" t="n"/>
      <c r="R4" s="601" t="n"/>
      <c r="S4" s="601" t="n"/>
      <c r="T4" s="601" t="n"/>
      <c r="U4" s="601" t="n"/>
      <c r="V4" s="601" t="n"/>
      <c r="W4" s="601" t="n"/>
      <c r="X4" s="601" t="n"/>
      <c r="Y4" s="601" t="n"/>
      <c r="Z4" s="601" t="n"/>
      <c r="AA4" s="601" t="n"/>
      <c r="AB4" s="601" t="n"/>
      <c r="AC4" s="601" t="n"/>
      <c r="AD4" s="601" t="n"/>
      <c r="AE4" s="601" t="n"/>
      <c r="AF4" s="601" t="n"/>
      <c r="AG4" s="601" t="n"/>
      <c r="AH4" s="601" t="inlineStr">
        <is>
          <t>Edu</t>
        </is>
      </c>
      <c r="AI4" s="601" t="inlineStr">
        <is>
          <t>Médio</t>
        </is>
      </c>
      <c r="AJ4" s="292" t="inlineStr">
        <is>
          <t>💡 Dica: Se o ficheiro estiver lento,</t>
        </is>
      </c>
    </row>
    <row r="5" ht="26.1" customHeight="1">
      <c r="A5" s="133" t="inlineStr">
        <is>
          <t xml:space="preserve">Jogador: </t>
        </is>
      </c>
      <c r="B5" s="65" t="inlineStr">
        <is>
          <t>Paulino</t>
        </is>
      </c>
      <c r="C5" s="134" t="n"/>
      <c r="D5" s="294" t="inlineStr">
        <is>
          <t>λ aguda = 2/(7+1) = 0.25</t>
        </is>
      </c>
      <c r="E5" s="134" t="n"/>
      <c r="F5" s="294" t="inlineStr">
        <is>
          <t>λ crónica = 2/(28+1) ≈ 0.069</t>
        </is>
      </c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4" t="n"/>
      <c r="R5" s="134" t="n"/>
      <c r="S5" s="134" t="n"/>
      <c r="T5" s="134" t="n"/>
      <c r="U5" s="134" t="n"/>
      <c r="V5" s="134" t="n"/>
      <c r="W5" s="134" t="n"/>
      <c r="X5" s="134" t="n"/>
      <c r="Y5" s="134" t="n"/>
      <c r="Z5" s="134" t="n"/>
      <c r="AA5" s="134" t="n"/>
      <c r="AB5" s="134" t="n"/>
      <c r="AC5" s="134" t="n"/>
      <c r="AD5" s="134" t="n"/>
      <c r="AE5" s="134" t="n"/>
      <c r="AF5" s="134" t="n"/>
      <c r="AG5" s="134" t="n"/>
      <c r="AH5" s="134" t="inlineStr">
        <is>
          <t>Enzo Hugo</t>
        </is>
      </c>
      <c r="AI5" s="134" t="n"/>
      <c r="AJ5" s="295" t="inlineStr">
        <is>
          <t>usa Cálculo Manual (Fórmulas → Cálculo → Manual)</t>
        </is>
      </c>
    </row>
    <row r="6">
      <c r="AH6" t="inlineStr">
        <is>
          <t>Gomes</t>
        </is>
      </c>
    </row>
    <row r="7" ht="27.95" customHeight="1">
      <c r="A7" s="596" t="inlineStr">
        <is>
          <t>A — CARGA DIÁRIA POR SESSÃO  |  Jogador selecionado em B5</t>
        </is>
      </c>
      <c r="B7" s="601" t="n"/>
      <c r="C7" s="601" t="n"/>
      <c r="D7" s="601" t="n"/>
      <c r="E7" s="601" t="n"/>
      <c r="F7" s="601" t="n"/>
      <c r="G7" s="601" t="n"/>
      <c r="H7" s="601" t="n"/>
      <c r="I7" s="601" t="n"/>
      <c r="J7" s="601" t="n"/>
      <c r="K7" s="601" t="n"/>
      <c r="L7" s="601" t="n"/>
      <c r="M7" s="601" t="n"/>
      <c r="N7" s="601" t="n"/>
      <c r="O7" s="601" t="n"/>
      <c r="P7" s="601" t="n"/>
      <c r="Q7" s="601" t="n"/>
      <c r="R7" s="601" t="n"/>
      <c r="S7" s="601" t="n"/>
      <c r="T7" s="601" t="n"/>
      <c r="U7" s="601" t="n"/>
      <c r="V7" s="601" t="n"/>
      <c r="W7" s="601" t="n"/>
      <c r="X7" s="601" t="n"/>
      <c r="Y7" s="601" t="n"/>
      <c r="Z7" s="601" t="n"/>
      <c r="AA7" s="601" t="n"/>
      <c r="AB7" s="601" t="n"/>
      <c r="AC7" s="601" t="n"/>
      <c r="AD7" s="601" t="n"/>
      <c r="AE7" s="601" t="n"/>
      <c r="AF7" s="601" t="n"/>
      <c r="AG7" s="601" t="n"/>
      <c r="AH7" s="601" t="inlineStr">
        <is>
          <t>Nogueira</t>
        </is>
      </c>
      <c r="AI7" s="601" t="n"/>
      <c r="AJ7" s="601" t="n"/>
    </row>
    <row r="8" ht="39.95" customHeight="1" thickBot="1">
      <c r="A8" s="296" t="inlineStr">
        <is>
          <t>Data</t>
        </is>
      </c>
      <c r="B8" s="297" t="inlineStr">
        <is>
          <t>Tipo</t>
        </is>
      </c>
      <c r="C8" s="297" t="inlineStr">
        <is>
          <t>Dia MC</t>
        </is>
      </c>
      <c r="D8" s="297" t="inlineStr">
        <is>
          <t>MC</t>
        </is>
      </c>
      <c r="E8" s="297" t="inlineStr">
        <is>
          <t>Duração</t>
        </is>
      </c>
      <c r="F8" s="297" t="inlineStr">
        <is>
          <t>Dist Total</t>
        </is>
      </c>
      <c r="G8" s="297" t="inlineStr">
        <is>
          <t>HSR</t>
        </is>
      </c>
      <c r="H8" s="297" t="inlineStr">
        <is>
          <t>Sprint</t>
        </is>
      </c>
      <c r="I8" s="297" t="inlineStr">
        <is>
          <t>Acc</t>
        </is>
      </c>
      <c r="J8" s="297" t="inlineStr">
        <is>
          <t>Dcc</t>
        </is>
      </c>
      <c r="K8" s="297" t="inlineStr">
        <is>
          <t>PSE</t>
        </is>
      </c>
      <c r="L8" s="297" t="inlineStr">
        <is>
          <t>Carga Interna</t>
        </is>
      </c>
      <c r="M8" s="297" t="inlineStr">
        <is>
          <t>EWMA Ag.
Dist</t>
        </is>
      </c>
      <c r="N8" s="297" t="inlineStr">
        <is>
          <t>EWMA Cr.
Dist</t>
        </is>
      </c>
      <c r="O8" s="298" t="inlineStr">
        <is>
          <t>ACWR
Dist</t>
        </is>
      </c>
      <c r="P8" s="297" t="inlineStr">
        <is>
          <t>EWMA Ag.
HSR</t>
        </is>
      </c>
      <c r="Q8" s="297" t="inlineStr">
        <is>
          <t>EWMA Cr.
HSR</t>
        </is>
      </c>
      <c r="R8" s="298" t="inlineStr">
        <is>
          <t>ACWR
HSR</t>
        </is>
      </c>
      <c r="S8" s="297" t="inlineStr">
        <is>
          <t>EWMA Ag.
Sprint</t>
        </is>
      </c>
      <c r="T8" s="297" t="inlineStr">
        <is>
          <t>EWMA Cr.
Sprint</t>
        </is>
      </c>
      <c r="U8" s="298" t="inlineStr">
        <is>
          <t>ACWR
Sprint</t>
        </is>
      </c>
      <c r="V8" s="297" t="inlineStr">
        <is>
          <t>EWMA Ag.
Acc</t>
        </is>
      </c>
      <c r="W8" s="297" t="inlineStr">
        <is>
          <t>EWMA Cr.
Acc</t>
        </is>
      </c>
      <c r="X8" s="298" t="inlineStr">
        <is>
          <t>ACWR
Acc</t>
        </is>
      </c>
      <c r="Y8" s="297" t="inlineStr">
        <is>
          <t>EWMA Ag.
Dcc</t>
        </is>
      </c>
      <c r="Z8" s="297" t="inlineStr">
        <is>
          <t>EWMA Cr.
Dcc</t>
        </is>
      </c>
      <c r="AA8" s="298" t="inlineStr">
        <is>
          <t>ACWR
Dcc</t>
        </is>
      </c>
      <c r="AB8" s="297" t="inlineStr">
        <is>
          <t>EWMA Ag.
CI</t>
        </is>
      </c>
      <c r="AC8" s="297" t="inlineStr">
        <is>
          <t>EWMA Cr.
CI</t>
        </is>
      </c>
      <c r="AD8" s="298" t="inlineStr">
        <is>
          <t>ACWR
CI</t>
        </is>
      </c>
      <c r="AE8" s="297" t="inlineStr">
        <is>
          <t>Alerta</t>
        </is>
      </c>
      <c r="AH8" t="inlineStr">
        <is>
          <t>Paulino</t>
        </is>
      </c>
    </row>
    <row r="9">
      <c r="A9" s="299">
        <f t="array" ref="A9:A60">_xlfn.SORTBY(_xlfn._xlws.FILTER(tblCarga[Data],tblCarga[Jogador]=$B$5),_xlfn._xlws.FILTER(tblCarga[Data],tblCarga[Jogador]=$B$5),1)</f>
        <v/>
      </c>
      <c r="B9" s="300">
        <f t="array" ref="B9:B60">_xlfn.SORTBY(_xlfn._xlws.FILTER(tblCarga[Tipo],tblCarga[Jogador]=$B$5),_xlfn._xlws.FILTER(tblCarga[Data],tblCarga[Jogador]=$B$5),1)</f>
        <v/>
      </c>
      <c r="C9" s="300">
        <f t="array" ref="C9:C60">_xlfn.SORTBY(_xlfn._xlws.FILTER(tblCarga[Dia MD],tblCarga[Jogador]=$B$5),_xlfn._xlws.FILTER(tblCarga[Data],tblCarga[Jogador]=$B$5),1)</f>
        <v/>
      </c>
      <c r="D9" s="300">
        <f t="array" ref="D9:D60">_xlfn.SORTBY(_xlfn._xlws.FILTER(tblCarga[Microciclo (Nr)],tblCarga[Jogador]=$B$5),_xlfn._xlws.FILTER(tblCarga[Data],tblCarga[Jogador]=$B$5),1)</f>
        <v/>
      </c>
      <c r="E9" s="300">
        <f t="array" ref="E9:E60">_xlfn.SORTBY(_xlfn._xlws.FILTER(tblCarga[Duração (min)],tblCarga[Jogador]=$B$5),_xlfn._xlws.FILTER(tblCarga[Data],tblCarga[Jogador]=$B$5),1)</f>
        <v/>
      </c>
      <c r="F9" s="300">
        <f t="array" ref="F9:F60">_xlfn.SORTBY(_xlfn._xlws.FILTER(tblCarga[Distância Total (m)],tblCarga[Jogador]=$B$5),_xlfn._xlws.FILTER(tblCarga[Data],tblCarga[Jogador]=$B$5),1)</f>
        <v/>
      </c>
      <c r="G9" s="300">
        <f t="array" ref="G9:G60">_xlfn.SORTBY(_xlfn._xlws.FILTER(tblCarga[HSR (m)],tblCarga[Jogador]=$B$5),_xlfn._xlws.FILTER(tblCarga[Data],tblCarga[Jogador]=$B$5),1)</f>
        <v/>
      </c>
      <c r="H9" s="300">
        <f t="array" ref="H9:H60">_xlfn.SORTBY(_xlfn._xlws.FILTER(tblCarga[Sprint (m)],tblCarga[Jogador]=$B$5),_xlfn._xlws.FILTER(tblCarga[Data],tblCarga[Jogador]=$B$5),1)</f>
        <v/>
      </c>
      <c r="I9" s="300">
        <f t="array" ref="I9:I60">_xlfn.SORTBY(_xlfn._xlws.FILTER(tblCarga[Acc (n)],tblCarga[Jogador]=$B$5),_xlfn._xlws.FILTER(tblCarga[Data],tblCarga[Jogador]=$B$5),1)</f>
        <v/>
      </c>
      <c r="J9" s="300">
        <f t="array" ref="J9:J60">_xlfn.SORTBY(_xlfn._xlws.FILTER(tblCarga[Dcc (n)],tblCarga[Jogador]=$B$5),_xlfn._xlws.FILTER(tblCarga[Data],tblCarga[Jogador]=$B$5),1)</f>
        <v/>
      </c>
      <c r="K9" s="300">
        <f t="array" ref="K9:K60">_xlfn.SORTBY(_xlfn._xlws.FILTER(tblCarga[PSE Sessão],tblCarga[Jogador]=$B$5),_xlfn._xlws.FILTER(tblCarga[Data],tblCarga[Jogador]=$B$5),1)</f>
        <v/>
      </c>
      <c r="L9" s="300">
        <f>IF(K9="","",K9*E9)</f>
        <v/>
      </c>
      <c r="M9" s="301">
        <f>IF(F9="","",F9)</f>
        <v/>
      </c>
      <c r="N9" s="301">
        <f>IF(F9="","",F9)</f>
        <v/>
      </c>
      <c r="O9" s="302">
        <f>IF(OR(N9="",N9=0),"",M9/N9)</f>
        <v/>
      </c>
      <c r="P9" s="301">
        <f>IF(G9="","",G9)</f>
        <v/>
      </c>
      <c r="Q9" s="301">
        <f>IF(G9="","",G9)</f>
        <v/>
      </c>
      <c r="R9" s="302">
        <f>IF(OR(Q9="",Q9=0),"",P9/Q9)</f>
        <v/>
      </c>
      <c r="S9" s="301">
        <f>IF(H9="","",H9)</f>
        <v/>
      </c>
      <c r="T9" s="301">
        <f>IF(H9="","",H9)</f>
        <v/>
      </c>
      <c r="U9" s="302">
        <f>IF(OR(T9="",T9=0),"",S9/T9)</f>
        <v/>
      </c>
      <c r="V9" s="301">
        <f>IF(I9="","",I9)</f>
        <v/>
      </c>
      <c r="W9" s="301">
        <f>IF(I9="","",I9)</f>
        <v/>
      </c>
      <c r="X9" s="302">
        <f>IF(OR(W9="",W9=0),"",V9/W9)</f>
        <v/>
      </c>
      <c r="Y9" s="301">
        <f>IF(J9="","",J9)</f>
        <v/>
      </c>
      <c r="Z9" s="301">
        <f>IF(J9="","",J9)</f>
        <v/>
      </c>
      <c r="AA9" s="302">
        <f>IF(OR(Z9="",Z9=0),"",Y9/Z9)</f>
        <v/>
      </c>
      <c r="AB9" s="301">
        <f>IF(L9="","",L9)</f>
        <v/>
      </c>
      <c r="AC9" s="301">
        <f>IF(L9="","",L9)</f>
        <v/>
      </c>
      <c r="AD9" s="302">
        <f>IF(OR(AC9="",AC9=0),"",AB9/AC9)</f>
        <v/>
      </c>
      <c r="AE9" s="300">
        <f>IF(OR(O9="",R9="",U9="",AD9=""),"",IF(OR(O9&gt;1.5,R9&gt;1.5,U9&gt;1.5,AD9&gt;1.5),"🔴 ALTO",IF(OR(O9&gt;1.3,R9&gt;1.3,U9&gt;1.3,AD9&gt;1.3,O9&lt;0.8,R9&lt;0.8,U9&lt;0.8,AD9&lt;0.8),"🟡 ATENÇÃO","🟢 OK")))</f>
        <v/>
      </c>
      <c r="AH9" t="inlineStr">
        <is>
          <t>Sá</t>
        </is>
      </c>
    </row>
    <row r="10">
      <c r="A10" s="307" t="n">
        <v>46042</v>
      </c>
      <c r="B10" s="308" t="inlineStr">
        <is>
          <t>Treino</t>
        </is>
      </c>
      <c r="C10" s="308" t="inlineStr">
        <is>
          <t>MD-4</t>
        </is>
      </c>
      <c r="D10" s="308" t="n">
        <v>4</v>
      </c>
      <c r="E10" s="308" t="n">
        <v>85</v>
      </c>
      <c r="F10" s="308" t="n">
        <v>9033</v>
      </c>
      <c r="G10" s="308" t="n">
        <v>272</v>
      </c>
      <c r="H10" s="308" t="n">
        <v>74</v>
      </c>
      <c r="I10" s="308" t="n">
        <v>70</v>
      </c>
      <c r="J10" s="308" t="n">
        <v>66</v>
      </c>
      <c r="K10" s="308" t="n">
        <v>6</v>
      </c>
      <c r="L10" s="308">
        <f>IF(K10="","",K10*E10)</f>
        <v/>
      </c>
      <c r="M10" s="309">
        <f>IF(F10="","",0.25*F10+0.75*M9)</f>
        <v/>
      </c>
      <c r="N10" s="309">
        <f>IF(F10="","",(2/29)*F10+(27/29)*N9)</f>
        <v/>
      </c>
      <c r="O10" s="310">
        <f>IF(OR(N10="",N10=0),"",M10/N10)</f>
        <v/>
      </c>
      <c r="P10" s="309">
        <f>IF(G10="","",0.25*G10+0.75*P9)</f>
        <v/>
      </c>
      <c r="Q10" s="309">
        <f>IF(G10="","",(2/29)*G10+(27/29)*Q9)</f>
        <v/>
      </c>
      <c r="R10" s="310">
        <f>IF(OR(Q10="",Q10=0),"",P10/Q10)</f>
        <v/>
      </c>
      <c r="S10" s="309">
        <f>IF(H10="","",0.25*H10+0.75*S9)</f>
        <v/>
      </c>
      <c r="T10" s="309">
        <f>IF(H10="","",(2/29)*H10+(27/29)*T9)</f>
        <v/>
      </c>
      <c r="U10" s="310">
        <f>IF(OR(T10="",T10=0),"",S10/T10)</f>
        <v/>
      </c>
      <c r="V10" s="309">
        <f>IF(I10="","",0.25*I10+0.75*V9)</f>
        <v/>
      </c>
      <c r="W10" s="309">
        <f>IF(I10="","",(2/29)*I10+(27/29)*W9)</f>
        <v/>
      </c>
      <c r="X10" s="310">
        <f>IF(OR(W10="",W10=0),"",V10/W10)</f>
        <v/>
      </c>
      <c r="Y10" s="309">
        <f>IF(J10="","",0.25*J10+0.75*Y9)</f>
        <v/>
      </c>
      <c r="Z10" s="309">
        <f>IF(J10="","",(2/29)*J10+(27/29)*Z9)</f>
        <v/>
      </c>
      <c r="AA10" s="310">
        <f>IF(OR(Z10="",Z10=0),"",Y10/Z10)</f>
        <v/>
      </c>
      <c r="AB10" s="309">
        <f>IF(L10="","",0.25*L10+0.75*AB9)</f>
        <v/>
      </c>
      <c r="AC10" s="309">
        <f>IF(L10="","",(2/29)*L10+(27/29)*AC9)</f>
        <v/>
      </c>
      <c r="AD10" s="310">
        <f>IF(OR(AC10="",AC10=0),"",AB10/AC10)</f>
        <v/>
      </c>
      <c r="AE10" s="308">
        <f>IF(OR(O10="",R10="",U10="",AD10=""),"",IF(OR(O10&gt;1.5,R10&gt;1.5,U10&gt;1.5,AD10&gt;1.5),"🔴 ALTO",IF(OR(O10&gt;1.3,R10&gt;1.3,U10&gt;1.3,AD10&gt;1.3,O10&lt;0.8,R10&lt;0.8,U10&lt;0.8,AD10&lt;0.8),"🟡 ATENÇÃO","🟢 OK")))</f>
        <v/>
      </c>
      <c r="AH10" t="inlineStr">
        <is>
          <t>Varela</t>
        </is>
      </c>
    </row>
    <row r="11">
      <c r="A11" s="311" t="n">
        <v>46043</v>
      </c>
      <c r="B11" s="312" t="inlineStr">
        <is>
          <t>Treino</t>
        </is>
      </c>
      <c r="C11" s="312" t="inlineStr">
        <is>
          <t>MD-3</t>
        </is>
      </c>
      <c r="D11" s="312" t="n">
        <v>4</v>
      </c>
      <c r="E11" s="312" t="n">
        <v>78</v>
      </c>
      <c r="F11" s="312" t="n">
        <v>6486</v>
      </c>
      <c r="G11" s="312" t="n">
        <v>305</v>
      </c>
      <c r="H11" s="312" t="n">
        <v>96</v>
      </c>
      <c r="I11" s="312" t="n">
        <v>91</v>
      </c>
      <c r="J11" s="312" t="n">
        <v>72</v>
      </c>
      <c r="K11" s="312" t="n">
        <v>5</v>
      </c>
      <c r="L11" s="312">
        <f>IF(K11="","",K11*E11)</f>
        <v/>
      </c>
      <c r="M11" s="313">
        <f>IF(F11="","",0.25*F11+0.75*M10)</f>
        <v/>
      </c>
      <c r="N11" s="313">
        <f>IF(F11="","",(2/29)*F11+(27/29)*N10)</f>
        <v/>
      </c>
      <c r="O11" s="314">
        <f>IF(OR(N11="",N11=0),"",M11/N11)</f>
        <v/>
      </c>
      <c r="P11" s="313">
        <f>IF(G11="","",0.25*G11+0.75*P10)</f>
        <v/>
      </c>
      <c r="Q11" s="313">
        <f>IF(G11="","",(2/29)*G11+(27/29)*Q10)</f>
        <v/>
      </c>
      <c r="R11" s="314">
        <f>IF(OR(Q11="",Q11=0),"",P11/Q11)</f>
        <v/>
      </c>
      <c r="S11" s="313">
        <f>IF(H11="","",0.25*H11+0.75*S10)</f>
        <v/>
      </c>
      <c r="T11" s="313">
        <f>IF(H11="","",(2/29)*H11+(27/29)*T10)</f>
        <v/>
      </c>
      <c r="U11" s="314">
        <f>IF(OR(T11="",T11=0),"",S11/T11)</f>
        <v/>
      </c>
      <c r="V11" s="313">
        <f>IF(I11="","",0.25*I11+0.75*V10)</f>
        <v/>
      </c>
      <c r="W11" s="313">
        <f>IF(I11="","",(2/29)*I11+(27/29)*W10)</f>
        <v/>
      </c>
      <c r="X11" s="314">
        <f>IF(OR(W11="",W11=0),"",V11/W11)</f>
        <v/>
      </c>
      <c r="Y11" s="313">
        <f>IF(J11="","",0.25*J11+0.75*Y10)</f>
        <v/>
      </c>
      <c r="Z11" s="313">
        <f>IF(J11="","",(2/29)*J11+(27/29)*Z10)</f>
        <v/>
      </c>
      <c r="AA11" s="314">
        <f>IF(OR(Z11="",Z11=0),"",Y11/Z11)</f>
        <v/>
      </c>
      <c r="AB11" s="313">
        <f>IF(L11="","",0.25*L11+0.75*AB10)</f>
        <v/>
      </c>
      <c r="AC11" s="313">
        <f>IF(L11="","",(2/29)*L11+(27/29)*AC10)</f>
        <v/>
      </c>
      <c r="AD11" s="314">
        <f>IF(OR(AC11="",AC11=0),"",AB11/AC11)</f>
        <v/>
      </c>
      <c r="AE11" s="312">
        <f>IF(OR(O11="",R11="",U11="",AD11=""),"",IF(OR(O11&gt;1.5,R11&gt;1.5,U11&gt;1.5,AD11&gt;1.5),"🔴 ALTO",IF(OR(O11&gt;1.3,R11&gt;1.3,U11&gt;1.3,AD11&gt;1.3,O11&lt;0.8,R11&lt;0.8,U11&lt;0.8,AD11&lt;0.8),"🟡 ATENÇÃO","🟢 OK")))</f>
        <v/>
      </c>
    </row>
    <row r="12">
      <c r="A12" s="307" t="n">
        <v>46045</v>
      </c>
      <c r="B12" s="308" t="inlineStr">
        <is>
          <t>Treino</t>
        </is>
      </c>
      <c r="C12" s="308" t="inlineStr">
        <is>
          <t>MD-2</t>
        </is>
      </c>
      <c r="D12" s="308" t="n">
        <v>4</v>
      </c>
      <c r="E12" s="308" t="n">
        <v>88</v>
      </c>
      <c r="F12" s="308" t="n">
        <v>6690</v>
      </c>
      <c r="G12" s="308" t="n">
        <v>265</v>
      </c>
      <c r="H12" s="308" t="n">
        <v>136</v>
      </c>
      <c r="I12" s="308" t="n">
        <v>76</v>
      </c>
      <c r="J12" s="308" t="n">
        <v>72</v>
      </c>
      <c r="K12" s="308" t="n">
        <v>6</v>
      </c>
      <c r="L12" s="308">
        <f>IF(K12="","",K12*E12)</f>
        <v/>
      </c>
      <c r="M12" s="309">
        <f>IF(F12="","",0.25*F12+0.75*M11)</f>
        <v/>
      </c>
      <c r="N12" s="309">
        <f>IF(F12="","",(2/29)*F12+(27/29)*N11)</f>
        <v/>
      </c>
      <c r="O12" s="310">
        <f>IF(OR(N12="",N12=0),"",M12/N12)</f>
        <v/>
      </c>
      <c r="P12" s="309">
        <f>IF(G12="","",0.25*G12+0.75*P11)</f>
        <v/>
      </c>
      <c r="Q12" s="309">
        <f>IF(G12="","",(2/29)*G12+(27/29)*Q11)</f>
        <v/>
      </c>
      <c r="R12" s="310">
        <f>IF(OR(Q12="",Q12=0),"",P12/Q12)</f>
        <v/>
      </c>
      <c r="S12" s="309">
        <f>IF(H12="","",0.25*H12+0.75*S11)</f>
        <v/>
      </c>
      <c r="T12" s="309">
        <f>IF(H12="","",(2/29)*H12+(27/29)*T11)</f>
        <v/>
      </c>
      <c r="U12" s="310">
        <f>IF(OR(T12="",T12=0),"",S12/T12)</f>
        <v/>
      </c>
      <c r="V12" s="309">
        <f>IF(I12="","",0.25*I12+0.75*V11)</f>
        <v/>
      </c>
      <c r="W12" s="309">
        <f>IF(I12="","",(2/29)*I12+(27/29)*W11)</f>
        <v/>
      </c>
      <c r="X12" s="310">
        <f>IF(OR(W12="",W12=0),"",V12/W12)</f>
        <v/>
      </c>
      <c r="Y12" s="309">
        <f>IF(J12="","",0.25*J12+0.75*Y11)</f>
        <v/>
      </c>
      <c r="Z12" s="309">
        <f>IF(J12="","",(2/29)*J12+(27/29)*Z11)</f>
        <v/>
      </c>
      <c r="AA12" s="310">
        <f>IF(OR(Z12="",Z12=0),"",Y12/Z12)</f>
        <v/>
      </c>
      <c r="AB12" s="309">
        <f>IF(L12="","",0.25*L12+0.75*AB11)</f>
        <v/>
      </c>
      <c r="AC12" s="309">
        <f>IF(L12="","",(2/29)*L12+(27/29)*AC11)</f>
        <v/>
      </c>
      <c r="AD12" s="310">
        <f>IF(OR(AC12="",AC12=0),"",AB12/AC12)</f>
        <v/>
      </c>
      <c r="AE12" s="308">
        <f>IF(OR(O12="",R12="",U12="",AD12=""),"",IF(OR(O12&gt;1.5,R12&gt;1.5,U12&gt;1.5,AD12&gt;1.5),"🔴 ALTO",IF(OR(O12&gt;1.3,R12&gt;1.3,U12&gt;1.3,AD12&gt;1.3,O12&lt;0.8,R12&lt;0.8,U12&lt;0.8,AD12&lt;0.8),"🟡 ATENÇÃO","🟢 OK")))</f>
        <v/>
      </c>
    </row>
    <row r="13">
      <c r="A13" s="311" t="n">
        <v>46046</v>
      </c>
      <c r="B13" s="312" t="inlineStr">
        <is>
          <t>Treino</t>
        </is>
      </c>
      <c r="C13" s="312" t="inlineStr">
        <is>
          <t>MD-1</t>
        </is>
      </c>
      <c r="D13" s="312" t="n">
        <v>4</v>
      </c>
      <c r="E13" s="312" t="n">
        <v>64</v>
      </c>
      <c r="F13" s="312" t="n">
        <v>4276</v>
      </c>
      <c r="G13" s="312" t="n">
        <v>104</v>
      </c>
      <c r="H13" s="312" t="n">
        <v>24</v>
      </c>
      <c r="I13" s="312" t="n">
        <v>36</v>
      </c>
      <c r="J13" s="312" t="n">
        <v>40</v>
      </c>
      <c r="K13" s="312" t="n">
        <v>2</v>
      </c>
      <c r="L13" s="312">
        <f>IF(K13="","",K13*E13)</f>
        <v/>
      </c>
      <c r="M13" s="313">
        <f>IF(F13="","",0.25*F13+0.75*M12)</f>
        <v/>
      </c>
      <c r="N13" s="313">
        <f>IF(F13="","",(2/29)*F13+(27/29)*N12)</f>
        <v/>
      </c>
      <c r="O13" s="314">
        <f>IF(OR(N13="",N13=0),"",M13/N13)</f>
        <v/>
      </c>
      <c r="P13" s="313">
        <f>IF(G13="","",0.25*G13+0.75*P12)</f>
        <v/>
      </c>
      <c r="Q13" s="313">
        <f>IF(G13="","",(2/29)*G13+(27/29)*Q12)</f>
        <v/>
      </c>
      <c r="R13" s="314">
        <f>IF(OR(Q13="",Q13=0),"",P13/Q13)</f>
        <v/>
      </c>
      <c r="S13" s="313">
        <f>IF(H13="","",0.25*H13+0.75*S12)</f>
        <v/>
      </c>
      <c r="T13" s="313">
        <f>IF(H13="","",(2/29)*H13+(27/29)*T12)</f>
        <v/>
      </c>
      <c r="U13" s="314">
        <f>IF(OR(T13="",T13=0),"",S13/T13)</f>
        <v/>
      </c>
      <c r="V13" s="313">
        <f>IF(I13="","",0.25*I13+0.75*V12)</f>
        <v/>
      </c>
      <c r="W13" s="313">
        <f>IF(I13="","",(2/29)*I13+(27/29)*W12)</f>
        <v/>
      </c>
      <c r="X13" s="314">
        <f>IF(OR(W13="",W13=0),"",V13/W13)</f>
        <v/>
      </c>
      <c r="Y13" s="313">
        <f>IF(J13="","",0.25*J13+0.75*Y12)</f>
        <v/>
      </c>
      <c r="Z13" s="313">
        <f>IF(J13="","",(2/29)*J13+(27/29)*Z12)</f>
        <v/>
      </c>
      <c r="AA13" s="314">
        <f>IF(OR(Z13="",Z13=0),"",Y13/Z13)</f>
        <v/>
      </c>
      <c r="AB13" s="313">
        <f>IF(L13="","",0.25*L13+0.75*AB12)</f>
        <v/>
      </c>
      <c r="AC13" s="313">
        <f>IF(L13="","",(2/29)*L13+(27/29)*AC12)</f>
        <v/>
      </c>
      <c r="AD13" s="314">
        <f>IF(OR(AC13="",AC13=0),"",AB13/AC13)</f>
        <v/>
      </c>
      <c r="AE13" s="312">
        <f>IF(OR(O13="",R13="",U13="",AD13=""),"",IF(OR(O13&gt;1.5,R13&gt;1.5,U13&gt;1.5,AD13&gt;1.5),"🔴 ALTO",IF(OR(O13&gt;1.3,R13&gt;1.3,U13&gt;1.3,AD13&gt;1.3,O13&lt;0.8,R13&lt;0.8,U13&lt;0.8,AD13&lt;0.8),"🟡 ATENÇÃO","🟢 OK")))</f>
        <v/>
      </c>
    </row>
    <row r="14">
      <c r="A14" s="307" t="n">
        <v>46048</v>
      </c>
      <c r="B14" s="308" t="inlineStr">
        <is>
          <t>Treino</t>
        </is>
      </c>
      <c r="C14" s="308" t="inlineStr">
        <is>
          <t>MD-5</t>
        </is>
      </c>
      <c r="D14" s="308" t="n">
        <v>5</v>
      </c>
      <c r="E14" s="308" t="n">
        <v>95</v>
      </c>
      <c r="F14" s="308" t="n">
        <v>8053</v>
      </c>
      <c r="G14" s="308" t="n">
        <v>185</v>
      </c>
      <c r="H14" s="308" t="n">
        <v>101</v>
      </c>
      <c r="I14" s="308" t="n">
        <v>91</v>
      </c>
      <c r="J14" s="308" t="n">
        <v>96</v>
      </c>
      <c r="K14" s="308" t="n">
        <v>5</v>
      </c>
      <c r="L14" s="308">
        <f>IF(K14="","",K14*E14)</f>
        <v/>
      </c>
      <c r="M14" s="309">
        <f>IF(F14="","",0.25*F14+0.75*M13)</f>
        <v/>
      </c>
      <c r="N14" s="309">
        <f>IF(F14="","",(2/29)*F14+(27/29)*N13)</f>
        <v/>
      </c>
      <c r="O14" s="310">
        <f>IF(OR(N14="",N14=0),"",M14/N14)</f>
        <v/>
      </c>
      <c r="P14" s="309">
        <f>IF(G14="","",0.25*G14+0.75*P13)</f>
        <v/>
      </c>
      <c r="Q14" s="309">
        <f>IF(G14="","",(2/29)*G14+(27/29)*Q13)</f>
        <v/>
      </c>
      <c r="R14" s="310">
        <f>IF(OR(Q14="",Q14=0),"",P14/Q14)</f>
        <v/>
      </c>
      <c r="S14" s="309">
        <f>IF(H14="","",0.25*H14+0.75*S13)</f>
        <v/>
      </c>
      <c r="T14" s="309">
        <f>IF(H14="","",(2/29)*H14+(27/29)*T13)</f>
        <v/>
      </c>
      <c r="U14" s="310">
        <f>IF(OR(T14="",T14=0),"",S14/T14)</f>
        <v/>
      </c>
      <c r="V14" s="309">
        <f>IF(I14="","",0.25*I14+0.75*V13)</f>
        <v/>
      </c>
      <c r="W14" s="309">
        <f>IF(I14="","",(2/29)*I14+(27/29)*W13)</f>
        <v/>
      </c>
      <c r="X14" s="310">
        <f>IF(OR(W14="",W14=0),"",V14/W14)</f>
        <v/>
      </c>
      <c r="Y14" s="309">
        <f>IF(J14="","",0.25*J14+0.75*Y13)</f>
        <v/>
      </c>
      <c r="Z14" s="309">
        <f>IF(J14="","",(2/29)*J14+(27/29)*Z13)</f>
        <v/>
      </c>
      <c r="AA14" s="310">
        <f>IF(OR(Z14="",Z14=0),"",Y14/Z14)</f>
        <v/>
      </c>
      <c r="AB14" s="309">
        <f>IF(L14="","",0.25*L14+0.75*AB13)</f>
        <v/>
      </c>
      <c r="AC14" s="309">
        <f>IF(L14="","",(2/29)*L14+(27/29)*AC13)</f>
        <v/>
      </c>
      <c r="AD14" s="310">
        <f>IF(OR(AC14="",AC14=0),"",AB14/AC14)</f>
        <v/>
      </c>
      <c r="AE14" s="308">
        <f>IF(OR(O14="",R14="",U14="",AD14=""),"",IF(OR(O14&gt;1.5,R14&gt;1.5,U14&gt;1.5,AD14&gt;1.5),"🔴 ALTO",IF(OR(O14&gt;1.3,R14&gt;1.3,U14&gt;1.3,AD14&gt;1.3,O14&lt;0.8,R14&lt;0.8,U14&lt;0.8,AD14&lt;0.8),"🟡 ATENÇÃO","🟢 OK")))</f>
        <v/>
      </c>
    </row>
    <row r="15">
      <c r="A15" s="311" t="n">
        <v>46049</v>
      </c>
      <c r="B15" s="312" t="inlineStr">
        <is>
          <t>Treino</t>
        </is>
      </c>
      <c r="C15" s="312" t="inlineStr">
        <is>
          <t>MD-4</t>
        </is>
      </c>
      <c r="D15" s="312" t="n">
        <v>5</v>
      </c>
      <c r="E15" s="312" t="n">
        <v>90</v>
      </c>
      <c r="F15" s="312" t="n">
        <v>8942</v>
      </c>
      <c r="G15" s="312" t="n">
        <v>346</v>
      </c>
      <c r="H15" s="312" t="n">
        <v>77</v>
      </c>
      <c r="I15" s="312" t="n">
        <v>69</v>
      </c>
      <c r="J15" s="312" t="n">
        <v>68</v>
      </c>
      <c r="K15" s="312" t="n">
        <v>9</v>
      </c>
      <c r="L15" s="312">
        <f>IF(K15="","",K15*E15)</f>
        <v/>
      </c>
      <c r="M15" s="313">
        <f>IF(F15="","",0.25*F15+0.75*M14)</f>
        <v/>
      </c>
      <c r="N15" s="313">
        <f>IF(F15="","",(2/29)*F15+(27/29)*N14)</f>
        <v/>
      </c>
      <c r="O15" s="314">
        <f>IF(OR(N15="",N15=0),"",M15/N15)</f>
        <v/>
      </c>
      <c r="P15" s="313">
        <f>IF(G15="","",0.25*G15+0.75*P14)</f>
        <v/>
      </c>
      <c r="Q15" s="313">
        <f>IF(G15="","",(2/29)*G15+(27/29)*Q14)</f>
        <v/>
      </c>
      <c r="R15" s="314">
        <f>IF(OR(Q15="",Q15=0),"",P15/Q15)</f>
        <v/>
      </c>
      <c r="S15" s="313">
        <f>IF(H15="","",0.25*H15+0.75*S14)</f>
        <v/>
      </c>
      <c r="T15" s="313">
        <f>IF(H15="","",(2/29)*H15+(27/29)*T14)</f>
        <v/>
      </c>
      <c r="U15" s="314">
        <f>IF(OR(T15="",T15=0),"",S15/T15)</f>
        <v/>
      </c>
      <c r="V15" s="313">
        <f>IF(I15="","",0.25*I15+0.75*V14)</f>
        <v/>
      </c>
      <c r="W15" s="313">
        <f>IF(I15="","",(2/29)*I15+(27/29)*W14)</f>
        <v/>
      </c>
      <c r="X15" s="314">
        <f>IF(OR(W15="",W15=0),"",V15/W15)</f>
        <v/>
      </c>
      <c r="Y15" s="313">
        <f>IF(J15="","",0.25*J15+0.75*Y14)</f>
        <v/>
      </c>
      <c r="Z15" s="313">
        <f>IF(J15="","",(2/29)*J15+(27/29)*Z14)</f>
        <v/>
      </c>
      <c r="AA15" s="314">
        <f>IF(OR(Z15="",Z15=0),"",Y15/Z15)</f>
        <v/>
      </c>
      <c r="AB15" s="313">
        <f>IF(L15="","",0.25*L15+0.75*AB14)</f>
        <v/>
      </c>
      <c r="AC15" s="313">
        <f>IF(L15="","",(2/29)*L15+(27/29)*AC14)</f>
        <v/>
      </c>
      <c r="AD15" s="314">
        <f>IF(OR(AC15="",AC15=0),"",AB15/AC15)</f>
        <v/>
      </c>
      <c r="AE15" s="312">
        <f>IF(OR(O15="",R15="",U15="",AD15=""),"",IF(OR(O15&gt;1.5,R15&gt;1.5,U15&gt;1.5,AD15&gt;1.5),"🔴 ALTO",IF(OR(O15&gt;1.3,R15&gt;1.3,U15&gt;1.3,AD15&gt;1.3,O15&lt;0.8,R15&lt;0.8,U15&lt;0.8,AD15&lt;0.8),"🟡 ATENÇÃO","🟢 OK")))</f>
        <v/>
      </c>
    </row>
    <row r="16">
      <c r="A16" s="307" t="n">
        <v>46050</v>
      </c>
      <c r="B16" s="308" t="inlineStr">
        <is>
          <t>Treino</t>
        </is>
      </c>
      <c r="C16" s="308" t="inlineStr">
        <is>
          <t>MD-3</t>
        </is>
      </c>
      <c r="D16" s="308" t="n">
        <v>5</v>
      </c>
      <c r="E16" s="308" t="n">
        <v>82</v>
      </c>
      <c r="F16" s="308" t="n">
        <v>8209</v>
      </c>
      <c r="G16" s="308" t="n">
        <v>268</v>
      </c>
      <c r="H16" s="308" t="n">
        <v>92</v>
      </c>
      <c r="I16" s="308" t="n">
        <v>86</v>
      </c>
      <c r="J16" s="308" t="n">
        <v>88</v>
      </c>
      <c r="K16" s="308" t="n">
        <v>8</v>
      </c>
      <c r="L16" s="308">
        <f>IF(K16="","",K16*E16)</f>
        <v/>
      </c>
      <c r="M16" s="309">
        <f>IF(F16="","",0.25*F16+0.75*M15)</f>
        <v/>
      </c>
      <c r="N16" s="309">
        <f>IF(F16="","",(2/29)*F16+(27/29)*N15)</f>
        <v/>
      </c>
      <c r="O16" s="310">
        <f>IF(OR(N16="",N16=0),"",M16/N16)</f>
        <v/>
      </c>
      <c r="P16" s="309">
        <f>IF(G16="","",0.25*G16+0.75*P15)</f>
        <v/>
      </c>
      <c r="Q16" s="309">
        <f>IF(G16="","",(2/29)*G16+(27/29)*Q15)</f>
        <v/>
      </c>
      <c r="R16" s="310">
        <f>IF(OR(Q16="",Q16=0),"",P16/Q16)</f>
        <v/>
      </c>
      <c r="S16" s="309">
        <f>IF(H16="","",0.25*H16+0.75*S15)</f>
        <v/>
      </c>
      <c r="T16" s="309">
        <f>IF(H16="","",(2/29)*H16+(27/29)*T15)</f>
        <v/>
      </c>
      <c r="U16" s="310">
        <f>IF(OR(T16="",T16=0),"",S16/T16)</f>
        <v/>
      </c>
      <c r="V16" s="309">
        <f>IF(I16="","",0.25*I16+0.75*V15)</f>
        <v/>
      </c>
      <c r="W16" s="309">
        <f>IF(I16="","",(2/29)*I16+(27/29)*W15)</f>
        <v/>
      </c>
      <c r="X16" s="310">
        <f>IF(OR(W16="",W16=0),"",V16/W16)</f>
        <v/>
      </c>
      <c r="Y16" s="309">
        <f>IF(J16="","",0.25*J16+0.75*Y15)</f>
        <v/>
      </c>
      <c r="Z16" s="309">
        <f>IF(J16="","",(2/29)*J16+(27/29)*Z15)</f>
        <v/>
      </c>
      <c r="AA16" s="310">
        <f>IF(OR(Z16="",Z16=0),"",Y16/Z16)</f>
        <v/>
      </c>
      <c r="AB16" s="309">
        <f>IF(L16="","",0.25*L16+0.75*AB15)</f>
        <v/>
      </c>
      <c r="AC16" s="309">
        <f>IF(L16="","",(2/29)*L16+(27/29)*AC15)</f>
        <v/>
      </c>
      <c r="AD16" s="310">
        <f>IF(OR(AC16="",AC16=0),"",AB16/AC16)</f>
        <v/>
      </c>
      <c r="AE16" s="308">
        <f>IF(OR(O16="",R16="",U16="",AD16=""),"",IF(OR(O16&gt;1.5,R16&gt;1.5,U16&gt;1.5,AD16&gt;1.5),"🔴 ALTO",IF(OR(O16&gt;1.3,R16&gt;1.3,U16&gt;1.3,AD16&gt;1.3,O16&lt;0.8,R16&lt;0.8,U16&lt;0.8,AD16&lt;0.8),"🟡 ATENÇÃO","🟢 OK")))</f>
        <v/>
      </c>
    </row>
    <row r="17">
      <c r="A17" s="311" t="n">
        <v>46051</v>
      </c>
      <c r="B17" s="312" t="inlineStr">
        <is>
          <t>Treino</t>
        </is>
      </c>
      <c r="C17" s="312" t="inlineStr">
        <is>
          <t>MD-2</t>
        </is>
      </c>
      <c r="D17" s="312" t="n">
        <v>5</v>
      </c>
      <c r="E17" s="312" t="n">
        <v>64</v>
      </c>
      <c r="F17" s="312" t="n">
        <v>4121</v>
      </c>
      <c r="G17" s="312" t="n">
        <v>126</v>
      </c>
      <c r="H17" s="312" t="n">
        <v>27</v>
      </c>
      <c r="I17" s="312" t="n">
        <v>36</v>
      </c>
      <c r="J17" s="312" t="n">
        <v>39</v>
      </c>
      <c r="K17" s="312" t="n">
        <v>2</v>
      </c>
      <c r="L17" s="312">
        <f>IF(K17="","",K17*E17)</f>
        <v/>
      </c>
      <c r="M17" s="313">
        <f>IF(F17="","",0.25*F17+0.75*M16)</f>
        <v/>
      </c>
      <c r="N17" s="313">
        <f>IF(F17="","",(2/29)*F17+(27/29)*N16)</f>
        <v/>
      </c>
      <c r="O17" s="314">
        <f>IF(OR(N17="",N17=0),"",M17/N17)</f>
        <v/>
      </c>
      <c r="P17" s="313">
        <f>IF(G17="","",0.25*G17+0.75*P16)</f>
        <v/>
      </c>
      <c r="Q17" s="313">
        <f>IF(G17="","",(2/29)*G17+(27/29)*Q16)</f>
        <v/>
      </c>
      <c r="R17" s="314">
        <f>IF(OR(Q17="",Q17=0),"",P17/Q17)</f>
        <v/>
      </c>
      <c r="S17" s="313">
        <f>IF(H17="","",0.25*H17+0.75*S16)</f>
        <v/>
      </c>
      <c r="T17" s="313">
        <f>IF(H17="","",(2/29)*H17+(27/29)*T16)</f>
        <v/>
      </c>
      <c r="U17" s="314">
        <f>IF(OR(T17="",T17=0),"",S17/T17)</f>
        <v/>
      </c>
      <c r="V17" s="313">
        <f>IF(I17="","",0.25*I17+0.75*V16)</f>
        <v/>
      </c>
      <c r="W17" s="313">
        <f>IF(I17="","",(2/29)*I17+(27/29)*W16)</f>
        <v/>
      </c>
      <c r="X17" s="314">
        <f>IF(OR(W17="",W17=0),"",V17/W17)</f>
        <v/>
      </c>
      <c r="Y17" s="313">
        <f>IF(J17="","",0.25*J17+0.75*Y16)</f>
        <v/>
      </c>
      <c r="Z17" s="313">
        <f>IF(J17="","",(2/29)*J17+(27/29)*Z16)</f>
        <v/>
      </c>
      <c r="AA17" s="314">
        <f>IF(OR(Z17="",Z17=0),"",Y17/Z17)</f>
        <v/>
      </c>
      <c r="AB17" s="313">
        <f>IF(L17="","",0.25*L17+0.75*AB16)</f>
        <v/>
      </c>
      <c r="AC17" s="313">
        <f>IF(L17="","",(2/29)*L17+(27/29)*AC16)</f>
        <v/>
      </c>
      <c r="AD17" s="314">
        <f>IF(OR(AC17="",AC17=0),"",AB17/AC17)</f>
        <v/>
      </c>
      <c r="AE17" s="312">
        <f>IF(OR(O17="",R17="",U17="",AD17=""),"",IF(OR(O17&gt;1.5,R17&gt;1.5,U17&gt;1.5,AD17&gt;1.5),"🔴 ALTO",IF(OR(O17&gt;1.3,R17&gt;1.3,U17&gt;1.3,AD17&gt;1.3,O17&lt;0.8,R17&lt;0.8,U17&lt;0.8,AD17&lt;0.8),"🟡 ATENÇÃO","🟢 OK")))</f>
        <v/>
      </c>
    </row>
    <row r="18">
      <c r="A18" s="307" t="n">
        <v>46052</v>
      </c>
      <c r="B18" s="308" t="inlineStr">
        <is>
          <t>Treino</t>
        </is>
      </c>
      <c r="C18" s="308" t="inlineStr">
        <is>
          <t>MD-1</t>
        </is>
      </c>
      <c r="D18" s="308" t="n">
        <v>5</v>
      </c>
      <c r="E18" s="308" t="n">
        <v>82</v>
      </c>
      <c r="F18" s="308" t="n">
        <v>6537</v>
      </c>
      <c r="G18" s="308" t="n">
        <v>264</v>
      </c>
      <c r="H18" s="308" t="n">
        <v>132</v>
      </c>
      <c r="I18" s="308" t="n">
        <v>61</v>
      </c>
      <c r="J18" s="308" t="n">
        <v>71</v>
      </c>
      <c r="K18" s="308" t="n">
        <v>7</v>
      </c>
      <c r="L18" s="308">
        <f>IF(K18="","",K18*E18)</f>
        <v/>
      </c>
      <c r="M18" s="309">
        <f>IF(F18="","",0.25*F18+0.75*M17)</f>
        <v/>
      </c>
      <c r="N18" s="309">
        <f>IF(F18="","",(2/29)*F18+(27/29)*N17)</f>
        <v/>
      </c>
      <c r="O18" s="310">
        <f>IF(OR(N18="",N18=0),"",M18/N18)</f>
        <v/>
      </c>
      <c r="P18" s="309">
        <f>IF(G18="","",0.25*G18+0.75*P17)</f>
        <v/>
      </c>
      <c r="Q18" s="309">
        <f>IF(G18="","",(2/29)*G18+(27/29)*Q17)</f>
        <v/>
      </c>
      <c r="R18" s="310">
        <f>IF(OR(Q18="",Q18=0),"",P18/Q18)</f>
        <v/>
      </c>
      <c r="S18" s="309">
        <f>IF(H18="","",0.25*H18+0.75*S17)</f>
        <v/>
      </c>
      <c r="T18" s="309">
        <f>IF(H18="","",(2/29)*H18+(27/29)*T17)</f>
        <v/>
      </c>
      <c r="U18" s="310">
        <f>IF(OR(T18="",T18=0),"",S18/T18)</f>
        <v/>
      </c>
      <c r="V18" s="309">
        <f>IF(I18="","",0.25*I18+0.75*V17)</f>
        <v/>
      </c>
      <c r="W18" s="309">
        <f>IF(I18="","",(2/29)*I18+(27/29)*W17)</f>
        <v/>
      </c>
      <c r="X18" s="310">
        <f>IF(OR(W18="",W18=0),"",V18/W18)</f>
        <v/>
      </c>
      <c r="Y18" s="309">
        <f>IF(J18="","",0.25*J18+0.75*Y17)</f>
        <v/>
      </c>
      <c r="Z18" s="309">
        <f>IF(J18="","",(2/29)*J18+(27/29)*Z17)</f>
        <v/>
      </c>
      <c r="AA18" s="310">
        <f>IF(OR(Z18="",Z18=0),"",Y18/Z18)</f>
        <v/>
      </c>
      <c r="AB18" s="309">
        <f>IF(L18="","",0.25*L18+0.75*AB17)</f>
        <v/>
      </c>
      <c r="AC18" s="309">
        <f>IF(L18="","",(2/29)*L18+(27/29)*AC17)</f>
        <v/>
      </c>
      <c r="AD18" s="310">
        <f>IF(OR(AC18="",AC18=0),"",AB18/AC18)</f>
        <v/>
      </c>
      <c r="AE18" s="308">
        <f>IF(OR(O18="",R18="",U18="",AD18=""),"",IF(OR(O18&gt;1.5,R18&gt;1.5,U18&gt;1.5,AD18&gt;1.5),"🔴 ALTO",IF(OR(O18&gt;1.3,R18&gt;1.3,U18&gt;1.3,AD18&gt;1.3,O18&lt;0.8,R18&lt;0.8,U18&lt;0.8,AD18&lt;0.8),"🟡 ATENÇÃO","🟢 OK")))</f>
        <v/>
      </c>
    </row>
    <row r="19">
      <c r="A19" s="311" t="n">
        <v>46055</v>
      </c>
      <c r="B19" s="312" t="inlineStr">
        <is>
          <t>Treino</t>
        </is>
      </c>
      <c r="C19" s="312" t="inlineStr">
        <is>
          <t>MD-5</t>
        </is>
      </c>
      <c r="D19" s="312" t="n">
        <v>6</v>
      </c>
      <c r="E19" s="312" t="n">
        <v>83</v>
      </c>
      <c r="F19" s="312" t="n">
        <v>7447</v>
      </c>
      <c r="G19" s="312" t="n">
        <v>245</v>
      </c>
      <c r="H19" s="312" t="n">
        <v>83</v>
      </c>
      <c r="I19" s="312" t="n">
        <v>99</v>
      </c>
      <c r="J19" s="312" t="n">
        <v>75</v>
      </c>
      <c r="K19" s="312" t="n">
        <v>8</v>
      </c>
      <c r="L19" s="312">
        <f>IF(K19="","",K19*E19)</f>
        <v/>
      </c>
      <c r="M19" s="313">
        <f>IF(F19="","",0.25*F19+0.75*M18)</f>
        <v/>
      </c>
      <c r="N19" s="313">
        <f>IF(F19="","",(2/29)*F19+(27/29)*N18)</f>
        <v/>
      </c>
      <c r="O19" s="314">
        <f>IF(OR(N19="",N19=0),"",M19/N19)</f>
        <v/>
      </c>
      <c r="P19" s="313">
        <f>IF(G19="","",0.25*G19+0.75*P18)</f>
        <v/>
      </c>
      <c r="Q19" s="313">
        <f>IF(G19="","",(2/29)*G19+(27/29)*Q18)</f>
        <v/>
      </c>
      <c r="R19" s="314">
        <f>IF(OR(Q19="",Q19=0),"",P19/Q19)</f>
        <v/>
      </c>
      <c r="S19" s="313">
        <f>IF(H19="","",0.25*H19+0.75*S18)</f>
        <v/>
      </c>
      <c r="T19" s="313">
        <f>IF(H19="","",(2/29)*H19+(27/29)*T18)</f>
        <v/>
      </c>
      <c r="U19" s="314">
        <f>IF(OR(T19="",T19=0),"",S19/T19)</f>
        <v/>
      </c>
      <c r="V19" s="313">
        <f>IF(I19="","",0.25*I19+0.75*V18)</f>
        <v/>
      </c>
      <c r="W19" s="313">
        <f>IF(I19="","",(2/29)*I19+(27/29)*W18)</f>
        <v/>
      </c>
      <c r="X19" s="314">
        <f>IF(OR(W19="",W19=0),"",V19/W19)</f>
        <v/>
      </c>
      <c r="Y19" s="313">
        <f>IF(J19="","",0.25*J19+0.75*Y18)</f>
        <v/>
      </c>
      <c r="Z19" s="313">
        <f>IF(J19="","",(2/29)*J19+(27/29)*Z18)</f>
        <v/>
      </c>
      <c r="AA19" s="314">
        <f>IF(OR(Z19="",Z19=0),"",Y19/Z19)</f>
        <v/>
      </c>
      <c r="AB19" s="313">
        <f>IF(L19="","",0.25*L19+0.75*AB18)</f>
        <v/>
      </c>
      <c r="AC19" s="313">
        <f>IF(L19="","",(2/29)*L19+(27/29)*AC18)</f>
        <v/>
      </c>
      <c r="AD19" s="314">
        <f>IF(OR(AC19="",AC19=0),"",AB19/AC19)</f>
        <v/>
      </c>
      <c r="AE19" s="312">
        <f>IF(OR(O19="",R19="",U19="",AD19=""),"",IF(OR(O19&gt;1.5,R19&gt;1.5,U19&gt;1.5,AD19&gt;1.5),"🔴 ALTO",IF(OR(O19&gt;1.3,R19&gt;1.3,U19&gt;1.3,AD19&gt;1.3,O19&lt;0.8,R19&lt;0.8,U19&lt;0.8,AD19&lt;0.8),"🟡 ATENÇÃO","🟢 OK")))</f>
        <v/>
      </c>
    </row>
    <row r="20">
      <c r="A20" s="307" t="n">
        <v>46056</v>
      </c>
      <c r="B20" s="308" t="inlineStr">
        <is>
          <t>Treino</t>
        </is>
      </c>
      <c r="C20" s="308" t="inlineStr">
        <is>
          <t>MD-4</t>
        </is>
      </c>
      <c r="D20" s="308" t="n">
        <v>6</v>
      </c>
      <c r="E20" s="308" t="n">
        <v>96</v>
      </c>
      <c r="F20" s="308" t="n">
        <v>7764</v>
      </c>
      <c r="G20" s="308" t="n">
        <v>348</v>
      </c>
      <c r="H20" s="308" t="n">
        <v>96</v>
      </c>
      <c r="I20" s="308" t="n">
        <v>83</v>
      </c>
      <c r="J20" s="308" t="n">
        <v>68</v>
      </c>
      <c r="K20" s="308" t="n">
        <v>9</v>
      </c>
      <c r="L20" s="308">
        <f>IF(K20="","",K20*E20)</f>
        <v/>
      </c>
      <c r="M20" s="309">
        <f>IF(F20="","",0.25*F20+0.75*M19)</f>
        <v/>
      </c>
      <c r="N20" s="309">
        <f>IF(F20="","",(2/29)*F20+(27/29)*N19)</f>
        <v/>
      </c>
      <c r="O20" s="310">
        <f>IF(OR(N20="",N20=0),"",M20/N20)</f>
        <v/>
      </c>
      <c r="P20" s="309">
        <f>IF(G20="","",0.25*G20+0.75*P19)</f>
        <v/>
      </c>
      <c r="Q20" s="309">
        <f>IF(G20="","",(2/29)*G20+(27/29)*Q19)</f>
        <v/>
      </c>
      <c r="R20" s="310">
        <f>IF(OR(Q20="",Q20=0),"",P20/Q20)</f>
        <v/>
      </c>
      <c r="S20" s="309">
        <f>IF(H20="","",0.25*H20+0.75*S19)</f>
        <v/>
      </c>
      <c r="T20" s="309">
        <f>IF(H20="","",(2/29)*H20+(27/29)*T19)</f>
        <v/>
      </c>
      <c r="U20" s="310">
        <f>IF(OR(T20="",T20=0),"",S20/T20)</f>
        <v/>
      </c>
      <c r="V20" s="309">
        <f>IF(I20="","",0.25*I20+0.75*V19)</f>
        <v/>
      </c>
      <c r="W20" s="309">
        <f>IF(I20="","",(2/29)*I20+(27/29)*W19)</f>
        <v/>
      </c>
      <c r="X20" s="310">
        <f>IF(OR(W20="",W20=0),"",V20/W20)</f>
        <v/>
      </c>
      <c r="Y20" s="309">
        <f>IF(J20="","",0.25*J20+0.75*Y19)</f>
        <v/>
      </c>
      <c r="Z20" s="309">
        <f>IF(J20="","",(2/29)*J20+(27/29)*Z19)</f>
        <v/>
      </c>
      <c r="AA20" s="310">
        <f>IF(OR(Z20="",Z20=0),"",Y20/Z20)</f>
        <v/>
      </c>
      <c r="AB20" s="309">
        <f>IF(L20="","",0.25*L20+0.75*AB19)</f>
        <v/>
      </c>
      <c r="AC20" s="309">
        <f>IF(L20="","",(2/29)*L20+(27/29)*AC19)</f>
        <v/>
      </c>
      <c r="AD20" s="310">
        <f>IF(OR(AC20="",AC20=0),"",AB20/AC20)</f>
        <v/>
      </c>
      <c r="AE20" s="308">
        <f>IF(OR(O20="",R20="",U20="",AD20=""),"",IF(OR(O20&gt;1.5,R20&gt;1.5,U20&gt;1.5,AD20&gt;1.5),"🔴 ALTO",IF(OR(O20&gt;1.3,R20&gt;1.3,U20&gt;1.3,AD20&gt;1.3,O20&lt;0.8,R20&lt;0.8,U20&lt;0.8,AD20&lt;0.8),"🟡 ATENÇÃO","🟢 OK")))</f>
        <v/>
      </c>
    </row>
    <row r="21">
      <c r="A21" s="311" t="n">
        <v>46057</v>
      </c>
      <c r="B21" s="312" t="inlineStr">
        <is>
          <t>Treino</t>
        </is>
      </c>
      <c r="C21" s="312" t="inlineStr">
        <is>
          <t>MD-3</t>
        </is>
      </c>
      <c r="D21" s="312" t="n">
        <v>6</v>
      </c>
      <c r="E21" s="312" t="n">
        <v>95</v>
      </c>
      <c r="F21" s="312" t="n">
        <v>5764</v>
      </c>
      <c r="G21" s="312" t="n">
        <v>267</v>
      </c>
      <c r="H21" s="312" t="n">
        <v>114</v>
      </c>
      <c r="I21" s="312" t="n">
        <v>99</v>
      </c>
      <c r="J21" s="312" t="n">
        <v>79</v>
      </c>
      <c r="K21" s="312" t="n">
        <v>8</v>
      </c>
      <c r="L21" s="312">
        <f>IF(K21="","",K21*E21)</f>
        <v/>
      </c>
      <c r="M21" s="313">
        <f>IF(F21="","",0.25*F21+0.75*M20)</f>
        <v/>
      </c>
      <c r="N21" s="313">
        <f>IF(F21="","",(2/29)*F21+(27/29)*N20)</f>
        <v/>
      </c>
      <c r="O21" s="314">
        <f>IF(OR(N21="",N21=0),"",M21/N21)</f>
        <v/>
      </c>
      <c r="P21" s="313">
        <f>IF(G21="","",0.25*G21+0.75*P20)</f>
        <v/>
      </c>
      <c r="Q21" s="313">
        <f>IF(G21="","",(2/29)*G21+(27/29)*Q20)</f>
        <v/>
      </c>
      <c r="R21" s="314">
        <f>IF(OR(Q21="",Q21=0),"",P21/Q21)</f>
        <v/>
      </c>
      <c r="S21" s="313">
        <f>IF(H21="","",0.25*H21+0.75*S20)</f>
        <v/>
      </c>
      <c r="T21" s="313">
        <f>IF(H21="","",(2/29)*H21+(27/29)*T20)</f>
        <v/>
      </c>
      <c r="U21" s="314">
        <f>IF(OR(T21="",T21=0),"",S21/T21)</f>
        <v/>
      </c>
      <c r="V21" s="313">
        <f>IF(I21="","",0.25*I21+0.75*V20)</f>
        <v/>
      </c>
      <c r="W21" s="313">
        <f>IF(I21="","",(2/29)*I21+(27/29)*W20)</f>
        <v/>
      </c>
      <c r="X21" s="314">
        <f>IF(OR(W21="",W21=0),"",V21/W21)</f>
        <v/>
      </c>
      <c r="Y21" s="313">
        <f>IF(J21="","",0.25*J21+0.75*Y20)</f>
        <v/>
      </c>
      <c r="Z21" s="313">
        <f>IF(J21="","",(2/29)*J21+(27/29)*Z20)</f>
        <v/>
      </c>
      <c r="AA21" s="314">
        <f>IF(OR(Z21="",Z21=0),"",Y21/Z21)</f>
        <v/>
      </c>
      <c r="AB21" s="313">
        <f>IF(L21="","",0.25*L21+0.75*AB20)</f>
        <v/>
      </c>
      <c r="AC21" s="313">
        <f>IF(L21="","",(2/29)*L21+(27/29)*AC20)</f>
        <v/>
      </c>
      <c r="AD21" s="314">
        <f>IF(OR(AC21="",AC21=0),"",AB21/AC21)</f>
        <v/>
      </c>
      <c r="AE21" s="312">
        <f>IF(OR(O21="",R21="",U21="",AD21=""),"",IF(OR(O21&gt;1.5,R21&gt;1.5,U21&gt;1.5,AD21&gt;1.5),"🔴 ALTO",IF(OR(O21&gt;1.3,R21&gt;1.3,U21&gt;1.3,AD21&gt;1.3,O21&lt;0.8,R21&lt;0.8,U21&lt;0.8,AD21&lt;0.8),"🟡 ATENÇÃO","🟢 OK")))</f>
        <v/>
      </c>
    </row>
    <row r="22">
      <c r="A22" s="307" t="n">
        <v>46058</v>
      </c>
      <c r="B22" s="308" t="inlineStr">
        <is>
          <t>Treino</t>
        </is>
      </c>
      <c r="C22" s="308" t="inlineStr">
        <is>
          <t>MD-2</t>
        </is>
      </c>
      <c r="D22" s="308" t="n">
        <v>6</v>
      </c>
      <c r="E22" s="308" t="n">
        <v>60</v>
      </c>
      <c r="F22" s="308" t="n">
        <v>4206</v>
      </c>
      <c r="G22" s="308" t="n">
        <v>121</v>
      </c>
      <c r="H22" s="308" t="n">
        <v>24</v>
      </c>
      <c r="I22" s="308" t="n">
        <v>36</v>
      </c>
      <c r="J22" s="308" t="n">
        <v>42</v>
      </c>
      <c r="K22" s="308" t="n">
        <v>1</v>
      </c>
      <c r="L22" s="308">
        <f>IF(K22="","",K22*E22)</f>
        <v/>
      </c>
      <c r="M22" s="309">
        <f>IF(F22="","",0.25*F22+0.75*M21)</f>
        <v/>
      </c>
      <c r="N22" s="309">
        <f>IF(F22="","",(2/29)*F22+(27/29)*N21)</f>
        <v/>
      </c>
      <c r="O22" s="310">
        <f>IF(OR(N22="",N22=0),"",M22/N22)</f>
        <v/>
      </c>
      <c r="P22" s="309">
        <f>IF(G22="","",0.25*G22+0.75*P21)</f>
        <v/>
      </c>
      <c r="Q22" s="309">
        <f>IF(G22="","",(2/29)*G22+(27/29)*Q21)</f>
        <v/>
      </c>
      <c r="R22" s="310">
        <f>IF(OR(Q22="",Q22=0),"",P22/Q22)</f>
        <v/>
      </c>
      <c r="S22" s="309">
        <f>IF(H22="","",0.25*H22+0.75*S21)</f>
        <v/>
      </c>
      <c r="T22" s="309">
        <f>IF(H22="","",(2/29)*H22+(27/29)*T21)</f>
        <v/>
      </c>
      <c r="U22" s="310">
        <f>IF(OR(T22="",T22=0),"",S22/T22)</f>
        <v/>
      </c>
      <c r="V22" s="309">
        <f>IF(I22="","",0.25*I22+0.75*V21)</f>
        <v/>
      </c>
      <c r="W22" s="309">
        <f>IF(I22="","",(2/29)*I22+(27/29)*W21)</f>
        <v/>
      </c>
      <c r="X22" s="310">
        <f>IF(OR(W22="",W22=0),"",V22/W22)</f>
        <v/>
      </c>
      <c r="Y22" s="309">
        <f>IF(J22="","",0.25*J22+0.75*Y21)</f>
        <v/>
      </c>
      <c r="Z22" s="309">
        <f>IF(J22="","",(2/29)*J22+(27/29)*Z21)</f>
        <v/>
      </c>
      <c r="AA22" s="310">
        <f>IF(OR(Z22="",Z22=0),"",Y22/Z22)</f>
        <v/>
      </c>
      <c r="AB22" s="309">
        <f>IF(L22="","",0.25*L22+0.75*AB21)</f>
        <v/>
      </c>
      <c r="AC22" s="309">
        <f>IF(L22="","",(2/29)*L22+(27/29)*AC21)</f>
        <v/>
      </c>
      <c r="AD22" s="310">
        <f>IF(OR(AC22="",AC22=0),"",AB22/AC22)</f>
        <v/>
      </c>
      <c r="AE22" s="308">
        <f>IF(OR(O22="",R22="",U22="",AD22=""),"",IF(OR(O22&gt;1.5,R22&gt;1.5,U22&gt;1.5,AD22&gt;1.5),"🔴 ALTO",IF(OR(O22&gt;1.3,R22&gt;1.3,U22&gt;1.3,AD22&gt;1.3,O22&lt;0.8,R22&lt;0.8,U22&lt;0.8,AD22&lt;0.8),"🟡 ATENÇÃO","🟢 OK")))</f>
        <v/>
      </c>
    </row>
    <row r="23">
      <c r="A23" s="311" t="n">
        <v>46059</v>
      </c>
      <c r="B23" s="312" t="inlineStr">
        <is>
          <t>Treino</t>
        </is>
      </c>
      <c r="C23" s="312" t="inlineStr">
        <is>
          <t>MD-1</t>
        </is>
      </c>
      <c r="D23" s="312" t="n">
        <v>6</v>
      </c>
      <c r="E23" s="312" t="n">
        <v>92</v>
      </c>
      <c r="F23" s="312" t="n">
        <v>8156</v>
      </c>
      <c r="G23" s="312" t="n">
        <v>339</v>
      </c>
      <c r="H23" s="312" t="n">
        <v>135</v>
      </c>
      <c r="I23" s="312" t="n">
        <v>79</v>
      </c>
      <c r="J23" s="312" t="n">
        <v>75</v>
      </c>
      <c r="K23" s="312" t="n">
        <v>6</v>
      </c>
      <c r="L23" s="312">
        <f>IF(K23="","",K23*E23)</f>
        <v/>
      </c>
      <c r="M23" s="313">
        <f>IF(F23="","",0.25*F23+0.75*M22)</f>
        <v/>
      </c>
      <c r="N23" s="313">
        <f>IF(F23="","",(2/29)*F23+(27/29)*N22)</f>
        <v/>
      </c>
      <c r="O23" s="314">
        <f>IF(OR(N23="",N23=0),"",M23/N23)</f>
        <v/>
      </c>
      <c r="P23" s="313">
        <f>IF(G23="","",0.25*G23+0.75*P22)</f>
        <v/>
      </c>
      <c r="Q23" s="313">
        <f>IF(G23="","",(2/29)*G23+(27/29)*Q22)</f>
        <v/>
      </c>
      <c r="R23" s="314">
        <f>IF(OR(Q23="",Q23=0),"",P23/Q23)</f>
        <v/>
      </c>
      <c r="S23" s="313">
        <f>IF(H23="","",0.25*H23+0.75*S22)</f>
        <v/>
      </c>
      <c r="T23" s="313">
        <f>IF(H23="","",(2/29)*H23+(27/29)*T22)</f>
        <v/>
      </c>
      <c r="U23" s="314">
        <f>IF(OR(T23="",T23=0),"",S23/T23)</f>
        <v/>
      </c>
      <c r="V23" s="313">
        <f>IF(I23="","",0.25*I23+0.75*V22)</f>
        <v/>
      </c>
      <c r="W23" s="313">
        <f>IF(I23="","",(2/29)*I23+(27/29)*W22)</f>
        <v/>
      </c>
      <c r="X23" s="314">
        <f>IF(OR(W23="",W23=0),"",V23/W23)</f>
        <v/>
      </c>
      <c r="Y23" s="313">
        <f>IF(J23="","",0.25*J23+0.75*Y22)</f>
        <v/>
      </c>
      <c r="Z23" s="313">
        <f>IF(J23="","",(2/29)*J23+(27/29)*Z22)</f>
        <v/>
      </c>
      <c r="AA23" s="314">
        <f>IF(OR(Z23="",Z23=0),"",Y23/Z23)</f>
        <v/>
      </c>
      <c r="AB23" s="313">
        <f>IF(L23="","",0.25*L23+0.75*AB22)</f>
        <v/>
      </c>
      <c r="AC23" s="313">
        <f>IF(L23="","",(2/29)*L23+(27/29)*AC22)</f>
        <v/>
      </c>
      <c r="AD23" s="314">
        <f>IF(OR(AC23="",AC23=0),"",AB23/AC23)</f>
        <v/>
      </c>
      <c r="AE23" s="312">
        <f>IF(OR(O23="",R23="",U23="",AD23=""),"",IF(OR(O23&gt;1.5,R23&gt;1.5,U23&gt;1.5,AD23&gt;1.5),"🔴 ALTO",IF(OR(O23&gt;1.3,R23&gt;1.3,U23&gt;1.3,AD23&gt;1.3,O23&lt;0.8,R23&lt;0.8,U23&lt;0.8,AD23&lt;0.8),"🟡 ATENÇÃO","🟢 OK")))</f>
        <v/>
      </c>
    </row>
    <row r="24">
      <c r="A24" s="307" t="n">
        <v>46062</v>
      </c>
      <c r="B24" s="308" t="inlineStr">
        <is>
          <t>Treino</t>
        </is>
      </c>
      <c r="C24" s="308" t="inlineStr">
        <is>
          <t>MD-5</t>
        </is>
      </c>
      <c r="D24" s="308" t="n">
        <v>7</v>
      </c>
      <c r="E24" s="308" t="n">
        <v>86</v>
      </c>
      <c r="F24" s="308" t="n">
        <v>8295</v>
      </c>
      <c r="G24" s="308" t="n">
        <v>261</v>
      </c>
      <c r="H24" s="308" t="n">
        <v>116</v>
      </c>
      <c r="I24" s="308" t="n">
        <v>81</v>
      </c>
      <c r="J24" s="308" t="n">
        <v>60</v>
      </c>
      <c r="K24" s="308" t="n">
        <v>6</v>
      </c>
      <c r="L24" s="308">
        <f>IF(K24="","",K24*E24)</f>
        <v/>
      </c>
      <c r="M24" s="309">
        <f>IF(F24="","",0.25*F24+0.75*M23)</f>
        <v/>
      </c>
      <c r="N24" s="309">
        <f>IF(F24="","",(2/29)*F24+(27/29)*N23)</f>
        <v/>
      </c>
      <c r="O24" s="310">
        <f>IF(OR(N24="",N24=0),"",M24/N24)</f>
        <v/>
      </c>
      <c r="P24" s="309">
        <f>IF(G24="","",0.25*G24+0.75*P23)</f>
        <v/>
      </c>
      <c r="Q24" s="309">
        <f>IF(G24="","",(2/29)*G24+(27/29)*Q23)</f>
        <v/>
      </c>
      <c r="R24" s="310">
        <f>IF(OR(Q24="",Q24=0),"",P24/Q24)</f>
        <v/>
      </c>
      <c r="S24" s="309">
        <f>IF(H24="","",0.25*H24+0.75*S23)</f>
        <v/>
      </c>
      <c r="T24" s="309">
        <f>IF(H24="","",(2/29)*H24+(27/29)*T23)</f>
        <v/>
      </c>
      <c r="U24" s="310">
        <f>IF(OR(T24="",T24=0),"",S24/T24)</f>
        <v/>
      </c>
      <c r="V24" s="309">
        <f>IF(I24="","",0.25*I24+0.75*V23)</f>
        <v/>
      </c>
      <c r="W24" s="309">
        <f>IF(I24="","",(2/29)*I24+(27/29)*W23)</f>
        <v/>
      </c>
      <c r="X24" s="310">
        <f>IF(OR(W24="",W24=0),"",V24/W24)</f>
        <v/>
      </c>
      <c r="Y24" s="309">
        <f>IF(J24="","",0.25*J24+0.75*Y23)</f>
        <v/>
      </c>
      <c r="Z24" s="309">
        <f>IF(J24="","",(2/29)*J24+(27/29)*Z23)</f>
        <v/>
      </c>
      <c r="AA24" s="310">
        <f>IF(OR(Z24="",Z24=0),"",Y24/Z24)</f>
        <v/>
      </c>
      <c r="AB24" s="309">
        <f>IF(L24="","",0.25*L24+0.75*AB23)</f>
        <v/>
      </c>
      <c r="AC24" s="309">
        <f>IF(L24="","",(2/29)*L24+(27/29)*AC23)</f>
        <v/>
      </c>
      <c r="AD24" s="310">
        <f>IF(OR(AC24="",AC24=0),"",AB24/AC24)</f>
        <v/>
      </c>
      <c r="AE24" s="308">
        <f>IF(OR(O24="",R24="",U24="",AD24=""),"",IF(OR(O24&gt;1.5,R24&gt;1.5,U24&gt;1.5,AD24&gt;1.5),"🔴 ALTO",IF(OR(O24&gt;1.3,R24&gt;1.3,U24&gt;1.3,AD24&gt;1.3,O24&lt;0.8,R24&lt;0.8,U24&lt;0.8,AD24&lt;0.8),"🟡 ATENÇÃO","🟢 OK")))</f>
        <v/>
      </c>
    </row>
    <row r="25">
      <c r="A25" s="311" t="n">
        <v>46063</v>
      </c>
      <c r="B25" s="312" t="inlineStr">
        <is>
          <t>Treino</t>
        </is>
      </c>
      <c r="C25" s="312" t="inlineStr">
        <is>
          <t>MD-4</t>
        </is>
      </c>
      <c r="D25" s="312" t="n">
        <v>7</v>
      </c>
      <c r="E25" s="312" t="n">
        <v>82</v>
      </c>
      <c r="F25" s="312" t="n">
        <v>6945</v>
      </c>
      <c r="G25" s="312" t="n">
        <v>261</v>
      </c>
      <c r="H25" s="312" t="n">
        <v>77</v>
      </c>
      <c r="I25" s="312" t="n">
        <v>74</v>
      </c>
      <c r="J25" s="312" t="n">
        <v>70</v>
      </c>
      <c r="K25" s="312" t="n">
        <v>6</v>
      </c>
      <c r="L25" s="312">
        <f>IF(K25="","",K25*E25)</f>
        <v/>
      </c>
      <c r="M25" s="313">
        <f>IF(F25="","",0.25*F25+0.75*M24)</f>
        <v/>
      </c>
      <c r="N25" s="313">
        <f>IF(F25="","",(2/29)*F25+(27/29)*N24)</f>
        <v/>
      </c>
      <c r="O25" s="314">
        <f>IF(OR(N25="",N25=0),"",M25/N25)</f>
        <v/>
      </c>
      <c r="P25" s="313">
        <f>IF(G25="","",0.25*G25+0.75*P24)</f>
        <v/>
      </c>
      <c r="Q25" s="313">
        <f>IF(G25="","",(2/29)*G25+(27/29)*Q24)</f>
        <v/>
      </c>
      <c r="R25" s="314">
        <f>IF(OR(Q25="",Q25=0),"",P25/Q25)</f>
        <v/>
      </c>
      <c r="S25" s="313">
        <f>IF(H25="","",0.25*H25+0.75*S24)</f>
        <v/>
      </c>
      <c r="T25" s="313">
        <f>IF(H25="","",(2/29)*H25+(27/29)*T24)</f>
        <v/>
      </c>
      <c r="U25" s="314">
        <f>IF(OR(T25="",T25=0),"",S25/T25)</f>
        <v/>
      </c>
      <c r="V25" s="313">
        <f>IF(I25="","",0.25*I25+0.75*V24)</f>
        <v/>
      </c>
      <c r="W25" s="313">
        <f>IF(I25="","",(2/29)*I25+(27/29)*W24)</f>
        <v/>
      </c>
      <c r="X25" s="314">
        <f>IF(OR(W25="",W25=0),"",V25/W25)</f>
        <v/>
      </c>
      <c r="Y25" s="313">
        <f>IF(J25="","",0.25*J25+0.75*Y24)</f>
        <v/>
      </c>
      <c r="Z25" s="313">
        <f>IF(J25="","",(2/29)*J25+(27/29)*Z24)</f>
        <v/>
      </c>
      <c r="AA25" s="314">
        <f>IF(OR(Z25="",Z25=0),"",Y25/Z25)</f>
        <v/>
      </c>
      <c r="AB25" s="313">
        <f>IF(L25="","",0.25*L25+0.75*AB24)</f>
        <v/>
      </c>
      <c r="AC25" s="313">
        <f>IF(L25="","",(2/29)*L25+(27/29)*AC24)</f>
        <v/>
      </c>
      <c r="AD25" s="314">
        <f>IF(OR(AC25="",AC25=0),"",AB25/AC25)</f>
        <v/>
      </c>
      <c r="AE25" s="312">
        <f>IF(OR(O25="",R25="",U25="",AD25=""),"",IF(OR(O25&gt;1.5,R25&gt;1.5,U25&gt;1.5,AD25&gt;1.5),"🔴 ALTO",IF(OR(O25&gt;1.3,R25&gt;1.3,U25&gt;1.3,AD25&gt;1.3,O25&lt;0.8,R25&lt;0.8,U25&lt;0.8,AD25&lt;0.8),"🟡 ATENÇÃO","🟢 OK")))</f>
        <v/>
      </c>
    </row>
    <row r="26">
      <c r="A26" s="307" t="n">
        <v>46064</v>
      </c>
      <c r="B26" s="308" t="inlineStr">
        <is>
          <t>Treino</t>
        </is>
      </c>
      <c r="C26" s="308" t="inlineStr">
        <is>
          <t>MD-3</t>
        </is>
      </c>
      <c r="D26" s="308" t="n">
        <v>7</v>
      </c>
      <c r="E26" s="308" t="n">
        <v>82</v>
      </c>
      <c r="F26" s="308" t="n">
        <v>7259</v>
      </c>
      <c r="G26" s="308" t="n">
        <v>252</v>
      </c>
      <c r="H26" s="308" t="n">
        <v>98</v>
      </c>
      <c r="I26" s="308" t="n">
        <v>72</v>
      </c>
      <c r="J26" s="308" t="n">
        <v>67</v>
      </c>
      <c r="K26" s="308" t="n">
        <v>5</v>
      </c>
      <c r="L26" s="308">
        <f>IF(K26="","",K26*E26)</f>
        <v/>
      </c>
      <c r="M26" s="309">
        <f>IF(F26="","",0.25*F26+0.75*M25)</f>
        <v/>
      </c>
      <c r="N26" s="309">
        <f>IF(F26="","",(2/29)*F26+(27/29)*N25)</f>
        <v/>
      </c>
      <c r="O26" s="310">
        <f>IF(OR(N26="",N26=0),"",M26/N26)</f>
        <v/>
      </c>
      <c r="P26" s="309">
        <f>IF(G26="","",0.25*G26+0.75*P25)</f>
        <v/>
      </c>
      <c r="Q26" s="309">
        <f>IF(G26="","",(2/29)*G26+(27/29)*Q25)</f>
        <v/>
      </c>
      <c r="R26" s="310">
        <f>IF(OR(Q26="",Q26=0),"",P26/Q26)</f>
        <v/>
      </c>
      <c r="S26" s="309">
        <f>IF(H26="","",0.25*H26+0.75*S25)</f>
        <v/>
      </c>
      <c r="T26" s="309">
        <f>IF(H26="","",(2/29)*H26+(27/29)*T25)</f>
        <v/>
      </c>
      <c r="U26" s="310">
        <f>IF(OR(T26="",T26=0),"",S26/T26)</f>
        <v/>
      </c>
      <c r="V26" s="309">
        <f>IF(I26="","",0.25*I26+0.75*V25)</f>
        <v/>
      </c>
      <c r="W26" s="309">
        <f>IF(I26="","",(2/29)*I26+(27/29)*W25)</f>
        <v/>
      </c>
      <c r="X26" s="310">
        <f>IF(OR(W26="",W26=0),"",V26/W26)</f>
        <v/>
      </c>
      <c r="Y26" s="309">
        <f>IF(J26="","",0.25*J26+0.75*Y25)</f>
        <v/>
      </c>
      <c r="Z26" s="309">
        <f>IF(J26="","",(2/29)*J26+(27/29)*Z25)</f>
        <v/>
      </c>
      <c r="AA26" s="310">
        <f>IF(OR(Z26="",Z26=0),"",Y26/Z26)</f>
        <v/>
      </c>
      <c r="AB26" s="309">
        <f>IF(L26="","",0.25*L26+0.75*AB25)</f>
        <v/>
      </c>
      <c r="AC26" s="309">
        <f>IF(L26="","",(2/29)*L26+(27/29)*AC25)</f>
        <v/>
      </c>
      <c r="AD26" s="310">
        <f>IF(OR(AC26="",AC26=0),"",AB26/AC26)</f>
        <v/>
      </c>
      <c r="AE26" s="308">
        <f>IF(OR(O26="",R26="",U26="",AD26=""),"",IF(OR(O26&gt;1.5,R26&gt;1.5,U26&gt;1.5,AD26&gt;1.5),"🔴 ALTO",IF(OR(O26&gt;1.3,R26&gt;1.3,U26&gt;1.3,AD26&gt;1.3,O26&lt;0.8,R26&lt;0.8,U26&lt;0.8,AD26&lt;0.8),"🟡 ATENÇÃO","🟢 OK")))</f>
        <v/>
      </c>
    </row>
    <row r="27">
      <c r="A27" s="311" t="n">
        <v>46065</v>
      </c>
      <c r="B27" s="312" t="inlineStr">
        <is>
          <t>Treino</t>
        </is>
      </c>
      <c r="C27" s="312" t="inlineStr">
        <is>
          <t>MD-2</t>
        </is>
      </c>
      <c r="D27" s="312" t="n">
        <v>7</v>
      </c>
      <c r="E27" s="312" t="n">
        <v>63</v>
      </c>
      <c r="F27" s="312" t="n">
        <v>3764</v>
      </c>
      <c r="G27" s="312" t="n">
        <v>121</v>
      </c>
      <c r="H27" s="312" t="n">
        <v>25</v>
      </c>
      <c r="I27" s="312" t="n">
        <v>41</v>
      </c>
      <c r="J27" s="312" t="n">
        <v>41</v>
      </c>
      <c r="K27" s="312" t="n">
        <v>3</v>
      </c>
      <c r="L27" s="312">
        <f>IF(K27="","",K27*E27)</f>
        <v/>
      </c>
      <c r="M27" s="313">
        <f>IF(F27="","",0.25*F27+0.75*M26)</f>
        <v/>
      </c>
      <c r="N27" s="313">
        <f>IF(F27="","",(2/29)*F27+(27/29)*N26)</f>
        <v/>
      </c>
      <c r="O27" s="314">
        <f>IF(OR(N27="",N27=0),"",M27/N27)</f>
        <v/>
      </c>
      <c r="P27" s="313">
        <f>IF(G27="","",0.25*G27+0.75*P26)</f>
        <v/>
      </c>
      <c r="Q27" s="313">
        <f>IF(G27="","",(2/29)*G27+(27/29)*Q26)</f>
        <v/>
      </c>
      <c r="R27" s="314">
        <f>IF(OR(Q27="",Q27=0),"",P27/Q27)</f>
        <v/>
      </c>
      <c r="S27" s="313">
        <f>IF(H27="","",0.25*H27+0.75*S26)</f>
        <v/>
      </c>
      <c r="T27" s="313">
        <f>IF(H27="","",(2/29)*H27+(27/29)*T26)</f>
        <v/>
      </c>
      <c r="U27" s="314">
        <f>IF(OR(T27="",T27=0),"",S27/T27)</f>
        <v/>
      </c>
      <c r="V27" s="313">
        <f>IF(I27="","",0.25*I27+0.75*V26)</f>
        <v/>
      </c>
      <c r="W27" s="313">
        <f>IF(I27="","",(2/29)*I27+(27/29)*W26)</f>
        <v/>
      </c>
      <c r="X27" s="314">
        <f>IF(OR(W27="",W27=0),"",V27/W27)</f>
        <v/>
      </c>
      <c r="Y27" s="313">
        <f>IF(J27="","",0.25*J27+0.75*Y26)</f>
        <v/>
      </c>
      <c r="Z27" s="313">
        <f>IF(J27="","",(2/29)*J27+(27/29)*Z26)</f>
        <v/>
      </c>
      <c r="AA27" s="314">
        <f>IF(OR(Z27="",Z27=0),"",Y27/Z27)</f>
        <v/>
      </c>
      <c r="AB27" s="313">
        <f>IF(L27="","",0.25*L27+0.75*AB26)</f>
        <v/>
      </c>
      <c r="AC27" s="313">
        <f>IF(L27="","",(2/29)*L27+(27/29)*AC26)</f>
        <v/>
      </c>
      <c r="AD27" s="314">
        <f>IF(OR(AC27="",AC27=0),"",AB27/AC27)</f>
        <v/>
      </c>
      <c r="AE27" s="312">
        <f>IF(OR(O27="",R27="",U27="",AD27=""),"",IF(OR(O27&gt;1.5,R27&gt;1.5,U27&gt;1.5,AD27&gt;1.5),"🔴 ALTO",IF(OR(O27&gt;1.3,R27&gt;1.3,U27&gt;1.3,AD27&gt;1.3,O27&lt;0.8,R27&lt;0.8,U27&lt;0.8,AD27&lt;0.8),"🟡 ATENÇÃO","🟢 OK")))</f>
        <v/>
      </c>
    </row>
    <row r="28">
      <c r="A28" s="307" t="n">
        <v>46066</v>
      </c>
      <c r="B28" s="308" t="inlineStr">
        <is>
          <t>Treino</t>
        </is>
      </c>
      <c r="C28" s="308" t="inlineStr">
        <is>
          <t>MD-1</t>
        </is>
      </c>
      <c r="D28" s="308" t="n">
        <v>7</v>
      </c>
      <c r="E28" s="308" t="n">
        <v>90</v>
      </c>
      <c r="F28" s="308" t="n">
        <v>7860</v>
      </c>
      <c r="G28" s="308" t="n">
        <v>308</v>
      </c>
      <c r="H28" s="308" t="n">
        <v>145</v>
      </c>
      <c r="I28" s="308" t="n">
        <v>61</v>
      </c>
      <c r="J28" s="308" t="n">
        <v>82</v>
      </c>
      <c r="K28" s="308" t="n">
        <v>5</v>
      </c>
      <c r="L28" s="308">
        <f>IF(K28="","",K28*E28)</f>
        <v/>
      </c>
      <c r="M28" s="309">
        <f>IF(F28="","",0.25*F28+0.75*M27)</f>
        <v/>
      </c>
      <c r="N28" s="309">
        <f>IF(F28="","",(2/29)*F28+(27/29)*N27)</f>
        <v/>
      </c>
      <c r="O28" s="310">
        <f>IF(OR(N28="",N28=0),"",M28/N28)</f>
        <v/>
      </c>
      <c r="P28" s="309">
        <f>IF(G28="","",0.25*G28+0.75*P27)</f>
        <v/>
      </c>
      <c r="Q28" s="309">
        <f>IF(G28="","",(2/29)*G28+(27/29)*Q27)</f>
        <v/>
      </c>
      <c r="R28" s="310">
        <f>IF(OR(Q28="",Q28=0),"",P28/Q28)</f>
        <v/>
      </c>
      <c r="S28" s="309">
        <f>IF(H28="","",0.25*H28+0.75*S27)</f>
        <v/>
      </c>
      <c r="T28" s="309">
        <f>IF(H28="","",(2/29)*H28+(27/29)*T27)</f>
        <v/>
      </c>
      <c r="U28" s="310">
        <f>IF(OR(T28="",T28=0),"",S28/T28)</f>
        <v/>
      </c>
      <c r="V28" s="309">
        <f>IF(I28="","",0.25*I28+0.75*V27)</f>
        <v/>
      </c>
      <c r="W28" s="309">
        <f>IF(I28="","",(2/29)*I28+(27/29)*W27)</f>
        <v/>
      </c>
      <c r="X28" s="310">
        <f>IF(OR(W28="",W28=0),"",V28/W28)</f>
        <v/>
      </c>
      <c r="Y28" s="309">
        <f>IF(J28="","",0.25*J28+0.75*Y27)</f>
        <v/>
      </c>
      <c r="Z28" s="309">
        <f>IF(J28="","",(2/29)*J28+(27/29)*Z27)</f>
        <v/>
      </c>
      <c r="AA28" s="310">
        <f>IF(OR(Z28="",Z28=0),"",Y28/Z28)</f>
        <v/>
      </c>
      <c r="AB28" s="309">
        <f>IF(L28="","",0.25*L28+0.75*AB27)</f>
        <v/>
      </c>
      <c r="AC28" s="309">
        <f>IF(L28="","",(2/29)*L28+(27/29)*AC27)</f>
        <v/>
      </c>
      <c r="AD28" s="310">
        <f>IF(OR(AC28="",AC28=0),"",AB28/AC28)</f>
        <v/>
      </c>
      <c r="AE28" s="308">
        <f>IF(OR(O28="",R28="",U28="",AD28=""),"",IF(OR(O28&gt;1.5,R28&gt;1.5,U28&gt;1.5,AD28&gt;1.5),"🔴 ALTO",IF(OR(O28&gt;1.3,R28&gt;1.3,U28&gt;1.3,AD28&gt;1.3,O28&lt;0.8,R28&lt;0.8,U28&lt;0.8,AD28&lt;0.8),"🟡 ATENÇÃO","🟢 OK")))</f>
        <v/>
      </c>
    </row>
    <row r="29">
      <c r="A29" s="311" t="n">
        <v>46069</v>
      </c>
      <c r="B29" s="312" t="inlineStr">
        <is>
          <t>Treino</t>
        </is>
      </c>
      <c r="C29" s="312" t="inlineStr">
        <is>
          <t>MD-5</t>
        </is>
      </c>
      <c r="D29" s="312" t="n">
        <v>8</v>
      </c>
      <c r="E29" s="312" t="n">
        <v>90</v>
      </c>
      <c r="F29" s="312" t="n">
        <v>7500</v>
      </c>
      <c r="G29" s="312" t="n">
        <v>300</v>
      </c>
      <c r="H29" s="312" t="n">
        <v>150</v>
      </c>
      <c r="I29" s="312" t="n">
        <v>75</v>
      </c>
      <c r="J29" s="312" t="n">
        <v>80</v>
      </c>
      <c r="K29" s="312" t="n">
        <v>6</v>
      </c>
      <c r="L29" s="312">
        <f>IF(K29="","",K29*E29)</f>
        <v/>
      </c>
      <c r="M29" s="313">
        <f>IF(F29="","",0.25*F29+0.75*M28)</f>
        <v/>
      </c>
      <c r="N29" s="313">
        <f>IF(F29="","",(2/29)*F29+(27/29)*N28)</f>
        <v/>
      </c>
      <c r="O29" s="314">
        <f>IF(OR(N29="",N29=0),"",M29/N29)</f>
        <v/>
      </c>
      <c r="P29" s="313">
        <f>IF(G29="","",0.25*G29+0.75*P28)</f>
        <v/>
      </c>
      <c r="Q29" s="313">
        <f>IF(G29="","",(2/29)*G29+(27/29)*Q28)</f>
        <v/>
      </c>
      <c r="R29" s="314">
        <f>IF(OR(Q29="",Q29=0),"",P29/Q29)</f>
        <v/>
      </c>
      <c r="S29" s="313">
        <f>IF(H29="","",0.25*H29+0.75*S28)</f>
        <v/>
      </c>
      <c r="T29" s="313">
        <f>IF(H29="","",(2/29)*H29+(27/29)*T28)</f>
        <v/>
      </c>
      <c r="U29" s="314">
        <f>IF(OR(T29="",T29=0),"",S29/T29)</f>
        <v/>
      </c>
      <c r="V29" s="313">
        <f>IF(I29="","",0.25*I29+0.75*V28)</f>
        <v/>
      </c>
      <c r="W29" s="313">
        <f>IF(I29="","",(2/29)*I29+(27/29)*W28)</f>
        <v/>
      </c>
      <c r="X29" s="314">
        <f>IF(OR(W29="",W29=0),"",V29/W29)</f>
        <v/>
      </c>
      <c r="Y29" s="313">
        <f>IF(J29="","",0.25*J29+0.75*Y28)</f>
        <v/>
      </c>
      <c r="Z29" s="313">
        <f>IF(J29="","",(2/29)*J29+(27/29)*Z28)</f>
        <v/>
      </c>
      <c r="AA29" s="314">
        <f>IF(OR(Z29="",Z29=0),"",Y29/Z29)</f>
        <v/>
      </c>
      <c r="AB29" s="313">
        <f>IF(L29="","",0.25*L29+0.75*AB28)</f>
        <v/>
      </c>
      <c r="AC29" s="313">
        <f>IF(L29="","",(2/29)*L29+(27/29)*AC28)</f>
        <v/>
      </c>
      <c r="AD29" s="314">
        <f>IF(OR(AC29="",AC29=0),"",AB29/AC29)</f>
        <v/>
      </c>
      <c r="AE29" s="312">
        <f>IF(OR(O29="",R29="",U29="",AD29=""),"",IF(OR(O29&gt;1.5,R29&gt;1.5,U29&gt;1.5,AD29&gt;1.5),"🔴 ALTO",IF(OR(O29&gt;1.3,R29&gt;1.3,U29&gt;1.3,AD29&gt;1.3,O29&lt;0.8,R29&lt;0.8,U29&lt;0.8,AD29&lt;0.8),"🟡 ATENÇÃO","🟢 OK")))</f>
        <v/>
      </c>
    </row>
    <row r="30">
      <c r="A30" s="307" t="n">
        <v>46070</v>
      </c>
      <c r="B30" s="308" t="inlineStr">
        <is>
          <t>Treino</t>
        </is>
      </c>
      <c r="C30" s="308" t="inlineStr">
        <is>
          <t>MD-4</t>
        </is>
      </c>
      <c r="D30" s="308" t="n">
        <v>8</v>
      </c>
      <c r="E30" s="308" t="n">
        <v>88</v>
      </c>
      <c r="F30" s="308" t="n">
        <v>7800</v>
      </c>
      <c r="G30" s="308" t="n">
        <v>310</v>
      </c>
      <c r="H30" s="308" t="n">
        <v>140</v>
      </c>
      <c r="I30" s="308" t="n">
        <v>75</v>
      </c>
      <c r="J30" s="308" t="n">
        <v>82</v>
      </c>
      <c r="K30" s="308" t="n">
        <v>7</v>
      </c>
      <c r="L30" s="308">
        <f>IF(K30="","",K30*E30)</f>
        <v/>
      </c>
      <c r="M30" s="309">
        <f>IF(F30="","",0.25*F30+0.75*M29)</f>
        <v/>
      </c>
      <c r="N30" s="309">
        <f>IF(F30="","",(2/29)*F30+(27/29)*N29)</f>
        <v/>
      </c>
      <c r="O30" s="310">
        <f>IF(OR(N30="",N30=0),"",M30/N30)</f>
        <v/>
      </c>
      <c r="P30" s="309">
        <f>IF(G30="","",0.25*G30+0.75*P29)</f>
        <v/>
      </c>
      <c r="Q30" s="309">
        <f>IF(G30="","",(2/29)*G30+(27/29)*Q29)</f>
        <v/>
      </c>
      <c r="R30" s="310">
        <f>IF(OR(Q30="",Q30=0),"",P30/Q30)</f>
        <v/>
      </c>
      <c r="S30" s="309">
        <f>IF(H30="","",0.25*H30+0.75*S29)</f>
        <v/>
      </c>
      <c r="T30" s="309">
        <f>IF(H30="","",(2/29)*H30+(27/29)*T29)</f>
        <v/>
      </c>
      <c r="U30" s="310">
        <f>IF(OR(T30="",T30=0),"",S30/T30)</f>
        <v/>
      </c>
      <c r="V30" s="309">
        <f>IF(I30="","",0.25*I30+0.75*V29)</f>
        <v/>
      </c>
      <c r="W30" s="309">
        <f>IF(I30="","",(2/29)*I30+(27/29)*W29)</f>
        <v/>
      </c>
      <c r="X30" s="310">
        <f>IF(OR(W30="",W30=0),"",V30/W30)</f>
        <v/>
      </c>
      <c r="Y30" s="309">
        <f>IF(J30="","",0.25*J30+0.75*Y29)</f>
        <v/>
      </c>
      <c r="Z30" s="309">
        <f>IF(J30="","",(2/29)*J30+(27/29)*Z29)</f>
        <v/>
      </c>
      <c r="AA30" s="310">
        <f>IF(OR(Z30="",Z30=0),"",Y30/Z30)</f>
        <v/>
      </c>
      <c r="AB30" s="309">
        <f>IF(L30="","",0.25*L30+0.75*AB29)</f>
        <v/>
      </c>
      <c r="AC30" s="309">
        <f>IF(L30="","",(2/29)*L30+(27/29)*AC29)</f>
        <v/>
      </c>
      <c r="AD30" s="310">
        <f>IF(OR(AC30="",AC30=0),"",AB30/AC30)</f>
        <v/>
      </c>
      <c r="AE30" s="308">
        <f>IF(OR(O30="",R30="",U30="",AD30=""),"",IF(OR(O30&gt;1.5,R30&gt;1.5,U30&gt;1.5,AD30&gt;1.5),"🔴 ALTO",IF(OR(O30&gt;1.3,R30&gt;1.3,U30&gt;1.3,AD30&gt;1.3,O30&lt;0.8,R30&lt;0.8,U30&lt;0.8,AD30&lt;0.8),"🟡 ATENÇÃO","🟢 OK")))</f>
        <v/>
      </c>
    </row>
    <row r="31">
      <c r="A31" s="311" t="n">
        <v>46071</v>
      </c>
      <c r="B31" s="312" t="inlineStr">
        <is>
          <t>Treino</t>
        </is>
      </c>
      <c r="C31" s="312" t="inlineStr">
        <is>
          <t>MD-3</t>
        </is>
      </c>
      <c r="D31" s="312" t="n">
        <v>8</v>
      </c>
      <c r="E31" s="312" t="n">
        <v>85</v>
      </c>
      <c r="F31" s="312" t="n">
        <v>7200</v>
      </c>
      <c r="G31" s="312" t="n">
        <v>280</v>
      </c>
      <c r="H31" s="312" t="n">
        <v>130</v>
      </c>
      <c r="I31" s="312" t="n">
        <v>72</v>
      </c>
      <c r="J31" s="312" t="n">
        <v>78</v>
      </c>
      <c r="K31" s="312" t="n">
        <v>6</v>
      </c>
      <c r="L31" s="312">
        <f>IF(K31="","",K31*E31)</f>
        <v/>
      </c>
      <c r="M31" s="313">
        <f>IF(F31="","",0.25*F31+0.75*M30)</f>
        <v/>
      </c>
      <c r="N31" s="313">
        <f>IF(F31="","",(2/29)*F31+(27/29)*N30)</f>
        <v/>
      </c>
      <c r="O31" s="314">
        <f>IF(OR(N31="",N31=0),"",M31/N31)</f>
        <v/>
      </c>
      <c r="P31" s="313">
        <f>IF(G31="","",0.25*G31+0.75*P30)</f>
        <v/>
      </c>
      <c r="Q31" s="313">
        <f>IF(G31="","",(2/29)*G31+(27/29)*Q30)</f>
        <v/>
      </c>
      <c r="R31" s="314">
        <f>IF(OR(Q31="",Q31=0),"",P31/Q31)</f>
        <v/>
      </c>
      <c r="S31" s="313">
        <f>IF(H31="","",0.25*H31+0.75*S30)</f>
        <v/>
      </c>
      <c r="T31" s="313">
        <f>IF(H31="","",(2/29)*H31+(27/29)*T30)</f>
        <v/>
      </c>
      <c r="U31" s="314">
        <f>IF(OR(T31="",T31=0),"",S31/T31)</f>
        <v/>
      </c>
      <c r="V31" s="313">
        <f>IF(I31="","",0.25*I31+0.75*V30)</f>
        <v/>
      </c>
      <c r="W31" s="313">
        <f>IF(I31="","",(2/29)*I31+(27/29)*W30)</f>
        <v/>
      </c>
      <c r="X31" s="314">
        <f>IF(OR(W31="",W31=0),"",V31/W31)</f>
        <v/>
      </c>
      <c r="Y31" s="313">
        <f>IF(J31="","",0.25*J31+0.75*Y30)</f>
        <v/>
      </c>
      <c r="Z31" s="313">
        <f>IF(J31="","",(2/29)*J31+(27/29)*Z30)</f>
        <v/>
      </c>
      <c r="AA31" s="314">
        <f>IF(OR(Z31="",Z31=0),"",Y31/Z31)</f>
        <v/>
      </c>
      <c r="AB31" s="313">
        <f>IF(L31="","",0.25*L31+0.75*AB30)</f>
        <v/>
      </c>
      <c r="AC31" s="313">
        <f>IF(L31="","",(2/29)*L31+(27/29)*AC30)</f>
        <v/>
      </c>
      <c r="AD31" s="314">
        <f>IF(OR(AC31="",AC31=0),"",AB31/AC31)</f>
        <v/>
      </c>
      <c r="AE31" s="312">
        <f>IF(OR(O31="",R31="",U31="",AD31=""),"",IF(OR(O31&gt;1.5,R31&gt;1.5,U31&gt;1.5,AD31&gt;1.5),"🔴 ALTO",IF(OR(O31&gt;1.3,R31&gt;1.3,U31&gt;1.3,AD31&gt;1.3,O31&lt;0.8,R31&lt;0.8,U31&lt;0.8,AD31&lt;0.8),"🟡 ATENÇÃO","🟢 OK")))</f>
        <v/>
      </c>
    </row>
    <row r="32">
      <c r="A32" s="307" t="n">
        <v>46072</v>
      </c>
      <c r="B32" s="308" t="inlineStr">
        <is>
          <t>Treino</t>
        </is>
      </c>
      <c r="C32" s="308" t="inlineStr">
        <is>
          <t>MD-2</t>
        </is>
      </c>
      <c r="D32" s="308" t="n">
        <v>8</v>
      </c>
      <c r="E32" s="308" t="n">
        <v>85</v>
      </c>
      <c r="F32" s="308" t="n">
        <v>7000</v>
      </c>
      <c r="G32" s="308" t="n">
        <v>260</v>
      </c>
      <c r="H32" s="308" t="n">
        <v>120</v>
      </c>
      <c r="I32" s="308" t="n">
        <v>68</v>
      </c>
      <c r="J32" s="308" t="n">
        <v>75</v>
      </c>
      <c r="K32" s="308" t="n">
        <v>6</v>
      </c>
      <c r="L32" s="308">
        <f>IF(K32="","",K32*E32)</f>
        <v/>
      </c>
      <c r="M32" s="309">
        <f>IF(F32="","",0.25*F32+0.75*M31)</f>
        <v/>
      </c>
      <c r="N32" s="309">
        <f>IF(F32="","",(2/29)*F32+(27/29)*N31)</f>
        <v/>
      </c>
      <c r="O32" s="310">
        <f>IF(OR(N32="",N32=0),"",M32/N32)</f>
        <v/>
      </c>
      <c r="P32" s="309">
        <f>IF(G32="","",0.25*G32+0.75*P31)</f>
        <v/>
      </c>
      <c r="Q32" s="309">
        <f>IF(G32="","",(2/29)*G32+(27/29)*Q31)</f>
        <v/>
      </c>
      <c r="R32" s="310">
        <f>IF(OR(Q32="",Q32=0),"",P32/Q32)</f>
        <v/>
      </c>
      <c r="S32" s="309">
        <f>IF(H32="","",0.25*H32+0.75*S31)</f>
        <v/>
      </c>
      <c r="T32" s="309">
        <f>IF(H32="","",(2/29)*H32+(27/29)*T31)</f>
        <v/>
      </c>
      <c r="U32" s="310">
        <f>IF(OR(T32="",T32=0),"",S32/T32)</f>
        <v/>
      </c>
      <c r="V32" s="309">
        <f>IF(I32="","",0.25*I32+0.75*V31)</f>
        <v/>
      </c>
      <c r="W32" s="309">
        <f>IF(I32="","",(2/29)*I32+(27/29)*W31)</f>
        <v/>
      </c>
      <c r="X32" s="310">
        <f>IF(OR(W32="",W32=0),"",V32/W32)</f>
        <v/>
      </c>
      <c r="Y32" s="309">
        <f>IF(J32="","",0.25*J32+0.75*Y31)</f>
        <v/>
      </c>
      <c r="Z32" s="309">
        <f>IF(J32="","",(2/29)*J32+(27/29)*Z31)</f>
        <v/>
      </c>
      <c r="AA32" s="310">
        <f>IF(OR(Z32="",Z32=0),"",Y32/Z32)</f>
        <v/>
      </c>
      <c r="AB32" s="309">
        <f>IF(L32="","",0.25*L32+0.75*AB31)</f>
        <v/>
      </c>
      <c r="AC32" s="309">
        <f>IF(L32="","",(2/29)*L32+(27/29)*AC31)</f>
        <v/>
      </c>
      <c r="AD32" s="310">
        <f>IF(OR(AC32="",AC32=0),"",AB32/AC32)</f>
        <v/>
      </c>
      <c r="AE32" s="308">
        <f>IF(OR(O32="",R32="",U32="",AD32=""),"",IF(OR(O32&gt;1.5,R32&gt;1.5,U32&gt;1.5,AD32&gt;1.5),"🔴 ALTO",IF(OR(O32&gt;1.3,R32&gt;1.3,U32&gt;1.3,AD32&gt;1.3,O32&lt;0.8,R32&lt;0.8,U32&lt;0.8,AD32&lt;0.8),"🟡 ATENÇÃO","🟢 OK")))</f>
        <v/>
      </c>
    </row>
    <row r="33">
      <c r="A33" s="311" t="n">
        <v>46072</v>
      </c>
      <c r="B33" s="312" t="inlineStr">
        <is>
          <t>Treino</t>
        </is>
      </c>
      <c r="C33" s="312" t="inlineStr">
        <is>
          <t>MD-2</t>
        </is>
      </c>
      <c r="D33" s="312" t="n">
        <v>8</v>
      </c>
      <c r="E33" s="312" t="n">
        <v>59</v>
      </c>
      <c r="F33" s="312" t="n">
        <v>3890</v>
      </c>
      <c r="G33" s="312" t="n">
        <v>126</v>
      </c>
      <c r="H33" s="312" t="n">
        <v>26</v>
      </c>
      <c r="I33" s="312" t="n">
        <v>35</v>
      </c>
      <c r="J33" s="312" t="n">
        <v>37</v>
      </c>
      <c r="K33" s="312" t="n">
        <v>3</v>
      </c>
      <c r="L33" s="312">
        <f>IF(K33="","",K33*E33)</f>
        <v/>
      </c>
      <c r="M33" s="313">
        <f>IF(F33="","",0.25*F33+0.75*M32)</f>
        <v/>
      </c>
      <c r="N33" s="313">
        <f>IF(F33="","",(2/29)*F33+(27/29)*N32)</f>
        <v/>
      </c>
      <c r="O33" s="314">
        <f>IF(OR(N33="",N33=0),"",M33/N33)</f>
        <v/>
      </c>
      <c r="P33" s="313">
        <f>IF(G33="","",0.25*G33+0.75*P32)</f>
        <v/>
      </c>
      <c r="Q33" s="313">
        <f>IF(G33="","",(2/29)*G33+(27/29)*Q32)</f>
        <v/>
      </c>
      <c r="R33" s="314">
        <f>IF(OR(Q33="",Q33=0),"",P33/Q33)</f>
        <v/>
      </c>
      <c r="S33" s="313">
        <f>IF(H33="","",0.25*H33+0.75*S32)</f>
        <v/>
      </c>
      <c r="T33" s="313">
        <f>IF(H33="","",(2/29)*H33+(27/29)*T32)</f>
        <v/>
      </c>
      <c r="U33" s="314">
        <f>IF(OR(T33="",T33=0),"",S33/T33)</f>
        <v/>
      </c>
      <c r="V33" s="313">
        <f>IF(I33="","",0.25*I33+0.75*V32)</f>
        <v/>
      </c>
      <c r="W33" s="313">
        <f>IF(I33="","",(2/29)*I33+(27/29)*W32)</f>
        <v/>
      </c>
      <c r="X33" s="314">
        <f>IF(OR(W33="",W33=0),"",V33/W33)</f>
        <v/>
      </c>
      <c r="Y33" s="313">
        <f>IF(J33="","",0.25*J33+0.75*Y32)</f>
        <v/>
      </c>
      <c r="Z33" s="313">
        <f>IF(J33="","",(2/29)*J33+(27/29)*Z32)</f>
        <v/>
      </c>
      <c r="AA33" s="314">
        <f>IF(OR(Z33="",Z33=0),"",Y33/Z33)</f>
        <v/>
      </c>
      <c r="AB33" s="313">
        <f>IF(L33="","",0.25*L33+0.75*AB32)</f>
        <v/>
      </c>
      <c r="AC33" s="313">
        <f>IF(L33="","",(2/29)*L33+(27/29)*AC32)</f>
        <v/>
      </c>
      <c r="AD33" s="314">
        <f>IF(OR(AC33="",AC33=0),"",AB33/AC33)</f>
        <v/>
      </c>
      <c r="AE33" s="312">
        <f>IF(OR(O33="",R33="",U33="",AD33=""),"",IF(OR(O33&gt;1.5,R33&gt;1.5,U33&gt;1.5,AD33&gt;1.5),"🔴 ALTO",IF(OR(O33&gt;1.3,R33&gt;1.3,U33&gt;1.3,AD33&gt;1.3,O33&lt;0.8,R33&lt;0.8,U33&lt;0.8,AD33&lt;0.8),"🟡 ATENÇÃO","🟢 OK")))</f>
        <v/>
      </c>
    </row>
    <row r="34">
      <c r="A34" s="307" t="n">
        <v>46073</v>
      </c>
      <c r="B34" s="308" t="inlineStr">
        <is>
          <t>Treino</t>
        </is>
      </c>
      <c r="C34" s="308" t="inlineStr">
        <is>
          <t>MD-1</t>
        </is>
      </c>
      <c r="D34" s="308" t="n">
        <v>8</v>
      </c>
      <c r="E34" s="308" t="n">
        <v>90</v>
      </c>
      <c r="F34" s="308" t="n">
        <v>7500</v>
      </c>
      <c r="G34" s="308" t="n">
        <v>300</v>
      </c>
      <c r="H34" s="308" t="n">
        <v>150</v>
      </c>
      <c r="I34" s="308" t="n">
        <v>70</v>
      </c>
      <c r="J34" s="308" t="n">
        <v>80</v>
      </c>
      <c r="K34" s="308" t="n">
        <v>7</v>
      </c>
      <c r="L34" s="308">
        <f>IF(K34="","",K34*E34)</f>
        <v/>
      </c>
      <c r="M34" s="309">
        <f>IF(F34="","",0.25*F34+0.75*M33)</f>
        <v/>
      </c>
      <c r="N34" s="309">
        <f>IF(F34="","",(2/29)*F34+(27/29)*N33)</f>
        <v/>
      </c>
      <c r="O34" s="310">
        <f>IF(OR(N34="",N34=0),"",M34/N34)</f>
        <v/>
      </c>
      <c r="P34" s="309">
        <f>IF(G34="","",0.25*G34+0.75*P33)</f>
        <v/>
      </c>
      <c r="Q34" s="309">
        <f>IF(G34="","",(2/29)*G34+(27/29)*Q33)</f>
        <v/>
      </c>
      <c r="R34" s="310">
        <f>IF(OR(Q34="",Q34=0),"",P34/Q34)</f>
        <v/>
      </c>
      <c r="S34" s="309">
        <f>IF(H34="","",0.25*H34+0.75*S33)</f>
        <v/>
      </c>
      <c r="T34" s="309">
        <f>IF(H34="","",(2/29)*H34+(27/29)*T33)</f>
        <v/>
      </c>
      <c r="U34" s="310">
        <f>IF(OR(T34="",T34=0),"",S34/T34)</f>
        <v/>
      </c>
      <c r="V34" s="309">
        <f>IF(I34="","",0.25*I34+0.75*V33)</f>
        <v/>
      </c>
      <c r="W34" s="309">
        <f>IF(I34="","",(2/29)*I34+(27/29)*W33)</f>
        <v/>
      </c>
      <c r="X34" s="310">
        <f>IF(OR(W34="",W34=0),"",V34/W34)</f>
        <v/>
      </c>
      <c r="Y34" s="309">
        <f>IF(J34="","",0.25*J34+0.75*Y33)</f>
        <v/>
      </c>
      <c r="Z34" s="309">
        <f>IF(J34="","",(2/29)*J34+(27/29)*Z33)</f>
        <v/>
      </c>
      <c r="AA34" s="310">
        <f>IF(OR(Z34="",Z34=0),"",Y34/Z34)</f>
        <v/>
      </c>
      <c r="AB34" s="309">
        <f>IF(L34="","",0.25*L34+0.75*AB33)</f>
        <v/>
      </c>
      <c r="AC34" s="309">
        <f>IF(L34="","",(2/29)*L34+(27/29)*AC33)</f>
        <v/>
      </c>
      <c r="AD34" s="310">
        <f>IF(OR(AC34="",AC34=0),"",AB34/AC34)</f>
        <v/>
      </c>
      <c r="AE34" s="308">
        <f>IF(OR(O34="",R34="",U34="",AD34=""),"",IF(OR(O34&gt;1.5,R34&gt;1.5,U34&gt;1.5,AD34&gt;1.5),"🔴 ALTO",IF(OR(O34&gt;1.3,R34&gt;1.3,U34&gt;1.3,AD34&gt;1.3,O34&lt;0.8,R34&lt;0.8,U34&lt;0.8,AD34&lt;0.8),"🟡 ATENÇÃO","🟢 OK")))</f>
        <v/>
      </c>
    </row>
    <row r="35">
      <c r="A35" s="311" t="n">
        <v>46074</v>
      </c>
      <c r="B35" s="312" t="inlineStr">
        <is>
          <t>Jogo</t>
        </is>
      </c>
      <c r="C35" s="312" t="inlineStr">
        <is>
          <t>MD</t>
        </is>
      </c>
      <c r="D35" s="312" t="n">
        <v>8</v>
      </c>
      <c r="E35" s="312" t="n">
        <v>90</v>
      </c>
      <c r="F35" s="312" t="n">
        <v>10000</v>
      </c>
      <c r="G35" s="312" t="n">
        <v>400</v>
      </c>
      <c r="H35" s="312" t="n">
        <v>200</v>
      </c>
      <c r="I35" s="312" t="n">
        <v>85</v>
      </c>
      <c r="J35" s="312" t="n">
        <v>90</v>
      </c>
      <c r="K35" s="312" t="n">
        <v>8</v>
      </c>
      <c r="L35" s="312">
        <f>IF(K35="","",K35*E35)</f>
        <v/>
      </c>
      <c r="M35" s="313">
        <f>IF(F35="","",0.25*F35+0.75*M34)</f>
        <v/>
      </c>
      <c r="N35" s="313">
        <f>IF(F35="","",(2/29)*F35+(27/29)*N34)</f>
        <v/>
      </c>
      <c r="O35" s="314">
        <f>IF(OR(N35="",N35=0),"",M35/N35)</f>
        <v/>
      </c>
      <c r="P35" s="313">
        <f>IF(G35="","",0.25*G35+0.75*P34)</f>
        <v/>
      </c>
      <c r="Q35" s="313">
        <f>IF(G35="","",(2/29)*G35+(27/29)*Q34)</f>
        <v/>
      </c>
      <c r="R35" s="314">
        <f>IF(OR(Q35="",Q35=0),"",P35/Q35)</f>
        <v/>
      </c>
      <c r="S35" s="313">
        <f>IF(H35="","",0.25*H35+0.75*S34)</f>
        <v/>
      </c>
      <c r="T35" s="313">
        <f>IF(H35="","",(2/29)*H35+(27/29)*T34)</f>
        <v/>
      </c>
      <c r="U35" s="314">
        <f>IF(OR(T35="",T35=0),"",S35/T35)</f>
        <v/>
      </c>
      <c r="V35" s="313">
        <f>IF(I35="","",0.25*I35+0.75*V34)</f>
        <v/>
      </c>
      <c r="W35" s="313">
        <f>IF(I35="","",(2/29)*I35+(27/29)*W34)</f>
        <v/>
      </c>
      <c r="X35" s="314">
        <f>IF(OR(W35="",W35=0),"",V35/W35)</f>
        <v/>
      </c>
      <c r="Y35" s="313">
        <f>IF(J35="","",0.25*J35+0.75*Y34)</f>
        <v/>
      </c>
      <c r="Z35" s="313">
        <f>IF(J35="","",(2/29)*J35+(27/29)*Z34)</f>
        <v/>
      </c>
      <c r="AA35" s="314">
        <f>IF(OR(Z35="",Z35=0),"",Y35/Z35)</f>
        <v/>
      </c>
      <c r="AB35" s="313">
        <f>IF(L35="","",0.25*L35+0.75*AB34)</f>
        <v/>
      </c>
      <c r="AC35" s="313">
        <f>IF(L35="","",(2/29)*L35+(27/29)*AC34)</f>
        <v/>
      </c>
      <c r="AD35" s="314">
        <f>IF(OR(AC35="",AC35=0),"",AB35/AC35)</f>
        <v/>
      </c>
      <c r="AE35" s="312">
        <f>IF(OR(O35="",R35="",U35="",AD35=""),"",IF(OR(O35&gt;1.5,R35&gt;1.5,U35&gt;1.5,AD35&gt;1.5),"🔴 ALTO",IF(OR(O35&gt;1.3,R35&gt;1.3,U35&gt;1.3,AD35&gt;1.3,O35&lt;0.8,R35&lt;0.8,U35&lt;0.8,AD35&lt;0.8),"🟡 ATENÇÃO","🟢 OK")))</f>
        <v/>
      </c>
    </row>
    <row r="36">
      <c r="A36" s="307" t="n">
        <v>46075</v>
      </c>
      <c r="B36" s="308" t="inlineStr">
        <is>
          <t>Treino</t>
        </is>
      </c>
      <c r="C36" s="308" t="inlineStr">
        <is>
          <t>MD+1R</t>
        </is>
      </c>
      <c r="D36" s="308" t="n">
        <v>8</v>
      </c>
      <c r="E36" s="308" t="n">
        <v>30</v>
      </c>
      <c r="F36" s="308" t="n">
        <v>3500</v>
      </c>
      <c r="G36" s="308" t="n">
        <v>100</v>
      </c>
      <c r="H36" s="308" t="n">
        <v>50</v>
      </c>
      <c r="I36" s="308" t="n">
        <v>30</v>
      </c>
      <c r="J36" s="308" t="n">
        <v>35</v>
      </c>
      <c r="K36" s="308" t="n">
        <v>4</v>
      </c>
      <c r="L36" s="308">
        <f>IF(K36="","",K36*E36)</f>
        <v/>
      </c>
      <c r="M36" s="309">
        <f>IF(F36="","",0.25*F36+0.75*M35)</f>
        <v/>
      </c>
      <c r="N36" s="309">
        <f>IF(F36="","",(2/29)*F36+(27/29)*N35)</f>
        <v/>
      </c>
      <c r="O36" s="310">
        <f>IF(OR(N36="",N36=0),"",M36/N36)</f>
        <v/>
      </c>
      <c r="P36" s="309">
        <f>IF(G36="","",0.25*G36+0.75*P35)</f>
        <v/>
      </c>
      <c r="Q36" s="309">
        <f>IF(G36="","",(2/29)*G36+(27/29)*Q35)</f>
        <v/>
      </c>
      <c r="R36" s="310">
        <f>IF(OR(Q36="",Q36=0),"",P36/Q36)</f>
        <v/>
      </c>
      <c r="S36" s="309">
        <f>IF(H36="","",0.25*H36+0.75*S35)</f>
        <v/>
      </c>
      <c r="T36" s="309">
        <f>IF(H36="","",(2/29)*H36+(27/29)*T35)</f>
        <v/>
      </c>
      <c r="U36" s="310">
        <f>IF(OR(T36="",T36=0),"",S36/T36)</f>
        <v/>
      </c>
      <c r="V36" s="309">
        <f>IF(I36="","",0.25*I36+0.75*V35)</f>
        <v/>
      </c>
      <c r="W36" s="309">
        <f>IF(I36="","",(2/29)*I36+(27/29)*W35)</f>
        <v/>
      </c>
      <c r="X36" s="310">
        <f>IF(OR(W36="",W36=0),"",V36/W36)</f>
        <v/>
      </c>
      <c r="Y36" s="309">
        <f>IF(J36="","",0.25*J36+0.75*Y35)</f>
        <v/>
      </c>
      <c r="Z36" s="309">
        <f>IF(J36="","",(2/29)*J36+(27/29)*Z35)</f>
        <v/>
      </c>
      <c r="AA36" s="310">
        <f>IF(OR(Z36="",Z36=0),"",Y36/Z36)</f>
        <v/>
      </c>
      <c r="AB36" s="309">
        <f>IF(L36="","",0.25*L36+0.75*AB35)</f>
        <v/>
      </c>
      <c r="AC36" s="309">
        <f>IF(L36="","",(2/29)*L36+(27/29)*AC35)</f>
        <v/>
      </c>
      <c r="AD36" s="310">
        <f>IF(OR(AC36="",AC36=0),"",AB36/AC36)</f>
        <v/>
      </c>
      <c r="AE36" s="308">
        <f>IF(OR(O36="",R36="",U36="",AD36=""),"",IF(OR(O36&gt;1.5,R36&gt;1.5,U36&gt;1.5,AD36&gt;1.5),"🔴 ALTO",IF(OR(O36&gt;1.3,R36&gt;1.3,U36&gt;1.3,AD36&gt;1.3,O36&lt;0.8,R36&lt;0.8,U36&lt;0.8,AD36&lt;0.8),"🟡 ATENÇÃO","🟢 OK")))</f>
        <v/>
      </c>
    </row>
    <row r="37">
      <c r="A37" s="311" t="n">
        <v>46075</v>
      </c>
      <c r="B37" s="312" t="inlineStr">
        <is>
          <t>Treino</t>
        </is>
      </c>
      <c r="C37" s="312" t="inlineStr">
        <is>
          <t>MD+1R</t>
        </is>
      </c>
      <c r="D37" s="312" t="n">
        <v>8</v>
      </c>
      <c r="E37" s="312" t="n">
        <v>30</v>
      </c>
      <c r="F37" s="312" t="n">
        <v>3510</v>
      </c>
      <c r="G37" s="312" t="n">
        <v>102</v>
      </c>
      <c r="H37" s="312" t="n">
        <v>52</v>
      </c>
      <c r="I37" s="312" t="n">
        <v>31</v>
      </c>
      <c r="J37" s="312" t="n">
        <v>36</v>
      </c>
      <c r="K37" s="312" t="n">
        <v>4</v>
      </c>
      <c r="L37" s="312">
        <f>IF(K37="","",K37*E37)</f>
        <v/>
      </c>
      <c r="M37" s="313">
        <f>IF(F37="","",0.25*F37+0.75*M36)</f>
        <v/>
      </c>
      <c r="N37" s="313">
        <f>IF(F37="","",(2/29)*F37+(27/29)*N36)</f>
        <v/>
      </c>
      <c r="O37" s="314">
        <f>IF(OR(N37="",N37=0),"",M37/N37)</f>
        <v/>
      </c>
      <c r="P37" s="313">
        <f>IF(G37="","",0.25*G37+0.75*P36)</f>
        <v/>
      </c>
      <c r="Q37" s="313">
        <f>IF(G37="","",(2/29)*G37+(27/29)*Q36)</f>
        <v/>
      </c>
      <c r="R37" s="314">
        <f>IF(OR(Q37="",Q37=0),"",P37/Q37)</f>
        <v/>
      </c>
      <c r="S37" s="313">
        <f>IF(H37="","",0.25*H37+0.75*S36)</f>
        <v/>
      </c>
      <c r="T37" s="313">
        <f>IF(H37="","",(2/29)*H37+(27/29)*T36)</f>
        <v/>
      </c>
      <c r="U37" s="314">
        <f>IF(OR(T37="",T37=0),"",S37/T37)</f>
        <v/>
      </c>
      <c r="V37" s="313">
        <f>IF(I37="","",0.25*I37+0.75*V36)</f>
        <v/>
      </c>
      <c r="W37" s="313">
        <f>IF(I37="","",(2/29)*I37+(27/29)*W36)</f>
        <v/>
      </c>
      <c r="X37" s="314">
        <f>IF(OR(W37="",W37=0),"",V37/W37)</f>
        <v/>
      </c>
      <c r="Y37" s="313">
        <f>IF(J37="","",0.25*J37+0.75*Y36)</f>
        <v/>
      </c>
      <c r="Z37" s="313">
        <f>IF(J37="","",(2/29)*J37+(27/29)*Z36)</f>
        <v/>
      </c>
      <c r="AA37" s="314">
        <f>IF(OR(Z37="",Z37=0),"",Y37/Z37)</f>
        <v/>
      </c>
      <c r="AB37" s="313">
        <f>IF(L37="","",0.25*L37+0.75*AB36)</f>
        <v/>
      </c>
      <c r="AC37" s="313">
        <f>IF(L37="","",(2/29)*L37+(27/29)*AC36)</f>
        <v/>
      </c>
      <c r="AD37" s="314">
        <f>IF(OR(AC37="",AC37=0),"",AB37/AC37)</f>
        <v/>
      </c>
      <c r="AE37" s="312">
        <f>IF(OR(O37="",R37="",U37="",AD37=""),"",IF(OR(O37&gt;1.5,R37&gt;1.5,U37&gt;1.5,AD37&gt;1.5),"🔴 ALTO",IF(OR(O37&gt;1.3,R37&gt;1.3,U37&gt;1.3,AD37&gt;1.3,O37&lt;0.8,R37&lt;0.8,U37&lt;0.8,AD37&lt;0.8),"🟡 ATENÇÃO","🟢 OK")))</f>
        <v/>
      </c>
    </row>
    <row r="38">
      <c r="A38" s="307" t="n">
        <v>46076</v>
      </c>
      <c r="B38" s="308" t="inlineStr">
        <is>
          <t>Treino</t>
        </is>
      </c>
      <c r="C38" s="308" t="inlineStr">
        <is>
          <t>MD+1C</t>
        </is>
      </c>
      <c r="D38" s="308" t="n">
        <v>8</v>
      </c>
      <c r="E38" s="308" t="n">
        <v>60</v>
      </c>
      <c r="F38" s="308" t="n">
        <v>5500</v>
      </c>
      <c r="G38" s="308" t="n">
        <v>180</v>
      </c>
      <c r="H38" s="308" t="n">
        <v>80</v>
      </c>
      <c r="I38" s="308" t="n">
        <v>50</v>
      </c>
      <c r="J38" s="308" t="n">
        <v>55</v>
      </c>
      <c r="K38" s="308" t="n">
        <v>5</v>
      </c>
      <c r="L38" s="308">
        <f>IF(K38="","",K38*E38)</f>
        <v/>
      </c>
      <c r="M38" s="309">
        <f>IF(F38="","",0.25*F38+0.75*M37)</f>
        <v/>
      </c>
      <c r="N38" s="309">
        <f>IF(F38="","",(2/29)*F38+(27/29)*N37)</f>
        <v/>
      </c>
      <c r="O38" s="310">
        <f>IF(OR(N38="",N38=0),"",M38/N38)</f>
        <v/>
      </c>
      <c r="P38" s="309">
        <f>IF(G38="","",0.25*G38+0.75*P37)</f>
        <v/>
      </c>
      <c r="Q38" s="309">
        <f>IF(G38="","",(2/29)*G38+(27/29)*Q37)</f>
        <v/>
      </c>
      <c r="R38" s="310">
        <f>IF(OR(Q38="",Q38=0),"",P38/Q38)</f>
        <v/>
      </c>
      <c r="S38" s="309">
        <f>IF(H38="","",0.25*H38+0.75*S37)</f>
        <v/>
      </c>
      <c r="T38" s="309">
        <f>IF(H38="","",(2/29)*H38+(27/29)*T37)</f>
        <v/>
      </c>
      <c r="U38" s="310">
        <f>IF(OR(T38="",T38=0),"",S38/T38)</f>
        <v/>
      </c>
      <c r="V38" s="309">
        <f>IF(I38="","",0.25*I38+0.75*V37)</f>
        <v/>
      </c>
      <c r="W38" s="309">
        <f>IF(I38="","",(2/29)*I38+(27/29)*W37)</f>
        <v/>
      </c>
      <c r="X38" s="310">
        <f>IF(OR(W38="",W38=0),"",V38/W38)</f>
        <v/>
      </c>
      <c r="Y38" s="309">
        <f>IF(J38="","",0.25*J38+0.75*Y37)</f>
        <v/>
      </c>
      <c r="Z38" s="309">
        <f>IF(J38="","",(2/29)*J38+(27/29)*Z37)</f>
        <v/>
      </c>
      <c r="AA38" s="310">
        <f>IF(OR(Z38="",Z38=0),"",Y38/Z38)</f>
        <v/>
      </c>
      <c r="AB38" s="309">
        <f>IF(L38="","",0.25*L38+0.75*AB37)</f>
        <v/>
      </c>
      <c r="AC38" s="309">
        <f>IF(L38="","",(2/29)*L38+(27/29)*AC37)</f>
        <v/>
      </c>
      <c r="AD38" s="310">
        <f>IF(OR(AC38="",AC38=0),"",AB38/AC38)</f>
        <v/>
      </c>
      <c r="AE38" s="308">
        <f>IF(OR(O38="",R38="",U38="",AD38=""),"",IF(OR(O38&gt;1.5,R38&gt;1.5,U38&gt;1.5,AD38&gt;1.5),"🔴 ALTO",IF(OR(O38&gt;1.3,R38&gt;1.3,U38&gt;1.3,AD38&gt;1.3,O38&lt;0.8,R38&lt;0.8,U38&lt;0.8,AD38&lt;0.8),"🟡 ATENÇÃO","🟢 OK")))</f>
        <v/>
      </c>
    </row>
    <row r="39">
      <c r="A39" s="311" t="n">
        <v>46076</v>
      </c>
      <c r="B39" s="312" t="inlineStr">
        <is>
          <t>Treino</t>
        </is>
      </c>
      <c r="C39" s="312" t="inlineStr">
        <is>
          <t>MD+1C</t>
        </is>
      </c>
      <c r="D39" s="312" t="n">
        <v>8</v>
      </c>
      <c r="E39" s="312" t="n">
        <v>60</v>
      </c>
      <c r="F39" s="312" t="n">
        <v>5510</v>
      </c>
      <c r="G39" s="312" t="n">
        <v>182</v>
      </c>
      <c r="H39" s="312" t="n">
        <v>82</v>
      </c>
      <c r="I39" s="312" t="n">
        <v>51</v>
      </c>
      <c r="J39" s="312" t="n">
        <v>56</v>
      </c>
      <c r="K39" s="312" t="n">
        <v>5</v>
      </c>
      <c r="L39" s="312">
        <f>IF(K39="","",K39*E39)</f>
        <v/>
      </c>
      <c r="M39" s="313">
        <f>IF(F39="","",0.25*F39+0.75*M38)</f>
        <v/>
      </c>
      <c r="N39" s="313">
        <f>IF(F39="","",(2/29)*F39+(27/29)*N38)</f>
        <v/>
      </c>
      <c r="O39" s="314">
        <f>IF(OR(N39="",N39=0),"",M39/N39)</f>
        <v/>
      </c>
      <c r="P39" s="313">
        <f>IF(G39="","",0.25*G39+0.75*P38)</f>
        <v/>
      </c>
      <c r="Q39" s="313">
        <f>IF(G39="","",(2/29)*G39+(27/29)*Q38)</f>
        <v/>
      </c>
      <c r="R39" s="314">
        <f>IF(OR(Q39="",Q39=0),"",P39/Q39)</f>
        <v/>
      </c>
      <c r="S39" s="313">
        <f>IF(H39="","",0.25*H39+0.75*S38)</f>
        <v/>
      </c>
      <c r="T39" s="313">
        <f>IF(H39="","",(2/29)*H39+(27/29)*T38)</f>
        <v/>
      </c>
      <c r="U39" s="314">
        <f>IF(OR(T39="",T39=0),"",S39/T39)</f>
        <v/>
      </c>
      <c r="V39" s="313">
        <f>IF(I39="","",0.25*I39+0.75*V38)</f>
        <v/>
      </c>
      <c r="W39" s="313">
        <f>IF(I39="","",(2/29)*I39+(27/29)*W38)</f>
        <v/>
      </c>
      <c r="X39" s="314">
        <f>IF(OR(W39="",W39=0),"",V39/W39)</f>
        <v/>
      </c>
      <c r="Y39" s="313">
        <f>IF(J39="","",0.25*J39+0.75*Y38)</f>
        <v/>
      </c>
      <c r="Z39" s="313">
        <f>IF(J39="","",(2/29)*J39+(27/29)*Z38)</f>
        <v/>
      </c>
      <c r="AA39" s="314">
        <f>IF(OR(Z39="",Z39=0),"",Y39/Z39)</f>
        <v/>
      </c>
      <c r="AB39" s="313">
        <f>IF(L39="","",0.25*L39+0.75*AB38)</f>
        <v/>
      </c>
      <c r="AC39" s="313">
        <f>IF(L39="","",(2/29)*L39+(27/29)*AC38)</f>
        <v/>
      </c>
      <c r="AD39" s="314">
        <f>IF(OR(AC39="",AC39=0),"",AB39/AC39)</f>
        <v/>
      </c>
      <c r="AE39" s="312">
        <f>IF(OR(O39="",R39="",U39="",AD39=""),"",IF(OR(O39&gt;1.5,R39&gt;1.5,U39&gt;1.5,AD39&gt;1.5),"🔴 ALTO",IF(OR(O39&gt;1.3,R39&gt;1.3,U39&gt;1.3,AD39&gt;1.3,O39&lt;0.8,R39&lt;0.8,U39&lt;0.8,AD39&lt;0.8),"🟡 ATENÇÃO","🟢 OK")))</f>
        <v/>
      </c>
    </row>
    <row r="40">
      <c r="A40" s="307" t="n">
        <v>46076</v>
      </c>
      <c r="B40" s="308" t="inlineStr">
        <is>
          <t>Treino</t>
        </is>
      </c>
      <c r="C40" s="308" t="inlineStr">
        <is>
          <t>MD+1R</t>
        </is>
      </c>
      <c r="D40" s="308" t="n">
        <v>8</v>
      </c>
      <c r="E40" s="308" t="n">
        <v>43</v>
      </c>
      <c r="F40" s="308" t="n">
        <v>2553</v>
      </c>
      <c r="G40" s="308" t="n">
        <v>38</v>
      </c>
      <c r="H40" s="308" t="n">
        <v>5</v>
      </c>
      <c r="I40" s="308" t="n">
        <v>19</v>
      </c>
      <c r="J40" s="308" t="n">
        <v>21</v>
      </c>
      <c r="K40" s="308" t="n">
        <v>1</v>
      </c>
      <c r="L40" s="308">
        <f>IF(K40="","",K40*E40)</f>
        <v/>
      </c>
      <c r="M40" s="309">
        <f>IF(F40="","",0.25*F40+0.75*M39)</f>
        <v/>
      </c>
      <c r="N40" s="309">
        <f>IF(F40="","",(2/29)*F40+(27/29)*N39)</f>
        <v/>
      </c>
      <c r="O40" s="310">
        <f>IF(OR(N40="",N40=0),"",M40/N40)</f>
        <v/>
      </c>
      <c r="P40" s="309">
        <f>IF(G40="","",0.25*G40+0.75*P39)</f>
        <v/>
      </c>
      <c r="Q40" s="309">
        <f>IF(G40="","",(2/29)*G40+(27/29)*Q39)</f>
        <v/>
      </c>
      <c r="R40" s="310">
        <f>IF(OR(Q40="",Q40=0),"",P40/Q40)</f>
        <v/>
      </c>
      <c r="S40" s="309">
        <f>IF(H40="","",0.25*H40+0.75*S39)</f>
        <v/>
      </c>
      <c r="T40" s="309">
        <f>IF(H40="","",(2/29)*H40+(27/29)*T39)</f>
        <v/>
      </c>
      <c r="U40" s="310">
        <f>IF(OR(T40="",T40=0),"",S40/T40)</f>
        <v/>
      </c>
      <c r="V40" s="309">
        <f>IF(I40="","",0.25*I40+0.75*V39)</f>
        <v/>
      </c>
      <c r="W40" s="309">
        <f>IF(I40="","",(2/29)*I40+(27/29)*W39)</f>
        <v/>
      </c>
      <c r="X40" s="310">
        <f>IF(OR(W40="",W40=0),"",V40/W40)</f>
        <v/>
      </c>
      <c r="Y40" s="309">
        <f>IF(J40="","",0.25*J40+0.75*Y39)</f>
        <v/>
      </c>
      <c r="Z40" s="309">
        <f>IF(J40="","",(2/29)*J40+(27/29)*Z39)</f>
        <v/>
      </c>
      <c r="AA40" s="310">
        <f>IF(OR(Z40="",Z40=0),"",Y40/Z40)</f>
        <v/>
      </c>
      <c r="AB40" s="309">
        <f>IF(L40="","",0.25*L40+0.75*AB39)</f>
        <v/>
      </c>
      <c r="AC40" s="309">
        <f>IF(L40="","",(2/29)*L40+(27/29)*AC39)</f>
        <v/>
      </c>
      <c r="AD40" s="310">
        <f>IF(OR(AC40="",AC40=0),"",AB40/AC40)</f>
        <v/>
      </c>
      <c r="AE40" s="308">
        <f>IF(OR(O40="",R40="",U40="",AD40=""),"",IF(OR(O40&gt;1.5,R40&gt;1.5,U40&gt;1.5,AD40&gt;1.5),"🔴 ALTO",IF(OR(O40&gt;1.3,R40&gt;1.3,U40&gt;1.3,AD40&gt;1.3,O40&lt;0.8,R40&lt;0.8,U40&lt;0.8,AD40&lt;0.8),"🟡 ATENÇÃO","🟢 OK")))</f>
        <v/>
      </c>
    </row>
    <row r="41">
      <c r="A41" s="311" t="n">
        <v>46076</v>
      </c>
      <c r="B41" s="312" t="inlineStr">
        <is>
          <t>Treino</t>
        </is>
      </c>
      <c r="C41" s="312" t="inlineStr">
        <is>
          <t>MD+1R</t>
        </is>
      </c>
      <c r="D41" s="312" t="n">
        <v>8</v>
      </c>
      <c r="E41" s="312" t="n">
        <v>41</v>
      </c>
      <c r="F41" s="312" t="n">
        <v>2420</v>
      </c>
      <c r="G41" s="312" t="n">
        <v>34</v>
      </c>
      <c r="H41" s="312" t="n">
        <v>6</v>
      </c>
      <c r="I41" s="312" t="n">
        <v>20</v>
      </c>
      <c r="J41" s="312" t="n">
        <v>22</v>
      </c>
      <c r="K41" s="312" t="n">
        <v>1</v>
      </c>
      <c r="L41" s="312">
        <f>IF(K41="","",K41*E41)</f>
        <v/>
      </c>
      <c r="M41" s="313">
        <f>IF(F41="","",0.25*F41+0.75*M40)</f>
        <v/>
      </c>
      <c r="N41" s="313">
        <f>IF(F41="","",(2/29)*F41+(27/29)*N40)</f>
        <v/>
      </c>
      <c r="O41" s="314">
        <f>IF(OR(N41="",N41=0),"",M41/N41)</f>
        <v/>
      </c>
      <c r="P41" s="313">
        <f>IF(G41="","",0.25*G41+0.75*P40)</f>
        <v/>
      </c>
      <c r="Q41" s="313">
        <f>IF(G41="","",(2/29)*G41+(27/29)*Q40)</f>
        <v/>
      </c>
      <c r="R41" s="314">
        <f>IF(OR(Q41="",Q41=0),"",P41/Q41)</f>
        <v/>
      </c>
      <c r="S41" s="313">
        <f>IF(H41="","",0.25*H41+0.75*S40)</f>
        <v/>
      </c>
      <c r="T41" s="313">
        <f>IF(H41="","",(2/29)*H41+(27/29)*T40)</f>
        <v/>
      </c>
      <c r="U41" s="314">
        <f>IF(OR(T41="",T41=0),"",S41/T41)</f>
        <v/>
      </c>
      <c r="V41" s="313">
        <f>IF(I41="","",0.25*I41+0.75*V40)</f>
        <v/>
      </c>
      <c r="W41" s="313">
        <f>IF(I41="","",(2/29)*I41+(27/29)*W40)</f>
        <v/>
      </c>
      <c r="X41" s="314">
        <f>IF(OR(W41="",W41=0),"",V41/W41)</f>
        <v/>
      </c>
      <c r="Y41" s="313">
        <f>IF(J41="","",0.25*J41+0.75*Y40)</f>
        <v/>
      </c>
      <c r="Z41" s="313">
        <f>IF(J41="","",(2/29)*J41+(27/29)*Z40)</f>
        <v/>
      </c>
      <c r="AA41" s="314">
        <f>IF(OR(Z41="",Z41=0),"",Y41/Z41)</f>
        <v/>
      </c>
      <c r="AB41" s="313">
        <f>IF(L41="","",0.25*L41+0.75*AB40)</f>
        <v/>
      </c>
      <c r="AC41" s="313">
        <f>IF(L41="","",(2/29)*L41+(27/29)*AC40)</f>
        <v/>
      </c>
      <c r="AD41" s="314">
        <f>IF(OR(AC41="",AC41=0),"",AB41/AC41)</f>
        <v/>
      </c>
      <c r="AE41" s="312">
        <f>IF(OR(O41="",R41="",U41="",AD41=""),"",IF(OR(O41&gt;1.5,R41&gt;1.5,U41&gt;1.5,AD41&gt;1.5),"🔴 ALTO",IF(OR(O41&gt;1.3,R41&gt;1.3,U41&gt;1.3,AD41&gt;1.3,O41&lt;0.8,R41&lt;0.8,U41&lt;0.8,AD41&lt;0.8),"🟡 ATENÇÃO","🟢 OK")))</f>
        <v/>
      </c>
    </row>
    <row r="42">
      <c r="A42" s="307" t="n">
        <v>46077</v>
      </c>
      <c r="B42" s="308" t="inlineStr">
        <is>
          <t>Treino</t>
        </is>
      </c>
      <c r="C42" s="308" t="inlineStr">
        <is>
          <t>MD-5</t>
        </is>
      </c>
      <c r="D42" s="308" t="n">
        <v>9</v>
      </c>
      <c r="E42" s="308" t="n">
        <v>90</v>
      </c>
      <c r="F42" s="308" t="n">
        <v>7600</v>
      </c>
      <c r="G42" s="308" t="n">
        <v>310</v>
      </c>
      <c r="H42" s="308" t="n">
        <v>145</v>
      </c>
      <c r="I42" s="308" t="n">
        <v>72</v>
      </c>
      <c r="J42" s="308" t="n">
        <v>82</v>
      </c>
      <c r="K42" s="308" t="n">
        <v>7</v>
      </c>
      <c r="L42" s="308">
        <f>IF(K42="","",K42*E42)</f>
        <v/>
      </c>
      <c r="M42" s="309">
        <f>IF(F42="","",0.25*F42+0.75*M41)</f>
        <v/>
      </c>
      <c r="N42" s="309">
        <f>IF(F42="","",(2/29)*F42+(27/29)*N41)</f>
        <v/>
      </c>
      <c r="O42" s="310">
        <f>IF(OR(N42="",N42=0),"",M42/N42)</f>
        <v/>
      </c>
      <c r="P42" s="309">
        <f>IF(G42="","",0.25*G42+0.75*P41)</f>
        <v/>
      </c>
      <c r="Q42" s="309">
        <f>IF(G42="","",(2/29)*G42+(27/29)*Q41)</f>
        <v/>
      </c>
      <c r="R42" s="310">
        <f>IF(OR(Q42="",Q42=0),"",P42/Q42)</f>
        <v/>
      </c>
      <c r="S42" s="309">
        <f>IF(H42="","",0.25*H42+0.75*S41)</f>
        <v/>
      </c>
      <c r="T42" s="309">
        <f>IF(H42="","",(2/29)*H42+(27/29)*T41)</f>
        <v/>
      </c>
      <c r="U42" s="310">
        <f>IF(OR(T42="",T42=0),"",S42/T42)</f>
        <v/>
      </c>
      <c r="V42" s="309">
        <f>IF(I42="","",0.25*I42+0.75*V41)</f>
        <v/>
      </c>
      <c r="W42" s="309">
        <f>IF(I42="","",(2/29)*I42+(27/29)*W41)</f>
        <v/>
      </c>
      <c r="X42" s="310">
        <f>IF(OR(W42="",W42=0),"",V42/W42)</f>
        <v/>
      </c>
      <c r="Y42" s="309">
        <f>IF(J42="","",0.25*J42+0.75*Y41)</f>
        <v/>
      </c>
      <c r="Z42" s="309">
        <f>IF(J42="","",(2/29)*J42+(27/29)*Z41)</f>
        <v/>
      </c>
      <c r="AA42" s="310">
        <f>IF(OR(Z42="",Z42=0),"",Y42/Z42)</f>
        <v/>
      </c>
      <c r="AB42" s="309">
        <f>IF(L42="","",0.25*L42+0.75*AB41)</f>
        <v/>
      </c>
      <c r="AC42" s="309">
        <f>IF(L42="","",(2/29)*L42+(27/29)*AC41)</f>
        <v/>
      </c>
      <c r="AD42" s="310">
        <f>IF(OR(AC42="",AC42=0),"",AB42/AC42)</f>
        <v/>
      </c>
      <c r="AE42" s="308">
        <f>IF(OR(O42="",R42="",U42="",AD42=""),"",IF(OR(O42&gt;1.5,R42&gt;1.5,U42&gt;1.5,AD42&gt;1.5),"🔴 ALTO",IF(OR(O42&gt;1.3,R42&gt;1.3,U42&gt;1.3,AD42&gt;1.3,O42&lt;0.8,R42&lt;0.8,U42&lt;0.8,AD42&lt;0.8),"🟡 ATENÇÃO","🟢 OK")))</f>
        <v/>
      </c>
    </row>
    <row r="43">
      <c r="A43" s="311" t="n">
        <v>46077</v>
      </c>
      <c r="B43" s="312" t="inlineStr">
        <is>
          <t>Treino</t>
        </is>
      </c>
      <c r="C43" s="312" t="inlineStr">
        <is>
          <t>MD+1C</t>
        </is>
      </c>
      <c r="D43" s="312" t="n">
        <v>8</v>
      </c>
      <c r="E43" s="312" t="n">
        <v>68</v>
      </c>
      <c r="F43" s="312" t="n">
        <v>5168</v>
      </c>
      <c r="G43" s="312" t="n">
        <v>128</v>
      </c>
      <c r="H43" s="312" t="n">
        <v>21</v>
      </c>
      <c r="I43" s="312" t="n">
        <v>38</v>
      </c>
      <c r="J43" s="312" t="n">
        <v>46</v>
      </c>
      <c r="K43" s="312" t="n">
        <v>2</v>
      </c>
      <c r="L43" s="312">
        <f>IF(K43="","",K43*E43)</f>
        <v/>
      </c>
      <c r="M43" s="313">
        <f>IF(F43="","",0.25*F43+0.75*M42)</f>
        <v/>
      </c>
      <c r="N43" s="313">
        <f>IF(F43="","",(2/29)*F43+(27/29)*N42)</f>
        <v/>
      </c>
      <c r="O43" s="314">
        <f>IF(OR(N43="",N43=0),"",M43/N43)</f>
        <v/>
      </c>
      <c r="P43" s="313">
        <f>IF(G43="","",0.25*G43+0.75*P42)</f>
        <v/>
      </c>
      <c r="Q43" s="313">
        <f>IF(G43="","",(2/29)*G43+(27/29)*Q42)</f>
        <v/>
      </c>
      <c r="R43" s="314">
        <f>IF(OR(Q43="",Q43=0),"",P43/Q43)</f>
        <v/>
      </c>
      <c r="S43" s="313">
        <f>IF(H43="","",0.25*H43+0.75*S42)</f>
        <v/>
      </c>
      <c r="T43" s="313">
        <f>IF(H43="","",(2/29)*H43+(27/29)*T42)</f>
        <v/>
      </c>
      <c r="U43" s="314">
        <f>IF(OR(T43="",T43=0),"",S43/T43)</f>
        <v/>
      </c>
      <c r="V43" s="313">
        <f>IF(I43="","",0.25*I43+0.75*V42)</f>
        <v/>
      </c>
      <c r="W43" s="313">
        <f>IF(I43="","",(2/29)*I43+(27/29)*W42)</f>
        <v/>
      </c>
      <c r="X43" s="314">
        <f>IF(OR(W43="",W43=0),"",V43/W43)</f>
        <v/>
      </c>
      <c r="Y43" s="313">
        <f>IF(J43="","",0.25*J43+0.75*Y42)</f>
        <v/>
      </c>
      <c r="Z43" s="313">
        <f>IF(J43="","",(2/29)*J43+(27/29)*Z42)</f>
        <v/>
      </c>
      <c r="AA43" s="314">
        <f>IF(OR(Z43="",Z43=0),"",Y43/Z43)</f>
        <v/>
      </c>
      <c r="AB43" s="313">
        <f>IF(L43="","",0.25*L43+0.75*AB42)</f>
        <v/>
      </c>
      <c r="AC43" s="313">
        <f>IF(L43="","",(2/29)*L43+(27/29)*AC42)</f>
        <v/>
      </c>
      <c r="AD43" s="314">
        <f>IF(OR(AC43="",AC43=0),"",AB43/AC43)</f>
        <v/>
      </c>
      <c r="AE43" s="312">
        <f>IF(OR(O43="",R43="",U43="",AD43=""),"",IF(OR(O43&gt;1.5,R43&gt;1.5,U43&gt;1.5,AD43&gt;1.5),"🔴 ALTO",IF(OR(O43&gt;1.3,R43&gt;1.3,U43&gt;1.3,AD43&gt;1.3,O43&lt;0.8,R43&lt;0.8,U43&lt;0.8,AD43&lt;0.8),"🟡 ATENÇÃO","🟢 OK")))</f>
        <v/>
      </c>
    </row>
    <row r="44">
      <c r="A44" s="307" t="n">
        <v>46077</v>
      </c>
      <c r="B44" s="308" t="inlineStr">
        <is>
          <t>Treino</t>
        </is>
      </c>
      <c r="C44" s="308" t="inlineStr">
        <is>
          <t>MD+1C</t>
        </is>
      </c>
      <c r="D44" s="308" t="n">
        <v>8</v>
      </c>
      <c r="E44" s="308" t="n">
        <v>65</v>
      </c>
      <c r="F44" s="308" t="n">
        <v>4727</v>
      </c>
      <c r="G44" s="308" t="n">
        <v>138</v>
      </c>
      <c r="H44" s="308" t="n">
        <v>22</v>
      </c>
      <c r="I44" s="308" t="n">
        <v>41</v>
      </c>
      <c r="J44" s="308" t="n">
        <v>39</v>
      </c>
      <c r="K44" s="308" t="n">
        <v>2</v>
      </c>
      <c r="L44" s="308">
        <f>IF(K44="","",K44*E44)</f>
        <v/>
      </c>
      <c r="M44" s="309">
        <f>IF(F44="","",0.25*F44+0.75*M43)</f>
        <v/>
      </c>
      <c r="N44" s="309">
        <f>IF(F44="","",(2/29)*F44+(27/29)*N43)</f>
        <v/>
      </c>
      <c r="O44" s="310">
        <f>IF(OR(N44="",N44=0),"",M44/N44)</f>
        <v/>
      </c>
      <c r="P44" s="309">
        <f>IF(G44="","",0.25*G44+0.75*P43)</f>
        <v/>
      </c>
      <c r="Q44" s="309">
        <f>IF(G44="","",(2/29)*G44+(27/29)*Q43)</f>
        <v/>
      </c>
      <c r="R44" s="310">
        <f>IF(OR(Q44="",Q44=0),"",P44/Q44)</f>
        <v/>
      </c>
      <c r="S44" s="309">
        <f>IF(H44="","",0.25*H44+0.75*S43)</f>
        <v/>
      </c>
      <c r="T44" s="309">
        <f>IF(H44="","",(2/29)*H44+(27/29)*T43)</f>
        <v/>
      </c>
      <c r="U44" s="310">
        <f>IF(OR(T44="",T44=0),"",S44/T44)</f>
        <v/>
      </c>
      <c r="V44" s="309">
        <f>IF(I44="","",0.25*I44+0.75*V43)</f>
        <v/>
      </c>
      <c r="W44" s="309">
        <f>IF(I44="","",(2/29)*I44+(27/29)*W43)</f>
        <v/>
      </c>
      <c r="X44" s="310">
        <f>IF(OR(W44="",W44=0),"",V44/W44)</f>
        <v/>
      </c>
      <c r="Y44" s="309">
        <f>IF(J44="","",0.25*J44+0.75*Y43)</f>
        <v/>
      </c>
      <c r="Z44" s="309">
        <f>IF(J44="","",(2/29)*J44+(27/29)*Z43)</f>
        <v/>
      </c>
      <c r="AA44" s="310">
        <f>IF(OR(Z44="",Z44=0),"",Y44/Z44)</f>
        <v/>
      </c>
      <c r="AB44" s="309">
        <f>IF(L44="","",0.25*L44+0.75*AB43)</f>
        <v/>
      </c>
      <c r="AC44" s="309">
        <f>IF(L44="","",(2/29)*L44+(27/29)*AC43)</f>
        <v/>
      </c>
      <c r="AD44" s="310">
        <f>IF(OR(AC44="",AC44=0),"",AB44/AC44)</f>
        <v/>
      </c>
      <c r="AE44" s="308">
        <f>IF(OR(O44="",R44="",U44="",AD44=""),"",IF(OR(O44&gt;1.5,R44&gt;1.5,U44&gt;1.5,AD44&gt;1.5),"🔴 ALTO",IF(OR(O44&gt;1.3,R44&gt;1.3,U44&gt;1.3,AD44&gt;1.3,O44&lt;0.8,R44&lt;0.8,U44&lt;0.8,AD44&lt;0.8),"🟡 ATENÇÃO","🟢 OK")))</f>
        <v/>
      </c>
    </row>
    <row r="45">
      <c r="A45" s="311" t="n">
        <v>46078</v>
      </c>
      <c r="B45" s="312" t="inlineStr">
        <is>
          <t>Treino</t>
        </is>
      </c>
      <c r="C45" s="312" t="inlineStr">
        <is>
          <t>MD-4</t>
        </is>
      </c>
      <c r="D45" s="312" t="n">
        <v>9</v>
      </c>
      <c r="E45" s="312" t="n">
        <v>90</v>
      </c>
      <c r="F45" s="312" t="n">
        <v>7900</v>
      </c>
      <c r="G45" s="312" t="n">
        <v>320</v>
      </c>
      <c r="H45" s="312" t="n">
        <v>150</v>
      </c>
      <c r="I45" s="312" t="n">
        <v>74</v>
      </c>
      <c r="J45" s="312" t="n">
        <v>84</v>
      </c>
      <c r="K45" s="312" t="n">
        <v>7</v>
      </c>
      <c r="L45" s="312">
        <f>IF(K45="","",K45*E45)</f>
        <v/>
      </c>
      <c r="M45" s="313">
        <f>IF(F45="","",0.25*F45+0.75*M44)</f>
        <v/>
      </c>
      <c r="N45" s="313">
        <f>IF(F45="","",(2/29)*F45+(27/29)*N44)</f>
        <v/>
      </c>
      <c r="O45" s="314">
        <f>IF(OR(N45="",N45=0),"",M45/N45)</f>
        <v/>
      </c>
      <c r="P45" s="313">
        <f>IF(G45="","",0.25*G45+0.75*P44)</f>
        <v/>
      </c>
      <c r="Q45" s="313">
        <f>IF(G45="","",(2/29)*G45+(27/29)*Q44)</f>
        <v/>
      </c>
      <c r="R45" s="314">
        <f>IF(OR(Q45="",Q45=0),"",P45/Q45)</f>
        <v/>
      </c>
      <c r="S45" s="313">
        <f>IF(H45="","",0.25*H45+0.75*S44)</f>
        <v/>
      </c>
      <c r="T45" s="313">
        <f>IF(H45="","",(2/29)*H45+(27/29)*T44)</f>
        <v/>
      </c>
      <c r="U45" s="314">
        <f>IF(OR(T45="",T45=0),"",S45/T45)</f>
        <v/>
      </c>
      <c r="V45" s="313">
        <f>IF(I45="","",0.25*I45+0.75*V44)</f>
        <v/>
      </c>
      <c r="W45" s="313">
        <f>IF(I45="","",(2/29)*I45+(27/29)*W44)</f>
        <v/>
      </c>
      <c r="X45" s="314">
        <f>IF(OR(W45="",W45=0),"",V45/W45)</f>
        <v/>
      </c>
      <c r="Y45" s="313">
        <f>IF(J45="","",0.25*J45+0.75*Y44)</f>
        <v/>
      </c>
      <c r="Z45" s="313">
        <f>IF(J45="","",(2/29)*J45+(27/29)*Z44)</f>
        <v/>
      </c>
      <c r="AA45" s="314">
        <f>IF(OR(Z45="",Z45=0),"",Y45/Z45)</f>
        <v/>
      </c>
      <c r="AB45" s="313">
        <f>IF(L45="","",0.25*L45+0.75*AB44)</f>
        <v/>
      </c>
      <c r="AC45" s="313">
        <f>IF(L45="","",(2/29)*L45+(27/29)*AC44)</f>
        <v/>
      </c>
      <c r="AD45" s="314">
        <f>IF(OR(AC45="",AC45=0),"",AB45/AC45)</f>
        <v/>
      </c>
      <c r="AE45" s="312">
        <f>IF(OR(O45="",R45="",U45="",AD45=""),"",IF(OR(O45&gt;1.5,R45&gt;1.5,U45&gt;1.5,AD45&gt;1.5),"🔴 ALTO",IF(OR(O45&gt;1.3,R45&gt;1.3,U45&gt;1.3,AD45&gt;1.3,O45&lt;0.8,R45&lt;0.8,U45&lt;0.8,AD45&lt;0.8),"🟡 ATENÇÃO","🟢 OK")))</f>
        <v/>
      </c>
    </row>
    <row r="46">
      <c r="A46" s="307" t="n">
        <v>46078</v>
      </c>
      <c r="B46" s="308" t="inlineStr">
        <is>
          <t>Treino</t>
        </is>
      </c>
      <c r="C46" s="308" t="inlineStr">
        <is>
          <t>MD-5</t>
        </is>
      </c>
      <c r="D46" s="308" t="n">
        <v>9</v>
      </c>
      <c r="E46" s="308" t="n">
        <v>86</v>
      </c>
      <c r="F46" s="308" t="n">
        <v>8944</v>
      </c>
      <c r="G46" s="308" t="n">
        <v>282</v>
      </c>
      <c r="H46" s="308" t="n">
        <v>106</v>
      </c>
      <c r="I46" s="308" t="n">
        <v>79</v>
      </c>
      <c r="J46" s="308" t="n">
        <v>75</v>
      </c>
      <c r="K46" s="308" t="n">
        <v>7</v>
      </c>
      <c r="L46" s="308">
        <f>IF(K46="","",K46*E46)</f>
        <v/>
      </c>
      <c r="M46" s="309">
        <f>IF(F46="","",0.25*F46+0.75*M45)</f>
        <v/>
      </c>
      <c r="N46" s="309">
        <f>IF(F46="","",(2/29)*F46+(27/29)*N45)</f>
        <v/>
      </c>
      <c r="O46" s="310">
        <f>IF(OR(N46="",N46=0),"",M46/N46)</f>
        <v/>
      </c>
      <c r="P46" s="309">
        <f>IF(G46="","",0.25*G46+0.75*P45)</f>
        <v/>
      </c>
      <c r="Q46" s="309">
        <f>IF(G46="","",(2/29)*G46+(27/29)*Q45)</f>
        <v/>
      </c>
      <c r="R46" s="310">
        <f>IF(OR(Q46="",Q46=0),"",P46/Q46)</f>
        <v/>
      </c>
      <c r="S46" s="309">
        <f>IF(H46="","",0.25*H46+0.75*S45)</f>
        <v/>
      </c>
      <c r="T46" s="309">
        <f>IF(H46="","",(2/29)*H46+(27/29)*T45)</f>
        <v/>
      </c>
      <c r="U46" s="310">
        <f>IF(OR(T46="",T46=0),"",S46/T46)</f>
        <v/>
      </c>
      <c r="V46" s="309">
        <f>IF(I46="","",0.25*I46+0.75*V45)</f>
        <v/>
      </c>
      <c r="W46" s="309">
        <f>IF(I46="","",(2/29)*I46+(27/29)*W45)</f>
        <v/>
      </c>
      <c r="X46" s="310">
        <f>IF(OR(W46="",W46=0),"",V46/W46)</f>
        <v/>
      </c>
      <c r="Y46" s="309">
        <f>IF(J46="","",0.25*J46+0.75*Y45)</f>
        <v/>
      </c>
      <c r="Z46" s="309">
        <f>IF(J46="","",(2/29)*J46+(27/29)*Z45)</f>
        <v/>
      </c>
      <c r="AA46" s="310">
        <f>IF(OR(Z46="",Z46=0),"",Y46/Z46)</f>
        <v/>
      </c>
      <c r="AB46" s="309">
        <f>IF(L46="","",0.25*L46+0.75*AB45)</f>
        <v/>
      </c>
      <c r="AC46" s="309">
        <f>IF(L46="","",(2/29)*L46+(27/29)*AC45)</f>
        <v/>
      </c>
      <c r="AD46" s="310">
        <f>IF(OR(AC46="",AC46=0),"",AB46/AC46)</f>
        <v/>
      </c>
      <c r="AE46" s="308">
        <f>IF(OR(O46="",R46="",U46="",AD46=""),"",IF(OR(O46&gt;1.5,R46&gt;1.5,U46&gt;1.5,AD46&gt;1.5),"🔴 ALTO",IF(OR(O46&gt;1.3,R46&gt;1.3,U46&gt;1.3,AD46&gt;1.3,O46&lt;0.8,R46&lt;0.8,U46&lt;0.8,AD46&lt;0.8),"🟡 ATENÇÃO","🟢 OK")))</f>
        <v/>
      </c>
    </row>
    <row r="47">
      <c r="A47" s="311" t="n">
        <v>46079</v>
      </c>
      <c r="B47" s="312" t="inlineStr">
        <is>
          <t>Treino</t>
        </is>
      </c>
      <c r="C47" s="312" t="inlineStr">
        <is>
          <t>MD-4</t>
        </is>
      </c>
      <c r="D47" s="312" t="n">
        <v>9</v>
      </c>
      <c r="E47" s="312" t="n">
        <v>86</v>
      </c>
      <c r="F47" s="312" t="n">
        <v>8556</v>
      </c>
      <c r="G47" s="312" t="n">
        <v>274</v>
      </c>
      <c r="H47" s="312" t="n">
        <v>119</v>
      </c>
      <c r="I47" s="312" t="n">
        <v>76</v>
      </c>
      <c r="J47" s="312" t="n">
        <v>76</v>
      </c>
      <c r="K47" s="312" t="n">
        <v>8</v>
      </c>
      <c r="L47" s="312">
        <f>IF(K47="","",K47*E47)</f>
        <v/>
      </c>
      <c r="M47" s="313">
        <f>IF(F47="","",0.25*F47+0.75*M46)</f>
        <v/>
      </c>
      <c r="N47" s="313">
        <f>IF(F47="","",(2/29)*F47+(27/29)*N46)</f>
        <v/>
      </c>
      <c r="O47" s="314">
        <f>IF(OR(N47="",N47=0),"",M47/N47)</f>
        <v/>
      </c>
      <c r="P47" s="313">
        <f>IF(G47="","",0.25*G47+0.75*P46)</f>
        <v/>
      </c>
      <c r="Q47" s="313">
        <f>IF(G47="","",(2/29)*G47+(27/29)*Q46)</f>
        <v/>
      </c>
      <c r="R47" s="314">
        <f>IF(OR(Q47="",Q47=0),"",P47/Q47)</f>
        <v/>
      </c>
      <c r="S47" s="313">
        <f>IF(H47="","",0.25*H47+0.75*S46)</f>
        <v/>
      </c>
      <c r="T47" s="313">
        <f>IF(H47="","",(2/29)*H47+(27/29)*T46)</f>
        <v/>
      </c>
      <c r="U47" s="314">
        <f>IF(OR(T47="",T47=0),"",S47/T47)</f>
        <v/>
      </c>
      <c r="V47" s="313">
        <f>IF(I47="","",0.25*I47+0.75*V46)</f>
        <v/>
      </c>
      <c r="W47" s="313">
        <f>IF(I47="","",(2/29)*I47+(27/29)*W46)</f>
        <v/>
      </c>
      <c r="X47" s="314">
        <f>IF(OR(W47="",W47=0),"",V47/W47)</f>
        <v/>
      </c>
      <c r="Y47" s="313">
        <f>IF(J47="","",0.25*J47+0.75*Y46)</f>
        <v/>
      </c>
      <c r="Z47" s="313">
        <f>IF(J47="","",(2/29)*J47+(27/29)*Z46)</f>
        <v/>
      </c>
      <c r="AA47" s="314">
        <f>IF(OR(Z47="",Z47=0),"",Y47/Z47)</f>
        <v/>
      </c>
      <c r="AB47" s="313">
        <f>IF(L47="","",0.25*L47+0.75*AB46)</f>
        <v/>
      </c>
      <c r="AC47" s="313">
        <f>IF(L47="","",(2/29)*L47+(27/29)*AC46)</f>
        <v/>
      </c>
      <c r="AD47" s="314">
        <f>IF(OR(AC47="",AC47=0),"",AB47/AC47)</f>
        <v/>
      </c>
      <c r="AE47" s="312">
        <f>IF(OR(O47="",R47="",U47="",AD47=""),"",IF(OR(O47&gt;1.5,R47&gt;1.5,U47&gt;1.5,AD47&gt;1.5),"🔴 ALTO",IF(OR(O47&gt;1.3,R47&gt;1.3,U47&gt;1.3,AD47&gt;1.3,O47&lt;0.8,R47&lt;0.8,U47&lt;0.8,AD47&lt;0.8),"🟡 ATENÇÃO","🟢 OK")))</f>
        <v/>
      </c>
    </row>
    <row r="48">
      <c r="A48" s="307" t="n">
        <v>46080</v>
      </c>
      <c r="B48" s="308" t="inlineStr">
        <is>
          <t>Treino</t>
        </is>
      </c>
      <c r="C48" s="308" t="inlineStr">
        <is>
          <t>MD-3</t>
        </is>
      </c>
      <c r="D48" s="308" t="n">
        <v>9</v>
      </c>
      <c r="E48" s="308" t="n">
        <v>83</v>
      </c>
      <c r="F48" s="308" t="n">
        <v>7796</v>
      </c>
      <c r="G48" s="308" t="n">
        <v>279</v>
      </c>
      <c r="H48" s="308" t="n">
        <v>135</v>
      </c>
      <c r="I48" s="308" t="n">
        <v>72</v>
      </c>
      <c r="J48" s="308" t="n">
        <v>69</v>
      </c>
      <c r="K48" s="308" t="n">
        <v>8</v>
      </c>
      <c r="L48" s="308">
        <f>IF(K48="","",K48*E48)</f>
        <v/>
      </c>
      <c r="M48" s="309">
        <f>IF(F48="","",0.25*F48+0.75*M47)</f>
        <v/>
      </c>
      <c r="N48" s="309">
        <f>IF(F48="","",(2/29)*F48+(27/29)*N47)</f>
        <v/>
      </c>
      <c r="O48" s="310">
        <f>IF(OR(N48="",N48=0),"",M48/N48)</f>
        <v/>
      </c>
      <c r="P48" s="309">
        <f>IF(G48="","",0.25*G48+0.75*P47)</f>
        <v/>
      </c>
      <c r="Q48" s="309">
        <f>IF(G48="","",(2/29)*G48+(27/29)*Q47)</f>
        <v/>
      </c>
      <c r="R48" s="310">
        <f>IF(OR(Q48="",Q48=0),"",P48/Q48)</f>
        <v/>
      </c>
      <c r="S48" s="309">
        <f>IF(H48="","",0.25*H48+0.75*S47)</f>
        <v/>
      </c>
      <c r="T48" s="309">
        <f>IF(H48="","",(2/29)*H48+(27/29)*T47)</f>
        <v/>
      </c>
      <c r="U48" s="310">
        <f>IF(OR(T48="",T48=0),"",S48/T48)</f>
        <v/>
      </c>
      <c r="V48" s="309">
        <f>IF(I48="","",0.25*I48+0.75*V47)</f>
        <v/>
      </c>
      <c r="W48" s="309">
        <f>IF(I48="","",(2/29)*I48+(27/29)*W47)</f>
        <v/>
      </c>
      <c r="X48" s="310">
        <f>IF(OR(W48="",W48=0),"",V48/W48)</f>
        <v/>
      </c>
      <c r="Y48" s="309">
        <f>IF(J48="","",0.25*J48+0.75*Y47)</f>
        <v/>
      </c>
      <c r="Z48" s="309">
        <f>IF(J48="","",(2/29)*J48+(27/29)*Z47)</f>
        <v/>
      </c>
      <c r="AA48" s="310">
        <f>IF(OR(Z48="",Z48=0),"",Y48/Z48)</f>
        <v/>
      </c>
      <c r="AB48" s="309">
        <f>IF(L48="","",0.25*L48+0.75*AB47)</f>
        <v/>
      </c>
      <c r="AC48" s="309">
        <f>IF(L48="","",(2/29)*L48+(27/29)*AC47)</f>
        <v/>
      </c>
      <c r="AD48" s="310">
        <f>IF(OR(AC48="",AC48=0),"",AB48/AC48)</f>
        <v/>
      </c>
      <c r="AE48" s="308">
        <f>IF(OR(O48="",R48="",U48="",AD48=""),"",IF(OR(O48&gt;1.5,R48&gt;1.5,U48&gt;1.5,AD48&gt;1.5),"🔴 ALTO",IF(OR(O48&gt;1.3,R48&gt;1.3,U48&gt;1.3,AD48&gt;1.3,O48&lt;0.8,R48&lt;0.8,U48&lt;0.8,AD48&lt;0.8),"🟡 ATENÇÃO","🟢 OK")))</f>
        <v/>
      </c>
    </row>
    <row r="49">
      <c r="A49" s="311" t="n">
        <v>46082</v>
      </c>
      <c r="B49" s="312" t="inlineStr">
        <is>
          <t>Treino</t>
        </is>
      </c>
      <c r="C49" s="312" t="inlineStr">
        <is>
          <t>MD-2</t>
        </is>
      </c>
      <c r="D49" s="312" t="n">
        <v>9</v>
      </c>
      <c r="E49" s="312" t="n">
        <v>89</v>
      </c>
      <c r="F49" s="312" t="n">
        <v>8004</v>
      </c>
      <c r="G49" s="312" t="n">
        <v>245</v>
      </c>
      <c r="H49" s="312" t="n">
        <v>111</v>
      </c>
      <c r="I49" s="312" t="n">
        <v>73</v>
      </c>
      <c r="J49" s="312" t="n">
        <v>74</v>
      </c>
      <c r="K49" s="312" t="n">
        <v>7</v>
      </c>
      <c r="L49" s="312">
        <f>IF(K49="","",K49*E49)</f>
        <v/>
      </c>
      <c r="M49" s="313">
        <f>IF(F49="","",0.25*F49+0.75*M48)</f>
        <v/>
      </c>
      <c r="N49" s="313">
        <f>IF(F49="","",(2/29)*F49+(27/29)*N48)</f>
        <v/>
      </c>
      <c r="O49" s="314">
        <f>IF(OR(N49="",N49=0),"",M49/N49)</f>
        <v/>
      </c>
      <c r="P49" s="313">
        <f>IF(G49="","",0.25*G49+0.75*P48)</f>
        <v/>
      </c>
      <c r="Q49" s="313">
        <f>IF(G49="","",(2/29)*G49+(27/29)*Q48)</f>
        <v/>
      </c>
      <c r="R49" s="314">
        <f>IF(OR(Q49="",Q49=0),"",P49/Q49)</f>
        <v/>
      </c>
      <c r="S49" s="313">
        <f>IF(H49="","",0.25*H49+0.75*S48)</f>
        <v/>
      </c>
      <c r="T49" s="313">
        <f>IF(H49="","",(2/29)*H49+(27/29)*T48)</f>
        <v/>
      </c>
      <c r="U49" s="314">
        <f>IF(OR(T49="",T49=0),"",S49/T49)</f>
        <v/>
      </c>
      <c r="V49" s="313">
        <f>IF(I49="","",0.25*I49+0.75*V48)</f>
        <v/>
      </c>
      <c r="W49" s="313">
        <f>IF(I49="","",(2/29)*I49+(27/29)*W48)</f>
        <v/>
      </c>
      <c r="X49" s="314">
        <f>IF(OR(W49="",W49=0),"",V49/W49)</f>
        <v/>
      </c>
      <c r="Y49" s="313">
        <f>IF(J49="","",0.25*J49+0.75*Y48)</f>
        <v/>
      </c>
      <c r="Z49" s="313">
        <f>IF(J49="","",(2/29)*J49+(27/29)*Z48)</f>
        <v/>
      </c>
      <c r="AA49" s="314">
        <f>IF(OR(Z49="",Z49=0),"",Y49/Z49)</f>
        <v/>
      </c>
      <c r="AB49" s="313">
        <f>IF(L49="","",0.25*L49+0.75*AB48)</f>
        <v/>
      </c>
      <c r="AC49" s="313">
        <f>IF(L49="","",(2/29)*L49+(27/29)*AC48)</f>
        <v/>
      </c>
      <c r="AD49" s="314">
        <f>IF(OR(AC49="",AC49=0),"",AB49/AC49)</f>
        <v/>
      </c>
      <c r="AE49" s="312">
        <f>IF(OR(O49="",R49="",U49="",AD49=""),"",IF(OR(O49&gt;1.5,R49&gt;1.5,U49&gt;1.5,AD49&gt;1.5),"🔴 ALTO",IF(OR(O49&gt;1.3,R49&gt;1.3,U49&gt;1.3,AD49&gt;1.3,O49&lt;0.8,R49&lt;0.8,U49&lt;0.8,AD49&lt;0.8),"🟡 ATENÇÃO","🟢 OK")))</f>
        <v/>
      </c>
    </row>
    <row r="50">
      <c r="A50" s="307" t="n">
        <v>46083</v>
      </c>
      <c r="B50" s="308" t="inlineStr">
        <is>
          <t>Treino</t>
        </is>
      </c>
      <c r="C50" s="308" t="inlineStr">
        <is>
          <t>MD-1</t>
        </is>
      </c>
      <c r="D50" s="308" t="n">
        <v>9</v>
      </c>
      <c r="E50" s="308" t="n">
        <v>56</v>
      </c>
      <c r="F50" s="308" t="n">
        <v>4124</v>
      </c>
      <c r="G50" s="308" t="n">
        <v>106</v>
      </c>
      <c r="H50" s="308" t="n">
        <v>28</v>
      </c>
      <c r="I50" s="308" t="n">
        <v>39</v>
      </c>
      <c r="J50" s="308" t="n">
        <v>35</v>
      </c>
      <c r="K50" s="308" t="n">
        <v>2</v>
      </c>
      <c r="L50" s="308">
        <f>IF(K50="","",K50*E50)</f>
        <v/>
      </c>
      <c r="M50" s="309">
        <f>IF(F50="","",0.25*F50+0.75*M49)</f>
        <v/>
      </c>
      <c r="N50" s="309">
        <f>IF(F50="","",(2/29)*F50+(27/29)*N49)</f>
        <v/>
      </c>
      <c r="O50" s="310">
        <f>IF(OR(N50="",N50=0),"",M50/N50)</f>
        <v/>
      </c>
      <c r="P50" s="309">
        <f>IF(G50="","",0.25*G50+0.75*P49)</f>
        <v/>
      </c>
      <c r="Q50" s="309">
        <f>IF(G50="","",(2/29)*G50+(27/29)*Q49)</f>
        <v/>
      </c>
      <c r="R50" s="310">
        <f>IF(OR(Q50="",Q50=0),"",P50/Q50)</f>
        <v/>
      </c>
      <c r="S50" s="309">
        <f>IF(H50="","",0.25*H50+0.75*S49)</f>
        <v/>
      </c>
      <c r="T50" s="309">
        <f>IF(H50="","",(2/29)*H50+(27/29)*T49)</f>
        <v/>
      </c>
      <c r="U50" s="310">
        <f>IF(OR(T50="",T50=0),"",S50/T50)</f>
        <v/>
      </c>
      <c r="V50" s="309">
        <f>IF(I50="","",0.25*I50+0.75*V49)</f>
        <v/>
      </c>
      <c r="W50" s="309">
        <f>IF(I50="","",(2/29)*I50+(27/29)*W49)</f>
        <v/>
      </c>
      <c r="X50" s="310">
        <f>IF(OR(W50="",W50=0),"",V50/W50)</f>
        <v/>
      </c>
      <c r="Y50" s="309">
        <f>IF(J50="","",0.25*J50+0.75*Y49)</f>
        <v/>
      </c>
      <c r="Z50" s="309">
        <f>IF(J50="","",(2/29)*J50+(27/29)*Z49)</f>
        <v/>
      </c>
      <c r="AA50" s="310">
        <f>IF(OR(Z50="",Z50=0),"",Y50/Z50)</f>
        <v/>
      </c>
      <c r="AB50" s="309">
        <f>IF(L50="","",0.25*L50+0.75*AB49)</f>
        <v/>
      </c>
      <c r="AC50" s="309">
        <f>IF(L50="","",(2/29)*L50+(27/29)*AC49)</f>
        <v/>
      </c>
      <c r="AD50" s="310">
        <f>IF(OR(AC50="",AC50=0),"",AB50/AC50)</f>
        <v/>
      </c>
      <c r="AE50" s="308">
        <f>IF(OR(O50="",R50="",U50="",AD50=""),"",IF(OR(O50&gt;1.5,R50&gt;1.5,U50&gt;1.5,AD50&gt;1.5),"🔴 ALTO",IF(OR(O50&gt;1.3,R50&gt;1.3,U50&gt;1.3,AD50&gt;1.3,O50&lt;0.8,R50&lt;0.8,U50&lt;0.8,AD50&lt;0.8),"🟡 ATENÇÃO","🟢 OK")))</f>
        <v/>
      </c>
    </row>
    <row r="51">
      <c r="A51" s="311" t="n">
        <v>46084</v>
      </c>
      <c r="B51" s="312" t="inlineStr">
        <is>
          <t>Jogo</t>
        </is>
      </c>
      <c r="C51" s="312" t="inlineStr">
        <is>
          <t>MD</t>
        </is>
      </c>
      <c r="D51" s="312" t="n">
        <v>9</v>
      </c>
      <c r="E51" s="312" t="n">
        <v>86</v>
      </c>
      <c r="F51" s="312" t="n">
        <v>9778</v>
      </c>
      <c r="G51" s="312" t="n">
        <v>505</v>
      </c>
      <c r="H51" s="312" t="n">
        <v>221</v>
      </c>
      <c r="I51" s="312" t="n">
        <v>85</v>
      </c>
      <c r="J51" s="312" t="n">
        <v>79</v>
      </c>
      <c r="K51" s="312" t="n">
        <v>10</v>
      </c>
      <c r="L51" s="312">
        <f>IF(K51="","",K51*E51)</f>
        <v/>
      </c>
      <c r="M51" s="313">
        <f>IF(F51="","",0.25*F51+0.75*M50)</f>
        <v/>
      </c>
      <c r="N51" s="313">
        <f>IF(F51="","",(2/29)*F51+(27/29)*N50)</f>
        <v/>
      </c>
      <c r="O51" s="314">
        <f>IF(OR(N51="",N51=0),"",M51/N51)</f>
        <v/>
      </c>
      <c r="P51" s="313">
        <f>IF(G51="","",0.25*G51+0.75*P50)</f>
        <v/>
      </c>
      <c r="Q51" s="313">
        <f>IF(G51="","",(2/29)*G51+(27/29)*Q50)</f>
        <v/>
      </c>
      <c r="R51" s="314">
        <f>IF(OR(Q51="",Q51=0),"",P51/Q51)</f>
        <v/>
      </c>
      <c r="S51" s="313">
        <f>IF(H51="","",0.25*H51+0.75*S50)</f>
        <v/>
      </c>
      <c r="T51" s="313">
        <f>IF(H51="","",(2/29)*H51+(27/29)*T50)</f>
        <v/>
      </c>
      <c r="U51" s="314">
        <f>IF(OR(T51="",T51=0),"",S51/T51)</f>
        <v/>
      </c>
      <c r="V51" s="313">
        <f>IF(I51="","",0.25*I51+0.75*V50)</f>
        <v/>
      </c>
      <c r="W51" s="313">
        <f>IF(I51="","",(2/29)*I51+(27/29)*W50)</f>
        <v/>
      </c>
      <c r="X51" s="314">
        <f>IF(OR(W51="",W51=0),"",V51/W51)</f>
        <v/>
      </c>
      <c r="Y51" s="313">
        <f>IF(J51="","",0.25*J51+0.75*Y50)</f>
        <v/>
      </c>
      <c r="Z51" s="313">
        <f>IF(J51="","",(2/29)*J51+(27/29)*Z50)</f>
        <v/>
      </c>
      <c r="AA51" s="314">
        <f>IF(OR(Z51="",Z51=0),"",Y51/Z51)</f>
        <v/>
      </c>
      <c r="AB51" s="313">
        <f>IF(L51="","",0.25*L51+0.75*AB50)</f>
        <v/>
      </c>
      <c r="AC51" s="313">
        <f>IF(L51="","",(2/29)*L51+(27/29)*AC50)</f>
        <v/>
      </c>
      <c r="AD51" s="314">
        <f>IF(OR(AC51="",AC51=0),"",AB51/AC51)</f>
        <v/>
      </c>
      <c r="AE51" s="312">
        <f>IF(OR(O51="",R51="",U51="",AD51=""),"",IF(OR(O51&gt;1.5,R51&gt;1.5,U51&gt;1.5,AD51&gt;1.5),"🔴 ALTO",IF(OR(O51&gt;1.3,R51&gt;1.3,U51&gt;1.3,AD51&gt;1.3,O51&lt;0.8,R51&lt;0.8,U51&lt;0.8,AD51&lt;0.8),"🟡 ATENÇÃO","🟢 OK")))</f>
        <v/>
      </c>
    </row>
    <row r="52">
      <c r="A52" s="307" t="n">
        <v>46085</v>
      </c>
      <c r="B52" s="308" t="inlineStr">
        <is>
          <t>Treino</t>
        </is>
      </c>
      <c r="C52" s="308" t="inlineStr">
        <is>
          <t>MD+1R</t>
        </is>
      </c>
      <c r="D52" s="308" t="n">
        <v>9</v>
      </c>
      <c r="E52" s="308" t="n">
        <v>39</v>
      </c>
      <c r="F52" s="308" t="n">
        <v>2391</v>
      </c>
      <c r="G52" s="308" t="n">
        <v>36</v>
      </c>
      <c r="H52" s="308" t="n">
        <v>6</v>
      </c>
      <c r="I52" s="308" t="n">
        <v>20</v>
      </c>
      <c r="J52" s="308" t="n">
        <v>19</v>
      </c>
      <c r="K52" s="308" t="n">
        <v>1</v>
      </c>
      <c r="L52" s="308">
        <f>IF(K52="","",K52*E52)</f>
        <v/>
      </c>
      <c r="M52" s="309">
        <f>IF(F52="","",0.25*F52+0.75*M51)</f>
        <v/>
      </c>
      <c r="N52" s="309">
        <f>IF(F52="","",(2/29)*F52+(27/29)*N51)</f>
        <v/>
      </c>
      <c r="O52" s="310">
        <f>IF(OR(N52="",N52=0),"",M52/N52)</f>
        <v/>
      </c>
      <c r="P52" s="309">
        <f>IF(G52="","",0.25*G52+0.75*P51)</f>
        <v/>
      </c>
      <c r="Q52" s="309">
        <f>IF(G52="","",(2/29)*G52+(27/29)*Q51)</f>
        <v/>
      </c>
      <c r="R52" s="310">
        <f>IF(OR(Q52="",Q52=0),"",P52/Q52)</f>
        <v/>
      </c>
      <c r="S52" s="309">
        <f>IF(H52="","",0.25*H52+0.75*S51)</f>
        <v/>
      </c>
      <c r="T52" s="309">
        <f>IF(H52="","",(2/29)*H52+(27/29)*T51)</f>
        <v/>
      </c>
      <c r="U52" s="310">
        <f>IF(OR(T52="",T52=0),"",S52/T52)</f>
        <v/>
      </c>
      <c r="V52" s="309">
        <f>IF(I52="","",0.25*I52+0.75*V51)</f>
        <v/>
      </c>
      <c r="W52" s="309">
        <f>IF(I52="","",(2/29)*I52+(27/29)*W51)</f>
        <v/>
      </c>
      <c r="X52" s="310">
        <f>IF(OR(W52="",W52=0),"",V52/W52)</f>
        <v/>
      </c>
      <c r="Y52" s="309">
        <f>IF(J52="","",0.25*J52+0.75*Y51)</f>
        <v/>
      </c>
      <c r="Z52" s="309">
        <f>IF(J52="","",(2/29)*J52+(27/29)*Z51)</f>
        <v/>
      </c>
      <c r="AA52" s="310">
        <f>IF(OR(Z52="",Z52=0),"",Y52/Z52)</f>
        <v/>
      </c>
      <c r="AB52" s="309">
        <f>IF(L52="","",0.25*L52+0.75*AB51)</f>
        <v/>
      </c>
      <c r="AC52" s="309">
        <f>IF(L52="","",(2/29)*L52+(27/29)*AC51)</f>
        <v/>
      </c>
      <c r="AD52" s="310">
        <f>IF(OR(AC52="",AC52=0),"",AB52/AC52)</f>
        <v/>
      </c>
      <c r="AE52" s="308">
        <f>IF(OR(O52="",R52="",U52="",AD52=""),"",IF(OR(O52&gt;1.5,R52&gt;1.5,U52&gt;1.5,AD52&gt;1.5),"🔴 ALTO",IF(OR(O52&gt;1.3,R52&gt;1.3,U52&gt;1.3,AD52&gt;1.3,O52&lt;0.8,R52&lt;0.8,U52&lt;0.8,AD52&lt;0.8),"🟡 ATENÇÃO","🟢 OK")))</f>
        <v/>
      </c>
    </row>
    <row r="53">
      <c r="A53" s="311" t="n">
        <v>46086</v>
      </c>
      <c r="B53" s="312" t="inlineStr">
        <is>
          <t>Treino</t>
        </is>
      </c>
      <c r="C53" s="312" t="inlineStr">
        <is>
          <t>MD+1C</t>
        </is>
      </c>
      <c r="D53" s="312" t="n">
        <v>9</v>
      </c>
      <c r="E53" s="312" t="n">
        <v>66</v>
      </c>
      <c r="F53" s="312" t="n">
        <v>5286</v>
      </c>
      <c r="G53" s="312" t="n">
        <v>121</v>
      </c>
      <c r="H53" s="312" t="n">
        <v>24</v>
      </c>
      <c r="I53" s="312" t="n">
        <v>43</v>
      </c>
      <c r="J53" s="312" t="n">
        <v>45</v>
      </c>
      <c r="K53" s="312" t="n">
        <v>4</v>
      </c>
      <c r="L53" s="312">
        <f>IF(K53="","",K53*E53)</f>
        <v/>
      </c>
      <c r="M53" s="313">
        <f>IF(F53="","",0.25*F53+0.75*M52)</f>
        <v/>
      </c>
      <c r="N53" s="313">
        <f>IF(F53="","",(2/29)*F53+(27/29)*N52)</f>
        <v/>
      </c>
      <c r="O53" s="314">
        <f>IF(OR(N53="",N53=0),"",M53/N53)</f>
        <v/>
      </c>
      <c r="P53" s="313">
        <f>IF(G53="","",0.25*G53+0.75*P52)</f>
        <v/>
      </c>
      <c r="Q53" s="313">
        <f>IF(G53="","",(2/29)*G53+(27/29)*Q52)</f>
        <v/>
      </c>
      <c r="R53" s="314">
        <f>IF(OR(Q53="",Q53=0),"",P53/Q53)</f>
        <v/>
      </c>
      <c r="S53" s="313">
        <f>IF(H53="","",0.25*H53+0.75*S52)</f>
        <v/>
      </c>
      <c r="T53" s="313">
        <f>IF(H53="","",(2/29)*H53+(27/29)*T52)</f>
        <v/>
      </c>
      <c r="U53" s="314">
        <f>IF(OR(T53="",T53=0),"",S53/T53)</f>
        <v/>
      </c>
      <c r="V53" s="313">
        <f>IF(I53="","",0.25*I53+0.75*V52)</f>
        <v/>
      </c>
      <c r="W53" s="313">
        <f>IF(I53="","",(2/29)*I53+(27/29)*W52)</f>
        <v/>
      </c>
      <c r="X53" s="314">
        <f>IF(OR(W53="",W53=0),"",V53/W53)</f>
        <v/>
      </c>
      <c r="Y53" s="313">
        <f>IF(J53="","",0.25*J53+0.75*Y52)</f>
        <v/>
      </c>
      <c r="Z53" s="313">
        <f>IF(J53="","",(2/29)*J53+(27/29)*Z52)</f>
        <v/>
      </c>
      <c r="AA53" s="314">
        <f>IF(OR(Z53="",Z53=0),"",Y53/Z53)</f>
        <v/>
      </c>
      <c r="AB53" s="313">
        <f>IF(L53="","",0.25*L53+0.75*AB52)</f>
        <v/>
      </c>
      <c r="AC53" s="313">
        <f>IF(L53="","",(2/29)*L53+(27/29)*AC52)</f>
        <v/>
      </c>
      <c r="AD53" s="314">
        <f>IF(OR(AC53="",AC53=0),"",AB53/AC53)</f>
        <v/>
      </c>
      <c r="AE53" s="312">
        <f>IF(OR(O53="",R53="",U53="",AD53=""),"",IF(OR(O53&gt;1.5,R53&gt;1.5,U53&gt;1.5,AD53&gt;1.5),"🔴 ALTO",IF(OR(O53&gt;1.3,R53&gt;1.3,U53&gt;1.3,AD53&gt;1.3,O53&lt;0.8,R53&lt;0.8,U53&lt;0.8,AD53&lt;0.8),"🟡 ATENÇÃO","🟢 OK")))</f>
        <v/>
      </c>
    </row>
    <row r="54">
      <c r="A54" s="307" t="n">
        <v>46087</v>
      </c>
      <c r="B54" s="308" t="inlineStr">
        <is>
          <t>Treino</t>
        </is>
      </c>
      <c r="C54" s="308" t="inlineStr">
        <is>
          <t>MD-5</t>
        </is>
      </c>
      <c r="D54" s="308" t="n">
        <v>10</v>
      </c>
      <c r="E54" s="308" t="n">
        <v>90</v>
      </c>
      <c r="F54" s="308" t="n">
        <v>7575</v>
      </c>
      <c r="G54" s="308" t="n">
        <v>264</v>
      </c>
      <c r="H54" s="308" t="n">
        <v>101</v>
      </c>
      <c r="I54" s="308" t="n">
        <v>88</v>
      </c>
      <c r="J54" s="308" t="n">
        <v>78</v>
      </c>
      <c r="K54" s="308" t="n">
        <v>9</v>
      </c>
      <c r="L54" s="308">
        <f>IF(K54="","",K54*E54)</f>
        <v/>
      </c>
      <c r="M54" s="309">
        <f>IF(F54="","",0.25*F54+0.75*M53)</f>
        <v/>
      </c>
      <c r="N54" s="309">
        <f>IF(F54="","",(2/29)*F54+(27/29)*N53)</f>
        <v/>
      </c>
      <c r="O54" s="310">
        <f>IF(OR(N54="",N54=0),"",M54/N54)</f>
        <v/>
      </c>
      <c r="P54" s="309">
        <f>IF(G54="","",0.25*G54+0.75*P53)</f>
        <v/>
      </c>
      <c r="Q54" s="309">
        <f>IF(G54="","",(2/29)*G54+(27/29)*Q53)</f>
        <v/>
      </c>
      <c r="R54" s="310">
        <f>IF(OR(Q54="",Q54=0),"",P54/Q54)</f>
        <v/>
      </c>
      <c r="S54" s="309">
        <f>IF(H54="","",0.25*H54+0.75*S53)</f>
        <v/>
      </c>
      <c r="T54" s="309">
        <f>IF(H54="","",(2/29)*H54+(27/29)*T53)</f>
        <v/>
      </c>
      <c r="U54" s="310">
        <f>IF(OR(T54="",T54=0),"",S54/T54)</f>
        <v/>
      </c>
      <c r="V54" s="309">
        <f>IF(I54="","",0.25*I54+0.75*V53)</f>
        <v/>
      </c>
      <c r="W54" s="309">
        <f>IF(I54="","",(2/29)*I54+(27/29)*W53)</f>
        <v/>
      </c>
      <c r="X54" s="310">
        <f>IF(OR(W54="",W54=0),"",V54/W54)</f>
        <v/>
      </c>
      <c r="Y54" s="309">
        <f>IF(J54="","",0.25*J54+0.75*Y53)</f>
        <v/>
      </c>
      <c r="Z54" s="309">
        <f>IF(J54="","",(2/29)*J54+(27/29)*Z53)</f>
        <v/>
      </c>
      <c r="AA54" s="310">
        <f>IF(OR(Z54="",Z54=0),"",Y54/Z54)</f>
        <v/>
      </c>
      <c r="AB54" s="309">
        <f>IF(L54="","",0.25*L54+0.75*AB53)</f>
        <v/>
      </c>
      <c r="AC54" s="309">
        <f>IF(L54="","",(2/29)*L54+(27/29)*AC53)</f>
        <v/>
      </c>
      <c r="AD54" s="310">
        <f>IF(OR(AC54="",AC54=0),"",AB54/AC54)</f>
        <v/>
      </c>
      <c r="AE54" s="308">
        <f>IF(OR(O54="",R54="",U54="",AD54=""),"",IF(OR(O54&gt;1.5,R54&gt;1.5,U54&gt;1.5,AD54&gt;1.5),"🔴 ALTO",IF(OR(O54&gt;1.3,R54&gt;1.3,U54&gt;1.3,AD54&gt;1.3,O54&lt;0.8,R54&lt;0.8,U54&lt;0.8,AD54&lt;0.8),"🟡 ATENÇÃO","🟢 OK")))</f>
        <v/>
      </c>
    </row>
    <row r="55">
      <c r="A55" s="311" t="n">
        <v>46088</v>
      </c>
      <c r="B55" s="312" t="inlineStr">
        <is>
          <t>Treino</t>
        </is>
      </c>
      <c r="C55" s="312" t="inlineStr">
        <is>
          <t>MD-4</t>
        </is>
      </c>
      <c r="D55" s="312" t="n">
        <v>10</v>
      </c>
      <c r="E55" s="312" t="n">
        <v>85</v>
      </c>
      <c r="F55" s="312" t="n">
        <v>8892</v>
      </c>
      <c r="G55" s="312" t="n">
        <v>285</v>
      </c>
      <c r="H55" s="312" t="n">
        <v>135</v>
      </c>
      <c r="I55" s="312" t="n">
        <v>75</v>
      </c>
      <c r="J55" s="312" t="n">
        <v>83</v>
      </c>
      <c r="K55" s="312" t="n">
        <v>8</v>
      </c>
      <c r="L55" s="312">
        <f>IF(K55="","",K55*E55)</f>
        <v/>
      </c>
      <c r="M55" s="313">
        <f>IF(F55="","",0.25*F55+0.75*M54)</f>
        <v/>
      </c>
      <c r="N55" s="313">
        <f>IF(F55="","",(2/29)*F55+(27/29)*N54)</f>
        <v/>
      </c>
      <c r="O55" s="314">
        <f>IF(OR(N55="",N55=0),"",M55/N55)</f>
        <v/>
      </c>
      <c r="P55" s="313">
        <f>IF(G55="","",0.25*G55+0.75*P54)</f>
        <v/>
      </c>
      <c r="Q55" s="313">
        <f>IF(G55="","",(2/29)*G55+(27/29)*Q54)</f>
        <v/>
      </c>
      <c r="R55" s="314">
        <f>IF(OR(Q55="",Q55=0),"",P55/Q55)</f>
        <v/>
      </c>
      <c r="S55" s="313">
        <f>IF(H55="","",0.25*H55+0.75*S54)</f>
        <v/>
      </c>
      <c r="T55" s="313">
        <f>IF(H55="","",(2/29)*H55+(27/29)*T54)</f>
        <v/>
      </c>
      <c r="U55" s="314">
        <f>IF(OR(T55="",T55=0),"",S55/T55)</f>
        <v/>
      </c>
      <c r="V55" s="313">
        <f>IF(I55="","",0.25*I55+0.75*V54)</f>
        <v/>
      </c>
      <c r="W55" s="313">
        <f>IF(I55="","",(2/29)*I55+(27/29)*W54)</f>
        <v/>
      </c>
      <c r="X55" s="314">
        <f>IF(OR(W55="",W55=0),"",V55/W55)</f>
        <v/>
      </c>
      <c r="Y55" s="313">
        <f>IF(J55="","",0.25*J55+0.75*Y54)</f>
        <v/>
      </c>
      <c r="Z55" s="313">
        <f>IF(J55="","",(2/29)*J55+(27/29)*Z54)</f>
        <v/>
      </c>
      <c r="AA55" s="314">
        <f>IF(OR(Z55="",Z55=0),"",Y55/Z55)</f>
        <v/>
      </c>
      <c r="AB55" s="313">
        <f>IF(L55="","",0.25*L55+0.75*AB54)</f>
        <v/>
      </c>
      <c r="AC55" s="313">
        <f>IF(L55="","",(2/29)*L55+(27/29)*AC54)</f>
        <v/>
      </c>
      <c r="AD55" s="314">
        <f>IF(OR(AC55="",AC55=0),"",AB55/AC55)</f>
        <v/>
      </c>
      <c r="AE55" s="312">
        <f>IF(OR(O55="",R55="",U55="",AD55=""),"",IF(OR(O55&gt;1.5,R55&gt;1.5,U55&gt;1.5,AD55&gt;1.5),"🔴 ALTO",IF(OR(O55&gt;1.3,R55&gt;1.3,U55&gt;1.3,AD55&gt;1.3,O55&lt;0.8,R55&lt;0.8,U55&lt;0.8,AD55&lt;0.8),"🟡 ATENÇÃO","🟢 OK")))</f>
        <v/>
      </c>
    </row>
    <row r="56">
      <c r="A56" s="307" t="n">
        <v>46089</v>
      </c>
      <c r="B56" s="308" t="inlineStr">
        <is>
          <t>Treino</t>
        </is>
      </c>
      <c r="C56" s="308" t="inlineStr">
        <is>
          <t>MD-3</t>
        </is>
      </c>
      <c r="D56" s="308" t="n">
        <v>10</v>
      </c>
      <c r="E56" s="308" t="n">
        <v>81</v>
      </c>
      <c r="F56" s="308" t="n">
        <v>8389</v>
      </c>
      <c r="G56" s="308" t="n">
        <v>254</v>
      </c>
      <c r="H56" s="308" t="n">
        <v>142</v>
      </c>
      <c r="I56" s="308" t="n">
        <v>73</v>
      </c>
      <c r="J56" s="308" t="n">
        <v>71</v>
      </c>
      <c r="K56" s="308" t="n">
        <v>8</v>
      </c>
      <c r="L56" s="308">
        <f>IF(K56="","",K56*E56)</f>
        <v/>
      </c>
      <c r="M56" s="309">
        <f>IF(F56="","",0.25*F56+0.75*M55)</f>
        <v/>
      </c>
      <c r="N56" s="309">
        <f>IF(F56="","",(2/29)*F56+(27/29)*N55)</f>
        <v/>
      </c>
      <c r="O56" s="310">
        <f>IF(OR(N56="",N56=0),"",M56/N56)</f>
        <v/>
      </c>
      <c r="P56" s="309">
        <f>IF(G56="","",0.25*G56+0.75*P55)</f>
        <v/>
      </c>
      <c r="Q56" s="309">
        <f>IF(G56="","",(2/29)*G56+(27/29)*Q55)</f>
        <v/>
      </c>
      <c r="R56" s="310">
        <f>IF(OR(Q56="",Q56=0),"",P56/Q56)</f>
        <v/>
      </c>
      <c r="S56" s="309">
        <f>IF(H56="","",0.25*H56+0.75*S55)</f>
        <v/>
      </c>
      <c r="T56" s="309">
        <f>IF(H56="","",(2/29)*H56+(27/29)*T55)</f>
        <v/>
      </c>
      <c r="U56" s="310">
        <f>IF(OR(T56="",T56=0),"",S56/T56)</f>
        <v/>
      </c>
      <c r="V56" s="309">
        <f>IF(I56="","",0.25*I56+0.75*V55)</f>
        <v/>
      </c>
      <c r="W56" s="309">
        <f>IF(I56="","",(2/29)*I56+(27/29)*W55)</f>
        <v/>
      </c>
      <c r="X56" s="310">
        <f>IF(OR(W56="",W56=0),"",V56/W56)</f>
        <v/>
      </c>
      <c r="Y56" s="309">
        <f>IF(J56="","",0.25*J56+0.75*Y55)</f>
        <v/>
      </c>
      <c r="Z56" s="309">
        <f>IF(J56="","",(2/29)*J56+(27/29)*Z55)</f>
        <v/>
      </c>
      <c r="AA56" s="310">
        <f>IF(OR(Z56="",Z56=0),"",Y56/Z56)</f>
        <v/>
      </c>
      <c r="AB56" s="309">
        <f>IF(L56="","",0.25*L56+0.75*AB55)</f>
        <v/>
      </c>
      <c r="AC56" s="309">
        <f>IF(L56="","",(2/29)*L56+(27/29)*AC55)</f>
        <v/>
      </c>
      <c r="AD56" s="310">
        <f>IF(OR(AC56="",AC56=0),"",AB56/AC56)</f>
        <v/>
      </c>
      <c r="AE56" s="308">
        <f>IF(OR(O56="",R56="",U56="",AD56=""),"",IF(OR(O56&gt;1.5,R56&gt;1.5,U56&gt;1.5,AD56&gt;1.5),"🔴 ALTO",IF(OR(O56&gt;1.3,R56&gt;1.3,U56&gt;1.3,AD56&gt;1.3,O56&lt;0.8,R56&lt;0.8,U56&lt;0.8,AD56&lt;0.8),"🟡 ATENÇÃO","🟢 OK")))</f>
        <v/>
      </c>
    </row>
    <row r="57">
      <c r="A57" s="311" t="n">
        <v>46091</v>
      </c>
      <c r="B57" s="312" t="inlineStr">
        <is>
          <t>Treino</t>
        </is>
      </c>
      <c r="C57" s="312" t="inlineStr">
        <is>
          <t>MD-2</t>
        </is>
      </c>
      <c r="D57" s="312" t="n">
        <v>10</v>
      </c>
      <c r="E57" s="312" t="n">
        <v>83</v>
      </c>
      <c r="F57" s="312" t="n">
        <v>6764</v>
      </c>
      <c r="G57" s="312" t="n">
        <v>256</v>
      </c>
      <c r="H57" s="312" t="n">
        <v>103</v>
      </c>
      <c r="I57" s="312" t="n">
        <v>65</v>
      </c>
      <c r="J57" s="312" t="n">
        <v>75</v>
      </c>
      <c r="K57" s="312" t="n">
        <v>6</v>
      </c>
      <c r="L57" s="312">
        <f>IF(K57="","",K57*E57)</f>
        <v/>
      </c>
      <c r="M57" s="313">
        <f>IF(F57="","",0.25*F57+0.75*M56)</f>
        <v/>
      </c>
      <c r="N57" s="313">
        <f>IF(F57="","",(2/29)*F57+(27/29)*N56)</f>
        <v/>
      </c>
      <c r="O57" s="314">
        <f>IF(OR(N57="",N57=0),"",M57/N57)</f>
        <v/>
      </c>
      <c r="P57" s="313">
        <f>IF(G57="","",0.25*G57+0.75*P56)</f>
        <v/>
      </c>
      <c r="Q57" s="313">
        <f>IF(G57="","",(2/29)*G57+(27/29)*Q56)</f>
        <v/>
      </c>
      <c r="R57" s="314">
        <f>IF(OR(Q57="",Q57=0),"",P57/Q57)</f>
        <v/>
      </c>
      <c r="S57" s="313">
        <f>IF(H57="","",0.25*H57+0.75*S56)</f>
        <v/>
      </c>
      <c r="T57" s="313">
        <f>IF(H57="","",(2/29)*H57+(27/29)*T56)</f>
        <v/>
      </c>
      <c r="U57" s="314">
        <f>IF(OR(T57="",T57=0),"",S57/T57)</f>
        <v/>
      </c>
      <c r="V57" s="313">
        <f>IF(I57="","",0.25*I57+0.75*V56)</f>
        <v/>
      </c>
      <c r="W57" s="313">
        <f>IF(I57="","",(2/29)*I57+(27/29)*W56)</f>
        <v/>
      </c>
      <c r="X57" s="314">
        <f>IF(OR(W57="",W57=0),"",V57/W57)</f>
        <v/>
      </c>
      <c r="Y57" s="313">
        <f>IF(J57="","",0.25*J57+0.75*Y56)</f>
        <v/>
      </c>
      <c r="Z57" s="313">
        <f>IF(J57="","",(2/29)*J57+(27/29)*Z56)</f>
        <v/>
      </c>
      <c r="AA57" s="314">
        <f>IF(OR(Z57="",Z57=0),"",Y57/Z57)</f>
        <v/>
      </c>
      <c r="AB57" s="313">
        <f>IF(L57="","",0.25*L57+0.75*AB56)</f>
        <v/>
      </c>
      <c r="AC57" s="313">
        <f>IF(L57="","",(2/29)*L57+(27/29)*AC56)</f>
        <v/>
      </c>
      <c r="AD57" s="314">
        <f>IF(OR(AC57="",AC57=0),"",AB57/AC57)</f>
        <v/>
      </c>
      <c r="AE57" s="312">
        <f>IF(OR(O57="",R57="",U57="",AD57=""),"",IF(OR(O57&gt;1.5,R57&gt;1.5,U57&gt;1.5,AD57&gt;1.5),"🔴 ALTO",IF(OR(O57&gt;1.3,R57&gt;1.3,U57&gt;1.3,AD57&gt;1.3,O57&lt;0.8,R57&lt;0.8,U57&lt;0.8,AD57&lt;0.8),"🟡 ATENÇÃO","🟢 OK")))</f>
        <v/>
      </c>
    </row>
    <row r="58">
      <c r="A58" s="307" t="n">
        <v>46092</v>
      </c>
      <c r="B58" s="308" t="inlineStr">
        <is>
          <t>Treino</t>
        </is>
      </c>
      <c r="C58" s="308" t="inlineStr">
        <is>
          <t>MD-1</t>
        </is>
      </c>
      <c r="D58" s="308" t="n">
        <v>10</v>
      </c>
      <c r="E58" s="308" t="n">
        <v>65</v>
      </c>
      <c r="F58" s="308" t="n">
        <v>4554</v>
      </c>
      <c r="G58" s="308" t="n">
        <v>107</v>
      </c>
      <c r="H58" s="308" t="n">
        <v>25</v>
      </c>
      <c r="I58" s="308" t="n">
        <v>41</v>
      </c>
      <c r="J58" s="308" t="n">
        <v>36</v>
      </c>
      <c r="K58" s="308" t="n">
        <v>2</v>
      </c>
      <c r="L58" s="308">
        <f>IF(K58="","",K58*E58)</f>
        <v/>
      </c>
      <c r="M58" s="309">
        <f>IF(F58="","",0.25*F58+0.75*M57)</f>
        <v/>
      </c>
      <c r="N58" s="309">
        <f>IF(F58="","",(2/29)*F58+(27/29)*N57)</f>
        <v/>
      </c>
      <c r="O58" s="310">
        <f>IF(OR(N58="",N58=0),"",M58/N58)</f>
        <v/>
      </c>
      <c r="P58" s="309">
        <f>IF(G58="","",0.25*G58+0.75*P57)</f>
        <v/>
      </c>
      <c r="Q58" s="309">
        <f>IF(G58="","",(2/29)*G58+(27/29)*Q57)</f>
        <v/>
      </c>
      <c r="R58" s="310">
        <f>IF(OR(Q58="",Q58=0),"",P58/Q58)</f>
        <v/>
      </c>
      <c r="S58" s="309">
        <f>IF(H58="","",0.25*H58+0.75*S57)</f>
        <v/>
      </c>
      <c r="T58" s="309">
        <f>IF(H58="","",(2/29)*H58+(27/29)*T57)</f>
        <v/>
      </c>
      <c r="U58" s="310">
        <f>IF(OR(T58="",T58=0),"",S58/T58)</f>
        <v/>
      </c>
      <c r="V58" s="309">
        <f>IF(I58="","",0.25*I58+0.75*V57)</f>
        <v/>
      </c>
      <c r="W58" s="309">
        <f>IF(I58="","",(2/29)*I58+(27/29)*W57)</f>
        <v/>
      </c>
      <c r="X58" s="310">
        <f>IF(OR(W58="",W58=0),"",V58/W58)</f>
        <v/>
      </c>
      <c r="Y58" s="309">
        <f>IF(J58="","",0.25*J58+0.75*Y57)</f>
        <v/>
      </c>
      <c r="Z58" s="309">
        <f>IF(J58="","",(2/29)*J58+(27/29)*Z57)</f>
        <v/>
      </c>
      <c r="AA58" s="310">
        <f>IF(OR(Z58="",Z58=0),"",Y58/Z58)</f>
        <v/>
      </c>
      <c r="AB58" s="309">
        <f>IF(L58="","",0.25*L58+0.75*AB57)</f>
        <v/>
      </c>
      <c r="AC58" s="309">
        <f>IF(L58="","",(2/29)*L58+(27/29)*AC57)</f>
        <v/>
      </c>
      <c r="AD58" s="310">
        <f>IF(OR(AC58="",AC58=0),"",AB58/AC58)</f>
        <v/>
      </c>
      <c r="AE58" s="308">
        <f>IF(OR(O58="",R58="",U58="",AD58=""),"",IF(OR(O58&gt;1.5,R58&gt;1.5,U58&gt;1.5,AD58&gt;1.5),"🔴 ALTO",IF(OR(O58&gt;1.3,R58&gt;1.3,U58&gt;1.3,AD58&gt;1.3,O58&lt;0.8,R58&lt;0.8,U58&lt;0.8,AD58&lt;0.8),"🟡 ATENÇÃO","🟢 OK")))</f>
        <v/>
      </c>
    </row>
    <row r="59">
      <c r="A59" s="311" t="n">
        <v>46093</v>
      </c>
      <c r="B59" s="312" t="inlineStr">
        <is>
          <t>Jogo</t>
        </is>
      </c>
      <c r="C59" s="312" t="inlineStr">
        <is>
          <t>MD</t>
        </is>
      </c>
      <c r="D59" s="312" t="n">
        <v>10</v>
      </c>
      <c r="E59" s="312" t="n">
        <v>92</v>
      </c>
      <c r="F59" s="312" t="n">
        <v>9655</v>
      </c>
      <c r="G59" s="312" t="n">
        <v>435</v>
      </c>
      <c r="H59" s="312" t="n">
        <v>231</v>
      </c>
      <c r="I59" s="312" t="n">
        <v>79</v>
      </c>
      <c r="J59" s="312" t="n">
        <v>81</v>
      </c>
      <c r="K59" s="312" t="n">
        <v>10</v>
      </c>
      <c r="L59" s="312">
        <f>IF(K59="","",K59*E59)</f>
        <v/>
      </c>
      <c r="M59" s="313">
        <f>IF(F59="","",0.25*F59+0.75*M58)</f>
        <v/>
      </c>
      <c r="N59" s="313">
        <f>IF(F59="","",(2/29)*F59+(27/29)*N58)</f>
        <v/>
      </c>
      <c r="O59" s="314">
        <f>IF(OR(N59="",N59=0),"",M59/N59)</f>
        <v/>
      </c>
      <c r="P59" s="313">
        <f>IF(G59="","",0.25*G59+0.75*P58)</f>
        <v/>
      </c>
      <c r="Q59" s="313">
        <f>IF(G59="","",(2/29)*G59+(27/29)*Q58)</f>
        <v/>
      </c>
      <c r="R59" s="314">
        <f>IF(OR(Q59="",Q59=0),"",P59/Q59)</f>
        <v/>
      </c>
      <c r="S59" s="313">
        <f>IF(H59="","",0.25*H59+0.75*S58)</f>
        <v/>
      </c>
      <c r="T59" s="313">
        <f>IF(H59="","",(2/29)*H59+(27/29)*T58)</f>
        <v/>
      </c>
      <c r="U59" s="314">
        <f>IF(OR(T59="",T59=0),"",S59/T59)</f>
        <v/>
      </c>
      <c r="V59" s="313">
        <f>IF(I59="","",0.25*I59+0.75*V58)</f>
        <v/>
      </c>
      <c r="W59" s="313">
        <f>IF(I59="","",(2/29)*I59+(27/29)*W58)</f>
        <v/>
      </c>
      <c r="X59" s="314">
        <f>IF(OR(W59="",W59=0),"",V59/W59)</f>
        <v/>
      </c>
      <c r="Y59" s="313">
        <f>IF(J59="","",0.25*J59+0.75*Y58)</f>
        <v/>
      </c>
      <c r="Z59" s="313">
        <f>IF(J59="","",(2/29)*J59+(27/29)*Z58)</f>
        <v/>
      </c>
      <c r="AA59" s="314">
        <f>IF(OR(Z59="",Z59=0),"",Y59/Z59)</f>
        <v/>
      </c>
      <c r="AB59" s="313">
        <f>IF(L59="","",0.25*L59+0.75*AB58)</f>
        <v/>
      </c>
      <c r="AC59" s="313">
        <f>IF(L59="","",(2/29)*L59+(27/29)*AC58)</f>
        <v/>
      </c>
      <c r="AD59" s="314">
        <f>IF(OR(AC59="",AC59=0),"",AB59/AC59)</f>
        <v/>
      </c>
      <c r="AE59" s="312">
        <f>IF(OR(O59="",R59="",U59="",AD59=""),"",IF(OR(O59&gt;1.5,R59&gt;1.5,U59&gt;1.5,AD59&gt;1.5),"🔴 ALTO",IF(OR(O59&gt;1.3,R59&gt;1.3,U59&gt;1.3,AD59&gt;1.3,O59&lt;0.8,R59&lt;0.8,U59&lt;0.8,AD59&lt;0.8),"🟡 ATENÇÃO","🟢 OK")))</f>
        <v/>
      </c>
    </row>
    <row r="60">
      <c r="A60" s="307" t="n">
        <v>46138</v>
      </c>
      <c r="B60" s="308" t="inlineStr">
        <is>
          <t>Treino</t>
        </is>
      </c>
      <c r="C60" s="308" t="inlineStr">
        <is>
          <t>MD-1</t>
        </is>
      </c>
      <c r="D60" s="308" t="n">
        <v>10</v>
      </c>
      <c r="E60" s="308" t="n">
        <v>65</v>
      </c>
      <c r="F60" s="308" t="n">
        <v>4554</v>
      </c>
      <c r="G60" s="308" t="n">
        <v>107</v>
      </c>
      <c r="H60" s="308" t="n">
        <v>25</v>
      </c>
      <c r="I60" s="308" t="n">
        <v>41</v>
      </c>
      <c r="J60" s="308" t="n">
        <v>36</v>
      </c>
      <c r="K60" s="308" t="n">
        <v>2</v>
      </c>
      <c r="L60" s="308">
        <f>IF(K60="","",K60*E60)</f>
        <v/>
      </c>
      <c r="M60" s="309">
        <f>IF(F60="","",0.25*F60+0.75*M59)</f>
        <v/>
      </c>
      <c r="N60" s="309">
        <f>IF(F60="","",(2/29)*F60+(27/29)*N59)</f>
        <v/>
      </c>
      <c r="O60" s="310">
        <f>IF(OR(N60="",N60=0),"",M60/N60)</f>
        <v/>
      </c>
      <c r="P60" s="309">
        <f>IF(G60="","",0.25*G60+0.75*P59)</f>
        <v/>
      </c>
      <c r="Q60" s="309">
        <f>IF(G60="","",(2/29)*G60+(27/29)*Q59)</f>
        <v/>
      </c>
      <c r="R60" s="310">
        <f>IF(OR(Q60="",Q60=0),"",P60/Q60)</f>
        <v/>
      </c>
      <c r="S60" s="309">
        <f>IF(H60="","",0.25*H60+0.75*S59)</f>
        <v/>
      </c>
      <c r="T60" s="309">
        <f>IF(H60="","",(2/29)*H60+(27/29)*T59)</f>
        <v/>
      </c>
      <c r="U60" s="310">
        <f>IF(OR(T60="",T60=0),"",S60/T60)</f>
        <v/>
      </c>
      <c r="V60" s="309">
        <f>IF(I60="","",0.25*I60+0.75*V59)</f>
        <v/>
      </c>
      <c r="W60" s="309">
        <f>IF(I60="","",(2/29)*I60+(27/29)*W59)</f>
        <v/>
      </c>
      <c r="X60" s="310">
        <f>IF(OR(W60="",W60=0),"",V60/W60)</f>
        <v/>
      </c>
      <c r="Y60" s="309">
        <f>IF(J60="","",0.25*J60+0.75*Y59)</f>
        <v/>
      </c>
      <c r="Z60" s="309">
        <f>IF(J60="","",(2/29)*J60+(27/29)*Z59)</f>
        <v/>
      </c>
      <c r="AA60" s="310">
        <f>IF(OR(Z60="",Z60=0),"",Y60/Z60)</f>
        <v/>
      </c>
      <c r="AB60" s="309">
        <f>IF(L60="","",0.25*L60+0.75*AB59)</f>
        <v/>
      </c>
      <c r="AC60" s="309">
        <f>IF(L60="","",(2/29)*L60+(27/29)*AC59)</f>
        <v/>
      </c>
      <c r="AD60" s="310">
        <f>IF(OR(AC60="",AC60=0),"",AB60/AC60)</f>
        <v/>
      </c>
      <c r="AE60" s="308">
        <f>IF(OR(O60="",R60="",U60="",AD60=""),"",IF(OR(O60&gt;1.5,R60&gt;1.5,U60&gt;1.5,AD60&gt;1.5),"🔴 ALTO",IF(OR(O60&gt;1.3,R60&gt;1.3,U60&gt;1.3,AD60&gt;1.3,O60&lt;0.8,R60&lt;0.8,U60&lt;0.8,AD60&lt;0.8),"🟡 ATENÇÃO","🟢 OK")))</f>
        <v/>
      </c>
    </row>
    <row r="61">
      <c r="A61" s="311" t="n"/>
      <c r="B61" s="312" t="n"/>
      <c r="C61" s="312" t="n"/>
      <c r="D61" s="312" t="n"/>
      <c r="E61" s="312" t="n"/>
      <c r="F61" s="312" t="n"/>
      <c r="G61" s="312" t="n"/>
      <c r="H61" s="312" t="n"/>
      <c r="I61" s="312" t="n"/>
      <c r="J61" s="312" t="n"/>
      <c r="K61" s="312" t="n"/>
      <c r="L61" s="312">
        <f>IF(K61="","",K61*E61)</f>
        <v/>
      </c>
      <c r="M61" s="313">
        <f>IF(F61="","",0.25*F61+0.75*M60)</f>
        <v/>
      </c>
      <c r="N61" s="313">
        <f>IF(F61="","",(2/29)*F61+(27/29)*N60)</f>
        <v/>
      </c>
      <c r="O61" s="314">
        <f>IF(OR(N61="",N61=0),"",M61/N61)</f>
        <v/>
      </c>
      <c r="P61" s="313">
        <f>IF(G61="","",0.25*G61+0.75*P60)</f>
        <v/>
      </c>
      <c r="Q61" s="313">
        <f>IF(G61="","",(2/29)*G61+(27/29)*Q60)</f>
        <v/>
      </c>
      <c r="R61" s="314">
        <f>IF(OR(Q61="",Q61=0),"",P61/Q61)</f>
        <v/>
      </c>
      <c r="S61" s="313">
        <f>IF(H61="","",0.25*H61+0.75*S60)</f>
        <v/>
      </c>
      <c r="T61" s="313">
        <f>IF(H61="","",(2/29)*H61+(27/29)*T60)</f>
        <v/>
      </c>
      <c r="U61" s="314">
        <f>IF(OR(T61="",T61=0),"",S61/T61)</f>
        <v/>
      </c>
      <c r="V61" s="313">
        <f>IF(I61="","",0.25*I61+0.75*V60)</f>
        <v/>
      </c>
      <c r="W61" s="313">
        <f>IF(I61="","",(2/29)*I61+(27/29)*W60)</f>
        <v/>
      </c>
      <c r="X61" s="314">
        <f>IF(OR(W61="",W61=0),"",V61/W61)</f>
        <v/>
      </c>
      <c r="Y61" s="313">
        <f>IF(J61="","",0.25*J61+0.75*Y60)</f>
        <v/>
      </c>
      <c r="Z61" s="313">
        <f>IF(J61="","",(2/29)*J61+(27/29)*Z60)</f>
        <v/>
      </c>
      <c r="AA61" s="314">
        <f>IF(OR(Z61="",Z61=0),"",Y61/Z61)</f>
        <v/>
      </c>
      <c r="AB61" s="313">
        <f>IF(L61="","",0.25*L61+0.75*AB60)</f>
        <v/>
      </c>
      <c r="AC61" s="313">
        <f>IF(L61="","",(2/29)*L61+(27/29)*AC60)</f>
        <v/>
      </c>
      <c r="AD61" s="314">
        <f>IF(OR(AC61="",AC61=0),"",AB61/AC61)</f>
        <v/>
      </c>
      <c r="AE61" s="312">
        <f>IF(OR(O61="",R61="",U61="",AD61=""),"",IF(OR(O61&gt;1.5,R61&gt;1.5,U61&gt;1.5,AD61&gt;1.5),"🔴 ALTO",IF(OR(O61&gt;1.3,R61&gt;1.3,U61&gt;1.3,AD61&gt;1.3,O61&lt;0.8,R61&lt;0.8,U61&lt;0.8,AD61&lt;0.8),"🟡 ATENÇÃO","🟢 OK")))</f>
        <v/>
      </c>
    </row>
    <row r="62">
      <c r="A62" s="307" t="n"/>
      <c r="B62" s="308" t="n"/>
      <c r="C62" s="308" t="n"/>
      <c r="D62" s="308" t="n"/>
      <c r="E62" s="308" t="n"/>
      <c r="F62" s="308" t="n"/>
      <c r="G62" s="308" t="n"/>
      <c r="H62" s="308" t="n"/>
      <c r="I62" s="308" t="n"/>
      <c r="J62" s="308" t="n"/>
      <c r="K62" s="308" t="n"/>
      <c r="L62" s="308">
        <f>IF(K62="","",K62*E62)</f>
        <v/>
      </c>
      <c r="M62" s="309">
        <f>IF(F62="","",0.25*F62+0.75*M61)</f>
        <v/>
      </c>
      <c r="N62" s="309">
        <f>IF(F62="","",(2/29)*F62+(27/29)*N61)</f>
        <v/>
      </c>
      <c r="O62" s="310">
        <f>IF(OR(N62="",N62=0),"",M62/N62)</f>
        <v/>
      </c>
      <c r="P62" s="309">
        <f>IF(G62="","",0.25*G62+0.75*P61)</f>
        <v/>
      </c>
      <c r="Q62" s="309">
        <f>IF(G62="","",(2/29)*G62+(27/29)*Q61)</f>
        <v/>
      </c>
      <c r="R62" s="310">
        <f>IF(OR(Q62="",Q62=0),"",P62/Q62)</f>
        <v/>
      </c>
      <c r="S62" s="309">
        <f>IF(H62="","",0.25*H62+0.75*S61)</f>
        <v/>
      </c>
      <c r="T62" s="309">
        <f>IF(H62="","",(2/29)*H62+(27/29)*T61)</f>
        <v/>
      </c>
      <c r="U62" s="310">
        <f>IF(OR(T62="",T62=0),"",S62/T62)</f>
        <v/>
      </c>
      <c r="V62" s="309">
        <f>IF(I62="","",0.25*I62+0.75*V61)</f>
        <v/>
      </c>
      <c r="W62" s="309">
        <f>IF(I62="","",(2/29)*I62+(27/29)*W61)</f>
        <v/>
      </c>
      <c r="X62" s="310">
        <f>IF(OR(W62="",W62=0),"",V62/W62)</f>
        <v/>
      </c>
      <c r="Y62" s="309">
        <f>IF(J62="","",0.25*J62+0.75*Y61)</f>
        <v/>
      </c>
      <c r="Z62" s="309">
        <f>IF(J62="","",(2/29)*J62+(27/29)*Z61)</f>
        <v/>
      </c>
      <c r="AA62" s="310">
        <f>IF(OR(Z62="",Z62=0),"",Y62/Z62)</f>
        <v/>
      </c>
      <c r="AB62" s="309">
        <f>IF(L62="","",0.25*L62+0.75*AB61)</f>
        <v/>
      </c>
      <c r="AC62" s="309">
        <f>IF(L62="","",(2/29)*L62+(27/29)*AC61)</f>
        <v/>
      </c>
      <c r="AD62" s="310">
        <f>IF(OR(AC62="",AC62=0),"",AB62/AC62)</f>
        <v/>
      </c>
      <c r="AE62" s="308">
        <f>IF(OR(O62="",R62="",U62="",AD62=""),"",IF(OR(O62&gt;1.5,R62&gt;1.5,U62&gt;1.5,AD62&gt;1.5),"🔴 ALTO",IF(OR(O62&gt;1.3,R62&gt;1.3,U62&gt;1.3,AD62&gt;1.3,O62&lt;0.8,R62&lt;0.8,U62&lt;0.8,AD62&lt;0.8),"🟡 ATENÇÃO","🟢 OK")))</f>
        <v/>
      </c>
    </row>
    <row r="63">
      <c r="A63" s="311" t="n"/>
      <c r="B63" s="312" t="n"/>
      <c r="C63" s="312" t="n"/>
      <c r="D63" s="312" t="n"/>
      <c r="E63" s="312" t="n"/>
      <c r="F63" s="312" t="n"/>
      <c r="G63" s="312" t="n"/>
      <c r="H63" s="312" t="n"/>
      <c r="I63" s="312" t="n"/>
      <c r="J63" s="312" t="n"/>
      <c r="K63" s="312" t="n"/>
      <c r="L63" s="312">
        <f>IF(K63="","",K63*E63)</f>
        <v/>
      </c>
      <c r="M63" s="313">
        <f>IF(F63="","",0.25*F63+0.75*M62)</f>
        <v/>
      </c>
      <c r="N63" s="313">
        <f>IF(F63="","",(2/29)*F63+(27/29)*N62)</f>
        <v/>
      </c>
      <c r="O63" s="314">
        <f>IF(OR(N63="",N63=0),"",M63/N63)</f>
        <v/>
      </c>
      <c r="P63" s="313">
        <f>IF(G63="","",0.25*G63+0.75*P62)</f>
        <v/>
      </c>
      <c r="Q63" s="313">
        <f>IF(G63="","",(2/29)*G63+(27/29)*Q62)</f>
        <v/>
      </c>
      <c r="R63" s="314">
        <f>IF(OR(Q63="",Q63=0),"",P63/Q63)</f>
        <v/>
      </c>
      <c r="S63" s="313">
        <f>IF(H63="","",0.25*H63+0.75*S62)</f>
        <v/>
      </c>
      <c r="T63" s="313">
        <f>IF(H63="","",(2/29)*H63+(27/29)*T62)</f>
        <v/>
      </c>
      <c r="U63" s="314">
        <f>IF(OR(T63="",T63=0),"",S63/T63)</f>
        <v/>
      </c>
      <c r="V63" s="313">
        <f>IF(I63="","",0.25*I63+0.75*V62)</f>
        <v/>
      </c>
      <c r="W63" s="313">
        <f>IF(I63="","",(2/29)*I63+(27/29)*W62)</f>
        <v/>
      </c>
      <c r="X63" s="314">
        <f>IF(OR(W63="",W63=0),"",V63/W63)</f>
        <v/>
      </c>
      <c r="Y63" s="313">
        <f>IF(J63="","",0.25*J63+0.75*Y62)</f>
        <v/>
      </c>
      <c r="Z63" s="313">
        <f>IF(J63="","",(2/29)*J63+(27/29)*Z62)</f>
        <v/>
      </c>
      <c r="AA63" s="314">
        <f>IF(OR(Z63="",Z63=0),"",Y63/Z63)</f>
        <v/>
      </c>
      <c r="AB63" s="313">
        <f>IF(L63="","",0.25*L63+0.75*AB62)</f>
        <v/>
      </c>
      <c r="AC63" s="313">
        <f>IF(L63="","",(2/29)*L63+(27/29)*AC62)</f>
        <v/>
      </c>
      <c r="AD63" s="314">
        <f>IF(OR(AC63="",AC63=0),"",AB63/AC63)</f>
        <v/>
      </c>
      <c r="AE63" s="312">
        <f>IF(OR(O63="",R63="",U63="",AD63=""),"",IF(OR(O63&gt;1.5,R63&gt;1.5,U63&gt;1.5,AD63&gt;1.5),"🔴 ALTO",IF(OR(O63&gt;1.3,R63&gt;1.3,U63&gt;1.3,AD63&gt;1.3,O63&lt;0.8,R63&lt;0.8,U63&lt;0.8,AD63&lt;0.8),"🟡 ATENÇÃO","🟢 OK")))</f>
        <v/>
      </c>
    </row>
    <row r="64">
      <c r="A64" s="307" t="n"/>
      <c r="B64" s="308" t="n"/>
      <c r="C64" s="308" t="n"/>
      <c r="D64" s="308" t="n"/>
      <c r="E64" s="308" t="n"/>
      <c r="F64" s="308" t="n"/>
      <c r="G64" s="308" t="n"/>
      <c r="H64" s="308" t="n"/>
      <c r="I64" s="308" t="n"/>
      <c r="J64" s="308" t="n"/>
      <c r="K64" s="308" t="n"/>
      <c r="L64" s="308">
        <f>IF(K64="","",K64*E64)</f>
        <v/>
      </c>
      <c r="M64" s="309">
        <f>IF(F64="","",0.25*F64+0.75*M63)</f>
        <v/>
      </c>
      <c r="N64" s="309">
        <f>IF(F64="","",(2/29)*F64+(27/29)*N63)</f>
        <v/>
      </c>
      <c r="O64" s="310">
        <f>IF(OR(N64="",N64=0),"",M64/N64)</f>
        <v/>
      </c>
      <c r="P64" s="309">
        <f>IF(G64="","",0.25*G64+0.75*P63)</f>
        <v/>
      </c>
      <c r="Q64" s="309">
        <f>IF(G64="","",(2/29)*G64+(27/29)*Q63)</f>
        <v/>
      </c>
      <c r="R64" s="310">
        <f>IF(OR(Q64="",Q64=0),"",P64/Q64)</f>
        <v/>
      </c>
      <c r="S64" s="309">
        <f>IF(H64="","",0.25*H64+0.75*S63)</f>
        <v/>
      </c>
      <c r="T64" s="309">
        <f>IF(H64="","",(2/29)*H64+(27/29)*T63)</f>
        <v/>
      </c>
      <c r="U64" s="310">
        <f>IF(OR(T64="",T64=0),"",S64/T64)</f>
        <v/>
      </c>
      <c r="V64" s="309">
        <f>IF(I64="","",0.25*I64+0.75*V63)</f>
        <v/>
      </c>
      <c r="W64" s="309">
        <f>IF(I64="","",(2/29)*I64+(27/29)*W63)</f>
        <v/>
      </c>
      <c r="X64" s="310">
        <f>IF(OR(W64="",W64=0),"",V64/W64)</f>
        <v/>
      </c>
      <c r="Y64" s="309">
        <f>IF(J64="","",0.25*J64+0.75*Y63)</f>
        <v/>
      </c>
      <c r="Z64" s="309">
        <f>IF(J64="","",(2/29)*J64+(27/29)*Z63)</f>
        <v/>
      </c>
      <c r="AA64" s="310">
        <f>IF(OR(Z64="",Z64=0),"",Y64/Z64)</f>
        <v/>
      </c>
      <c r="AB64" s="309">
        <f>IF(L64="","",0.25*L64+0.75*AB63)</f>
        <v/>
      </c>
      <c r="AC64" s="309">
        <f>IF(L64="","",(2/29)*L64+(27/29)*AC63)</f>
        <v/>
      </c>
      <c r="AD64" s="310">
        <f>IF(OR(AC64="",AC64=0),"",AB64/AC64)</f>
        <v/>
      </c>
      <c r="AE64" s="308">
        <f>IF(OR(O64="",R64="",U64="",AD64=""),"",IF(OR(O64&gt;1.5,R64&gt;1.5,U64&gt;1.5,AD64&gt;1.5),"🔴 ALTO",IF(OR(O64&gt;1.3,R64&gt;1.3,U64&gt;1.3,AD64&gt;1.3,O64&lt;0.8,R64&lt;0.8,U64&lt;0.8,AD64&lt;0.8),"🟡 ATENÇÃO","🟢 OK")))</f>
        <v/>
      </c>
    </row>
    <row r="65">
      <c r="A65" s="311" t="n"/>
      <c r="B65" s="312" t="n"/>
      <c r="C65" s="312" t="n"/>
      <c r="D65" s="312" t="n"/>
      <c r="E65" s="312" t="n"/>
      <c r="F65" s="312" t="n"/>
      <c r="G65" s="312" t="n"/>
      <c r="H65" s="312" t="n"/>
      <c r="I65" s="312" t="n"/>
      <c r="J65" s="312" t="n"/>
      <c r="K65" s="312" t="n"/>
      <c r="L65" s="312">
        <f>IF(K65="","",K65*E65)</f>
        <v/>
      </c>
      <c r="M65" s="313">
        <f>IF(F65="","",0.25*F65+0.75*M64)</f>
        <v/>
      </c>
      <c r="N65" s="313">
        <f>IF(F65="","",(2/29)*F65+(27/29)*N64)</f>
        <v/>
      </c>
      <c r="O65" s="314">
        <f>IF(OR(N65="",N65=0),"",M65/N65)</f>
        <v/>
      </c>
      <c r="P65" s="313">
        <f>IF(G65="","",0.25*G65+0.75*P64)</f>
        <v/>
      </c>
      <c r="Q65" s="313">
        <f>IF(G65="","",(2/29)*G65+(27/29)*Q64)</f>
        <v/>
      </c>
      <c r="R65" s="314">
        <f>IF(OR(Q65="",Q65=0),"",P65/Q65)</f>
        <v/>
      </c>
      <c r="S65" s="313">
        <f>IF(H65="","",0.25*H65+0.75*S64)</f>
        <v/>
      </c>
      <c r="T65" s="313">
        <f>IF(H65="","",(2/29)*H65+(27/29)*T64)</f>
        <v/>
      </c>
      <c r="U65" s="314">
        <f>IF(OR(T65="",T65=0),"",S65/T65)</f>
        <v/>
      </c>
      <c r="V65" s="313">
        <f>IF(I65="","",0.25*I65+0.75*V64)</f>
        <v/>
      </c>
      <c r="W65" s="313">
        <f>IF(I65="","",(2/29)*I65+(27/29)*W64)</f>
        <v/>
      </c>
      <c r="X65" s="314">
        <f>IF(OR(W65="",W65=0),"",V65/W65)</f>
        <v/>
      </c>
      <c r="Y65" s="313">
        <f>IF(J65="","",0.25*J65+0.75*Y64)</f>
        <v/>
      </c>
      <c r="Z65" s="313">
        <f>IF(J65="","",(2/29)*J65+(27/29)*Z64)</f>
        <v/>
      </c>
      <c r="AA65" s="314">
        <f>IF(OR(Z65="",Z65=0),"",Y65/Z65)</f>
        <v/>
      </c>
      <c r="AB65" s="313">
        <f>IF(L65="","",0.25*L65+0.75*AB64)</f>
        <v/>
      </c>
      <c r="AC65" s="313">
        <f>IF(L65="","",(2/29)*L65+(27/29)*AC64)</f>
        <v/>
      </c>
      <c r="AD65" s="314">
        <f>IF(OR(AC65="",AC65=0),"",AB65/AC65)</f>
        <v/>
      </c>
      <c r="AE65" s="312">
        <f>IF(OR(O65="",R65="",U65="",AD65=""),"",IF(OR(O65&gt;1.5,R65&gt;1.5,U65&gt;1.5,AD65&gt;1.5),"🔴 ALTO",IF(OR(O65&gt;1.3,R65&gt;1.3,U65&gt;1.3,AD65&gt;1.3,O65&lt;0.8,R65&lt;0.8,U65&lt;0.8,AD65&lt;0.8),"🟡 ATENÇÃO","🟢 OK")))</f>
        <v/>
      </c>
    </row>
    <row r="66">
      <c r="A66" s="307" t="n"/>
      <c r="B66" s="308" t="n"/>
      <c r="C66" s="308" t="n"/>
      <c r="D66" s="308" t="n"/>
      <c r="E66" s="308" t="n"/>
      <c r="F66" s="308" t="n"/>
      <c r="G66" s="308" t="n"/>
      <c r="H66" s="308" t="n"/>
      <c r="I66" s="308" t="n"/>
      <c r="J66" s="308" t="n"/>
      <c r="K66" s="308" t="n"/>
      <c r="L66" s="308">
        <f>IF(K66="","",K66*E66)</f>
        <v/>
      </c>
      <c r="M66" s="309">
        <f>IF(F66="","",0.25*F66+0.75*M65)</f>
        <v/>
      </c>
      <c r="N66" s="309">
        <f>IF(F66="","",(2/29)*F66+(27/29)*N65)</f>
        <v/>
      </c>
      <c r="O66" s="310">
        <f>IF(OR(N66="",N66=0),"",M66/N66)</f>
        <v/>
      </c>
      <c r="P66" s="309">
        <f>IF(G66="","",0.25*G66+0.75*P65)</f>
        <v/>
      </c>
      <c r="Q66" s="309">
        <f>IF(G66="","",(2/29)*G66+(27/29)*Q65)</f>
        <v/>
      </c>
      <c r="R66" s="310">
        <f>IF(OR(Q66="",Q66=0),"",P66/Q66)</f>
        <v/>
      </c>
      <c r="S66" s="309">
        <f>IF(H66="","",0.25*H66+0.75*S65)</f>
        <v/>
      </c>
      <c r="T66" s="309">
        <f>IF(H66="","",(2/29)*H66+(27/29)*T65)</f>
        <v/>
      </c>
      <c r="U66" s="310">
        <f>IF(OR(T66="",T66=0),"",S66/T66)</f>
        <v/>
      </c>
      <c r="V66" s="309">
        <f>IF(I66="","",0.25*I66+0.75*V65)</f>
        <v/>
      </c>
      <c r="W66" s="309">
        <f>IF(I66="","",(2/29)*I66+(27/29)*W65)</f>
        <v/>
      </c>
      <c r="X66" s="310">
        <f>IF(OR(W66="",W66=0),"",V66/W66)</f>
        <v/>
      </c>
      <c r="Y66" s="309">
        <f>IF(J66="","",0.25*J66+0.75*Y65)</f>
        <v/>
      </c>
      <c r="Z66" s="309">
        <f>IF(J66="","",(2/29)*J66+(27/29)*Z65)</f>
        <v/>
      </c>
      <c r="AA66" s="310">
        <f>IF(OR(Z66="",Z66=0),"",Y66/Z66)</f>
        <v/>
      </c>
      <c r="AB66" s="309">
        <f>IF(L66="","",0.25*L66+0.75*AB65)</f>
        <v/>
      </c>
      <c r="AC66" s="309">
        <f>IF(L66="","",(2/29)*L66+(27/29)*AC65)</f>
        <v/>
      </c>
      <c r="AD66" s="310">
        <f>IF(OR(AC66="",AC66=0),"",AB66/AC66)</f>
        <v/>
      </c>
      <c r="AE66" s="308">
        <f>IF(OR(O66="",R66="",U66="",AD66=""),"",IF(OR(O66&gt;1.5,R66&gt;1.5,U66&gt;1.5,AD66&gt;1.5),"🔴 ALTO",IF(OR(O66&gt;1.3,R66&gt;1.3,U66&gt;1.3,AD66&gt;1.3,O66&lt;0.8,R66&lt;0.8,U66&lt;0.8,AD66&lt;0.8),"🟡 ATENÇÃO","🟢 OK")))</f>
        <v/>
      </c>
    </row>
    <row r="67">
      <c r="A67" s="311" t="n"/>
      <c r="B67" s="312" t="n"/>
      <c r="C67" s="312" t="n"/>
      <c r="D67" s="312" t="n"/>
      <c r="E67" s="312" t="n"/>
      <c r="F67" s="312" t="n"/>
      <c r="G67" s="312" t="n"/>
      <c r="H67" s="312" t="n"/>
      <c r="I67" s="312" t="n"/>
      <c r="J67" s="312" t="n"/>
      <c r="K67" s="312" t="n"/>
      <c r="L67" s="312">
        <f>IF(K67="","",K67*E67)</f>
        <v/>
      </c>
      <c r="M67" s="313">
        <f>IF(F67="","",0.25*F67+0.75*M66)</f>
        <v/>
      </c>
      <c r="N67" s="313">
        <f>IF(F67="","",(2/29)*F67+(27/29)*N66)</f>
        <v/>
      </c>
      <c r="O67" s="314">
        <f>IF(OR(N67="",N67=0),"",M67/N67)</f>
        <v/>
      </c>
      <c r="P67" s="313">
        <f>IF(G67="","",0.25*G67+0.75*P66)</f>
        <v/>
      </c>
      <c r="Q67" s="313">
        <f>IF(G67="","",(2/29)*G67+(27/29)*Q66)</f>
        <v/>
      </c>
      <c r="R67" s="314">
        <f>IF(OR(Q67="",Q67=0),"",P67/Q67)</f>
        <v/>
      </c>
      <c r="S67" s="313">
        <f>IF(H67="","",0.25*H67+0.75*S66)</f>
        <v/>
      </c>
      <c r="T67" s="313">
        <f>IF(H67="","",(2/29)*H67+(27/29)*T66)</f>
        <v/>
      </c>
      <c r="U67" s="314">
        <f>IF(OR(T67="",T67=0),"",S67/T67)</f>
        <v/>
      </c>
      <c r="V67" s="313">
        <f>IF(I67="","",0.25*I67+0.75*V66)</f>
        <v/>
      </c>
      <c r="W67" s="313">
        <f>IF(I67="","",(2/29)*I67+(27/29)*W66)</f>
        <v/>
      </c>
      <c r="X67" s="314">
        <f>IF(OR(W67="",W67=0),"",V67/W67)</f>
        <v/>
      </c>
      <c r="Y67" s="313">
        <f>IF(J67="","",0.25*J67+0.75*Y66)</f>
        <v/>
      </c>
      <c r="Z67" s="313">
        <f>IF(J67="","",(2/29)*J67+(27/29)*Z66)</f>
        <v/>
      </c>
      <c r="AA67" s="314">
        <f>IF(OR(Z67="",Z67=0),"",Y67/Z67)</f>
        <v/>
      </c>
      <c r="AB67" s="313">
        <f>IF(L67="","",0.25*L67+0.75*AB66)</f>
        <v/>
      </c>
      <c r="AC67" s="313">
        <f>IF(L67="","",(2/29)*L67+(27/29)*AC66)</f>
        <v/>
      </c>
      <c r="AD67" s="314">
        <f>IF(OR(AC67="",AC67=0),"",AB67/AC67)</f>
        <v/>
      </c>
      <c r="AE67" s="312">
        <f>IF(OR(O67="",R67="",U67="",AD67=""),"",IF(OR(O67&gt;1.5,R67&gt;1.5,U67&gt;1.5,AD67&gt;1.5),"🔴 ALTO",IF(OR(O67&gt;1.3,R67&gt;1.3,U67&gt;1.3,AD67&gt;1.3,O67&lt;0.8,R67&lt;0.8,U67&lt;0.8,AD67&lt;0.8),"🟡 ATENÇÃO","🟢 OK")))</f>
        <v/>
      </c>
    </row>
    <row r="68">
      <c r="A68" s="307" t="n"/>
      <c r="B68" s="308" t="n"/>
      <c r="C68" s="308" t="n"/>
      <c r="D68" s="308" t="n"/>
      <c r="E68" s="308" t="n"/>
      <c r="F68" s="308" t="n"/>
      <c r="G68" s="308" t="n"/>
      <c r="H68" s="308" t="n"/>
      <c r="I68" s="308" t="n"/>
      <c r="J68" s="308" t="n"/>
      <c r="K68" s="308" t="n"/>
      <c r="L68" s="308">
        <f>IF(K68="","",K68*E68)</f>
        <v/>
      </c>
      <c r="M68" s="309">
        <f>IF(F68="","",0.25*F68+0.75*M67)</f>
        <v/>
      </c>
      <c r="N68" s="309">
        <f>IF(F68="","",(2/29)*F68+(27/29)*N67)</f>
        <v/>
      </c>
      <c r="O68" s="310">
        <f>IF(OR(N68="",N68=0),"",M68/N68)</f>
        <v/>
      </c>
      <c r="P68" s="309">
        <f>IF(G68="","",0.25*G68+0.75*P67)</f>
        <v/>
      </c>
      <c r="Q68" s="309">
        <f>IF(G68="","",(2/29)*G68+(27/29)*Q67)</f>
        <v/>
      </c>
      <c r="R68" s="310">
        <f>IF(OR(Q68="",Q68=0),"",P68/Q68)</f>
        <v/>
      </c>
      <c r="S68" s="309">
        <f>IF(H68="","",0.25*H68+0.75*S67)</f>
        <v/>
      </c>
      <c r="T68" s="309">
        <f>IF(H68="","",(2/29)*H68+(27/29)*T67)</f>
        <v/>
      </c>
      <c r="U68" s="310">
        <f>IF(OR(T68="",T68=0),"",S68/T68)</f>
        <v/>
      </c>
      <c r="V68" s="309">
        <f>IF(I68="","",0.25*I68+0.75*V67)</f>
        <v/>
      </c>
      <c r="W68" s="309">
        <f>IF(I68="","",(2/29)*I68+(27/29)*W67)</f>
        <v/>
      </c>
      <c r="X68" s="310">
        <f>IF(OR(W68="",W68=0),"",V68/W68)</f>
        <v/>
      </c>
      <c r="Y68" s="309">
        <f>IF(J68="","",0.25*J68+0.75*Y67)</f>
        <v/>
      </c>
      <c r="Z68" s="309">
        <f>IF(J68="","",(2/29)*J68+(27/29)*Z67)</f>
        <v/>
      </c>
      <c r="AA68" s="310">
        <f>IF(OR(Z68="",Z68=0),"",Y68/Z68)</f>
        <v/>
      </c>
      <c r="AB68" s="309">
        <f>IF(L68="","",0.25*L68+0.75*AB67)</f>
        <v/>
      </c>
      <c r="AC68" s="309">
        <f>IF(L68="","",(2/29)*L68+(27/29)*AC67)</f>
        <v/>
      </c>
      <c r="AD68" s="310">
        <f>IF(OR(AC68="",AC68=0),"",AB68/AC68)</f>
        <v/>
      </c>
      <c r="AE68" s="308">
        <f>IF(OR(O68="",R68="",U68="",AD68=""),"",IF(OR(O68&gt;1.5,R68&gt;1.5,U68&gt;1.5,AD68&gt;1.5),"🔴 ALTO",IF(OR(O68&gt;1.3,R68&gt;1.3,U68&gt;1.3,AD68&gt;1.3,O68&lt;0.8,R68&lt;0.8,U68&lt;0.8,AD68&lt;0.8),"🟡 ATENÇÃO","🟢 OK")))</f>
        <v/>
      </c>
    </row>
    <row r="69">
      <c r="A69" s="311" t="n"/>
      <c r="B69" s="312" t="n"/>
      <c r="C69" s="312" t="n"/>
      <c r="D69" s="312" t="n"/>
      <c r="E69" s="312" t="n"/>
      <c r="F69" s="312" t="n"/>
      <c r="G69" s="312" t="n"/>
      <c r="H69" s="312" t="n"/>
      <c r="I69" s="312" t="n"/>
      <c r="J69" s="312" t="n"/>
      <c r="K69" s="312" t="n"/>
      <c r="L69" s="312">
        <f>IF(K69="","",K69*E69)</f>
        <v/>
      </c>
      <c r="M69" s="313">
        <f>IF(F69="","",0.25*F69+0.75*M68)</f>
        <v/>
      </c>
      <c r="N69" s="313">
        <f>IF(F69="","",(2/29)*F69+(27/29)*N68)</f>
        <v/>
      </c>
      <c r="O69" s="314">
        <f>IF(OR(N69="",N69=0),"",M69/N69)</f>
        <v/>
      </c>
      <c r="P69" s="313">
        <f>IF(G69="","",0.25*G69+0.75*P68)</f>
        <v/>
      </c>
      <c r="Q69" s="313">
        <f>IF(G69="","",(2/29)*G69+(27/29)*Q68)</f>
        <v/>
      </c>
      <c r="R69" s="314">
        <f>IF(OR(Q69="",Q69=0),"",P69/Q69)</f>
        <v/>
      </c>
      <c r="S69" s="313">
        <f>IF(H69="","",0.25*H69+0.75*S68)</f>
        <v/>
      </c>
      <c r="T69" s="313">
        <f>IF(H69="","",(2/29)*H69+(27/29)*T68)</f>
        <v/>
      </c>
      <c r="U69" s="314">
        <f>IF(OR(T69="",T69=0),"",S69/T69)</f>
        <v/>
      </c>
      <c r="V69" s="313">
        <f>IF(I69="","",0.25*I69+0.75*V68)</f>
        <v/>
      </c>
      <c r="W69" s="313">
        <f>IF(I69="","",(2/29)*I69+(27/29)*W68)</f>
        <v/>
      </c>
      <c r="X69" s="314">
        <f>IF(OR(W69="",W69=0),"",V69/W69)</f>
        <v/>
      </c>
      <c r="Y69" s="313">
        <f>IF(J69="","",0.25*J69+0.75*Y68)</f>
        <v/>
      </c>
      <c r="Z69" s="313">
        <f>IF(J69="","",(2/29)*J69+(27/29)*Z68)</f>
        <v/>
      </c>
      <c r="AA69" s="314">
        <f>IF(OR(Z69="",Z69=0),"",Y69/Z69)</f>
        <v/>
      </c>
      <c r="AB69" s="313">
        <f>IF(L69="","",0.25*L69+0.75*AB68)</f>
        <v/>
      </c>
      <c r="AC69" s="313">
        <f>IF(L69="","",(2/29)*L69+(27/29)*AC68)</f>
        <v/>
      </c>
      <c r="AD69" s="314">
        <f>IF(OR(AC69="",AC69=0),"",AB69/AC69)</f>
        <v/>
      </c>
      <c r="AE69" s="312">
        <f>IF(OR(O69="",R69="",U69="",AD69=""),"",IF(OR(O69&gt;1.5,R69&gt;1.5,U69&gt;1.5,AD69&gt;1.5),"🔴 ALTO",IF(OR(O69&gt;1.3,R69&gt;1.3,U69&gt;1.3,AD69&gt;1.3,O69&lt;0.8,R69&lt;0.8,U69&lt;0.8,AD69&lt;0.8),"🟡 ATENÇÃO","🟢 OK")))</f>
        <v/>
      </c>
    </row>
    <row r="70">
      <c r="A70" s="307" t="n"/>
      <c r="B70" s="308" t="n"/>
      <c r="C70" s="308" t="n"/>
      <c r="D70" s="308" t="n"/>
      <c r="E70" s="308" t="n"/>
      <c r="F70" s="308" t="n"/>
      <c r="G70" s="308" t="n"/>
      <c r="H70" s="308" t="n"/>
      <c r="I70" s="308" t="n"/>
      <c r="J70" s="308" t="n"/>
      <c r="K70" s="308" t="n"/>
      <c r="L70" s="308">
        <f>IF(K70="","",K70*E70)</f>
        <v/>
      </c>
      <c r="M70" s="309">
        <f>IF(F70="","",0.25*F70+0.75*M69)</f>
        <v/>
      </c>
      <c r="N70" s="309">
        <f>IF(F70="","",(2/29)*F70+(27/29)*N69)</f>
        <v/>
      </c>
      <c r="O70" s="310">
        <f>IF(OR(N70="",N70=0),"",M70/N70)</f>
        <v/>
      </c>
      <c r="P70" s="309">
        <f>IF(G70="","",0.25*G70+0.75*P69)</f>
        <v/>
      </c>
      <c r="Q70" s="309">
        <f>IF(G70="","",(2/29)*G70+(27/29)*Q69)</f>
        <v/>
      </c>
      <c r="R70" s="310">
        <f>IF(OR(Q70="",Q70=0),"",P70/Q70)</f>
        <v/>
      </c>
      <c r="S70" s="309">
        <f>IF(H70="","",0.25*H70+0.75*S69)</f>
        <v/>
      </c>
      <c r="T70" s="309">
        <f>IF(H70="","",(2/29)*H70+(27/29)*T69)</f>
        <v/>
      </c>
      <c r="U70" s="310">
        <f>IF(OR(T70="",T70=0),"",S70/T70)</f>
        <v/>
      </c>
      <c r="V70" s="309">
        <f>IF(I70="","",0.25*I70+0.75*V69)</f>
        <v/>
      </c>
      <c r="W70" s="309">
        <f>IF(I70="","",(2/29)*I70+(27/29)*W69)</f>
        <v/>
      </c>
      <c r="X70" s="310">
        <f>IF(OR(W70="",W70=0),"",V70/W70)</f>
        <v/>
      </c>
      <c r="Y70" s="309">
        <f>IF(J70="","",0.25*J70+0.75*Y69)</f>
        <v/>
      </c>
      <c r="Z70" s="309">
        <f>IF(J70="","",(2/29)*J70+(27/29)*Z69)</f>
        <v/>
      </c>
      <c r="AA70" s="310">
        <f>IF(OR(Z70="",Z70=0),"",Y70/Z70)</f>
        <v/>
      </c>
      <c r="AB70" s="309">
        <f>IF(L70="","",0.25*L70+0.75*AB69)</f>
        <v/>
      </c>
      <c r="AC70" s="309">
        <f>IF(L70="","",(2/29)*L70+(27/29)*AC69)</f>
        <v/>
      </c>
      <c r="AD70" s="310">
        <f>IF(OR(AC70="",AC70=0),"",AB70/AC70)</f>
        <v/>
      </c>
      <c r="AE70" s="308">
        <f>IF(OR(O70="",R70="",U70="",AD70=""),"",IF(OR(O70&gt;1.5,R70&gt;1.5,U70&gt;1.5,AD70&gt;1.5),"🔴 ALTO",IF(OR(O70&gt;1.3,R70&gt;1.3,U70&gt;1.3,AD70&gt;1.3,O70&lt;0.8,R70&lt;0.8,U70&lt;0.8,AD70&lt;0.8),"🟡 ATENÇÃO","🟢 OK")))</f>
        <v/>
      </c>
    </row>
    <row r="71">
      <c r="A71" s="311" t="n"/>
      <c r="B71" s="312" t="n"/>
      <c r="C71" s="312" t="n"/>
      <c r="D71" s="312" t="n"/>
      <c r="E71" s="312" t="n"/>
      <c r="F71" s="312" t="n"/>
      <c r="G71" s="312" t="n"/>
      <c r="H71" s="312" t="n"/>
      <c r="I71" s="312" t="n"/>
      <c r="J71" s="312" t="n"/>
      <c r="K71" s="312" t="n"/>
      <c r="L71" s="312">
        <f>IF(K71="","",K71*E71)</f>
        <v/>
      </c>
      <c r="M71" s="313">
        <f>IF(F71="","",0.25*F71+0.75*M70)</f>
        <v/>
      </c>
      <c r="N71" s="313">
        <f>IF(F71="","",(2/29)*F71+(27/29)*N70)</f>
        <v/>
      </c>
      <c r="O71" s="314">
        <f>IF(OR(N71="",N71=0),"",M71/N71)</f>
        <v/>
      </c>
      <c r="P71" s="313">
        <f>IF(G71="","",0.25*G71+0.75*P70)</f>
        <v/>
      </c>
      <c r="Q71" s="313">
        <f>IF(G71="","",(2/29)*G71+(27/29)*Q70)</f>
        <v/>
      </c>
      <c r="R71" s="314">
        <f>IF(OR(Q71="",Q71=0),"",P71/Q71)</f>
        <v/>
      </c>
      <c r="S71" s="313">
        <f>IF(H71="","",0.25*H71+0.75*S70)</f>
        <v/>
      </c>
      <c r="T71" s="313">
        <f>IF(H71="","",(2/29)*H71+(27/29)*T70)</f>
        <v/>
      </c>
      <c r="U71" s="314">
        <f>IF(OR(T71="",T71=0),"",S71/T71)</f>
        <v/>
      </c>
      <c r="V71" s="313">
        <f>IF(I71="","",0.25*I71+0.75*V70)</f>
        <v/>
      </c>
      <c r="W71" s="313">
        <f>IF(I71="","",(2/29)*I71+(27/29)*W70)</f>
        <v/>
      </c>
      <c r="X71" s="314">
        <f>IF(OR(W71="",W71=0),"",V71/W71)</f>
        <v/>
      </c>
      <c r="Y71" s="313">
        <f>IF(J71="","",0.25*J71+0.75*Y70)</f>
        <v/>
      </c>
      <c r="Z71" s="313">
        <f>IF(J71="","",(2/29)*J71+(27/29)*Z70)</f>
        <v/>
      </c>
      <c r="AA71" s="314">
        <f>IF(OR(Z71="",Z71=0),"",Y71/Z71)</f>
        <v/>
      </c>
      <c r="AB71" s="313">
        <f>IF(L71="","",0.25*L71+0.75*AB70)</f>
        <v/>
      </c>
      <c r="AC71" s="313">
        <f>IF(L71="","",(2/29)*L71+(27/29)*AC70)</f>
        <v/>
      </c>
      <c r="AD71" s="314">
        <f>IF(OR(AC71="",AC71=0),"",AB71/AC71)</f>
        <v/>
      </c>
      <c r="AE71" s="312">
        <f>IF(OR(O71="",R71="",U71="",AD71=""),"",IF(OR(O71&gt;1.5,R71&gt;1.5,U71&gt;1.5,AD71&gt;1.5),"🔴 ALTO",IF(OR(O71&gt;1.3,R71&gt;1.3,U71&gt;1.3,AD71&gt;1.3,O71&lt;0.8,R71&lt;0.8,U71&lt;0.8,AD71&lt;0.8),"🟡 ATENÇÃO","🟢 OK")))</f>
        <v/>
      </c>
    </row>
    <row r="72">
      <c r="A72" s="307" t="n"/>
      <c r="B72" s="308" t="n"/>
      <c r="C72" s="308" t="n"/>
      <c r="D72" s="308" t="n"/>
      <c r="E72" s="308" t="n"/>
      <c r="F72" s="308" t="n"/>
      <c r="G72" s="308" t="n"/>
      <c r="H72" s="308" t="n"/>
      <c r="I72" s="308" t="n"/>
      <c r="J72" s="308" t="n"/>
      <c r="K72" s="308" t="n"/>
      <c r="L72" s="308">
        <f>IF(K72="","",K72*E72)</f>
        <v/>
      </c>
      <c r="M72" s="309">
        <f>IF(F72="","",0.25*F72+0.75*M71)</f>
        <v/>
      </c>
      <c r="N72" s="309">
        <f>IF(F72="","",(2/29)*F72+(27/29)*N71)</f>
        <v/>
      </c>
      <c r="O72" s="310">
        <f>IF(OR(N72="",N72=0),"",M72/N72)</f>
        <v/>
      </c>
      <c r="P72" s="309">
        <f>IF(G72="","",0.25*G72+0.75*P71)</f>
        <v/>
      </c>
      <c r="Q72" s="309">
        <f>IF(G72="","",(2/29)*G72+(27/29)*Q71)</f>
        <v/>
      </c>
      <c r="R72" s="310">
        <f>IF(OR(Q72="",Q72=0),"",P72/Q72)</f>
        <v/>
      </c>
      <c r="S72" s="309">
        <f>IF(H72="","",0.25*H72+0.75*S71)</f>
        <v/>
      </c>
      <c r="T72" s="309">
        <f>IF(H72="","",(2/29)*H72+(27/29)*T71)</f>
        <v/>
      </c>
      <c r="U72" s="310">
        <f>IF(OR(T72="",T72=0),"",S72/T72)</f>
        <v/>
      </c>
      <c r="V72" s="309">
        <f>IF(I72="","",0.25*I72+0.75*V71)</f>
        <v/>
      </c>
      <c r="W72" s="309">
        <f>IF(I72="","",(2/29)*I72+(27/29)*W71)</f>
        <v/>
      </c>
      <c r="X72" s="310">
        <f>IF(OR(W72="",W72=0),"",V72/W72)</f>
        <v/>
      </c>
      <c r="Y72" s="309">
        <f>IF(J72="","",0.25*J72+0.75*Y71)</f>
        <v/>
      </c>
      <c r="Z72" s="309">
        <f>IF(J72="","",(2/29)*J72+(27/29)*Z71)</f>
        <v/>
      </c>
      <c r="AA72" s="310">
        <f>IF(OR(Z72="",Z72=0),"",Y72/Z72)</f>
        <v/>
      </c>
      <c r="AB72" s="309">
        <f>IF(L72="","",0.25*L72+0.75*AB71)</f>
        <v/>
      </c>
      <c r="AC72" s="309">
        <f>IF(L72="","",(2/29)*L72+(27/29)*AC71)</f>
        <v/>
      </c>
      <c r="AD72" s="310">
        <f>IF(OR(AC72="",AC72=0),"",AB72/AC72)</f>
        <v/>
      </c>
      <c r="AE72" s="308">
        <f>IF(OR(O72="",R72="",U72="",AD72=""),"",IF(OR(O72&gt;1.5,R72&gt;1.5,U72&gt;1.5,AD72&gt;1.5),"🔴 ALTO",IF(OR(O72&gt;1.3,R72&gt;1.3,U72&gt;1.3,AD72&gt;1.3,O72&lt;0.8,R72&lt;0.8,U72&lt;0.8,AD72&lt;0.8),"🟡 ATENÇÃO","🟢 OK")))</f>
        <v/>
      </c>
    </row>
    <row r="73">
      <c r="A73" s="311" t="n"/>
      <c r="B73" s="312" t="n"/>
      <c r="C73" s="312" t="n"/>
      <c r="D73" s="312" t="n"/>
      <c r="E73" s="312" t="n"/>
      <c r="F73" s="312" t="n"/>
      <c r="G73" s="312" t="n"/>
      <c r="H73" s="312" t="n"/>
      <c r="I73" s="312" t="n"/>
      <c r="J73" s="312" t="n"/>
      <c r="K73" s="312" t="n"/>
      <c r="L73" s="312">
        <f>IF(K73="","",K73*E73)</f>
        <v/>
      </c>
      <c r="M73" s="313">
        <f>IF(F73="","",0.25*F73+0.75*M72)</f>
        <v/>
      </c>
      <c r="N73" s="313">
        <f>IF(F73="","",(2/29)*F73+(27/29)*N72)</f>
        <v/>
      </c>
      <c r="O73" s="314">
        <f>IF(OR(N73="",N73=0),"",M73/N73)</f>
        <v/>
      </c>
      <c r="P73" s="313">
        <f>IF(G73="","",0.25*G73+0.75*P72)</f>
        <v/>
      </c>
      <c r="Q73" s="313">
        <f>IF(G73="","",(2/29)*G73+(27/29)*Q72)</f>
        <v/>
      </c>
      <c r="R73" s="314">
        <f>IF(OR(Q73="",Q73=0),"",P73/Q73)</f>
        <v/>
      </c>
      <c r="S73" s="313">
        <f>IF(H73="","",0.25*H73+0.75*S72)</f>
        <v/>
      </c>
      <c r="T73" s="313">
        <f>IF(H73="","",(2/29)*H73+(27/29)*T72)</f>
        <v/>
      </c>
      <c r="U73" s="314">
        <f>IF(OR(T73="",T73=0),"",S73/T73)</f>
        <v/>
      </c>
      <c r="V73" s="313">
        <f>IF(I73="","",0.25*I73+0.75*V72)</f>
        <v/>
      </c>
      <c r="W73" s="313">
        <f>IF(I73="","",(2/29)*I73+(27/29)*W72)</f>
        <v/>
      </c>
      <c r="X73" s="314">
        <f>IF(OR(W73="",W73=0),"",V73/W73)</f>
        <v/>
      </c>
      <c r="Y73" s="313">
        <f>IF(J73="","",0.25*J73+0.75*Y72)</f>
        <v/>
      </c>
      <c r="Z73" s="313">
        <f>IF(J73="","",(2/29)*J73+(27/29)*Z72)</f>
        <v/>
      </c>
      <c r="AA73" s="314">
        <f>IF(OR(Z73="",Z73=0),"",Y73/Z73)</f>
        <v/>
      </c>
      <c r="AB73" s="313">
        <f>IF(L73="","",0.25*L73+0.75*AB72)</f>
        <v/>
      </c>
      <c r="AC73" s="313">
        <f>IF(L73="","",(2/29)*L73+(27/29)*AC72)</f>
        <v/>
      </c>
      <c r="AD73" s="314">
        <f>IF(OR(AC73="",AC73=0),"",AB73/AC73)</f>
        <v/>
      </c>
      <c r="AE73" s="312">
        <f>IF(OR(O73="",R73="",U73="",AD73=""),"",IF(OR(O73&gt;1.5,R73&gt;1.5,U73&gt;1.5,AD73&gt;1.5),"🔴 ALTO",IF(OR(O73&gt;1.3,R73&gt;1.3,U73&gt;1.3,AD73&gt;1.3,O73&lt;0.8,R73&lt;0.8,U73&lt;0.8,AD73&lt;0.8),"🟡 ATENÇÃO","🟢 OK")))</f>
        <v/>
      </c>
    </row>
    <row r="74">
      <c r="A74" s="307" t="n"/>
      <c r="B74" s="308" t="n"/>
      <c r="C74" s="308" t="n"/>
      <c r="D74" s="308" t="n"/>
      <c r="E74" s="308" t="n"/>
      <c r="F74" s="308" t="n"/>
      <c r="G74" s="308" t="n"/>
      <c r="H74" s="308" t="n"/>
      <c r="I74" s="308" t="n"/>
      <c r="J74" s="308" t="n"/>
      <c r="K74" s="308" t="n"/>
      <c r="L74" s="308">
        <f>IF(K74="","",K74*E74)</f>
        <v/>
      </c>
      <c r="M74" s="309">
        <f>IF(F74="","",0.25*F74+0.75*M73)</f>
        <v/>
      </c>
      <c r="N74" s="309">
        <f>IF(F74="","",(2/29)*F74+(27/29)*N73)</f>
        <v/>
      </c>
      <c r="O74" s="310">
        <f>IF(OR(N74="",N74=0),"",M74/N74)</f>
        <v/>
      </c>
      <c r="P74" s="309">
        <f>IF(G74="","",0.25*G74+0.75*P73)</f>
        <v/>
      </c>
      <c r="Q74" s="309">
        <f>IF(G74="","",(2/29)*G74+(27/29)*Q73)</f>
        <v/>
      </c>
      <c r="R74" s="310">
        <f>IF(OR(Q74="",Q74=0),"",P74/Q74)</f>
        <v/>
      </c>
      <c r="S74" s="309">
        <f>IF(H74="","",0.25*H74+0.75*S73)</f>
        <v/>
      </c>
      <c r="T74" s="309">
        <f>IF(H74="","",(2/29)*H74+(27/29)*T73)</f>
        <v/>
      </c>
      <c r="U74" s="310">
        <f>IF(OR(T74="",T74=0),"",S74/T74)</f>
        <v/>
      </c>
      <c r="V74" s="309">
        <f>IF(I74="","",0.25*I74+0.75*V73)</f>
        <v/>
      </c>
      <c r="W74" s="309">
        <f>IF(I74="","",(2/29)*I74+(27/29)*W73)</f>
        <v/>
      </c>
      <c r="X74" s="310">
        <f>IF(OR(W74="",W74=0),"",V74/W74)</f>
        <v/>
      </c>
      <c r="Y74" s="309">
        <f>IF(J74="","",0.25*J74+0.75*Y73)</f>
        <v/>
      </c>
      <c r="Z74" s="309">
        <f>IF(J74="","",(2/29)*J74+(27/29)*Z73)</f>
        <v/>
      </c>
      <c r="AA74" s="310">
        <f>IF(OR(Z74="",Z74=0),"",Y74/Z74)</f>
        <v/>
      </c>
      <c r="AB74" s="309">
        <f>IF(L74="","",0.25*L74+0.75*AB73)</f>
        <v/>
      </c>
      <c r="AC74" s="309">
        <f>IF(L74="","",(2/29)*L74+(27/29)*AC73)</f>
        <v/>
      </c>
      <c r="AD74" s="310">
        <f>IF(OR(AC74="",AC74=0),"",AB74/AC74)</f>
        <v/>
      </c>
      <c r="AE74" s="308">
        <f>IF(OR(O74="",R74="",U74="",AD74=""),"",IF(OR(O74&gt;1.5,R74&gt;1.5,U74&gt;1.5,AD74&gt;1.5),"🔴 ALTO",IF(OR(O74&gt;1.3,R74&gt;1.3,U74&gt;1.3,AD74&gt;1.3,O74&lt;0.8,R74&lt;0.8,U74&lt;0.8,AD74&lt;0.8),"🟡 ATENÇÃO","🟢 OK")))</f>
        <v/>
      </c>
    </row>
    <row r="75">
      <c r="A75" s="311" t="n"/>
      <c r="B75" s="312" t="n"/>
      <c r="C75" s="312" t="n"/>
      <c r="D75" s="312" t="n"/>
      <c r="E75" s="312" t="n"/>
      <c r="F75" s="312" t="n"/>
      <c r="G75" s="312" t="n"/>
      <c r="H75" s="312" t="n"/>
      <c r="I75" s="312" t="n"/>
      <c r="J75" s="312" t="n"/>
      <c r="K75" s="312" t="n"/>
      <c r="L75" s="312">
        <f>IF(K75="","",K75*E75)</f>
        <v/>
      </c>
      <c r="M75" s="313">
        <f>IF(F75="","",0.25*F75+0.75*M74)</f>
        <v/>
      </c>
      <c r="N75" s="313">
        <f>IF(F75="","",(2/29)*F75+(27/29)*N74)</f>
        <v/>
      </c>
      <c r="O75" s="314">
        <f>IF(OR(N75="",N75=0),"",M75/N75)</f>
        <v/>
      </c>
      <c r="P75" s="313">
        <f>IF(G75="","",0.25*G75+0.75*P74)</f>
        <v/>
      </c>
      <c r="Q75" s="313">
        <f>IF(G75="","",(2/29)*G75+(27/29)*Q74)</f>
        <v/>
      </c>
      <c r="R75" s="314">
        <f>IF(OR(Q75="",Q75=0),"",P75/Q75)</f>
        <v/>
      </c>
      <c r="S75" s="313">
        <f>IF(H75="","",0.25*H75+0.75*S74)</f>
        <v/>
      </c>
      <c r="T75" s="313">
        <f>IF(H75="","",(2/29)*H75+(27/29)*T74)</f>
        <v/>
      </c>
      <c r="U75" s="314">
        <f>IF(OR(T75="",T75=0),"",S75/T75)</f>
        <v/>
      </c>
      <c r="V75" s="313">
        <f>IF(I75="","",0.25*I75+0.75*V74)</f>
        <v/>
      </c>
      <c r="W75" s="313">
        <f>IF(I75="","",(2/29)*I75+(27/29)*W74)</f>
        <v/>
      </c>
      <c r="X75" s="314">
        <f>IF(OR(W75="",W75=0),"",V75/W75)</f>
        <v/>
      </c>
      <c r="Y75" s="313">
        <f>IF(J75="","",0.25*J75+0.75*Y74)</f>
        <v/>
      </c>
      <c r="Z75" s="313">
        <f>IF(J75="","",(2/29)*J75+(27/29)*Z74)</f>
        <v/>
      </c>
      <c r="AA75" s="314">
        <f>IF(OR(Z75="",Z75=0),"",Y75/Z75)</f>
        <v/>
      </c>
      <c r="AB75" s="313">
        <f>IF(L75="","",0.25*L75+0.75*AB74)</f>
        <v/>
      </c>
      <c r="AC75" s="313">
        <f>IF(L75="","",(2/29)*L75+(27/29)*AC74)</f>
        <v/>
      </c>
      <c r="AD75" s="314">
        <f>IF(OR(AC75="",AC75=0),"",AB75/AC75)</f>
        <v/>
      </c>
      <c r="AE75" s="312">
        <f>IF(OR(O75="",R75="",U75="",AD75=""),"",IF(OR(O75&gt;1.5,R75&gt;1.5,U75&gt;1.5,AD75&gt;1.5),"🔴 ALTO",IF(OR(O75&gt;1.3,R75&gt;1.3,U75&gt;1.3,AD75&gt;1.3,O75&lt;0.8,R75&lt;0.8,U75&lt;0.8,AD75&lt;0.8),"🟡 ATENÇÃO","🟢 OK")))</f>
        <v/>
      </c>
    </row>
    <row r="76">
      <c r="A76" s="307" t="n"/>
      <c r="B76" s="308" t="n"/>
      <c r="C76" s="308" t="n"/>
      <c r="D76" s="308" t="n"/>
      <c r="E76" s="308" t="n"/>
      <c r="F76" s="308" t="n"/>
      <c r="G76" s="308" t="n"/>
      <c r="H76" s="308" t="n"/>
      <c r="I76" s="308" t="n"/>
      <c r="J76" s="308" t="n"/>
      <c r="K76" s="308" t="n"/>
      <c r="L76" s="308">
        <f>IF(K76="","",K76*E76)</f>
        <v/>
      </c>
      <c r="M76" s="309">
        <f>IF(F76="","",0.25*F76+0.75*M75)</f>
        <v/>
      </c>
      <c r="N76" s="309">
        <f>IF(F76="","",(2/29)*F76+(27/29)*N75)</f>
        <v/>
      </c>
      <c r="O76" s="310">
        <f>IF(OR(N76="",N76=0),"",M76/N76)</f>
        <v/>
      </c>
      <c r="P76" s="309">
        <f>IF(G76="","",0.25*G76+0.75*P75)</f>
        <v/>
      </c>
      <c r="Q76" s="309">
        <f>IF(G76="","",(2/29)*G76+(27/29)*Q75)</f>
        <v/>
      </c>
      <c r="R76" s="310">
        <f>IF(OR(Q76="",Q76=0),"",P76/Q76)</f>
        <v/>
      </c>
      <c r="S76" s="309">
        <f>IF(H76="","",0.25*H76+0.75*S75)</f>
        <v/>
      </c>
      <c r="T76" s="309">
        <f>IF(H76="","",(2/29)*H76+(27/29)*T75)</f>
        <v/>
      </c>
      <c r="U76" s="310">
        <f>IF(OR(T76="",T76=0),"",S76/T76)</f>
        <v/>
      </c>
      <c r="V76" s="309">
        <f>IF(I76="","",0.25*I76+0.75*V75)</f>
        <v/>
      </c>
      <c r="W76" s="309">
        <f>IF(I76="","",(2/29)*I76+(27/29)*W75)</f>
        <v/>
      </c>
      <c r="X76" s="310">
        <f>IF(OR(W76="",W76=0),"",V76/W76)</f>
        <v/>
      </c>
      <c r="Y76" s="309">
        <f>IF(J76="","",0.25*J76+0.75*Y75)</f>
        <v/>
      </c>
      <c r="Z76" s="309">
        <f>IF(J76="","",(2/29)*J76+(27/29)*Z75)</f>
        <v/>
      </c>
      <c r="AA76" s="310">
        <f>IF(OR(Z76="",Z76=0),"",Y76/Z76)</f>
        <v/>
      </c>
      <c r="AB76" s="309">
        <f>IF(L76="","",0.25*L76+0.75*AB75)</f>
        <v/>
      </c>
      <c r="AC76" s="309">
        <f>IF(L76="","",(2/29)*L76+(27/29)*AC75)</f>
        <v/>
      </c>
      <c r="AD76" s="310">
        <f>IF(OR(AC76="",AC76=0),"",AB76/AC76)</f>
        <v/>
      </c>
      <c r="AE76" s="308">
        <f>IF(OR(O76="",R76="",U76="",AD76=""),"",IF(OR(O76&gt;1.5,R76&gt;1.5,U76&gt;1.5,AD76&gt;1.5),"🔴 ALTO",IF(OR(O76&gt;1.3,R76&gt;1.3,U76&gt;1.3,AD76&gt;1.3,O76&lt;0.8,R76&lt;0.8,U76&lt;0.8,AD76&lt;0.8),"🟡 ATENÇÃO","🟢 OK")))</f>
        <v/>
      </c>
    </row>
    <row r="77">
      <c r="A77" s="311" t="n"/>
      <c r="B77" s="312" t="n"/>
      <c r="C77" s="312" t="n"/>
      <c r="D77" s="312" t="n"/>
      <c r="E77" s="312" t="n"/>
      <c r="F77" s="312" t="n"/>
      <c r="G77" s="312" t="n"/>
      <c r="H77" s="312" t="n"/>
      <c r="I77" s="312" t="n"/>
      <c r="J77" s="312" t="n"/>
      <c r="K77" s="312" t="n"/>
      <c r="L77" s="312">
        <f>IF(K77="","",K77*E77)</f>
        <v/>
      </c>
      <c r="M77" s="313">
        <f>IF(F77="","",0.25*F77+0.75*M76)</f>
        <v/>
      </c>
      <c r="N77" s="313">
        <f>IF(F77="","",(2/29)*F77+(27/29)*N76)</f>
        <v/>
      </c>
      <c r="O77" s="314">
        <f>IF(OR(N77="",N77=0),"",M77/N77)</f>
        <v/>
      </c>
      <c r="P77" s="313">
        <f>IF(G77="","",0.25*G77+0.75*P76)</f>
        <v/>
      </c>
      <c r="Q77" s="313">
        <f>IF(G77="","",(2/29)*G77+(27/29)*Q76)</f>
        <v/>
      </c>
      <c r="R77" s="314">
        <f>IF(OR(Q77="",Q77=0),"",P77/Q77)</f>
        <v/>
      </c>
      <c r="S77" s="313">
        <f>IF(H77="","",0.25*H77+0.75*S76)</f>
        <v/>
      </c>
      <c r="T77" s="313">
        <f>IF(H77="","",(2/29)*H77+(27/29)*T76)</f>
        <v/>
      </c>
      <c r="U77" s="314">
        <f>IF(OR(T77="",T77=0),"",S77/T77)</f>
        <v/>
      </c>
      <c r="V77" s="313">
        <f>IF(I77="","",0.25*I77+0.75*V76)</f>
        <v/>
      </c>
      <c r="W77" s="313">
        <f>IF(I77="","",(2/29)*I77+(27/29)*W76)</f>
        <v/>
      </c>
      <c r="X77" s="314">
        <f>IF(OR(W77="",W77=0),"",V77/W77)</f>
        <v/>
      </c>
      <c r="Y77" s="313">
        <f>IF(J77="","",0.25*J77+0.75*Y76)</f>
        <v/>
      </c>
      <c r="Z77" s="313">
        <f>IF(J77="","",(2/29)*J77+(27/29)*Z76)</f>
        <v/>
      </c>
      <c r="AA77" s="314">
        <f>IF(OR(Z77="",Z77=0),"",Y77/Z77)</f>
        <v/>
      </c>
      <c r="AB77" s="313">
        <f>IF(L77="","",0.25*L77+0.75*AB76)</f>
        <v/>
      </c>
      <c r="AC77" s="313">
        <f>IF(L77="","",(2/29)*L77+(27/29)*AC76)</f>
        <v/>
      </c>
      <c r="AD77" s="314">
        <f>IF(OR(AC77="",AC77=0),"",AB77/AC77)</f>
        <v/>
      </c>
      <c r="AE77" s="312">
        <f>IF(OR(O77="",R77="",U77="",AD77=""),"",IF(OR(O77&gt;1.5,R77&gt;1.5,U77&gt;1.5,AD77&gt;1.5),"🔴 ALTO",IF(OR(O77&gt;1.3,R77&gt;1.3,U77&gt;1.3,AD77&gt;1.3,O77&lt;0.8,R77&lt;0.8,U77&lt;0.8,AD77&lt;0.8),"🟡 ATENÇÃO","🟢 OK")))</f>
        <v/>
      </c>
    </row>
    <row r="78">
      <c r="A78" s="307" t="n"/>
      <c r="B78" s="308" t="n"/>
      <c r="C78" s="308" t="n"/>
      <c r="D78" s="308" t="n"/>
      <c r="E78" s="308" t="n"/>
      <c r="F78" s="308" t="n"/>
      <c r="G78" s="308" t="n"/>
      <c r="H78" s="308" t="n"/>
      <c r="I78" s="308" t="n"/>
      <c r="J78" s="308" t="n"/>
      <c r="K78" s="308" t="n"/>
      <c r="L78" s="308">
        <f>IF(K78="","",K78*E78)</f>
        <v/>
      </c>
      <c r="M78" s="309">
        <f>IF(F78="","",0.25*F78+0.75*M77)</f>
        <v/>
      </c>
      <c r="N78" s="309">
        <f>IF(F78="","",(2/29)*F78+(27/29)*N77)</f>
        <v/>
      </c>
      <c r="O78" s="310">
        <f>IF(OR(N78="",N78=0),"",M78/N78)</f>
        <v/>
      </c>
      <c r="P78" s="309">
        <f>IF(G78="","",0.25*G78+0.75*P77)</f>
        <v/>
      </c>
      <c r="Q78" s="309">
        <f>IF(G78="","",(2/29)*G78+(27/29)*Q77)</f>
        <v/>
      </c>
      <c r="R78" s="310">
        <f>IF(OR(Q78="",Q78=0),"",P78/Q78)</f>
        <v/>
      </c>
      <c r="S78" s="309">
        <f>IF(H78="","",0.25*H78+0.75*S77)</f>
        <v/>
      </c>
      <c r="T78" s="309">
        <f>IF(H78="","",(2/29)*H78+(27/29)*T77)</f>
        <v/>
      </c>
      <c r="U78" s="310">
        <f>IF(OR(T78="",T78=0),"",S78/T78)</f>
        <v/>
      </c>
      <c r="V78" s="309">
        <f>IF(I78="","",0.25*I78+0.75*V77)</f>
        <v/>
      </c>
      <c r="W78" s="309">
        <f>IF(I78="","",(2/29)*I78+(27/29)*W77)</f>
        <v/>
      </c>
      <c r="X78" s="310">
        <f>IF(OR(W78="",W78=0),"",V78/W78)</f>
        <v/>
      </c>
      <c r="Y78" s="309">
        <f>IF(J78="","",0.25*J78+0.75*Y77)</f>
        <v/>
      </c>
      <c r="Z78" s="309">
        <f>IF(J78="","",(2/29)*J78+(27/29)*Z77)</f>
        <v/>
      </c>
      <c r="AA78" s="310">
        <f>IF(OR(Z78="",Z78=0),"",Y78/Z78)</f>
        <v/>
      </c>
      <c r="AB78" s="309">
        <f>IF(L78="","",0.25*L78+0.75*AB77)</f>
        <v/>
      </c>
      <c r="AC78" s="309">
        <f>IF(L78="","",(2/29)*L78+(27/29)*AC77)</f>
        <v/>
      </c>
      <c r="AD78" s="310">
        <f>IF(OR(AC78="",AC78=0),"",AB78/AC78)</f>
        <v/>
      </c>
      <c r="AE78" s="308">
        <f>IF(OR(O78="",R78="",U78="",AD78=""),"",IF(OR(O78&gt;1.5,R78&gt;1.5,U78&gt;1.5,AD78&gt;1.5),"🔴 ALTO",IF(OR(O78&gt;1.3,R78&gt;1.3,U78&gt;1.3,AD78&gt;1.3,O78&lt;0.8,R78&lt;0.8,U78&lt;0.8,AD78&lt;0.8),"🟡 ATENÇÃO","🟢 OK")))</f>
        <v/>
      </c>
    </row>
    <row r="79">
      <c r="A79" s="311" t="n"/>
      <c r="B79" s="312" t="n"/>
      <c r="C79" s="312" t="n"/>
      <c r="D79" s="312" t="n"/>
      <c r="E79" s="312" t="n"/>
      <c r="F79" s="312" t="n"/>
      <c r="G79" s="312" t="n"/>
      <c r="H79" s="312" t="n"/>
      <c r="I79" s="312" t="n"/>
      <c r="J79" s="312" t="n"/>
      <c r="K79" s="312" t="n"/>
      <c r="L79" s="312">
        <f>IF(K79="","",K79*E79)</f>
        <v/>
      </c>
      <c r="M79" s="313">
        <f>IF(F79="","",0.25*F79+0.75*M78)</f>
        <v/>
      </c>
      <c r="N79" s="313">
        <f>IF(F79="","",(2/29)*F79+(27/29)*N78)</f>
        <v/>
      </c>
      <c r="O79" s="314">
        <f>IF(OR(N79="",N79=0),"",M79/N79)</f>
        <v/>
      </c>
      <c r="P79" s="313">
        <f>IF(G79="","",0.25*G79+0.75*P78)</f>
        <v/>
      </c>
      <c r="Q79" s="313">
        <f>IF(G79="","",(2/29)*G79+(27/29)*Q78)</f>
        <v/>
      </c>
      <c r="R79" s="314">
        <f>IF(OR(Q79="",Q79=0),"",P79/Q79)</f>
        <v/>
      </c>
      <c r="S79" s="313">
        <f>IF(H79="","",0.25*H79+0.75*S78)</f>
        <v/>
      </c>
      <c r="T79" s="313">
        <f>IF(H79="","",(2/29)*H79+(27/29)*T78)</f>
        <v/>
      </c>
      <c r="U79" s="314">
        <f>IF(OR(T79="",T79=0),"",S79/T79)</f>
        <v/>
      </c>
      <c r="V79" s="313">
        <f>IF(I79="","",0.25*I79+0.75*V78)</f>
        <v/>
      </c>
      <c r="W79" s="313">
        <f>IF(I79="","",(2/29)*I79+(27/29)*W78)</f>
        <v/>
      </c>
      <c r="X79" s="314">
        <f>IF(OR(W79="",W79=0),"",V79/W79)</f>
        <v/>
      </c>
      <c r="Y79" s="313">
        <f>IF(J79="","",0.25*J79+0.75*Y78)</f>
        <v/>
      </c>
      <c r="Z79" s="313">
        <f>IF(J79="","",(2/29)*J79+(27/29)*Z78)</f>
        <v/>
      </c>
      <c r="AA79" s="314">
        <f>IF(OR(Z79="",Z79=0),"",Y79/Z79)</f>
        <v/>
      </c>
      <c r="AB79" s="313">
        <f>IF(L79="","",0.25*L79+0.75*AB78)</f>
        <v/>
      </c>
      <c r="AC79" s="313">
        <f>IF(L79="","",(2/29)*L79+(27/29)*AC78)</f>
        <v/>
      </c>
      <c r="AD79" s="314">
        <f>IF(OR(AC79="",AC79=0),"",AB79/AC79)</f>
        <v/>
      </c>
      <c r="AE79" s="312">
        <f>IF(OR(O79="",R79="",U79="",AD79=""),"",IF(OR(O79&gt;1.5,R79&gt;1.5,U79&gt;1.5,AD79&gt;1.5),"🔴 ALTO",IF(OR(O79&gt;1.3,R79&gt;1.3,U79&gt;1.3,AD79&gt;1.3,O79&lt;0.8,R79&lt;0.8,U79&lt;0.8,AD79&lt;0.8),"🟡 ATENÇÃO","🟢 OK")))</f>
        <v/>
      </c>
    </row>
    <row r="80">
      <c r="A80" s="303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>
        <f>IF(K80="","",K80*E80)</f>
        <v/>
      </c>
      <c r="M80" s="305">
        <f>IF(F80="","",0.25*F80+0.75*M79)</f>
        <v/>
      </c>
      <c r="N80" s="305">
        <f>IF(F80="","",(2/29)*F80+(27/29)*N79)</f>
        <v/>
      </c>
      <c r="O80" s="306">
        <f>IF(OR(N80="",N80=0),"",M80/N80)</f>
        <v/>
      </c>
      <c r="P80" s="305">
        <f>IF(G80="","",0.25*G80+0.75*P79)</f>
        <v/>
      </c>
      <c r="Q80" s="305">
        <f>IF(G80="","",(2/29)*G80+(27/29)*Q79)</f>
        <v/>
      </c>
      <c r="R80" s="306">
        <f>IF(OR(Q80="",Q80=0),"",P80/Q80)</f>
        <v/>
      </c>
      <c r="S80" s="305">
        <f>IF(H80="","",0.25*H80+0.75*S79)</f>
        <v/>
      </c>
      <c r="T80" s="305">
        <f>IF(H80="","",(2/29)*H80+(27/29)*T79)</f>
        <v/>
      </c>
      <c r="U80" s="306">
        <f>IF(OR(T80="",T80=0),"",S80/T80)</f>
        <v/>
      </c>
      <c r="V80" s="305">
        <f>IF(I80="","",0.25*I80+0.75*V79)</f>
        <v/>
      </c>
      <c r="W80" s="305">
        <f>IF(I80="","",(2/29)*I80+(27/29)*W79)</f>
        <v/>
      </c>
      <c r="X80" s="306">
        <f>IF(OR(W80="",W80=0),"",V80/W80)</f>
        <v/>
      </c>
      <c r="Y80" s="305">
        <f>IF(J80="","",0.25*J80+0.75*Y79)</f>
        <v/>
      </c>
      <c r="Z80" s="305">
        <f>IF(J80="","",(2/29)*J80+(27/29)*Z79)</f>
        <v/>
      </c>
      <c r="AA80" s="306">
        <f>IF(OR(Z80="",Z80=0),"",Y80/Z80)</f>
        <v/>
      </c>
      <c r="AB80" s="305">
        <f>IF(L80="","",0.25*L80+0.75*AB79)</f>
        <v/>
      </c>
      <c r="AC80" s="305">
        <f>IF(L80="","",(2/29)*L80+(27/29)*AC79)</f>
        <v/>
      </c>
      <c r="AD80" s="306">
        <f>IF(OR(AC80="",AC80=0),"",AB80/AC80)</f>
        <v/>
      </c>
      <c r="AE80" s="304">
        <f>IF(OR(O80="",R80="",U80="",AD80=""),"",IF(OR(O80&gt;1.5,R80&gt;1.5,U80&gt;1.5,AD80&gt;1.5),"🔴 ALTO",IF(OR(O80&gt;1.3,R80&gt;1.3,U80&gt;1.3,AD80&gt;1.3,O80&lt;0.8,R80&lt;0.8,U80&lt;0.8,AD80&lt;0.8),"🟡 ATENÇÃO","🟢 OK")))</f>
        <v/>
      </c>
    </row>
    <row r="81">
      <c r="A81" s="2" t="n"/>
      <c r="L81">
        <f>IF(K81="","",K81*E81)</f>
        <v/>
      </c>
      <c r="M81" s="4">
        <f>IF(F81="","",0.25*F81+0.75*M80)</f>
        <v/>
      </c>
      <c r="N81" s="4">
        <f>IF(F81="","",(2/29)*F81+(27/29)*N80)</f>
        <v/>
      </c>
      <c r="O81" s="6">
        <f>IF(OR(N81="",N81=0),"",M81/N81)</f>
        <v/>
      </c>
      <c r="P81" s="4">
        <f>IF(G81="","",0.25*G81+0.75*P80)</f>
        <v/>
      </c>
      <c r="Q81" s="4">
        <f>IF(G81="","",(2/29)*G81+(27/29)*Q80)</f>
        <v/>
      </c>
      <c r="R81" s="6">
        <f>IF(OR(Q81="",Q81=0),"",P81/Q81)</f>
        <v/>
      </c>
      <c r="S81" s="4">
        <f>IF(H81="","",0.25*H81+0.75*S80)</f>
        <v/>
      </c>
      <c r="T81" s="4">
        <f>IF(H81="","",(2/29)*H81+(27/29)*T80)</f>
        <v/>
      </c>
      <c r="U81" s="6">
        <f>IF(OR(T81="",T81=0),"",S81/T81)</f>
        <v/>
      </c>
      <c r="V81" s="4">
        <f>IF(I81="","",0.25*I81+0.75*V80)</f>
        <v/>
      </c>
      <c r="W81" s="4">
        <f>IF(I81="","",(2/29)*I81+(27/29)*W80)</f>
        <v/>
      </c>
      <c r="X81" s="6">
        <f>IF(OR(W81="",W81=0),"",V81/W81)</f>
        <v/>
      </c>
      <c r="Y81" s="4">
        <f>IF(J81="","",0.25*J81+0.75*Y80)</f>
        <v/>
      </c>
      <c r="Z81" s="4">
        <f>IF(J81="","",(2/29)*J81+(27/29)*Z80)</f>
        <v/>
      </c>
      <c r="AA81" s="6">
        <f>IF(OR(Z81="",Z81=0),"",Y81/Z81)</f>
        <v/>
      </c>
      <c r="AB81" s="4">
        <f>IF(L81="","",0.25*L81+0.75*AB80)</f>
        <v/>
      </c>
      <c r="AC81" s="4">
        <f>IF(L81="","",(2/29)*L81+(27/29)*AC80)</f>
        <v/>
      </c>
      <c r="AD81" s="6">
        <f>IF(OR(AC81="",AC81=0),"",AB81/AC81)</f>
        <v/>
      </c>
      <c r="AE81">
        <f>IF(OR(O81="",R81="",U81="",AD81=""),"",IF(OR(O81&gt;1.5,R81&gt;1.5,U81&gt;1.5,AD81&gt;1.5),"🔴 ALTO",IF(OR(O81&gt;1.3,R81&gt;1.3,U81&gt;1.3,AD81&gt;1.3,O81&lt;0.8,R81&lt;0.8,U81&lt;0.8,AD81&lt;0.8),"🟡 ATENÇÃO","🟢 OK")))</f>
        <v/>
      </c>
    </row>
    <row r="82">
      <c r="A82" s="2" t="n"/>
      <c r="L82">
        <f>IF(K82="","",K82*E82)</f>
        <v/>
      </c>
      <c r="M82" s="4">
        <f>IF(F82="","",0.25*F82+0.75*M81)</f>
        <v/>
      </c>
      <c r="N82" s="4">
        <f>IF(F82="","",(2/29)*F82+(27/29)*N81)</f>
        <v/>
      </c>
      <c r="O82" s="6">
        <f>IF(OR(N82="",N82=0),"",M82/N82)</f>
        <v/>
      </c>
      <c r="P82" s="4">
        <f>IF(G82="","",0.25*G82+0.75*P81)</f>
        <v/>
      </c>
      <c r="Q82" s="4">
        <f>IF(G82="","",(2/29)*G82+(27/29)*Q81)</f>
        <v/>
      </c>
      <c r="R82" s="6">
        <f>IF(OR(Q82="",Q82=0),"",P82/Q82)</f>
        <v/>
      </c>
      <c r="S82" s="4">
        <f>IF(H82="","",0.25*H82+0.75*S81)</f>
        <v/>
      </c>
      <c r="T82" s="4">
        <f>IF(H82="","",(2/29)*H82+(27/29)*T81)</f>
        <v/>
      </c>
      <c r="U82" s="6">
        <f>IF(OR(T82="",T82=0),"",S82/T82)</f>
        <v/>
      </c>
      <c r="V82" s="4">
        <f>IF(I82="","",0.25*I82+0.75*V81)</f>
        <v/>
      </c>
      <c r="W82" s="4">
        <f>IF(I82="","",(2/29)*I82+(27/29)*W81)</f>
        <v/>
      </c>
      <c r="X82" s="6">
        <f>IF(OR(W82="",W82=0),"",V82/W82)</f>
        <v/>
      </c>
      <c r="Y82" s="4">
        <f>IF(J82="","",0.25*J82+0.75*Y81)</f>
        <v/>
      </c>
      <c r="Z82" s="4">
        <f>IF(J82="","",(2/29)*J82+(27/29)*Z81)</f>
        <v/>
      </c>
      <c r="AA82" s="6">
        <f>IF(OR(Z82="",Z82=0),"",Y82/Z82)</f>
        <v/>
      </c>
      <c r="AB82" s="4">
        <f>IF(L82="","",0.25*L82+0.75*AB81)</f>
        <v/>
      </c>
      <c r="AC82" s="4">
        <f>IF(L82="","",(2/29)*L82+(27/29)*AC81)</f>
        <v/>
      </c>
      <c r="AD82" s="6">
        <f>IF(OR(AC82="",AC82=0),"",AB82/AC82)</f>
        <v/>
      </c>
      <c r="AE82">
        <f>IF(OR(O82="",R82="",U82="",AD82=""),"",IF(OR(O82&gt;1.5,R82&gt;1.5,U82&gt;1.5,AD82&gt;1.5),"🔴 ALTO",IF(OR(O82&gt;1.3,R82&gt;1.3,U82&gt;1.3,AD82&gt;1.3,O82&lt;0.8,R82&lt;0.8,U82&lt;0.8,AD82&lt;0.8),"🟡 ATENÇÃO","🟢 OK")))</f>
        <v/>
      </c>
    </row>
    <row r="83">
      <c r="A83" s="2" t="n"/>
      <c r="L83">
        <f>IF(K83="","",K83*E83)</f>
        <v/>
      </c>
      <c r="M83" s="4">
        <f>IF(F83="","",0.25*F83+0.75*M82)</f>
        <v/>
      </c>
      <c r="N83" s="4">
        <f>IF(F83="","",(2/29)*F83+(27/29)*N82)</f>
        <v/>
      </c>
      <c r="O83" s="6">
        <f>IF(OR(N83="",N83=0),"",M83/N83)</f>
        <v/>
      </c>
      <c r="P83" s="4">
        <f>IF(G83="","",0.25*G83+0.75*P82)</f>
        <v/>
      </c>
      <c r="Q83" s="4">
        <f>IF(G83="","",(2/29)*G83+(27/29)*Q82)</f>
        <v/>
      </c>
      <c r="R83" s="6">
        <f>IF(OR(Q83="",Q83=0),"",P83/Q83)</f>
        <v/>
      </c>
      <c r="S83" s="4">
        <f>IF(H83="","",0.25*H83+0.75*S82)</f>
        <v/>
      </c>
      <c r="T83" s="4">
        <f>IF(H83="","",(2/29)*H83+(27/29)*T82)</f>
        <v/>
      </c>
      <c r="U83" s="6">
        <f>IF(OR(T83="",T83=0),"",S83/T83)</f>
        <v/>
      </c>
      <c r="V83" s="4">
        <f>IF(I83="","",0.25*I83+0.75*V82)</f>
        <v/>
      </c>
      <c r="W83" s="4">
        <f>IF(I83="","",(2/29)*I83+(27/29)*W82)</f>
        <v/>
      </c>
      <c r="X83" s="6">
        <f>IF(OR(W83="",W83=0),"",V83/W83)</f>
        <v/>
      </c>
      <c r="Y83" s="4">
        <f>IF(J83="","",0.25*J83+0.75*Y82)</f>
        <v/>
      </c>
      <c r="Z83" s="4">
        <f>IF(J83="","",(2/29)*J83+(27/29)*Z82)</f>
        <v/>
      </c>
      <c r="AA83" s="6">
        <f>IF(OR(Z83="",Z83=0),"",Y83/Z83)</f>
        <v/>
      </c>
      <c r="AB83" s="4">
        <f>IF(L83="","",0.25*L83+0.75*AB82)</f>
        <v/>
      </c>
      <c r="AC83" s="4">
        <f>IF(L83="","",(2/29)*L83+(27/29)*AC82)</f>
        <v/>
      </c>
      <c r="AD83" s="6">
        <f>IF(OR(AC83="",AC83=0),"",AB83/AC83)</f>
        <v/>
      </c>
      <c r="AE83">
        <f>IF(OR(O83="",R83="",U83="",AD83=""),"",IF(OR(O83&gt;1.5,R83&gt;1.5,U83&gt;1.5,AD83&gt;1.5),"🔴 ALTO",IF(OR(O83&gt;1.3,R83&gt;1.3,U83&gt;1.3,AD83&gt;1.3,O83&lt;0.8,R83&lt;0.8,U83&lt;0.8,AD83&lt;0.8),"🟡 ATENÇÃO","🟢 OK")))</f>
        <v/>
      </c>
    </row>
    <row r="84">
      <c r="A84" s="2" t="n"/>
      <c r="L84">
        <f>IF(K84="","",K84*E84)</f>
        <v/>
      </c>
      <c r="M84" s="4">
        <f>IF(F84="","",0.25*F84+0.75*M83)</f>
        <v/>
      </c>
      <c r="N84" s="4">
        <f>IF(F84="","",(2/29)*F84+(27/29)*N83)</f>
        <v/>
      </c>
      <c r="O84" s="6">
        <f>IF(OR(N84="",N84=0),"",M84/N84)</f>
        <v/>
      </c>
      <c r="P84" s="4">
        <f>IF(G84="","",0.25*G84+0.75*P83)</f>
        <v/>
      </c>
      <c r="Q84" s="4">
        <f>IF(G84="","",(2/29)*G84+(27/29)*Q83)</f>
        <v/>
      </c>
      <c r="R84" s="6">
        <f>IF(OR(Q84="",Q84=0),"",P84/Q84)</f>
        <v/>
      </c>
      <c r="S84" s="4">
        <f>IF(H84="","",0.25*H84+0.75*S83)</f>
        <v/>
      </c>
      <c r="T84" s="4">
        <f>IF(H84="","",(2/29)*H84+(27/29)*T83)</f>
        <v/>
      </c>
      <c r="U84" s="6">
        <f>IF(OR(T84="",T84=0),"",S84/T84)</f>
        <v/>
      </c>
      <c r="V84" s="4">
        <f>IF(I84="","",0.25*I84+0.75*V83)</f>
        <v/>
      </c>
      <c r="W84" s="4">
        <f>IF(I84="","",(2/29)*I84+(27/29)*W83)</f>
        <v/>
      </c>
      <c r="X84" s="6">
        <f>IF(OR(W84="",W84=0),"",V84/W84)</f>
        <v/>
      </c>
      <c r="Y84" s="4">
        <f>IF(J84="","",0.25*J84+0.75*Y83)</f>
        <v/>
      </c>
      <c r="Z84" s="4">
        <f>IF(J84="","",(2/29)*J84+(27/29)*Z83)</f>
        <v/>
      </c>
      <c r="AA84" s="6">
        <f>IF(OR(Z84="",Z84=0),"",Y84/Z84)</f>
        <v/>
      </c>
      <c r="AB84" s="4">
        <f>IF(L84="","",0.25*L84+0.75*AB83)</f>
        <v/>
      </c>
      <c r="AC84" s="4">
        <f>IF(L84="","",(2/29)*L84+(27/29)*AC83)</f>
        <v/>
      </c>
      <c r="AD84" s="6">
        <f>IF(OR(AC84="",AC84=0),"",AB84/AC84)</f>
        <v/>
      </c>
      <c r="AE84">
        <f>IF(OR(O84="",R84="",U84="",AD84=""),"",IF(OR(O84&gt;1.5,R84&gt;1.5,U84&gt;1.5,AD84&gt;1.5),"🔴 ALTO",IF(OR(O84&gt;1.3,R84&gt;1.3,U84&gt;1.3,AD84&gt;1.3,O84&lt;0.8,R84&lt;0.8,U84&lt;0.8,AD84&lt;0.8),"🟡 ATENÇÃO","🟢 OK")))</f>
        <v/>
      </c>
    </row>
    <row r="85">
      <c r="A85" s="2" t="n"/>
      <c r="L85">
        <f>IF(K85="","",K85*E85)</f>
        <v/>
      </c>
      <c r="M85" s="4">
        <f>IF(F85="","",0.25*F85+0.75*M84)</f>
        <v/>
      </c>
      <c r="N85" s="4">
        <f>IF(F85="","",(2/29)*F85+(27/29)*N84)</f>
        <v/>
      </c>
      <c r="O85" s="6">
        <f>IF(OR(N85="",N85=0),"",M85/N85)</f>
        <v/>
      </c>
      <c r="P85" s="4">
        <f>IF(G85="","",0.25*G85+0.75*P84)</f>
        <v/>
      </c>
      <c r="Q85" s="4">
        <f>IF(G85="","",(2/29)*G85+(27/29)*Q84)</f>
        <v/>
      </c>
      <c r="R85" s="6">
        <f>IF(OR(Q85="",Q85=0),"",P85/Q85)</f>
        <v/>
      </c>
      <c r="S85" s="4">
        <f>IF(H85="","",0.25*H85+0.75*S84)</f>
        <v/>
      </c>
      <c r="T85" s="4">
        <f>IF(H85="","",(2/29)*H85+(27/29)*T84)</f>
        <v/>
      </c>
      <c r="U85" s="6">
        <f>IF(OR(T85="",T85=0),"",S85/T85)</f>
        <v/>
      </c>
      <c r="V85" s="4">
        <f>IF(I85="","",0.25*I85+0.75*V84)</f>
        <v/>
      </c>
      <c r="W85" s="4">
        <f>IF(I85="","",(2/29)*I85+(27/29)*W84)</f>
        <v/>
      </c>
      <c r="X85" s="6">
        <f>IF(OR(W85="",W85=0),"",V85/W85)</f>
        <v/>
      </c>
      <c r="Y85" s="4">
        <f>IF(J85="","",0.25*J85+0.75*Y84)</f>
        <v/>
      </c>
      <c r="Z85" s="4">
        <f>IF(J85="","",(2/29)*J85+(27/29)*Z84)</f>
        <v/>
      </c>
      <c r="AA85" s="6">
        <f>IF(OR(Z85="",Z85=0),"",Y85/Z85)</f>
        <v/>
      </c>
      <c r="AB85" s="4">
        <f>IF(L85="","",0.25*L85+0.75*AB84)</f>
        <v/>
      </c>
      <c r="AC85" s="4">
        <f>IF(L85="","",(2/29)*L85+(27/29)*AC84)</f>
        <v/>
      </c>
      <c r="AD85" s="6">
        <f>IF(OR(AC85="",AC85=0),"",AB85/AC85)</f>
        <v/>
      </c>
      <c r="AE85">
        <f>IF(OR(O85="",R85="",U85="",AD85=""),"",IF(OR(O85&gt;1.5,R85&gt;1.5,U85&gt;1.5,AD85&gt;1.5),"🔴 ALTO",IF(OR(O85&gt;1.3,R85&gt;1.3,U85&gt;1.3,AD85&gt;1.3,O85&lt;0.8,R85&lt;0.8,U85&lt;0.8,AD85&lt;0.8),"🟡 ATENÇÃO","🟢 OK")))</f>
        <v/>
      </c>
    </row>
    <row r="86">
      <c r="A86" s="2" t="n"/>
      <c r="L86">
        <f>IF(K86="","",K86*E86)</f>
        <v/>
      </c>
      <c r="M86" s="4">
        <f>IF(F86="","",0.25*F86+0.75*M85)</f>
        <v/>
      </c>
      <c r="N86" s="4">
        <f>IF(F86="","",(2/29)*F86+(27/29)*N85)</f>
        <v/>
      </c>
      <c r="O86" s="6">
        <f>IF(OR(N86="",N86=0),"",M86/N86)</f>
        <v/>
      </c>
      <c r="P86" s="4">
        <f>IF(G86="","",0.25*G86+0.75*P85)</f>
        <v/>
      </c>
      <c r="Q86" s="4">
        <f>IF(G86="","",(2/29)*G86+(27/29)*Q85)</f>
        <v/>
      </c>
      <c r="R86" s="6">
        <f>IF(OR(Q86="",Q86=0),"",P86/Q86)</f>
        <v/>
      </c>
      <c r="S86" s="4">
        <f>IF(H86="","",0.25*H86+0.75*S85)</f>
        <v/>
      </c>
      <c r="T86" s="4">
        <f>IF(H86="","",(2/29)*H86+(27/29)*T85)</f>
        <v/>
      </c>
      <c r="U86" s="6">
        <f>IF(OR(T86="",T86=0),"",S86/T86)</f>
        <v/>
      </c>
      <c r="V86" s="4">
        <f>IF(I86="","",0.25*I86+0.75*V85)</f>
        <v/>
      </c>
      <c r="W86" s="4">
        <f>IF(I86="","",(2/29)*I86+(27/29)*W85)</f>
        <v/>
      </c>
      <c r="X86" s="6">
        <f>IF(OR(W86="",W86=0),"",V86/W86)</f>
        <v/>
      </c>
      <c r="Y86" s="4">
        <f>IF(J86="","",0.25*J86+0.75*Y85)</f>
        <v/>
      </c>
      <c r="Z86" s="4">
        <f>IF(J86="","",(2/29)*J86+(27/29)*Z85)</f>
        <v/>
      </c>
      <c r="AA86" s="6">
        <f>IF(OR(Z86="",Z86=0),"",Y86/Z86)</f>
        <v/>
      </c>
      <c r="AB86" s="4">
        <f>IF(L86="","",0.25*L86+0.75*AB85)</f>
        <v/>
      </c>
      <c r="AC86" s="4">
        <f>IF(L86="","",(2/29)*L86+(27/29)*AC85)</f>
        <v/>
      </c>
      <c r="AD86" s="6">
        <f>IF(OR(AC86="",AC86=0),"",AB86/AC86)</f>
        <v/>
      </c>
      <c r="AE86">
        <f>IF(OR(O86="",R86="",U86="",AD86=""),"",IF(OR(O86&gt;1.5,R86&gt;1.5,U86&gt;1.5,AD86&gt;1.5),"🔴 ALTO",IF(OR(O86&gt;1.3,R86&gt;1.3,U86&gt;1.3,AD86&gt;1.3,O86&lt;0.8,R86&lt;0.8,U86&lt;0.8,AD86&lt;0.8),"🟡 ATENÇÃO","🟢 OK")))</f>
        <v/>
      </c>
    </row>
    <row r="87">
      <c r="A87" s="2" t="n"/>
      <c r="L87">
        <f>IF(K87="","",K87*E87)</f>
        <v/>
      </c>
      <c r="M87" s="4">
        <f>IF(F87="","",0.25*F87+0.75*M86)</f>
        <v/>
      </c>
      <c r="N87" s="4">
        <f>IF(F87="","",(2/29)*F87+(27/29)*N86)</f>
        <v/>
      </c>
      <c r="O87" s="6">
        <f>IF(OR(N87="",N87=0),"",M87/N87)</f>
        <v/>
      </c>
      <c r="P87" s="4">
        <f>IF(G87="","",0.25*G87+0.75*P86)</f>
        <v/>
      </c>
      <c r="Q87" s="4">
        <f>IF(G87="","",(2/29)*G87+(27/29)*Q86)</f>
        <v/>
      </c>
      <c r="R87" s="6">
        <f>IF(OR(Q87="",Q87=0),"",P87/Q87)</f>
        <v/>
      </c>
      <c r="S87" s="4">
        <f>IF(H87="","",0.25*H87+0.75*S86)</f>
        <v/>
      </c>
      <c r="T87" s="4">
        <f>IF(H87="","",(2/29)*H87+(27/29)*T86)</f>
        <v/>
      </c>
      <c r="U87" s="6">
        <f>IF(OR(T87="",T87=0),"",S87/T87)</f>
        <v/>
      </c>
      <c r="V87" s="4">
        <f>IF(I87="","",0.25*I87+0.75*V86)</f>
        <v/>
      </c>
      <c r="W87" s="4">
        <f>IF(I87="","",(2/29)*I87+(27/29)*W86)</f>
        <v/>
      </c>
      <c r="X87" s="6">
        <f>IF(OR(W87="",W87=0),"",V87/W87)</f>
        <v/>
      </c>
      <c r="Y87" s="4">
        <f>IF(J87="","",0.25*J87+0.75*Y86)</f>
        <v/>
      </c>
      <c r="Z87" s="4">
        <f>IF(J87="","",(2/29)*J87+(27/29)*Z86)</f>
        <v/>
      </c>
      <c r="AA87" s="6">
        <f>IF(OR(Z87="",Z87=0),"",Y87/Z87)</f>
        <v/>
      </c>
      <c r="AB87" s="4">
        <f>IF(L87="","",0.25*L87+0.75*AB86)</f>
        <v/>
      </c>
      <c r="AC87" s="4">
        <f>IF(L87="","",(2/29)*L87+(27/29)*AC86)</f>
        <v/>
      </c>
      <c r="AD87" s="6">
        <f>IF(OR(AC87="",AC87=0),"",AB87/AC87)</f>
        <v/>
      </c>
      <c r="AE87">
        <f>IF(OR(O87="",R87="",U87="",AD87=""),"",IF(OR(O87&gt;1.5,R87&gt;1.5,U87&gt;1.5,AD87&gt;1.5),"🔴 ALTO",IF(OR(O87&gt;1.3,R87&gt;1.3,U87&gt;1.3,AD87&gt;1.3,O87&lt;0.8,R87&lt;0.8,U87&lt;0.8,AD87&lt;0.8),"🟡 ATENÇÃO","🟢 OK")))</f>
        <v/>
      </c>
    </row>
    <row r="88">
      <c r="A88" s="2" t="n"/>
      <c r="L88">
        <f>IF(K88="","",K88*E88)</f>
        <v/>
      </c>
      <c r="M88" s="4">
        <f>IF(F88="","",0.25*F88+0.75*M87)</f>
        <v/>
      </c>
      <c r="N88" s="4">
        <f>IF(F88="","",(2/29)*F88+(27/29)*N87)</f>
        <v/>
      </c>
      <c r="O88" s="6">
        <f>IF(OR(N88="",N88=0),"",M88/N88)</f>
        <v/>
      </c>
      <c r="P88" s="4">
        <f>IF(G88="","",0.25*G88+0.75*P87)</f>
        <v/>
      </c>
      <c r="Q88" s="4">
        <f>IF(G88="","",(2/29)*G88+(27/29)*Q87)</f>
        <v/>
      </c>
      <c r="R88" s="6">
        <f>IF(OR(Q88="",Q88=0),"",P88/Q88)</f>
        <v/>
      </c>
      <c r="S88" s="4">
        <f>IF(H88="","",0.25*H88+0.75*S87)</f>
        <v/>
      </c>
      <c r="T88" s="4">
        <f>IF(H88="","",(2/29)*H88+(27/29)*T87)</f>
        <v/>
      </c>
      <c r="U88" s="6">
        <f>IF(OR(T88="",T88=0),"",S88/T88)</f>
        <v/>
      </c>
      <c r="V88" s="4">
        <f>IF(I88="","",0.25*I88+0.75*V87)</f>
        <v/>
      </c>
      <c r="W88" s="4">
        <f>IF(I88="","",(2/29)*I88+(27/29)*W87)</f>
        <v/>
      </c>
      <c r="X88" s="6">
        <f>IF(OR(W88="",W88=0),"",V88/W88)</f>
        <v/>
      </c>
      <c r="Y88" s="4">
        <f>IF(J88="","",0.25*J88+0.75*Y87)</f>
        <v/>
      </c>
      <c r="Z88" s="4">
        <f>IF(J88="","",(2/29)*J88+(27/29)*Z87)</f>
        <v/>
      </c>
      <c r="AA88" s="6">
        <f>IF(OR(Z88="",Z88=0),"",Y88/Z88)</f>
        <v/>
      </c>
      <c r="AB88" s="4">
        <f>IF(L88="","",0.25*L88+0.75*AB87)</f>
        <v/>
      </c>
      <c r="AC88" s="4">
        <f>IF(L88="","",(2/29)*L88+(27/29)*AC87)</f>
        <v/>
      </c>
      <c r="AD88" s="6">
        <f>IF(OR(AC88="",AC88=0),"",AB88/AC88)</f>
        <v/>
      </c>
      <c r="AE88">
        <f>IF(OR(O88="",R88="",U88="",AD88=""),"",IF(OR(O88&gt;1.5,R88&gt;1.5,U88&gt;1.5,AD88&gt;1.5),"🔴 ALTO",IF(OR(O88&gt;1.3,R88&gt;1.3,U88&gt;1.3,AD88&gt;1.3,O88&lt;0.8,R88&lt;0.8,U88&lt;0.8,AD88&lt;0.8),"🟡 ATENÇÃO","🟢 OK")))</f>
        <v/>
      </c>
    </row>
    <row r="89">
      <c r="A89" s="2" t="n"/>
      <c r="L89">
        <f>IF(K89="","",K89*E89)</f>
        <v/>
      </c>
      <c r="M89" s="4">
        <f>IF(F89="","",0.25*F89+0.75*M88)</f>
        <v/>
      </c>
      <c r="N89" s="4">
        <f>IF(F89="","",(2/29)*F89+(27/29)*N88)</f>
        <v/>
      </c>
      <c r="O89" s="6">
        <f>IF(OR(N89="",N89=0),"",M89/N89)</f>
        <v/>
      </c>
      <c r="P89" s="4">
        <f>IF(G89="","",0.25*G89+0.75*P88)</f>
        <v/>
      </c>
      <c r="Q89" s="4">
        <f>IF(G89="","",(2/29)*G89+(27/29)*Q88)</f>
        <v/>
      </c>
      <c r="R89" s="6">
        <f>IF(OR(Q89="",Q89=0),"",P89/Q89)</f>
        <v/>
      </c>
      <c r="S89" s="4">
        <f>IF(H89="","",0.25*H89+0.75*S88)</f>
        <v/>
      </c>
      <c r="T89" s="4">
        <f>IF(H89="","",(2/29)*H89+(27/29)*T88)</f>
        <v/>
      </c>
      <c r="U89" s="6">
        <f>IF(OR(T89="",T89=0),"",S89/T89)</f>
        <v/>
      </c>
      <c r="V89" s="4">
        <f>IF(I89="","",0.25*I89+0.75*V88)</f>
        <v/>
      </c>
      <c r="W89" s="4">
        <f>IF(I89="","",(2/29)*I89+(27/29)*W88)</f>
        <v/>
      </c>
      <c r="X89" s="6">
        <f>IF(OR(W89="",W89=0),"",V89/W89)</f>
        <v/>
      </c>
      <c r="Y89" s="4">
        <f>IF(J89="","",0.25*J89+0.75*Y88)</f>
        <v/>
      </c>
      <c r="Z89" s="4">
        <f>IF(J89="","",(2/29)*J89+(27/29)*Z88)</f>
        <v/>
      </c>
      <c r="AA89" s="6">
        <f>IF(OR(Z89="",Z89=0),"",Y89/Z89)</f>
        <v/>
      </c>
      <c r="AB89" s="4">
        <f>IF(L89="","",0.25*L89+0.75*AB88)</f>
        <v/>
      </c>
      <c r="AC89" s="4">
        <f>IF(L89="","",(2/29)*L89+(27/29)*AC88)</f>
        <v/>
      </c>
      <c r="AD89" s="6">
        <f>IF(OR(AC89="",AC89=0),"",AB89/AC89)</f>
        <v/>
      </c>
      <c r="AE89">
        <f>IF(OR(O89="",R89="",U89="",AD89=""),"",IF(OR(O89&gt;1.5,R89&gt;1.5,U89&gt;1.5,AD89&gt;1.5),"🔴 ALTO",IF(OR(O89&gt;1.3,R89&gt;1.3,U89&gt;1.3,AD89&gt;1.3,O89&lt;0.8,R89&lt;0.8,U89&lt;0.8,AD89&lt;0.8),"🟡 ATENÇÃO","🟢 OK")))</f>
        <v/>
      </c>
    </row>
    <row r="90">
      <c r="A90" s="2" t="n"/>
      <c r="L90">
        <f>IF(K90="","",K90*E90)</f>
        <v/>
      </c>
      <c r="M90" s="4">
        <f>IF(F90="","",0.25*F90+0.75*M89)</f>
        <v/>
      </c>
      <c r="N90" s="4">
        <f>IF(F90="","",(2/29)*F90+(27/29)*N89)</f>
        <v/>
      </c>
      <c r="O90" s="6">
        <f>IF(OR(N90="",N90=0),"",M90/N90)</f>
        <v/>
      </c>
      <c r="P90" s="4">
        <f>IF(G90="","",0.25*G90+0.75*P89)</f>
        <v/>
      </c>
      <c r="Q90" s="4">
        <f>IF(G90="","",(2/29)*G90+(27/29)*Q89)</f>
        <v/>
      </c>
      <c r="R90" s="6">
        <f>IF(OR(Q90="",Q90=0),"",P90/Q90)</f>
        <v/>
      </c>
      <c r="S90" s="4">
        <f>IF(H90="","",0.25*H90+0.75*S89)</f>
        <v/>
      </c>
      <c r="T90" s="4">
        <f>IF(H90="","",(2/29)*H90+(27/29)*T89)</f>
        <v/>
      </c>
      <c r="U90" s="6">
        <f>IF(OR(T90="",T90=0),"",S90/T90)</f>
        <v/>
      </c>
      <c r="V90" s="4">
        <f>IF(I90="","",0.25*I90+0.75*V89)</f>
        <v/>
      </c>
      <c r="W90" s="4">
        <f>IF(I90="","",(2/29)*I90+(27/29)*W89)</f>
        <v/>
      </c>
      <c r="X90" s="6">
        <f>IF(OR(W90="",W90=0),"",V90/W90)</f>
        <v/>
      </c>
      <c r="Y90" s="4">
        <f>IF(J90="","",0.25*J90+0.75*Y89)</f>
        <v/>
      </c>
      <c r="Z90" s="4">
        <f>IF(J90="","",(2/29)*J90+(27/29)*Z89)</f>
        <v/>
      </c>
      <c r="AA90" s="6">
        <f>IF(OR(Z90="",Z90=0),"",Y90/Z90)</f>
        <v/>
      </c>
      <c r="AB90" s="4">
        <f>IF(L90="","",0.25*L90+0.75*AB89)</f>
        <v/>
      </c>
      <c r="AC90" s="4">
        <f>IF(L90="","",(2/29)*L90+(27/29)*AC89)</f>
        <v/>
      </c>
      <c r="AD90" s="6">
        <f>IF(OR(AC90="",AC90=0),"",AB90/AC90)</f>
        <v/>
      </c>
      <c r="AE90">
        <f>IF(OR(O90="",R90="",U90="",AD90=""),"",IF(OR(O90&gt;1.5,R90&gt;1.5,U90&gt;1.5,AD90&gt;1.5),"🔴 ALTO",IF(OR(O90&gt;1.3,R90&gt;1.3,U90&gt;1.3,AD90&gt;1.3,O90&lt;0.8,R90&lt;0.8,U90&lt;0.8,AD90&lt;0.8),"🟡 ATENÇÃO","🟢 OK")))</f>
        <v/>
      </c>
    </row>
    <row r="91">
      <c r="A91" s="2" t="n"/>
      <c r="L91">
        <f>IF(K91="","",K91*E91)</f>
        <v/>
      </c>
      <c r="M91" s="4">
        <f>IF(F91="","",0.25*F91+0.75*M90)</f>
        <v/>
      </c>
      <c r="N91" s="4">
        <f>IF(F91="","",(2/29)*F91+(27/29)*N90)</f>
        <v/>
      </c>
      <c r="O91" s="6">
        <f>IF(OR(N91="",N91=0),"",M91/N91)</f>
        <v/>
      </c>
      <c r="P91" s="4">
        <f>IF(G91="","",0.25*G91+0.75*P90)</f>
        <v/>
      </c>
      <c r="Q91" s="4">
        <f>IF(G91="","",(2/29)*G91+(27/29)*Q90)</f>
        <v/>
      </c>
      <c r="R91" s="6">
        <f>IF(OR(Q91="",Q91=0),"",P91/Q91)</f>
        <v/>
      </c>
      <c r="S91" s="4">
        <f>IF(H91="","",0.25*H91+0.75*S90)</f>
        <v/>
      </c>
      <c r="T91" s="4">
        <f>IF(H91="","",(2/29)*H91+(27/29)*T90)</f>
        <v/>
      </c>
      <c r="U91" s="6">
        <f>IF(OR(T91="",T91=0),"",S91/T91)</f>
        <v/>
      </c>
      <c r="V91" s="4">
        <f>IF(I91="","",0.25*I91+0.75*V90)</f>
        <v/>
      </c>
      <c r="W91" s="4">
        <f>IF(I91="","",(2/29)*I91+(27/29)*W90)</f>
        <v/>
      </c>
      <c r="X91" s="6">
        <f>IF(OR(W91="",W91=0),"",V91/W91)</f>
        <v/>
      </c>
      <c r="Y91" s="4">
        <f>IF(J91="","",0.25*J91+0.75*Y90)</f>
        <v/>
      </c>
      <c r="Z91" s="4">
        <f>IF(J91="","",(2/29)*J91+(27/29)*Z90)</f>
        <v/>
      </c>
      <c r="AA91" s="6">
        <f>IF(OR(Z91="",Z91=0),"",Y91/Z91)</f>
        <v/>
      </c>
      <c r="AB91" s="4">
        <f>IF(L91="","",0.25*L91+0.75*AB90)</f>
        <v/>
      </c>
      <c r="AC91" s="4">
        <f>IF(L91="","",(2/29)*L91+(27/29)*AC90)</f>
        <v/>
      </c>
      <c r="AD91" s="6">
        <f>IF(OR(AC91="",AC91=0),"",AB91/AC91)</f>
        <v/>
      </c>
      <c r="AE91">
        <f>IF(OR(O91="",R91="",U91="",AD91=""),"",IF(OR(O91&gt;1.5,R91&gt;1.5,U91&gt;1.5,AD91&gt;1.5),"🔴 ALTO",IF(OR(O91&gt;1.3,R91&gt;1.3,U91&gt;1.3,AD91&gt;1.3,O91&lt;0.8,R91&lt;0.8,U91&lt;0.8,AD91&lt;0.8),"🟡 ATENÇÃO","🟢 OK")))</f>
        <v/>
      </c>
    </row>
    <row r="92">
      <c r="A92" s="2" t="n"/>
      <c r="L92">
        <f>IF(K92="","",K92*E92)</f>
        <v/>
      </c>
      <c r="M92" s="4">
        <f>IF(F92="","",0.25*F92+0.75*M91)</f>
        <v/>
      </c>
      <c r="N92" s="4">
        <f>IF(F92="","",(2/29)*F92+(27/29)*N91)</f>
        <v/>
      </c>
      <c r="O92" s="6">
        <f>IF(OR(N92="",N92=0),"",M92/N92)</f>
        <v/>
      </c>
      <c r="P92" s="4">
        <f>IF(G92="","",0.25*G92+0.75*P91)</f>
        <v/>
      </c>
      <c r="Q92" s="4">
        <f>IF(G92="","",(2/29)*G92+(27/29)*Q91)</f>
        <v/>
      </c>
      <c r="R92" s="6">
        <f>IF(OR(Q92="",Q92=0),"",P92/Q92)</f>
        <v/>
      </c>
      <c r="S92" s="4">
        <f>IF(H92="","",0.25*H92+0.75*S91)</f>
        <v/>
      </c>
      <c r="T92" s="4">
        <f>IF(H92="","",(2/29)*H92+(27/29)*T91)</f>
        <v/>
      </c>
      <c r="U92" s="6">
        <f>IF(OR(T92="",T92=0),"",S92/T92)</f>
        <v/>
      </c>
      <c r="V92" s="4">
        <f>IF(I92="","",0.25*I92+0.75*V91)</f>
        <v/>
      </c>
      <c r="W92" s="4">
        <f>IF(I92="","",(2/29)*I92+(27/29)*W91)</f>
        <v/>
      </c>
      <c r="X92" s="6">
        <f>IF(OR(W92="",W92=0),"",V92/W92)</f>
        <v/>
      </c>
      <c r="Y92" s="4">
        <f>IF(J92="","",0.25*J92+0.75*Y91)</f>
        <v/>
      </c>
      <c r="Z92" s="4">
        <f>IF(J92="","",(2/29)*J92+(27/29)*Z91)</f>
        <v/>
      </c>
      <c r="AA92" s="6">
        <f>IF(OR(Z92="",Z92=0),"",Y92/Z92)</f>
        <v/>
      </c>
      <c r="AB92" s="4">
        <f>IF(L92="","",0.25*L92+0.75*AB91)</f>
        <v/>
      </c>
      <c r="AC92" s="4">
        <f>IF(L92="","",(2/29)*L92+(27/29)*AC91)</f>
        <v/>
      </c>
      <c r="AD92" s="6">
        <f>IF(OR(AC92="",AC92=0),"",AB92/AC92)</f>
        <v/>
      </c>
      <c r="AE92">
        <f>IF(OR(O92="",R92="",U92="",AD92=""),"",IF(OR(O92&gt;1.5,R92&gt;1.5,U92&gt;1.5,AD92&gt;1.5),"🔴 ALTO",IF(OR(O92&gt;1.3,R92&gt;1.3,U92&gt;1.3,AD92&gt;1.3,O92&lt;0.8,R92&lt;0.8,U92&lt;0.8,AD92&lt;0.8),"🟡 ATENÇÃO","🟢 OK")))</f>
        <v/>
      </c>
    </row>
    <row r="93">
      <c r="A93" s="2" t="n"/>
      <c r="L93">
        <f>IF(K93="","",K93*E93)</f>
        <v/>
      </c>
      <c r="M93" s="4">
        <f>IF(F93="","",0.25*F93+0.75*M92)</f>
        <v/>
      </c>
      <c r="N93" s="4">
        <f>IF(F93="","",(2/29)*F93+(27/29)*N92)</f>
        <v/>
      </c>
      <c r="O93" s="6">
        <f>IF(OR(N93="",N93=0),"",M93/N93)</f>
        <v/>
      </c>
      <c r="P93" s="4">
        <f>IF(G93="","",0.25*G93+0.75*P92)</f>
        <v/>
      </c>
      <c r="Q93" s="4">
        <f>IF(G93="","",(2/29)*G93+(27/29)*Q92)</f>
        <v/>
      </c>
      <c r="R93" s="6">
        <f>IF(OR(Q93="",Q93=0),"",P93/Q93)</f>
        <v/>
      </c>
      <c r="S93" s="4">
        <f>IF(H93="","",0.25*H93+0.75*S92)</f>
        <v/>
      </c>
      <c r="T93" s="4">
        <f>IF(H93="","",(2/29)*H93+(27/29)*T92)</f>
        <v/>
      </c>
      <c r="U93" s="6">
        <f>IF(OR(T93="",T93=0),"",S93/T93)</f>
        <v/>
      </c>
      <c r="V93" s="4">
        <f>IF(I93="","",0.25*I93+0.75*V92)</f>
        <v/>
      </c>
      <c r="W93" s="4">
        <f>IF(I93="","",(2/29)*I93+(27/29)*W92)</f>
        <v/>
      </c>
      <c r="X93" s="6">
        <f>IF(OR(W93="",W93=0),"",V93/W93)</f>
        <v/>
      </c>
      <c r="Y93" s="4">
        <f>IF(J93="","",0.25*J93+0.75*Y92)</f>
        <v/>
      </c>
      <c r="Z93" s="4">
        <f>IF(J93="","",(2/29)*J93+(27/29)*Z92)</f>
        <v/>
      </c>
      <c r="AA93" s="6">
        <f>IF(OR(Z93="",Z93=0),"",Y93/Z93)</f>
        <v/>
      </c>
      <c r="AB93" s="4">
        <f>IF(L93="","",0.25*L93+0.75*AB92)</f>
        <v/>
      </c>
      <c r="AC93" s="4">
        <f>IF(L93="","",(2/29)*L93+(27/29)*AC92)</f>
        <v/>
      </c>
      <c r="AD93" s="6">
        <f>IF(OR(AC93="",AC93=0),"",AB93/AC93)</f>
        <v/>
      </c>
      <c r="AE93">
        <f>IF(OR(O93="",R93="",U93="",AD93=""),"",IF(OR(O93&gt;1.5,R93&gt;1.5,U93&gt;1.5,AD93&gt;1.5),"🔴 ALTO",IF(OR(O93&gt;1.3,R93&gt;1.3,U93&gt;1.3,AD93&gt;1.3,O93&lt;0.8,R93&lt;0.8,U93&lt;0.8,AD93&lt;0.8),"🟡 ATENÇÃO","🟢 OK")))</f>
        <v/>
      </c>
    </row>
    <row r="94">
      <c r="A94" s="2" t="n"/>
      <c r="L94">
        <f>IF(K94="","",K94*E94)</f>
        <v/>
      </c>
      <c r="M94" s="4">
        <f>IF(F94="","",0.25*F94+0.75*M93)</f>
        <v/>
      </c>
      <c r="N94" s="4">
        <f>IF(F94="","",(2/29)*F94+(27/29)*N93)</f>
        <v/>
      </c>
      <c r="O94" s="6">
        <f>IF(OR(N94="",N94=0),"",M94/N94)</f>
        <v/>
      </c>
      <c r="P94" s="4">
        <f>IF(G94="","",0.25*G94+0.75*P93)</f>
        <v/>
      </c>
      <c r="Q94" s="4">
        <f>IF(G94="","",(2/29)*G94+(27/29)*Q93)</f>
        <v/>
      </c>
      <c r="R94" s="6">
        <f>IF(OR(Q94="",Q94=0),"",P94/Q94)</f>
        <v/>
      </c>
      <c r="S94" s="4">
        <f>IF(H94="","",0.25*H94+0.75*S93)</f>
        <v/>
      </c>
      <c r="T94" s="4">
        <f>IF(H94="","",(2/29)*H94+(27/29)*T93)</f>
        <v/>
      </c>
      <c r="U94" s="6">
        <f>IF(OR(T94="",T94=0),"",S94/T94)</f>
        <v/>
      </c>
      <c r="V94" s="4">
        <f>IF(I94="","",0.25*I94+0.75*V93)</f>
        <v/>
      </c>
      <c r="W94" s="4">
        <f>IF(I94="","",(2/29)*I94+(27/29)*W93)</f>
        <v/>
      </c>
      <c r="X94" s="6">
        <f>IF(OR(W94="",W94=0),"",V94/W94)</f>
        <v/>
      </c>
      <c r="Y94" s="4">
        <f>IF(J94="","",0.25*J94+0.75*Y93)</f>
        <v/>
      </c>
      <c r="Z94" s="4">
        <f>IF(J94="","",(2/29)*J94+(27/29)*Z93)</f>
        <v/>
      </c>
      <c r="AA94" s="6">
        <f>IF(OR(Z94="",Z94=0),"",Y94/Z94)</f>
        <v/>
      </c>
      <c r="AB94" s="4">
        <f>IF(L94="","",0.25*L94+0.75*AB93)</f>
        <v/>
      </c>
      <c r="AC94" s="4">
        <f>IF(L94="","",(2/29)*L94+(27/29)*AC93)</f>
        <v/>
      </c>
      <c r="AD94" s="6">
        <f>IF(OR(AC94="",AC94=0),"",AB94/AC94)</f>
        <v/>
      </c>
      <c r="AE94">
        <f>IF(OR(O94="",R94="",U94="",AD94=""),"",IF(OR(O94&gt;1.5,R94&gt;1.5,U94&gt;1.5,AD94&gt;1.5),"🔴 ALTO",IF(OR(O94&gt;1.3,R94&gt;1.3,U94&gt;1.3,AD94&gt;1.3,O94&lt;0.8,R94&lt;0.8,U94&lt;0.8,AD94&lt;0.8),"🟡 ATENÇÃO","🟢 OK")))</f>
        <v/>
      </c>
    </row>
    <row r="95">
      <c r="A95" s="2" t="n"/>
      <c r="L95">
        <f>IF(K95="","",K95*E95)</f>
        <v/>
      </c>
      <c r="M95" s="4">
        <f>IF(F95="","",0.25*F95+0.75*M94)</f>
        <v/>
      </c>
      <c r="N95" s="4">
        <f>IF(F95="","",(2/29)*F95+(27/29)*N94)</f>
        <v/>
      </c>
      <c r="O95" s="6">
        <f>IF(OR(N95="",N95=0),"",M95/N95)</f>
        <v/>
      </c>
      <c r="P95" s="4">
        <f>IF(G95="","",0.25*G95+0.75*P94)</f>
        <v/>
      </c>
      <c r="Q95" s="4">
        <f>IF(G95="","",(2/29)*G95+(27/29)*Q94)</f>
        <v/>
      </c>
      <c r="R95" s="6">
        <f>IF(OR(Q95="",Q95=0),"",P95/Q95)</f>
        <v/>
      </c>
      <c r="S95" s="4">
        <f>IF(H95="","",0.25*H95+0.75*S94)</f>
        <v/>
      </c>
      <c r="T95" s="4">
        <f>IF(H95="","",(2/29)*H95+(27/29)*T94)</f>
        <v/>
      </c>
      <c r="U95" s="6">
        <f>IF(OR(T95="",T95=0),"",S95/T95)</f>
        <v/>
      </c>
      <c r="V95" s="4">
        <f>IF(I95="","",0.25*I95+0.75*V94)</f>
        <v/>
      </c>
      <c r="W95" s="4">
        <f>IF(I95="","",(2/29)*I95+(27/29)*W94)</f>
        <v/>
      </c>
      <c r="X95" s="6">
        <f>IF(OR(W95="",W95=0),"",V95/W95)</f>
        <v/>
      </c>
      <c r="Y95" s="4">
        <f>IF(J95="","",0.25*J95+0.75*Y94)</f>
        <v/>
      </c>
      <c r="Z95" s="4">
        <f>IF(J95="","",(2/29)*J95+(27/29)*Z94)</f>
        <v/>
      </c>
      <c r="AA95" s="6">
        <f>IF(OR(Z95="",Z95=0),"",Y95/Z95)</f>
        <v/>
      </c>
      <c r="AB95" s="4">
        <f>IF(L95="","",0.25*L95+0.75*AB94)</f>
        <v/>
      </c>
      <c r="AC95" s="4">
        <f>IF(L95="","",(2/29)*L95+(27/29)*AC94)</f>
        <v/>
      </c>
      <c r="AD95" s="6">
        <f>IF(OR(AC95="",AC95=0),"",AB95/AC95)</f>
        <v/>
      </c>
      <c r="AE95">
        <f>IF(OR(O95="",R95="",U95="",AD95=""),"",IF(OR(O95&gt;1.5,R95&gt;1.5,U95&gt;1.5,AD95&gt;1.5),"🔴 ALTO",IF(OR(O95&gt;1.3,R95&gt;1.3,U95&gt;1.3,AD95&gt;1.3,O95&lt;0.8,R95&lt;0.8,U95&lt;0.8,AD95&lt;0.8),"🟡 ATENÇÃO","🟢 OK")))</f>
        <v/>
      </c>
    </row>
    <row r="96">
      <c r="A96" s="2" t="n"/>
      <c r="L96">
        <f>IF(K96="","",K96*E96)</f>
        <v/>
      </c>
      <c r="M96" s="4">
        <f>IF(F96="","",0.25*F96+0.75*M95)</f>
        <v/>
      </c>
      <c r="N96" s="4">
        <f>IF(F96="","",(2/29)*F96+(27/29)*N95)</f>
        <v/>
      </c>
      <c r="O96" s="6">
        <f>IF(OR(N96="",N96=0),"",M96/N96)</f>
        <v/>
      </c>
      <c r="P96" s="4">
        <f>IF(G96="","",0.25*G96+0.75*P95)</f>
        <v/>
      </c>
      <c r="Q96" s="4">
        <f>IF(G96="","",(2/29)*G96+(27/29)*Q95)</f>
        <v/>
      </c>
      <c r="R96" s="6">
        <f>IF(OR(Q96="",Q96=0),"",P96/Q96)</f>
        <v/>
      </c>
      <c r="S96" s="4">
        <f>IF(H96="","",0.25*H96+0.75*S95)</f>
        <v/>
      </c>
      <c r="T96" s="4">
        <f>IF(H96="","",(2/29)*H96+(27/29)*T95)</f>
        <v/>
      </c>
      <c r="U96" s="6">
        <f>IF(OR(T96="",T96=0),"",S96/T96)</f>
        <v/>
      </c>
      <c r="V96" s="4">
        <f>IF(I96="","",0.25*I96+0.75*V95)</f>
        <v/>
      </c>
      <c r="W96" s="4">
        <f>IF(I96="","",(2/29)*I96+(27/29)*W95)</f>
        <v/>
      </c>
      <c r="X96" s="6">
        <f>IF(OR(W96="",W96=0),"",V96/W96)</f>
        <v/>
      </c>
      <c r="Y96" s="4">
        <f>IF(J96="","",0.25*J96+0.75*Y95)</f>
        <v/>
      </c>
      <c r="Z96" s="4">
        <f>IF(J96="","",(2/29)*J96+(27/29)*Z95)</f>
        <v/>
      </c>
      <c r="AA96" s="6">
        <f>IF(OR(Z96="",Z96=0),"",Y96/Z96)</f>
        <v/>
      </c>
      <c r="AB96" s="4">
        <f>IF(L96="","",0.25*L96+0.75*AB95)</f>
        <v/>
      </c>
      <c r="AC96" s="4">
        <f>IF(L96="","",(2/29)*L96+(27/29)*AC95)</f>
        <v/>
      </c>
      <c r="AD96" s="6">
        <f>IF(OR(AC96="",AC96=0),"",AB96/AC96)</f>
        <v/>
      </c>
      <c r="AE96">
        <f>IF(OR(O96="",R96="",U96="",AD96=""),"",IF(OR(O96&gt;1.5,R96&gt;1.5,U96&gt;1.5,AD96&gt;1.5),"🔴 ALTO",IF(OR(O96&gt;1.3,R96&gt;1.3,U96&gt;1.3,AD96&gt;1.3,O96&lt;0.8,R96&lt;0.8,U96&lt;0.8,AD96&lt;0.8),"🟡 ATENÇÃO","🟢 OK")))</f>
        <v/>
      </c>
    </row>
    <row r="97">
      <c r="A97" s="2" t="n"/>
      <c r="L97">
        <f>IF(K97="","",K97*E97)</f>
        <v/>
      </c>
      <c r="M97" s="4">
        <f>IF(F97="","",0.25*F97+0.75*M96)</f>
        <v/>
      </c>
      <c r="N97" s="4">
        <f>IF(F97="","",(2/29)*F97+(27/29)*N96)</f>
        <v/>
      </c>
      <c r="O97" s="6">
        <f>IF(OR(N97="",N97=0),"",M97/N97)</f>
        <v/>
      </c>
      <c r="P97" s="4">
        <f>IF(G97="","",0.25*G97+0.75*P96)</f>
        <v/>
      </c>
      <c r="Q97" s="4">
        <f>IF(G97="","",(2/29)*G97+(27/29)*Q96)</f>
        <v/>
      </c>
      <c r="R97" s="6">
        <f>IF(OR(Q97="",Q97=0),"",P97/Q97)</f>
        <v/>
      </c>
      <c r="S97" s="4">
        <f>IF(H97="","",0.25*H97+0.75*S96)</f>
        <v/>
      </c>
      <c r="T97" s="4">
        <f>IF(H97="","",(2/29)*H97+(27/29)*T96)</f>
        <v/>
      </c>
      <c r="U97" s="6">
        <f>IF(OR(T97="",T97=0),"",S97/T97)</f>
        <v/>
      </c>
      <c r="V97" s="4">
        <f>IF(I97="","",0.25*I97+0.75*V96)</f>
        <v/>
      </c>
      <c r="W97" s="4">
        <f>IF(I97="","",(2/29)*I97+(27/29)*W96)</f>
        <v/>
      </c>
      <c r="X97" s="6">
        <f>IF(OR(W97="",W97=0),"",V97/W97)</f>
        <v/>
      </c>
      <c r="Y97" s="4">
        <f>IF(J97="","",0.25*J97+0.75*Y96)</f>
        <v/>
      </c>
      <c r="Z97" s="4">
        <f>IF(J97="","",(2/29)*J97+(27/29)*Z96)</f>
        <v/>
      </c>
      <c r="AA97" s="6">
        <f>IF(OR(Z97="",Z97=0),"",Y97/Z97)</f>
        <v/>
      </c>
      <c r="AB97" s="4">
        <f>IF(L97="","",0.25*L97+0.75*AB96)</f>
        <v/>
      </c>
      <c r="AC97" s="4">
        <f>IF(L97="","",(2/29)*L97+(27/29)*AC96)</f>
        <v/>
      </c>
      <c r="AD97" s="6">
        <f>IF(OR(AC97="",AC97=0),"",AB97/AC97)</f>
        <v/>
      </c>
      <c r="AE97">
        <f>IF(OR(O97="",R97="",U97="",AD97=""),"",IF(OR(O97&gt;1.5,R97&gt;1.5,U97&gt;1.5,AD97&gt;1.5),"🔴 ALTO",IF(OR(O97&gt;1.3,R97&gt;1.3,U97&gt;1.3,AD97&gt;1.3,O97&lt;0.8,R97&lt;0.8,U97&lt;0.8,AD97&lt;0.8),"🟡 ATENÇÃO","🟢 OK")))</f>
        <v/>
      </c>
    </row>
    <row r="98">
      <c r="A98" s="2" t="n"/>
      <c r="L98">
        <f>IF(K98="","",K98*E98)</f>
        <v/>
      </c>
      <c r="M98" s="4">
        <f>IF(F98="","",0.25*F98+0.75*M97)</f>
        <v/>
      </c>
      <c r="N98" s="4">
        <f>IF(F98="","",(2/29)*F98+(27/29)*N97)</f>
        <v/>
      </c>
      <c r="O98" s="6">
        <f>IF(OR(N98="",N98=0),"",M98/N98)</f>
        <v/>
      </c>
      <c r="P98" s="4">
        <f>IF(G98="","",0.25*G98+0.75*P97)</f>
        <v/>
      </c>
      <c r="Q98" s="4">
        <f>IF(G98="","",(2/29)*G98+(27/29)*Q97)</f>
        <v/>
      </c>
      <c r="R98" s="6">
        <f>IF(OR(Q98="",Q98=0),"",P98/Q98)</f>
        <v/>
      </c>
      <c r="S98" s="4">
        <f>IF(H98="","",0.25*H98+0.75*S97)</f>
        <v/>
      </c>
      <c r="T98" s="4">
        <f>IF(H98="","",(2/29)*H98+(27/29)*T97)</f>
        <v/>
      </c>
      <c r="U98" s="6">
        <f>IF(OR(T98="",T98=0),"",S98/T98)</f>
        <v/>
      </c>
      <c r="V98" s="4">
        <f>IF(I98="","",0.25*I98+0.75*V97)</f>
        <v/>
      </c>
      <c r="W98" s="4">
        <f>IF(I98="","",(2/29)*I98+(27/29)*W97)</f>
        <v/>
      </c>
      <c r="X98" s="6">
        <f>IF(OR(W98="",W98=0),"",V98/W98)</f>
        <v/>
      </c>
      <c r="Y98" s="4">
        <f>IF(J98="","",0.25*J98+0.75*Y97)</f>
        <v/>
      </c>
      <c r="Z98" s="4">
        <f>IF(J98="","",(2/29)*J98+(27/29)*Z97)</f>
        <v/>
      </c>
      <c r="AA98" s="6">
        <f>IF(OR(Z98="",Z98=0),"",Y98/Z98)</f>
        <v/>
      </c>
      <c r="AB98" s="4">
        <f>IF(L98="","",0.25*L98+0.75*AB97)</f>
        <v/>
      </c>
      <c r="AC98" s="4">
        <f>IF(L98="","",(2/29)*L98+(27/29)*AC97)</f>
        <v/>
      </c>
      <c r="AD98" s="6">
        <f>IF(OR(AC98="",AC98=0),"",AB98/AC98)</f>
        <v/>
      </c>
      <c r="AE98">
        <f>IF(OR(O98="",R98="",U98="",AD98=""),"",IF(OR(O98&gt;1.5,R98&gt;1.5,U98&gt;1.5,AD98&gt;1.5),"🔴 ALTO",IF(OR(O98&gt;1.3,R98&gt;1.3,U98&gt;1.3,AD98&gt;1.3,O98&lt;0.8,R98&lt;0.8,U98&lt;0.8,AD98&lt;0.8),"🟡 ATENÇÃO","🟢 OK")))</f>
        <v/>
      </c>
    </row>
    <row r="99">
      <c r="A99" s="2" t="n"/>
      <c r="L99">
        <f>IF(K99="","",K99*E99)</f>
        <v/>
      </c>
      <c r="M99" s="4">
        <f>IF(F99="","",0.25*F99+0.75*M98)</f>
        <v/>
      </c>
      <c r="N99" s="4">
        <f>IF(F99="","",(2/29)*F99+(27/29)*N98)</f>
        <v/>
      </c>
      <c r="O99" s="6">
        <f>IF(OR(N99="",N99=0),"",M99/N99)</f>
        <v/>
      </c>
      <c r="P99" s="4">
        <f>IF(G99="","",0.25*G99+0.75*P98)</f>
        <v/>
      </c>
      <c r="Q99" s="4">
        <f>IF(G99="","",(2/29)*G99+(27/29)*Q98)</f>
        <v/>
      </c>
      <c r="R99" s="6">
        <f>IF(OR(Q99="",Q99=0),"",P99/Q99)</f>
        <v/>
      </c>
      <c r="S99" s="4">
        <f>IF(H99="","",0.25*H99+0.75*S98)</f>
        <v/>
      </c>
      <c r="T99" s="4">
        <f>IF(H99="","",(2/29)*H99+(27/29)*T98)</f>
        <v/>
      </c>
      <c r="U99" s="6">
        <f>IF(OR(T99="",T99=0),"",S99/T99)</f>
        <v/>
      </c>
      <c r="V99" s="4">
        <f>IF(I99="","",0.25*I99+0.75*V98)</f>
        <v/>
      </c>
      <c r="W99" s="4">
        <f>IF(I99="","",(2/29)*I99+(27/29)*W98)</f>
        <v/>
      </c>
      <c r="X99" s="6">
        <f>IF(OR(W99="",W99=0),"",V99/W99)</f>
        <v/>
      </c>
      <c r="Y99" s="4">
        <f>IF(J99="","",0.25*J99+0.75*Y98)</f>
        <v/>
      </c>
      <c r="Z99" s="4">
        <f>IF(J99="","",(2/29)*J99+(27/29)*Z98)</f>
        <v/>
      </c>
      <c r="AA99" s="6">
        <f>IF(OR(Z99="",Z99=0),"",Y99/Z99)</f>
        <v/>
      </c>
      <c r="AB99" s="4">
        <f>IF(L99="","",0.25*L99+0.75*AB98)</f>
        <v/>
      </c>
      <c r="AC99" s="4">
        <f>IF(L99="","",(2/29)*L99+(27/29)*AC98)</f>
        <v/>
      </c>
      <c r="AD99" s="6">
        <f>IF(OR(AC99="",AC99=0),"",AB99/AC99)</f>
        <v/>
      </c>
      <c r="AE99">
        <f>IF(OR(O99="",R99="",U99="",AD99=""),"",IF(OR(O99&gt;1.5,R99&gt;1.5,U99&gt;1.5,AD99&gt;1.5),"🔴 ALTO",IF(OR(O99&gt;1.3,R99&gt;1.3,U99&gt;1.3,AD99&gt;1.3,O99&lt;0.8,R99&lt;0.8,U99&lt;0.8,AD99&lt;0.8),"🟡 ATENÇÃO","🟢 OK")))</f>
        <v/>
      </c>
    </row>
    <row r="100">
      <c r="A100" s="2" t="n"/>
      <c r="L100">
        <f>IF(K100="","",K100*E100)</f>
        <v/>
      </c>
      <c r="M100" s="4">
        <f>IF(F100="","",0.25*F100+0.75*M99)</f>
        <v/>
      </c>
      <c r="N100" s="4">
        <f>IF(F100="","",(2/29)*F100+(27/29)*N99)</f>
        <v/>
      </c>
      <c r="O100" s="6">
        <f>IF(OR(N100="",N100=0),"",M100/N100)</f>
        <v/>
      </c>
      <c r="P100" s="4">
        <f>IF(G100="","",0.25*G100+0.75*P99)</f>
        <v/>
      </c>
      <c r="Q100" s="4">
        <f>IF(G100="","",(2/29)*G100+(27/29)*Q99)</f>
        <v/>
      </c>
      <c r="R100" s="6">
        <f>IF(OR(Q100="",Q100=0),"",P100/Q100)</f>
        <v/>
      </c>
      <c r="S100" s="4">
        <f>IF(H100="","",0.25*H100+0.75*S99)</f>
        <v/>
      </c>
      <c r="T100" s="4">
        <f>IF(H100="","",(2/29)*H100+(27/29)*T99)</f>
        <v/>
      </c>
      <c r="U100" s="6">
        <f>IF(OR(T100="",T100=0),"",S100/T100)</f>
        <v/>
      </c>
      <c r="V100" s="4">
        <f>IF(I100="","",0.25*I100+0.75*V99)</f>
        <v/>
      </c>
      <c r="W100" s="4">
        <f>IF(I100="","",(2/29)*I100+(27/29)*W99)</f>
        <v/>
      </c>
      <c r="X100" s="6">
        <f>IF(OR(W100="",W100=0),"",V100/W100)</f>
        <v/>
      </c>
      <c r="Y100" s="4">
        <f>IF(J100="","",0.25*J100+0.75*Y99)</f>
        <v/>
      </c>
      <c r="Z100" s="4">
        <f>IF(J100="","",(2/29)*J100+(27/29)*Z99)</f>
        <v/>
      </c>
      <c r="AA100" s="6">
        <f>IF(OR(Z100="",Z100=0),"",Y100/Z100)</f>
        <v/>
      </c>
      <c r="AB100" s="4">
        <f>IF(L100="","",0.25*L100+0.75*AB99)</f>
        <v/>
      </c>
      <c r="AC100" s="4">
        <f>IF(L100="","",(2/29)*L100+(27/29)*AC99)</f>
        <v/>
      </c>
      <c r="AD100" s="6">
        <f>IF(OR(AC100="",AC100=0),"",AB100/AC100)</f>
        <v/>
      </c>
      <c r="AE100">
        <f>IF(OR(O100="",R100="",U100="",AD100=""),"",IF(OR(O100&gt;1.5,R100&gt;1.5,U100&gt;1.5,AD100&gt;1.5),"🔴 ALTO",IF(OR(O100&gt;1.3,R100&gt;1.3,U100&gt;1.3,AD100&gt;1.3,O100&lt;0.8,R100&lt;0.8,U100&lt;0.8,AD100&lt;0.8),"🟡 ATENÇÃO","🟢 OK")))</f>
        <v/>
      </c>
    </row>
    <row r="101">
      <c r="A101" s="2" t="n"/>
      <c r="L101">
        <f>IF(K101="","",K101*E101)</f>
        <v/>
      </c>
      <c r="M101" s="4">
        <f>IF(F101="","",0.25*F101+0.75*M100)</f>
        <v/>
      </c>
      <c r="N101" s="4">
        <f>IF(F101="","",(2/29)*F101+(27/29)*N100)</f>
        <v/>
      </c>
      <c r="O101" s="6">
        <f>IF(OR(N101="",N101=0),"",M101/N101)</f>
        <v/>
      </c>
      <c r="P101" s="4">
        <f>IF(G101="","",0.25*G101+0.75*P100)</f>
        <v/>
      </c>
      <c r="Q101" s="4">
        <f>IF(G101="","",(2/29)*G101+(27/29)*Q100)</f>
        <v/>
      </c>
      <c r="R101" s="6">
        <f>IF(OR(Q101="",Q101=0),"",P101/Q101)</f>
        <v/>
      </c>
      <c r="S101" s="4">
        <f>IF(H101="","",0.25*H101+0.75*S100)</f>
        <v/>
      </c>
      <c r="T101" s="4">
        <f>IF(H101="","",(2/29)*H101+(27/29)*T100)</f>
        <v/>
      </c>
      <c r="U101" s="6">
        <f>IF(OR(T101="",T101=0),"",S101/T101)</f>
        <v/>
      </c>
      <c r="V101" s="4">
        <f>IF(I101="","",0.25*I101+0.75*V100)</f>
        <v/>
      </c>
      <c r="W101" s="4">
        <f>IF(I101="","",(2/29)*I101+(27/29)*W100)</f>
        <v/>
      </c>
      <c r="X101" s="6">
        <f>IF(OR(W101="",W101=0),"",V101/W101)</f>
        <v/>
      </c>
      <c r="Y101" s="4">
        <f>IF(J101="","",0.25*J101+0.75*Y100)</f>
        <v/>
      </c>
      <c r="Z101" s="4">
        <f>IF(J101="","",(2/29)*J101+(27/29)*Z100)</f>
        <v/>
      </c>
      <c r="AA101" s="6">
        <f>IF(OR(Z101="",Z101=0),"",Y101/Z101)</f>
        <v/>
      </c>
      <c r="AB101" s="4">
        <f>IF(L101="","",0.25*L101+0.75*AB100)</f>
        <v/>
      </c>
      <c r="AC101" s="4">
        <f>IF(L101="","",(2/29)*L101+(27/29)*AC100)</f>
        <v/>
      </c>
      <c r="AD101" s="6">
        <f>IF(OR(AC101="",AC101=0),"",AB101/AC101)</f>
        <v/>
      </c>
      <c r="AE101">
        <f>IF(OR(O101="",R101="",U101="",AD101=""),"",IF(OR(O101&gt;1.5,R101&gt;1.5,U101&gt;1.5,AD101&gt;1.5),"🔴 ALTO",IF(OR(O101&gt;1.3,R101&gt;1.3,U101&gt;1.3,AD101&gt;1.3,O101&lt;0.8,R101&lt;0.8,U101&lt;0.8,AD101&lt;0.8),"🟡 ATENÇÃO","🟢 OK")))</f>
        <v/>
      </c>
    </row>
    <row r="102">
      <c r="A102" s="2" t="n"/>
      <c r="L102">
        <f>IF(K102="","",K102*E102)</f>
        <v/>
      </c>
      <c r="M102" s="4">
        <f>IF(F102="","",0.25*F102+0.75*M101)</f>
        <v/>
      </c>
      <c r="N102" s="4">
        <f>IF(F102="","",(2/29)*F102+(27/29)*N101)</f>
        <v/>
      </c>
      <c r="O102" s="6">
        <f>IF(OR(N102="",N102=0),"",M102/N102)</f>
        <v/>
      </c>
      <c r="P102" s="4">
        <f>IF(G102="","",0.25*G102+0.75*P101)</f>
        <v/>
      </c>
      <c r="Q102" s="4">
        <f>IF(G102="","",(2/29)*G102+(27/29)*Q101)</f>
        <v/>
      </c>
      <c r="R102" s="6">
        <f>IF(OR(Q102="",Q102=0),"",P102/Q102)</f>
        <v/>
      </c>
      <c r="S102" s="4">
        <f>IF(H102="","",0.25*H102+0.75*S101)</f>
        <v/>
      </c>
      <c r="T102" s="4">
        <f>IF(H102="","",(2/29)*H102+(27/29)*T101)</f>
        <v/>
      </c>
      <c r="U102" s="6">
        <f>IF(OR(T102="",T102=0),"",S102/T102)</f>
        <v/>
      </c>
      <c r="V102" s="4">
        <f>IF(I102="","",0.25*I102+0.75*V101)</f>
        <v/>
      </c>
      <c r="W102" s="4">
        <f>IF(I102="","",(2/29)*I102+(27/29)*W101)</f>
        <v/>
      </c>
      <c r="X102" s="6">
        <f>IF(OR(W102="",W102=0),"",V102/W102)</f>
        <v/>
      </c>
      <c r="Y102" s="4">
        <f>IF(J102="","",0.25*J102+0.75*Y101)</f>
        <v/>
      </c>
      <c r="Z102" s="4">
        <f>IF(J102="","",(2/29)*J102+(27/29)*Z101)</f>
        <v/>
      </c>
      <c r="AA102" s="6">
        <f>IF(OR(Z102="",Z102=0),"",Y102/Z102)</f>
        <v/>
      </c>
      <c r="AB102" s="4">
        <f>IF(L102="","",0.25*L102+0.75*AB101)</f>
        <v/>
      </c>
      <c r="AC102" s="4">
        <f>IF(L102="","",(2/29)*L102+(27/29)*AC101)</f>
        <v/>
      </c>
      <c r="AD102" s="6">
        <f>IF(OR(AC102="",AC102=0),"",AB102/AC102)</f>
        <v/>
      </c>
      <c r="AE102">
        <f>IF(OR(O102="",R102="",U102="",AD102=""),"",IF(OR(O102&gt;1.5,R102&gt;1.5,U102&gt;1.5,AD102&gt;1.5),"🔴 ALTO",IF(OR(O102&gt;1.3,R102&gt;1.3,U102&gt;1.3,AD102&gt;1.3,O102&lt;0.8,R102&lt;0.8,U102&lt;0.8,AD102&lt;0.8),"🟡 ATENÇÃO","🟢 OK")))</f>
        <v/>
      </c>
    </row>
    <row r="103">
      <c r="A103" s="2" t="n"/>
      <c r="L103">
        <f>IF(K103="","",K103*E103)</f>
        <v/>
      </c>
      <c r="M103" s="4">
        <f>IF(F103="","",0.25*F103+0.75*M102)</f>
        <v/>
      </c>
      <c r="N103" s="4">
        <f>IF(F103="","",(2/29)*F103+(27/29)*N102)</f>
        <v/>
      </c>
      <c r="O103" s="6">
        <f>IF(OR(N103="",N103=0),"",M103/N103)</f>
        <v/>
      </c>
      <c r="P103" s="4">
        <f>IF(G103="","",0.25*G103+0.75*P102)</f>
        <v/>
      </c>
      <c r="Q103" s="4">
        <f>IF(G103="","",(2/29)*G103+(27/29)*Q102)</f>
        <v/>
      </c>
      <c r="R103" s="6">
        <f>IF(OR(Q103="",Q103=0),"",P103/Q103)</f>
        <v/>
      </c>
      <c r="S103" s="4">
        <f>IF(H103="","",0.25*H103+0.75*S102)</f>
        <v/>
      </c>
      <c r="T103" s="4">
        <f>IF(H103="","",(2/29)*H103+(27/29)*T102)</f>
        <v/>
      </c>
      <c r="U103" s="6">
        <f>IF(OR(T103="",T103=0),"",S103/T103)</f>
        <v/>
      </c>
      <c r="V103" s="4">
        <f>IF(I103="","",0.25*I103+0.75*V102)</f>
        <v/>
      </c>
      <c r="W103" s="4">
        <f>IF(I103="","",(2/29)*I103+(27/29)*W102)</f>
        <v/>
      </c>
      <c r="X103" s="6">
        <f>IF(OR(W103="",W103=0),"",V103/W103)</f>
        <v/>
      </c>
      <c r="Y103" s="4">
        <f>IF(J103="","",0.25*J103+0.75*Y102)</f>
        <v/>
      </c>
      <c r="Z103" s="4">
        <f>IF(J103="","",(2/29)*J103+(27/29)*Z102)</f>
        <v/>
      </c>
      <c r="AA103" s="6">
        <f>IF(OR(Z103="",Z103=0),"",Y103/Z103)</f>
        <v/>
      </c>
      <c r="AB103" s="4">
        <f>IF(L103="","",0.25*L103+0.75*AB102)</f>
        <v/>
      </c>
      <c r="AC103" s="4">
        <f>IF(L103="","",(2/29)*L103+(27/29)*AC102)</f>
        <v/>
      </c>
      <c r="AD103" s="6">
        <f>IF(OR(AC103="",AC103=0),"",AB103/AC103)</f>
        <v/>
      </c>
      <c r="AE103">
        <f>IF(OR(O103="",R103="",U103="",AD103=""),"",IF(OR(O103&gt;1.5,R103&gt;1.5,U103&gt;1.5,AD103&gt;1.5),"🔴 ALTO",IF(OR(O103&gt;1.3,R103&gt;1.3,U103&gt;1.3,AD103&gt;1.3,O103&lt;0.8,R103&lt;0.8,U103&lt;0.8,AD103&lt;0.8),"🟡 ATENÇÃO","🟢 OK")))</f>
        <v/>
      </c>
    </row>
    <row r="104">
      <c r="A104" s="2" t="n"/>
      <c r="L104">
        <f>IF(K104="","",K104*E104)</f>
        <v/>
      </c>
      <c r="M104" s="4">
        <f>IF(F104="","",0.25*F104+0.75*M103)</f>
        <v/>
      </c>
      <c r="N104" s="4">
        <f>IF(F104="","",(2/29)*F104+(27/29)*N103)</f>
        <v/>
      </c>
      <c r="O104" s="6">
        <f>IF(OR(N104="",N104=0),"",M104/N104)</f>
        <v/>
      </c>
      <c r="P104" s="4">
        <f>IF(G104="","",0.25*G104+0.75*P103)</f>
        <v/>
      </c>
      <c r="Q104" s="4">
        <f>IF(G104="","",(2/29)*G104+(27/29)*Q103)</f>
        <v/>
      </c>
      <c r="R104" s="6">
        <f>IF(OR(Q104="",Q104=0),"",P104/Q104)</f>
        <v/>
      </c>
      <c r="S104" s="4">
        <f>IF(H104="","",0.25*H104+0.75*S103)</f>
        <v/>
      </c>
      <c r="T104" s="4">
        <f>IF(H104="","",(2/29)*H104+(27/29)*T103)</f>
        <v/>
      </c>
      <c r="U104" s="6">
        <f>IF(OR(T104="",T104=0),"",S104/T104)</f>
        <v/>
      </c>
      <c r="V104" s="4">
        <f>IF(I104="","",0.25*I104+0.75*V103)</f>
        <v/>
      </c>
      <c r="W104" s="4">
        <f>IF(I104="","",(2/29)*I104+(27/29)*W103)</f>
        <v/>
      </c>
      <c r="X104" s="6">
        <f>IF(OR(W104="",W104=0),"",V104/W104)</f>
        <v/>
      </c>
      <c r="Y104" s="4">
        <f>IF(J104="","",0.25*J104+0.75*Y103)</f>
        <v/>
      </c>
      <c r="Z104" s="4">
        <f>IF(J104="","",(2/29)*J104+(27/29)*Z103)</f>
        <v/>
      </c>
      <c r="AA104" s="6">
        <f>IF(OR(Z104="",Z104=0),"",Y104/Z104)</f>
        <v/>
      </c>
      <c r="AB104" s="4">
        <f>IF(L104="","",0.25*L104+0.75*AB103)</f>
        <v/>
      </c>
      <c r="AC104" s="4">
        <f>IF(L104="","",(2/29)*L104+(27/29)*AC103)</f>
        <v/>
      </c>
      <c r="AD104" s="6">
        <f>IF(OR(AC104="",AC104=0),"",AB104/AC104)</f>
        <v/>
      </c>
      <c r="AE104">
        <f>IF(OR(O104="",R104="",U104="",AD104=""),"",IF(OR(O104&gt;1.5,R104&gt;1.5,U104&gt;1.5,AD104&gt;1.5),"🔴 ALTO",IF(OR(O104&gt;1.3,R104&gt;1.3,U104&gt;1.3,AD104&gt;1.3,O104&lt;0.8,R104&lt;0.8,U104&lt;0.8,AD104&lt;0.8),"🟡 ATENÇÃO","🟢 OK")))</f>
        <v/>
      </c>
    </row>
    <row r="105">
      <c r="A105" s="2" t="n"/>
      <c r="L105">
        <f>IF(K105="","",K105*E105)</f>
        <v/>
      </c>
      <c r="M105" s="4">
        <f>IF(F105="","",0.25*F105+0.75*M104)</f>
        <v/>
      </c>
      <c r="N105" s="4">
        <f>IF(F105="","",(2/29)*F105+(27/29)*N104)</f>
        <v/>
      </c>
      <c r="O105" s="6">
        <f>IF(OR(N105="",N105=0),"",M105/N105)</f>
        <v/>
      </c>
      <c r="P105" s="4">
        <f>IF(G105="","",0.25*G105+0.75*P104)</f>
        <v/>
      </c>
      <c r="Q105" s="4">
        <f>IF(G105="","",(2/29)*G105+(27/29)*Q104)</f>
        <v/>
      </c>
      <c r="R105" s="6">
        <f>IF(OR(Q105="",Q105=0),"",P105/Q105)</f>
        <v/>
      </c>
      <c r="S105" s="4">
        <f>IF(H105="","",0.25*H105+0.75*S104)</f>
        <v/>
      </c>
      <c r="T105" s="4">
        <f>IF(H105="","",(2/29)*H105+(27/29)*T104)</f>
        <v/>
      </c>
      <c r="U105" s="6">
        <f>IF(OR(T105="",T105=0),"",S105/T105)</f>
        <v/>
      </c>
      <c r="V105" s="4">
        <f>IF(I105="","",0.25*I105+0.75*V104)</f>
        <v/>
      </c>
      <c r="W105" s="4">
        <f>IF(I105="","",(2/29)*I105+(27/29)*W104)</f>
        <v/>
      </c>
      <c r="X105" s="6">
        <f>IF(OR(W105="",W105=0),"",V105/W105)</f>
        <v/>
      </c>
      <c r="Y105" s="4">
        <f>IF(J105="","",0.25*J105+0.75*Y104)</f>
        <v/>
      </c>
      <c r="Z105" s="4">
        <f>IF(J105="","",(2/29)*J105+(27/29)*Z104)</f>
        <v/>
      </c>
      <c r="AA105" s="6">
        <f>IF(OR(Z105="",Z105=0),"",Y105/Z105)</f>
        <v/>
      </c>
      <c r="AB105" s="4">
        <f>IF(L105="","",0.25*L105+0.75*AB104)</f>
        <v/>
      </c>
      <c r="AC105" s="4">
        <f>IF(L105="","",(2/29)*L105+(27/29)*AC104)</f>
        <v/>
      </c>
      <c r="AD105" s="6">
        <f>IF(OR(AC105="",AC105=0),"",AB105/AC105)</f>
        <v/>
      </c>
      <c r="AE105">
        <f>IF(OR(O105="",R105="",U105="",AD105=""),"",IF(OR(O105&gt;1.5,R105&gt;1.5,U105&gt;1.5,AD105&gt;1.5),"🔴 ALTO",IF(OR(O105&gt;1.3,R105&gt;1.3,U105&gt;1.3,AD105&gt;1.3,O105&lt;0.8,R105&lt;0.8,U105&lt;0.8,AD105&lt;0.8),"🟡 ATENÇÃO","🟢 OK")))</f>
        <v/>
      </c>
    </row>
    <row r="106">
      <c r="A106" s="2" t="n"/>
      <c r="L106">
        <f>IF(K106="","",K106*E106)</f>
        <v/>
      </c>
      <c r="M106" s="4">
        <f>IF(F106="","",0.25*F106+0.75*M105)</f>
        <v/>
      </c>
      <c r="N106" s="4">
        <f>IF(F106="","",(2/29)*F106+(27/29)*N105)</f>
        <v/>
      </c>
      <c r="O106" s="6">
        <f>IF(OR(N106="",N106=0),"",M106/N106)</f>
        <v/>
      </c>
      <c r="P106" s="4">
        <f>IF(G106="","",0.25*G106+0.75*P105)</f>
        <v/>
      </c>
      <c r="Q106" s="4">
        <f>IF(G106="","",(2/29)*G106+(27/29)*Q105)</f>
        <v/>
      </c>
      <c r="R106" s="6">
        <f>IF(OR(Q106="",Q106=0),"",P106/Q106)</f>
        <v/>
      </c>
      <c r="S106" s="4">
        <f>IF(H106="","",0.25*H106+0.75*S105)</f>
        <v/>
      </c>
      <c r="T106" s="4">
        <f>IF(H106="","",(2/29)*H106+(27/29)*T105)</f>
        <v/>
      </c>
      <c r="U106" s="6">
        <f>IF(OR(T106="",T106=0),"",S106/T106)</f>
        <v/>
      </c>
      <c r="V106" s="4">
        <f>IF(I106="","",0.25*I106+0.75*V105)</f>
        <v/>
      </c>
      <c r="W106" s="4">
        <f>IF(I106="","",(2/29)*I106+(27/29)*W105)</f>
        <v/>
      </c>
      <c r="X106" s="6">
        <f>IF(OR(W106="",W106=0),"",V106/W106)</f>
        <v/>
      </c>
      <c r="Y106" s="4">
        <f>IF(J106="","",0.25*J106+0.75*Y105)</f>
        <v/>
      </c>
      <c r="Z106" s="4">
        <f>IF(J106="","",(2/29)*J106+(27/29)*Z105)</f>
        <v/>
      </c>
      <c r="AA106" s="6">
        <f>IF(OR(Z106="",Z106=0),"",Y106/Z106)</f>
        <v/>
      </c>
      <c r="AB106" s="4">
        <f>IF(L106="","",0.25*L106+0.75*AB105)</f>
        <v/>
      </c>
      <c r="AC106" s="4">
        <f>IF(L106="","",(2/29)*L106+(27/29)*AC105)</f>
        <v/>
      </c>
      <c r="AD106" s="6">
        <f>IF(OR(AC106="",AC106=0),"",AB106/AC106)</f>
        <v/>
      </c>
      <c r="AE106">
        <f>IF(OR(O106="",R106="",U106="",AD106=""),"",IF(OR(O106&gt;1.5,R106&gt;1.5,U106&gt;1.5,AD106&gt;1.5),"🔴 ALTO",IF(OR(O106&gt;1.3,R106&gt;1.3,U106&gt;1.3,AD106&gt;1.3,O106&lt;0.8,R106&lt;0.8,U106&lt;0.8,AD106&lt;0.8),"🟡 ATENÇÃO","🟢 OK")))</f>
        <v/>
      </c>
    </row>
    <row r="107">
      <c r="A107" s="2" t="n"/>
      <c r="L107">
        <f>IF(K107="","",K107*E107)</f>
        <v/>
      </c>
      <c r="M107" s="4">
        <f>IF(F107="","",0.25*F107+0.75*M106)</f>
        <v/>
      </c>
      <c r="N107" s="4">
        <f>IF(F107="","",(2/29)*F107+(27/29)*N106)</f>
        <v/>
      </c>
      <c r="O107" s="6">
        <f>IF(OR(N107="",N107=0),"",M107/N107)</f>
        <v/>
      </c>
      <c r="P107" s="4">
        <f>IF(G107="","",0.25*G107+0.75*P106)</f>
        <v/>
      </c>
      <c r="Q107" s="4">
        <f>IF(G107="","",(2/29)*G107+(27/29)*Q106)</f>
        <v/>
      </c>
      <c r="R107" s="6">
        <f>IF(OR(Q107="",Q107=0),"",P107/Q107)</f>
        <v/>
      </c>
      <c r="S107" s="4">
        <f>IF(H107="","",0.25*H107+0.75*S106)</f>
        <v/>
      </c>
      <c r="T107" s="4">
        <f>IF(H107="","",(2/29)*H107+(27/29)*T106)</f>
        <v/>
      </c>
      <c r="U107" s="6">
        <f>IF(OR(T107="",T107=0),"",S107/T107)</f>
        <v/>
      </c>
      <c r="V107" s="4">
        <f>IF(I107="","",0.25*I107+0.75*V106)</f>
        <v/>
      </c>
      <c r="W107" s="4">
        <f>IF(I107="","",(2/29)*I107+(27/29)*W106)</f>
        <v/>
      </c>
      <c r="X107" s="6">
        <f>IF(OR(W107="",W107=0),"",V107/W107)</f>
        <v/>
      </c>
      <c r="Y107" s="4">
        <f>IF(J107="","",0.25*J107+0.75*Y106)</f>
        <v/>
      </c>
      <c r="Z107" s="4">
        <f>IF(J107="","",(2/29)*J107+(27/29)*Z106)</f>
        <v/>
      </c>
      <c r="AA107" s="6">
        <f>IF(OR(Z107="",Z107=0),"",Y107/Z107)</f>
        <v/>
      </c>
      <c r="AB107" s="4">
        <f>IF(L107="","",0.25*L107+0.75*AB106)</f>
        <v/>
      </c>
      <c r="AC107" s="4">
        <f>IF(L107="","",(2/29)*L107+(27/29)*AC106)</f>
        <v/>
      </c>
      <c r="AD107" s="6">
        <f>IF(OR(AC107="",AC107=0),"",AB107/AC107)</f>
        <v/>
      </c>
      <c r="AE107">
        <f>IF(OR(O107="",R107="",U107="",AD107=""),"",IF(OR(O107&gt;1.5,R107&gt;1.5,U107&gt;1.5,AD107&gt;1.5),"🔴 ALTO",IF(OR(O107&gt;1.3,R107&gt;1.3,U107&gt;1.3,AD107&gt;1.3,O107&lt;0.8,R107&lt;0.8,U107&lt;0.8,AD107&lt;0.8),"🟡 ATENÇÃO","🟢 OK")))</f>
        <v/>
      </c>
    </row>
    <row r="108">
      <c r="A108" s="2" t="n"/>
      <c r="L108">
        <f>IF(K108="","",K108*E108)</f>
        <v/>
      </c>
      <c r="M108" s="4">
        <f>IF(F108="","",0.25*F108+0.75*M107)</f>
        <v/>
      </c>
      <c r="N108" s="4">
        <f>IF(F108="","",(2/29)*F108+(27/29)*N107)</f>
        <v/>
      </c>
      <c r="O108" s="6">
        <f>IF(OR(N108="",N108=0),"",M108/N108)</f>
        <v/>
      </c>
      <c r="P108" s="4">
        <f>IF(G108="","",0.25*G108+0.75*P107)</f>
        <v/>
      </c>
      <c r="Q108" s="4">
        <f>IF(G108="","",(2/29)*G108+(27/29)*Q107)</f>
        <v/>
      </c>
      <c r="R108" s="6">
        <f>IF(OR(Q108="",Q108=0),"",P108/Q108)</f>
        <v/>
      </c>
      <c r="S108" s="4">
        <f>IF(H108="","",0.25*H108+0.75*S107)</f>
        <v/>
      </c>
      <c r="T108" s="4">
        <f>IF(H108="","",(2/29)*H108+(27/29)*T107)</f>
        <v/>
      </c>
      <c r="U108" s="6">
        <f>IF(OR(T108="",T108=0),"",S108/T108)</f>
        <v/>
      </c>
      <c r="V108" s="4">
        <f>IF(I108="","",0.25*I108+0.75*V107)</f>
        <v/>
      </c>
      <c r="W108" s="4">
        <f>IF(I108="","",(2/29)*I108+(27/29)*W107)</f>
        <v/>
      </c>
      <c r="X108" s="6">
        <f>IF(OR(W108="",W108=0),"",V108/W108)</f>
        <v/>
      </c>
      <c r="Y108" s="4">
        <f>IF(J108="","",0.25*J108+0.75*Y107)</f>
        <v/>
      </c>
      <c r="Z108" s="4">
        <f>IF(J108="","",(2/29)*J108+(27/29)*Z107)</f>
        <v/>
      </c>
      <c r="AA108" s="6">
        <f>IF(OR(Z108="",Z108=0),"",Y108/Z108)</f>
        <v/>
      </c>
      <c r="AB108" s="4">
        <f>IF(L108="","",0.25*L108+0.75*AB107)</f>
        <v/>
      </c>
      <c r="AC108" s="4">
        <f>IF(L108="","",(2/29)*L108+(27/29)*AC107)</f>
        <v/>
      </c>
      <c r="AD108" s="6">
        <f>IF(OR(AC108="",AC108=0),"",AB108/AC108)</f>
        <v/>
      </c>
      <c r="AE108">
        <f>IF(OR(O108="",R108="",U108="",AD108=""),"",IF(OR(O108&gt;1.5,R108&gt;1.5,U108&gt;1.5,AD108&gt;1.5),"🔴 ALTO",IF(OR(O108&gt;1.3,R108&gt;1.3,U108&gt;1.3,AD108&gt;1.3,O108&lt;0.8,R108&lt;0.8,U108&lt;0.8,AD108&lt;0.8),"🟡 ATENÇÃO","🟢 OK")))</f>
        <v/>
      </c>
    </row>
    <row r="109">
      <c r="A109" s="2" t="n"/>
      <c r="L109">
        <f>IF(K109="","",K109*E109)</f>
        <v/>
      </c>
      <c r="M109" s="4">
        <f>IF(F109="","",0.25*F109+0.75*M108)</f>
        <v/>
      </c>
      <c r="N109" s="4">
        <f>IF(F109="","",(2/29)*F109+(27/29)*N108)</f>
        <v/>
      </c>
      <c r="O109" s="6">
        <f>IF(OR(N109="",N109=0),"",M109/N109)</f>
        <v/>
      </c>
      <c r="P109" s="4">
        <f>IF(G109="","",0.25*G109+0.75*P108)</f>
        <v/>
      </c>
      <c r="Q109" s="4">
        <f>IF(G109="","",(2/29)*G109+(27/29)*Q108)</f>
        <v/>
      </c>
      <c r="R109" s="6">
        <f>IF(OR(Q109="",Q109=0),"",P109/Q109)</f>
        <v/>
      </c>
      <c r="S109" s="4">
        <f>IF(H109="","",0.25*H109+0.75*S108)</f>
        <v/>
      </c>
      <c r="T109" s="4">
        <f>IF(H109="","",(2/29)*H109+(27/29)*T108)</f>
        <v/>
      </c>
      <c r="U109" s="6">
        <f>IF(OR(T109="",T109=0),"",S109/T109)</f>
        <v/>
      </c>
      <c r="V109" s="4">
        <f>IF(I109="","",0.25*I109+0.75*V108)</f>
        <v/>
      </c>
      <c r="W109" s="4">
        <f>IF(I109="","",(2/29)*I109+(27/29)*W108)</f>
        <v/>
      </c>
      <c r="X109" s="6">
        <f>IF(OR(W109="",W109=0),"",V109/W109)</f>
        <v/>
      </c>
      <c r="Y109" s="4">
        <f>IF(J109="","",0.25*J109+0.75*Y108)</f>
        <v/>
      </c>
      <c r="Z109" s="4">
        <f>IF(J109="","",(2/29)*J109+(27/29)*Z108)</f>
        <v/>
      </c>
      <c r="AA109" s="6">
        <f>IF(OR(Z109="",Z109=0),"",Y109/Z109)</f>
        <v/>
      </c>
      <c r="AB109" s="4">
        <f>IF(L109="","",0.25*L109+0.75*AB108)</f>
        <v/>
      </c>
      <c r="AC109" s="4">
        <f>IF(L109="","",(2/29)*L109+(27/29)*AC108)</f>
        <v/>
      </c>
      <c r="AD109" s="6">
        <f>IF(OR(AC109="",AC109=0),"",AB109/AC109)</f>
        <v/>
      </c>
      <c r="AE109">
        <f>IF(OR(O109="",R109="",U109="",AD109=""),"",IF(OR(O109&gt;1.5,R109&gt;1.5,U109&gt;1.5,AD109&gt;1.5),"🔴 ALTO",IF(OR(O109&gt;1.3,R109&gt;1.3,U109&gt;1.3,AD109&gt;1.3,O109&lt;0.8,R109&lt;0.8,U109&lt;0.8,AD109&lt;0.8),"🟡 ATENÇÃO","🟢 OK")))</f>
        <v/>
      </c>
    </row>
    <row r="110">
      <c r="A110" s="2" t="n"/>
      <c r="L110">
        <f>IF(K110="","",K110*E110)</f>
        <v/>
      </c>
      <c r="M110" s="4">
        <f>IF(F110="","",0.25*F110+0.75*M109)</f>
        <v/>
      </c>
      <c r="N110" s="4">
        <f>IF(F110="","",(2/29)*F110+(27/29)*N109)</f>
        <v/>
      </c>
      <c r="O110" s="6">
        <f>IF(OR(N110="",N110=0),"",M110/N110)</f>
        <v/>
      </c>
      <c r="P110" s="4">
        <f>IF(G110="","",0.25*G110+0.75*P109)</f>
        <v/>
      </c>
      <c r="Q110" s="4">
        <f>IF(G110="","",(2/29)*G110+(27/29)*Q109)</f>
        <v/>
      </c>
      <c r="R110" s="6">
        <f>IF(OR(Q110="",Q110=0),"",P110/Q110)</f>
        <v/>
      </c>
      <c r="S110" s="4">
        <f>IF(H110="","",0.25*H110+0.75*S109)</f>
        <v/>
      </c>
      <c r="T110" s="4">
        <f>IF(H110="","",(2/29)*H110+(27/29)*T109)</f>
        <v/>
      </c>
      <c r="U110" s="6">
        <f>IF(OR(T110="",T110=0),"",S110/T110)</f>
        <v/>
      </c>
      <c r="V110" s="4">
        <f>IF(I110="","",0.25*I110+0.75*V109)</f>
        <v/>
      </c>
      <c r="W110" s="4">
        <f>IF(I110="","",(2/29)*I110+(27/29)*W109)</f>
        <v/>
      </c>
      <c r="X110" s="6">
        <f>IF(OR(W110="",W110=0),"",V110/W110)</f>
        <v/>
      </c>
      <c r="Y110" s="4">
        <f>IF(J110="","",0.25*J110+0.75*Y109)</f>
        <v/>
      </c>
      <c r="Z110" s="4">
        <f>IF(J110="","",(2/29)*J110+(27/29)*Z109)</f>
        <v/>
      </c>
      <c r="AA110" s="6">
        <f>IF(OR(Z110="",Z110=0),"",Y110/Z110)</f>
        <v/>
      </c>
      <c r="AB110" s="4">
        <f>IF(L110="","",0.25*L110+0.75*AB109)</f>
        <v/>
      </c>
      <c r="AC110" s="4">
        <f>IF(L110="","",(2/29)*L110+(27/29)*AC109)</f>
        <v/>
      </c>
      <c r="AD110" s="6">
        <f>IF(OR(AC110="",AC110=0),"",AB110/AC110)</f>
        <v/>
      </c>
      <c r="AE110">
        <f>IF(OR(O110="",R110="",U110="",AD110=""),"",IF(OR(O110&gt;1.5,R110&gt;1.5,U110&gt;1.5,AD110&gt;1.5),"🔴 ALTO",IF(OR(O110&gt;1.3,R110&gt;1.3,U110&gt;1.3,AD110&gt;1.3,O110&lt;0.8,R110&lt;0.8,U110&lt;0.8,AD110&lt;0.8),"🟡 ATENÇÃO","🟢 OK")))</f>
        <v/>
      </c>
    </row>
    <row r="111">
      <c r="A111" s="2" t="n"/>
      <c r="L111">
        <f>IF(K111="","",K111*E111)</f>
        <v/>
      </c>
      <c r="M111" s="4">
        <f>IF(F111="","",0.25*F111+0.75*M110)</f>
        <v/>
      </c>
      <c r="N111" s="4">
        <f>IF(F111="","",(2/29)*F111+(27/29)*N110)</f>
        <v/>
      </c>
      <c r="O111" s="6">
        <f>IF(OR(N111="",N111=0),"",M111/N111)</f>
        <v/>
      </c>
      <c r="P111" s="4">
        <f>IF(G111="","",0.25*G111+0.75*P110)</f>
        <v/>
      </c>
      <c r="Q111" s="4">
        <f>IF(G111="","",(2/29)*G111+(27/29)*Q110)</f>
        <v/>
      </c>
      <c r="R111" s="6">
        <f>IF(OR(Q111="",Q111=0),"",P111/Q111)</f>
        <v/>
      </c>
      <c r="S111" s="4">
        <f>IF(H111="","",0.25*H111+0.75*S110)</f>
        <v/>
      </c>
      <c r="T111" s="4">
        <f>IF(H111="","",(2/29)*H111+(27/29)*T110)</f>
        <v/>
      </c>
      <c r="U111" s="6">
        <f>IF(OR(T111="",T111=0),"",S111/T111)</f>
        <v/>
      </c>
      <c r="V111" s="4">
        <f>IF(I111="","",0.25*I111+0.75*V110)</f>
        <v/>
      </c>
      <c r="W111" s="4">
        <f>IF(I111="","",(2/29)*I111+(27/29)*W110)</f>
        <v/>
      </c>
      <c r="X111" s="6">
        <f>IF(OR(W111="",W111=0),"",V111/W111)</f>
        <v/>
      </c>
      <c r="Y111" s="4">
        <f>IF(J111="","",0.25*J111+0.75*Y110)</f>
        <v/>
      </c>
      <c r="Z111" s="4">
        <f>IF(J111="","",(2/29)*J111+(27/29)*Z110)</f>
        <v/>
      </c>
      <c r="AA111" s="6">
        <f>IF(OR(Z111="",Z111=0),"",Y111/Z111)</f>
        <v/>
      </c>
      <c r="AB111" s="4">
        <f>IF(L111="","",0.25*L111+0.75*AB110)</f>
        <v/>
      </c>
      <c r="AC111" s="4">
        <f>IF(L111="","",(2/29)*L111+(27/29)*AC110)</f>
        <v/>
      </c>
      <c r="AD111" s="6">
        <f>IF(OR(AC111="",AC111=0),"",AB111/AC111)</f>
        <v/>
      </c>
      <c r="AE111">
        <f>IF(OR(O111="",R111="",U111="",AD111=""),"",IF(OR(O111&gt;1.5,R111&gt;1.5,U111&gt;1.5,AD111&gt;1.5),"🔴 ALTO",IF(OR(O111&gt;1.3,R111&gt;1.3,U111&gt;1.3,AD111&gt;1.3,O111&lt;0.8,R111&lt;0.8,U111&lt;0.8,AD111&lt;0.8),"🟡 ATENÇÃO","🟢 OK")))</f>
        <v/>
      </c>
    </row>
    <row r="112">
      <c r="A112" s="2" t="n"/>
      <c r="L112">
        <f>IF(K112="","",K112*E112)</f>
        <v/>
      </c>
      <c r="M112" s="4">
        <f>IF(F112="","",0.25*F112+0.75*M111)</f>
        <v/>
      </c>
      <c r="N112" s="4">
        <f>IF(F112="","",(2/29)*F112+(27/29)*N111)</f>
        <v/>
      </c>
      <c r="O112" s="6">
        <f>IF(OR(N112="",N112=0),"",M112/N112)</f>
        <v/>
      </c>
      <c r="P112" s="4">
        <f>IF(G112="","",0.25*G112+0.75*P111)</f>
        <v/>
      </c>
      <c r="Q112" s="4">
        <f>IF(G112="","",(2/29)*G112+(27/29)*Q111)</f>
        <v/>
      </c>
      <c r="R112" s="6">
        <f>IF(OR(Q112="",Q112=0),"",P112/Q112)</f>
        <v/>
      </c>
      <c r="S112" s="4">
        <f>IF(H112="","",0.25*H112+0.75*S111)</f>
        <v/>
      </c>
      <c r="T112" s="4">
        <f>IF(H112="","",(2/29)*H112+(27/29)*T111)</f>
        <v/>
      </c>
      <c r="U112" s="6">
        <f>IF(OR(T112="",T112=0),"",S112/T112)</f>
        <v/>
      </c>
      <c r="V112" s="4">
        <f>IF(I112="","",0.25*I112+0.75*V111)</f>
        <v/>
      </c>
      <c r="W112" s="4">
        <f>IF(I112="","",(2/29)*I112+(27/29)*W111)</f>
        <v/>
      </c>
      <c r="X112" s="6">
        <f>IF(OR(W112="",W112=0),"",V112/W112)</f>
        <v/>
      </c>
      <c r="Y112" s="4">
        <f>IF(J112="","",0.25*J112+0.75*Y111)</f>
        <v/>
      </c>
      <c r="Z112" s="4">
        <f>IF(J112="","",(2/29)*J112+(27/29)*Z111)</f>
        <v/>
      </c>
      <c r="AA112" s="6">
        <f>IF(OR(Z112="",Z112=0),"",Y112/Z112)</f>
        <v/>
      </c>
      <c r="AB112" s="4">
        <f>IF(L112="","",0.25*L112+0.75*AB111)</f>
        <v/>
      </c>
      <c r="AC112" s="4">
        <f>IF(L112="","",(2/29)*L112+(27/29)*AC111)</f>
        <v/>
      </c>
      <c r="AD112" s="6">
        <f>IF(OR(AC112="",AC112=0),"",AB112/AC112)</f>
        <v/>
      </c>
      <c r="AE112">
        <f>IF(OR(O112="",R112="",U112="",AD112=""),"",IF(OR(O112&gt;1.5,R112&gt;1.5,U112&gt;1.5,AD112&gt;1.5),"🔴 ALTO",IF(OR(O112&gt;1.3,R112&gt;1.3,U112&gt;1.3,AD112&gt;1.3,O112&lt;0.8,R112&lt;0.8,U112&lt;0.8,AD112&lt;0.8),"🟡 ATENÇÃO","🟢 OK")))</f>
        <v/>
      </c>
    </row>
    <row r="113">
      <c r="A113" s="2" t="n"/>
      <c r="L113">
        <f>IF(K113="","",K113*E113)</f>
        <v/>
      </c>
      <c r="M113" s="4">
        <f>IF(F113="","",0.25*F113+0.75*M112)</f>
        <v/>
      </c>
      <c r="N113" s="4">
        <f>IF(F113="","",(2/29)*F113+(27/29)*N112)</f>
        <v/>
      </c>
      <c r="O113" s="6">
        <f>IF(OR(N113="",N113=0),"",M113/N113)</f>
        <v/>
      </c>
      <c r="P113" s="4">
        <f>IF(G113="","",0.25*G113+0.75*P112)</f>
        <v/>
      </c>
      <c r="Q113" s="4">
        <f>IF(G113="","",(2/29)*G113+(27/29)*Q112)</f>
        <v/>
      </c>
      <c r="R113" s="6">
        <f>IF(OR(Q113="",Q113=0),"",P113/Q113)</f>
        <v/>
      </c>
      <c r="S113" s="4">
        <f>IF(H113="","",0.25*H113+0.75*S112)</f>
        <v/>
      </c>
      <c r="T113" s="4">
        <f>IF(H113="","",(2/29)*H113+(27/29)*T112)</f>
        <v/>
      </c>
      <c r="U113" s="6">
        <f>IF(OR(T113="",T113=0),"",S113/T113)</f>
        <v/>
      </c>
      <c r="V113" s="4">
        <f>IF(I113="","",0.25*I113+0.75*V112)</f>
        <v/>
      </c>
      <c r="W113" s="4">
        <f>IF(I113="","",(2/29)*I113+(27/29)*W112)</f>
        <v/>
      </c>
      <c r="X113" s="6">
        <f>IF(OR(W113="",W113=0),"",V113/W113)</f>
        <v/>
      </c>
      <c r="Y113" s="4">
        <f>IF(J113="","",0.25*J113+0.75*Y112)</f>
        <v/>
      </c>
      <c r="Z113" s="4">
        <f>IF(J113="","",(2/29)*J113+(27/29)*Z112)</f>
        <v/>
      </c>
      <c r="AA113" s="6">
        <f>IF(OR(Z113="",Z113=0),"",Y113/Z113)</f>
        <v/>
      </c>
      <c r="AB113" s="4">
        <f>IF(L113="","",0.25*L113+0.75*AB112)</f>
        <v/>
      </c>
      <c r="AC113" s="4">
        <f>IF(L113="","",(2/29)*L113+(27/29)*AC112)</f>
        <v/>
      </c>
      <c r="AD113" s="6">
        <f>IF(OR(AC113="",AC113=0),"",AB113/AC113)</f>
        <v/>
      </c>
      <c r="AE113">
        <f>IF(OR(O113="",R113="",U113="",AD113=""),"",IF(OR(O113&gt;1.5,R113&gt;1.5,U113&gt;1.5,AD113&gt;1.5),"🔴 ALTO",IF(OR(O113&gt;1.3,R113&gt;1.3,U113&gt;1.3,AD113&gt;1.3,O113&lt;0.8,R113&lt;0.8,U113&lt;0.8,AD113&lt;0.8),"🟡 ATENÇÃO","🟢 OK")))</f>
        <v/>
      </c>
    </row>
    <row r="114">
      <c r="A114" s="2" t="n"/>
      <c r="L114">
        <f>IF(K114="","",K114*E114)</f>
        <v/>
      </c>
      <c r="M114" s="4">
        <f>IF(F114="","",0.25*F114+0.75*M113)</f>
        <v/>
      </c>
      <c r="N114" s="4">
        <f>IF(F114="","",(2/29)*F114+(27/29)*N113)</f>
        <v/>
      </c>
      <c r="O114" s="6">
        <f>IF(OR(N114="",N114=0),"",M114/N114)</f>
        <v/>
      </c>
      <c r="P114" s="4">
        <f>IF(G114="","",0.25*G114+0.75*P113)</f>
        <v/>
      </c>
      <c r="Q114" s="4">
        <f>IF(G114="","",(2/29)*G114+(27/29)*Q113)</f>
        <v/>
      </c>
      <c r="R114" s="6">
        <f>IF(OR(Q114="",Q114=0),"",P114/Q114)</f>
        <v/>
      </c>
      <c r="S114" s="4">
        <f>IF(H114="","",0.25*H114+0.75*S113)</f>
        <v/>
      </c>
      <c r="T114" s="4">
        <f>IF(H114="","",(2/29)*H114+(27/29)*T113)</f>
        <v/>
      </c>
      <c r="U114" s="6">
        <f>IF(OR(T114="",T114=0),"",S114/T114)</f>
        <v/>
      </c>
      <c r="V114" s="4">
        <f>IF(I114="","",0.25*I114+0.75*V113)</f>
        <v/>
      </c>
      <c r="W114" s="4">
        <f>IF(I114="","",(2/29)*I114+(27/29)*W113)</f>
        <v/>
      </c>
      <c r="X114" s="6">
        <f>IF(OR(W114="",W114=0),"",V114/W114)</f>
        <v/>
      </c>
      <c r="Y114" s="4">
        <f>IF(J114="","",0.25*J114+0.75*Y113)</f>
        <v/>
      </c>
      <c r="Z114" s="4">
        <f>IF(J114="","",(2/29)*J114+(27/29)*Z113)</f>
        <v/>
      </c>
      <c r="AA114" s="6">
        <f>IF(OR(Z114="",Z114=0),"",Y114/Z114)</f>
        <v/>
      </c>
      <c r="AB114" s="4">
        <f>IF(L114="","",0.25*L114+0.75*AB113)</f>
        <v/>
      </c>
      <c r="AC114" s="4">
        <f>IF(L114="","",(2/29)*L114+(27/29)*AC113)</f>
        <v/>
      </c>
      <c r="AD114" s="6">
        <f>IF(OR(AC114="",AC114=0),"",AB114/AC114)</f>
        <v/>
      </c>
      <c r="AE114">
        <f>IF(OR(O114="",R114="",U114="",AD114=""),"",IF(OR(O114&gt;1.5,R114&gt;1.5,U114&gt;1.5,AD114&gt;1.5),"🔴 ALTO",IF(OR(O114&gt;1.3,R114&gt;1.3,U114&gt;1.3,AD114&gt;1.3,O114&lt;0.8,R114&lt;0.8,U114&lt;0.8,AD114&lt;0.8),"🟡 ATENÇÃO","🟢 OK")))</f>
        <v/>
      </c>
    </row>
    <row r="115">
      <c r="A115" s="2" t="n"/>
      <c r="L115">
        <f>IF(K115="","",K115*E115)</f>
        <v/>
      </c>
      <c r="M115" s="4">
        <f>IF(F115="","",0.25*F115+0.75*M114)</f>
        <v/>
      </c>
      <c r="N115" s="4">
        <f>IF(F115="","",(2/29)*F115+(27/29)*N114)</f>
        <v/>
      </c>
      <c r="O115" s="6">
        <f>IF(OR(N115="",N115=0),"",M115/N115)</f>
        <v/>
      </c>
      <c r="P115" s="4">
        <f>IF(G115="","",0.25*G115+0.75*P114)</f>
        <v/>
      </c>
      <c r="Q115" s="4">
        <f>IF(G115="","",(2/29)*G115+(27/29)*Q114)</f>
        <v/>
      </c>
      <c r="R115" s="6">
        <f>IF(OR(Q115="",Q115=0),"",P115/Q115)</f>
        <v/>
      </c>
      <c r="S115" s="4">
        <f>IF(H115="","",0.25*H115+0.75*S114)</f>
        <v/>
      </c>
      <c r="T115" s="4">
        <f>IF(H115="","",(2/29)*H115+(27/29)*T114)</f>
        <v/>
      </c>
      <c r="U115" s="6">
        <f>IF(OR(T115="",T115=0),"",S115/T115)</f>
        <v/>
      </c>
      <c r="V115" s="4">
        <f>IF(I115="","",0.25*I115+0.75*V114)</f>
        <v/>
      </c>
      <c r="W115" s="4">
        <f>IF(I115="","",(2/29)*I115+(27/29)*W114)</f>
        <v/>
      </c>
      <c r="X115" s="6">
        <f>IF(OR(W115="",W115=0),"",V115/W115)</f>
        <v/>
      </c>
      <c r="Y115" s="4">
        <f>IF(J115="","",0.25*J115+0.75*Y114)</f>
        <v/>
      </c>
      <c r="Z115" s="4">
        <f>IF(J115="","",(2/29)*J115+(27/29)*Z114)</f>
        <v/>
      </c>
      <c r="AA115" s="6">
        <f>IF(OR(Z115="",Z115=0),"",Y115/Z115)</f>
        <v/>
      </c>
      <c r="AB115" s="4">
        <f>IF(L115="","",0.25*L115+0.75*AB114)</f>
        <v/>
      </c>
      <c r="AC115" s="4">
        <f>IF(L115="","",(2/29)*L115+(27/29)*AC114)</f>
        <v/>
      </c>
      <c r="AD115" s="6">
        <f>IF(OR(AC115="",AC115=0),"",AB115/AC115)</f>
        <v/>
      </c>
      <c r="AE115">
        <f>IF(OR(O115="",R115="",U115="",AD115=""),"",IF(OR(O115&gt;1.5,R115&gt;1.5,U115&gt;1.5,AD115&gt;1.5),"🔴 ALTO",IF(OR(O115&gt;1.3,R115&gt;1.3,U115&gt;1.3,AD115&gt;1.3,O115&lt;0.8,R115&lt;0.8,U115&lt;0.8,AD115&lt;0.8),"🟡 ATENÇÃO","🟢 OK")))</f>
        <v/>
      </c>
    </row>
    <row r="116">
      <c r="A116" s="2" t="n"/>
      <c r="L116">
        <f>IF(K116="","",K116*E116)</f>
        <v/>
      </c>
      <c r="M116" s="4">
        <f>IF(F116="","",0.25*F116+0.75*M115)</f>
        <v/>
      </c>
      <c r="N116" s="4">
        <f>IF(F116="","",(2/29)*F116+(27/29)*N115)</f>
        <v/>
      </c>
      <c r="O116" s="6">
        <f>IF(OR(N116="",N116=0),"",M116/N116)</f>
        <v/>
      </c>
      <c r="P116" s="4">
        <f>IF(G116="","",0.25*G116+0.75*P115)</f>
        <v/>
      </c>
      <c r="Q116" s="4">
        <f>IF(G116="","",(2/29)*G116+(27/29)*Q115)</f>
        <v/>
      </c>
      <c r="R116" s="6">
        <f>IF(OR(Q116="",Q116=0),"",P116/Q116)</f>
        <v/>
      </c>
      <c r="S116" s="4">
        <f>IF(H116="","",0.25*H116+0.75*S115)</f>
        <v/>
      </c>
      <c r="T116" s="4">
        <f>IF(H116="","",(2/29)*H116+(27/29)*T115)</f>
        <v/>
      </c>
      <c r="U116" s="6">
        <f>IF(OR(T116="",T116=0),"",S116/T116)</f>
        <v/>
      </c>
      <c r="V116" s="4">
        <f>IF(I116="","",0.25*I116+0.75*V115)</f>
        <v/>
      </c>
      <c r="W116" s="4">
        <f>IF(I116="","",(2/29)*I116+(27/29)*W115)</f>
        <v/>
      </c>
      <c r="X116" s="6">
        <f>IF(OR(W116="",W116=0),"",V116/W116)</f>
        <v/>
      </c>
      <c r="Y116" s="4">
        <f>IF(J116="","",0.25*J116+0.75*Y115)</f>
        <v/>
      </c>
      <c r="Z116" s="4">
        <f>IF(J116="","",(2/29)*J116+(27/29)*Z115)</f>
        <v/>
      </c>
      <c r="AA116" s="6">
        <f>IF(OR(Z116="",Z116=0),"",Y116/Z116)</f>
        <v/>
      </c>
      <c r="AB116" s="4">
        <f>IF(L116="","",0.25*L116+0.75*AB115)</f>
        <v/>
      </c>
      <c r="AC116" s="4">
        <f>IF(L116="","",(2/29)*L116+(27/29)*AC115)</f>
        <v/>
      </c>
      <c r="AD116" s="6">
        <f>IF(OR(AC116="",AC116=0),"",AB116/AC116)</f>
        <v/>
      </c>
      <c r="AE116">
        <f>IF(OR(O116="",R116="",U116="",AD116=""),"",IF(OR(O116&gt;1.5,R116&gt;1.5,U116&gt;1.5,AD116&gt;1.5),"🔴 ALTO",IF(OR(O116&gt;1.3,R116&gt;1.3,U116&gt;1.3,AD116&gt;1.3,O116&lt;0.8,R116&lt;0.8,U116&lt;0.8,AD116&lt;0.8),"🟡 ATENÇÃO","🟢 OK")))</f>
        <v/>
      </c>
    </row>
    <row r="117">
      <c r="A117" s="2" t="n"/>
      <c r="L117">
        <f>IF(K117="","",K117*E117)</f>
        <v/>
      </c>
      <c r="M117" s="4">
        <f>IF(F117="","",0.25*F117+0.75*M116)</f>
        <v/>
      </c>
      <c r="N117" s="4">
        <f>IF(F117="","",(2/29)*F117+(27/29)*N116)</f>
        <v/>
      </c>
      <c r="O117" s="6">
        <f>IF(OR(N117="",N117=0),"",M117/N117)</f>
        <v/>
      </c>
      <c r="P117" s="4">
        <f>IF(G117="","",0.25*G117+0.75*P116)</f>
        <v/>
      </c>
      <c r="Q117" s="4">
        <f>IF(G117="","",(2/29)*G117+(27/29)*Q116)</f>
        <v/>
      </c>
      <c r="R117" s="6">
        <f>IF(OR(Q117="",Q117=0),"",P117/Q117)</f>
        <v/>
      </c>
      <c r="S117" s="4">
        <f>IF(H117="","",0.25*H117+0.75*S116)</f>
        <v/>
      </c>
      <c r="T117" s="4">
        <f>IF(H117="","",(2/29)*H117+(27/29)*T116)</f>
        <v/>
      </c>
      <c r="U117" s="6">
        <f>IF(OR(T117="",T117=0),"",S117/T117)</f>
        <v/>
      </c>
      <c r="V117" s="4">
        <f>IF(I117="","",0.25*I117+0.75*V116)</f>
        <v/>
      </c>
      <c r="W117" s="4">
        <f>IF(I117="","",(2/29)*I117+(27/29)*W116)</f>
        <v/>
      </c>
      <c r="X117" s="6">
        <f>IF(OR(W117="",W117=0),"",V117/W117)</f>
        <v/>
      </c>
      <c r="Y117" s="4">
        <f>IF(J117="","",0.25*J117+0.75*Y116)</f>
        <v/>
      </c>
      <c r="Z117" s="4">
        <f>IF(J117="","",(2/29)*J117+(27/29)*Z116)</f>
        <v/>
      </c>
      <c r="AA117" s="6">
        <f>IF(OR(Z117="",Z117=0),"",Y117/Z117)</f>
        <v/>
      </c>
      <c r="AB117" s="4">
        <f>IF(L117="","",0.25*L117+0.75*AB116)</f>
        <v/>
      </c>
      <c r="AC117" s="4">
        <f>IF(L117="","",(2/29)*L117+(27/29)*AC116)</f>
        <v/>
      </c>
      <c r="AD117" s="6">
        <f>IF(OR(AC117="",AC117=0),"",AB117/AC117)</f>
        <v/>
      </c>
      <c r="AE117">
        <f>IF(OR(O117="",R117="",U117="",AD117=""),"",IF(OR(O117&gt;1.5,R117&gt;1.5,U117&gt;1.5,AD117&gt;1.5),"🔴 ALTO",IF(OR(O117&gt;1.3,R117&gt;1.3,U117&gt;1.3,AD117&gt;1.3,O117&lt;0.8,R117&lt;0.8,U117&lt;0.8,AD117&lt;0.8),"🟡 ATENÇÃO","🟢 OK")))</f>
        <v/>
      </c>
    </row>
    <row r="118">
      <c r="A118" s="2" t="n"/>
      <c r="L118">
        <f>IF(K118="","",K118*E118)</f>
        <v/>
      </c>
      <c r="M118" s="4">
        <f>IF(F118="","",0.25*F118+0.75*M117)</f>
        <v/>
      </c>
      <c r="N118" s="4">
        <f>IF(F118="","",(2/29)*F118+(27/29)*N117)</f>
        <v/>
      </c>
      <c r="O118" s="6">
        <f>IF(OR(N118="",N118=0),"",M118/N118)</f>
        <v/>
      </c>
      <c r="P118" s="4">
        <f>IF(G118="","",0.25*G118+0.75*P117)</f>
        <v/>
      </c>
      <c r="Q118" s="4">
        <f>IF(G118="","",(2/29)*G118+(27/29)*Q117)</f>
        <v/>
      </c>
      <c r="R118" s="6">
        <f>IF(OR(Q118="",Q118=0),"",P118/Q118)</f>
        <v/>
      </c>
      <c r="S118" s="4">
        <f>IF(H118="","",0.25*H118+0.75*S117)</f>
        <v/>
      </c>
      <c r="T118" s="4">
        <f>IF(H118="","",(2/29)*H118+(27/29)*T117)</f>
        <v/>
      </c>
      <c r="U118" s="6">
        <f>IF(OR(T118="",T118=0),"",S118/T118)</f>
        <v/>
      </c>
      <c r="V118" s="4">
        <f>IF(I118="","",0.25*I118+0.75*V117)</f>
        <v/>
      </c>
      <c r="W118" s="4">
        <f>IF(I118="","",(2/29)*I118+(27/29)*W117)</f>
        <v/>
      </c>
      <c r="X118" s="6">
        <f>IF(OR(W118="",W118=0),"",V118/W118)</f>
        <v/>
      </c>
      <c r="Y118" s="4">
        <f>IF(J118="","",0.25*J118+0.75*Y117)</f>
        <v/>
      </c>
      <c r="Z118" s="4">
        <f>IF(J118="","",(2/29)*J118+(27/29)*Z117)</f>
        <v/>
      </c>
      <c r="AA118" s="6">
        <f>IF(OR(Z118="",Z118=0),"",Y118/Z118)</f>
        <v/>
      </c>
      <c r="AB118" s="4">
        <f>IF(L118="","",0.25*L118+0.75*AB117)</f>
        <v/>
      </c>
      <c r="AC118" s="4">
        <f>IF(L118="","",(2/29)*L118+(27/29)*AC117)</f>
        <v/>
      </c>
      <c r="AD118" s="6">
        <f>IF(OR(AC118="",AC118=0),"",AB118/AC118)</f>
        <v/>
      </c>
      <c r="AE118">
        <f>IF(OR(O118="",R118="",U118="",AD118=""),"",IF(OR(O118&gt;1.5,R118&gt;1.5,U118&gt;1.5,AD118&gt;1.5),"🔴 ALTO",IF(OR(O118&gt;1.3,R118&gt;1.3,U118&gt;1.3,AD118&gt;1.3,O118&lt;0.8,R118&lt;0.8,U118&lt;0.8,AD118&lt;0.8),"🟡 ATENÇÃO","🟢 OK")))</f>
        <v/>
      </c>
    </row>
    <row r="119">
      <c r="A119" s="2" t="n"/>
      <c r="L119">
        <f>IF(K119="","",K119*E119)</f>
        <v/>
      </c>
      <c r="M119" s="4">
        <f>IF(F119="","",0.25*F119+0.75*M118)</f>
        <v/>
      </c>
      <c r="N119" s="4">
        <f>IF(F119="","",(2/29)*F119+(27/29)*N118)</f>
        <v/>
      </c>
      <c r="O119" s="6">
        <f>IF(OR(N119="",N119=0),"",M119/N119)</f>
        <v/>
      </c>
      <c r="P119" s="4">
        <f>IF(G119="","",0.25*G119+0.75*P118)</f>
        <v/>
      </c>
      <c r="Q119" s="4">
        <f>IF(G119="","",(2/29)*G119+(27/29)*Q118)</f>
        <v/>
      </c>
      <c r="R119" s="6">
        <f>IF(OR(Q119="",Q119=0),"",P119/Q119)</f>
        <v/>
      </c>
      <c r="S119" s="4">
        <f>IF(H119="","",0.25*H119+0.75*S118)</f>
        <v/>
      </c>
      <c r="T119" s="4">
        <f>IF(H119="","",(2/29)*H119+(27/29)*T118)</f>
        <v/>
      </c>
      <c r="U119" s="6">
        <f>IF(OR(T119="",T119=0),"",S119/T119)</f>
        <v/>
      </c>
      <c r="V119" s="4">
        <f>IF(I119="","",0.25*I119+0.75*V118)</f>
        <v/>
      </c>
      <c r="W119" s="4">
        <f>IF(I119="","",(2/29)*I119+(27/29)*W118)</f>
        <v/>
      </c>
      <c r="X119" s="6">
        <f>IF(OR(W119="",W119=0),"",V119/W119)</f>
        <v/>
      </c>
      <c r="Y119" s="4">
        <f>IF(J119="","",0.25*J119+0.75*Y118)</f>
        <v/>
      </c>
      <c r="Z119" s="4">
        <f>IF(J119="","",(2/29)*J119+(27/29)*Z118)</f>
        <v/>
      </c>
      <c r="AA119" s="6">
        <f>IF(OR(Z119="",Z119=0),"",Y119/Z119)</f>
        <v/>
      </c>
      <c r="AB119" s="4">
        <f>IF(L119="","",0.25*L119+0.75*AB118)</f>
        <v/>
      </c>
      <c r="AC119" s="4">
        <f>IF(L119="","",(2/29)*L119+(27/29)*AC118)</f>
        <v/>
      </c>
      <c r="AD119" s="6">
        <f>IF(OR(AC119="",AC119=0),"",AB119/AC119)</f>
        <v/>
      </c>
      <c r="AE119">
        <f>IF(OR(O119="",R119="",U119="",AD119=""),"",IF(OR(O119&gt;1.5,R119&gt;1.5,U119&gt;1.5,AD119&gt;1.5),"🔴 ALTO",IF(OR(O119&gt;1.3,R119&gt;1.3,U119&gt;1.3,AD119&gt;1.3,O119&lt;0.8,R119&lt;0.8,U119&lt;0.8,AD119&lt;0.8),"🟡 ATENÇÃO","🟢 OK")))</f>
        <v/>
      </c>
    </row>
    <row r="120">
      <c r="A120" s="2" t="n"/>
      <c r="L120">
        <f>IF(K120="","",K120*E120)</f>
        <v/>
      </c>
      <c r="M120" s="4">
        <f>IF(F120="","",0.25*F120+0.75*M119)</f>
        <v/>
      </c>
      <c r="N120" s="4">
        <f>IF(F120="","",(2/29)*F120+(27/29)*N119)</f>
        <v/>
      </c>
      <c r="O120" s="6">
        <f>IF(OR(N120="",N120=0),"",M120/N120)</f>
        <v/>
      </c>
      <c r="P120" s="4">
        <f>IF(G120="","",0.25*G120+0.75*P119)</f>
        <v/>
      </c>
      <c r="Q120" s="4">
        <f>IF(G120="","",(2/29)*G120+(27/29)*Q119)</f>
        <v/>
      </c>
      <c r="R120" s="6">
        <f>IF(OR(Q120="",Q120=0),"",P120/Q120)</f>
        <v/>
      </c>
      <c r="S120" s="4">
        <f>IF(H120="","",0.25*H120+0.75*S119)</f>
        <v/>
      </c>
      <c r="T120" s="4">
        <f>IF(H120="","",(2/29)*H120+(27/29)*T119)</f>
        <v/>
      </c>
      <c r="U120" s="6">
        <f>IF(OR(T120="",T120=0),"",S120/T120)</f>
        <v/>
      </c>
      <c r="V120" s="4">
        <f>IF(I120="","",0.25*I120+0.75*V119)</f>
        <v/>
      </c>
      <c r="W120" s="4">
        <f>IF(I120="","",(2/29)*I120+(27/29)*W119)</f>
        <v/>
      </c>
      <c r="X120" s="6">
        <f>IF(OR(W120="",W120=0),"",V120/W120)</f>
        <v/>
      </c>
      <c r="Y120" s="4">
        <f>IF(J120="","",0.25*J120+0.75*Y119)</f>
        <v/>
      </c>
      <c r="Z120" s="4">
        <f>IF(J120="","",(2/29)*J120+(27/29)*Z119)</f>
        <v/>
      </c>
      <c r="AA120" s="6">
        <f>IF(OR(Z120="",Z120=0),"",Y120/Z120)</f>
        <v/>
      </c>
      <c r="AB120" s="4">
        <f>IF(L120="","",0.25*L120+0.75*AB119)</f>
        <v/>
      </c>
      <c r="AC120" s="4">
        <f>IF(L120="","",(2/29)*L120+(27/29)*AC119)</f>
        <v/>
      </c>
      <c r="AD120" s="6">
        <f>IF(OR(AC120="",AC120=0),"",AB120/AC120)</f>
        <v/>
      </c>
      <c r="AE120">
        <f>IF(OR(O120="",R120="",U120="",AD120=""),"",IF(OR(O120&gt;1.5,R120&gt;1.5,U120&gt;1.5,AD120&gt;1.5),"🔴 ALTO",IF(OR(O120&gt;1.3,R120&gt;1.3,U120&gt;1.3,AD120&gt;1.3,O120&lt;0.8,R120&lt;0.8,U120&lt;0.8,AD120&lt;0.8),"🟡 ATENÇÃO","🟢 OK")))</f>
        <v/>
      </c>
    </row>
    <row r="121">
      <c r="A121" s="2" t="n"/>
      <c r="L121">
        <f>IF(K121="","",K121*E121)</f>
        <v/>
      </c>
      <c r="M121" s="4">
        <f>IF(F121="","",0.25*F121+0.75*M120)</f>
        <v/>
      </c>
      <c r="N121" s="4">
        <f>IF(F121="","",(2/29)*F121+(27/29)*N120)</f>
        <v/>
      </c>
      <c r="O121" s="6">
        <f>IF(OR(N121="",N121=0),"",M121/N121)</f>
        <v/>
      </c>
      <c r="P121" s="4">
        <f>IF(G121="","",0.25*G121+0.75*P120)</f>
        <v/>
      </c>
      <c r="Q121" s="4">
        <f>IF(G121="","",(2/29)*G121+(27/29)*Q120)</f>
        <v/>
      </c>
      <c r="R121" s="6">
        <f>IF(OR(Q121="",Q121=0),"",P121/Q121)</f>
        <v/>
      </c>
      <c r="S121" s="4">
        <f>IF(H121="","",0.25*H121+0.75*S120)</f>
        <v/>
      </c>
      <c r="T121" s="4">
        <f>IF(H121="","",(2/29)*H121+(27/29)*T120)</f>
        <v/>
      </c>
      <c r="U121" s="6">
        <f>IF(OR(T121="",T121=0),"",S121/T121)</f>
        <v/>
      </c>
      <c r="V121" s="4">
        <f>IF(I121="","",0.25*I121+0.75*V120)</f>
        <v/>
      </c>
      <c r="W121" s="4">
        <f>IF(I121="","",(2/29)*I121+(27/29)*W120)</f>
        <v/>
      </c>
      <c r="X121" s="6">
        <f>IF(OR(W121="",W121=0),"",V121/W121)</f>
        <v/>
      </c>
      <c r="Y121" s="4">
        <f>IF(J121="","",0.25*J121+0.75*Y120)</f>
        <v/>
      </c>
      <c r="Z121" s="4">
        <f>IF(J121="","",(2/29)*J121+(27/29)*Z120)</f>
        <v/>
      </c>
      <c r="AA121" s="6">
        <f>IF(OR(Z121="",Z121=0),"",Y121/Z121)</f>
        <v/>
      </c>
      <c r="AB121" s="4">
        <f>IF(L121="","",0.25*L121+0.75*AB120)</f>
        <v/>
      </c>
      <c r="AC121" s="4">
        <f>IF(L121="","",(2/29)*L121+(27/29)*AC120)</f>
        <v/>
      </c>
      <c r="AD121" s="6">
        <f>IF(OR(AC121="",AC121=0),"",AB121/AC121)</f>
        <v/>
      </c>
      <c r="AE121">
        <f>IF(OR(O121="",R121="",U121="",AD121=""),"",IF(OR(O121&gt;1.5,R121&gt;1.5,U121&gt;1.5,AD121&gt;1.5),"🔴 ALTO",IF(OR(O121&gt;1.3,R121&gt;1.3,U121&gt;1.3,AD121&gt;1.3,O121&lt;0.8,R121&lt;0.8,U121&lt;0.8,AD121&lt;0.8),"🟡 ATENÇÃO","🟢 OK")))</f>
        <v/>
      </c>
    </row>
    <row r="122">
      <c r="A122" s="2" t="n"/>
      <c r="L122">
        <f>IF(K122="","",K122*E122)</f>
        <v/>
      </c>
      <c r="M122" s="4">
        <f>IF(F122="","",0.25*F122+0.75*M121)</f>
        <v/>
      </c>
      <c r="N122" s="4">
        <f>IF(F122="","",(2/29)*F122+(27/29)*N121)</f>
        <v/>
      </c>
      <c r="O122" s="6">
        <f>IF(OR(N122="",N122=0),"",M122/N122)</f>
        <v/>
      </c>
      <c r="P122" s="4">
        <f>IF(G122="","",0.25*G122+0.75*P121)</f>
        <v/>
      </c>
      <c r="Q122" s="4">
        <f>IF(G122="","",(2/29)*G122+(27/29)*Q121)</f>
        <v/>
      </c>
      <c r="R122" s="6">
        <f>IF(OR(Q122="",Q122=0),"",P122/Q122)</f>
        <v/>
      </c>
      <c r="S122" s="4">
        <f>IF(H122="","",0.25*H122+0.75*S121)</f>
        <v/>
      </c>
      <c r="T122" s="4">
        <f>IF(H122="","",(2/29)*H122+(27/29)*T121)</f>
        <v/>
      </c>
      <c r="U122" s="6">
        <f>IF(OR(T122="",T122=0),"",S122/T122)</f>
        <v/>
      </c>
      <c r="V122" s="4">
        <f>IF(I122="","",0.25*I122+0.75*V121)</f>
        <v/>
      </c>
      <c r="W122" s="4">
        <f>IF(I122="","",(2/29)*I122+(27/29)*W121)</f>
        <v/>
      </c>
      <c r="X122" s="6">
        <f>IF(OR(W122="",W122=0),"",V122/W122)</f>
        <v/>
      </c>
      <c r="Y122" s="4">
        <f>IF(J122="","",0.25*J122+0.75*Y121)</f>
        <v/>
      </c>
      <c r="Z122" s="4">
        <f>IF(J122="","",(2/29)*J122+(27/29)*Z121)</f>
        <v/>
      </c>
      <c r="AA122" s="6">
        <f>IF(OR(Z122="",Z122=0),"",Y122/Z122)</f>
        <v/>
      </c>
      <c r="AB122" s="4">
        <f>IF(L122="","",0.25*L122+0.75*AB121)</f>
        <v/>
      </c>
      <c r="AC122" s="4">
        <f>IF(L122="","",(2/29)*L122+(27/29)*AC121)</f>
        <v/>
      </c>
      <c r="AD122" s="6">
        <f>IF(OR(AC122="",AC122=0),"",AB122/AC122)</f>
        <v/>
      </c>
      <c r="AE122">
        <f>IF(OR(O122="",R122="",U122="",AD122=""),"",IF(OR(O122&gt;1.5,R122&gt;1.5,U122&gt;1.5,AD122&gt;1.5),"🔴 ALTO",IF(OR(O122&gt;1.3,R122&gt;1.3,U122&gt;1.3,AD122&gt;1.3,O122&lt;0.8,R122&lt;0.8,U122&lt;0.8,AD122&lt;0.8),"🟡 ATENÇÃO","🟢 OK")))</f>
        <v/>
      </c>
    </row>
    <row r="123">
      <c r="A123" s="2" t="n"/>
      <c r="L123">
        <f>IF(K123="","",K123*E123)</f>
        <v/>
      </c>
      <c r="M123" s="4">
        <f>IF(F123="","",0.25*F123+0.75*M122)</f>
        <v/>
      </c>
      <c r="N123" s="4">
        <f>IF(F123="","",(2/29)*F123+(27/29)*N122)</f>
        <v/>
      </c>
      <c r="O123" s="6">
        <f>IF(OR(N123="",N123=0),"",M123/N123)</f>
        <v/>
      </c>
      <c r="P123" s="4">
        <f>IF(G123="","",0.25*G123+0.75*P122)</f>
        <v/>
      </c>
      <c r="Q123" s="4">
        <f>IF(G123="","",(2/29)*G123+(27/29)*Q122)</f>
        <v/>
      </c>
      <c r="R123" s="6">
        <f>IF(OR(Q123="",Q123=0),"",P123/Q123)</f>
        <v/>
      </c>
      <c r="S123" s="4">
        <f>IF(H123="","",0.25*H123+0.75*S122)</f>
        <v/>
      </c>
      <c r="T123" s="4">
        <f>IF(H123="","",(2/29)*H123+(27/29)*T122)</f>
        <v/>
      </c>
      <c r="U123" s="6">
        <f>IF(OR(T123="",T123=0),"",S123/T123)</f>
        <v/>
      </c>
      <c r="V123" s="4">
        <f>IF(I123="","",0.25*I123+0.75*V122)</f>
        <v/>
      </c>
      <c r="W123" s="4">
        <f>IF(I123="","",(2/29)*I123+(27/29)*W122)</f>
        <v/>
      </c>
      <c r="X123" s="6">
        <f>IF(OR(W123="",W123=0),"",V123/W123)</f>
        <v/>
      </c>
      <c r="Y123" s="4">
        <f>IF(J123="","",0.25*J123+0.75*Y122)</f>
        <v/>
      </c>
      <c r="Z123" s="4">
        <f>IF(J123="","",(2/29)*J123+(27/29)*Z122)</f>
        <v/>
      </c>
      <c r="AA123" s="6">
        <f>IF(OR(Z123="",Z123=0),"",Y123/Z123)</f>
        <v/>
      </c>
      <c r="AB123" s="4">
        <f>IF(L123="","",0.25*L123+0.75*AB122)</f>
        <v/>
      </c>
      <c r="AC123" s="4">
        <f>IF(L123="","",(2/29)*L123+(27/29)*AC122)</f>
        <v/>
      </c>
      <c r="AD123" s="6">
        <f>IF(OR(AC123="",AC123=0),"",AB123/AC123)</f>
        <v/>
      </c>
      <c r="AE123">
        <f>IF(OR(O123="",R123="",U123="",AD123=""),"",IF(OR(O123&gt;1.5,R123&gt;1.5,U123&gt;1.5,AD123&gt;1.5),"🔴 ALTO",IF(OR(O123&gt;1.3,R123&gt;1.3,U123&gt;1.3,AD123&gt;1.3,O123&lt;0.8,R123&lt;0.8,U123&lt;0.8,AD123&lt;0.8),"🟡 ATENÇÃO","🟢 OK")))</f>
        <v/>
      </c>
    </row>
    <row r="124">
      <c r="A124" s="2" t="n"/>
      <c r="L124">
        <f>IF(K124="","",K124*E124)</f>
        <v/>
      </c>
      <c r="M124" s="4">
        <f>IF(F124="","",0.25*F124+0.75*M123)</f>
        <v/>
      </c>
      <c r="N124" s="4">
        <f>IF(F124="","",(2/29)*F124+(27/29)*N123)</f>
        <v/>
      </c>
      <c r="O124" s="6">
        <f>IF(OR(N124="",N124=0),"",M124/N124)</f>
        <v/>
      </c>
      <c r="P124" s="4">
        <f>IF(G124="","",0.25*G124+0.75*P123)</f>
        <v/>
      </c>
      <c r="Q124" s="4">
        <f>IF(G124="","",(2/29)*G124+(27/29)*Q123)</f>
        <v/>
      </c>
      <c r="R124" s="6">
        <f>IF(OR(Q124="",Q124=0),"",P124/Q124)</f>
        <v/>
      </c>
      <c r="S124" s="4">
        <f>IF(H124="","",0.25*H124+0.75*S123)</f>
        <v/>
      </c>
      <c r="T124" s="4">
        <f>IF(H124="","",(2/29)*H124+(27/29)*T123)</f>
        <v/>
      </c>
      <c r="U124" s="6">
        <f>IF(OR(T124="",T124=0),"",S124/T124)</f>
        <v/>
      </c>
      <c r="V124" s="4">
        <f>IF(I124="","",0.25*I124+0.75*V123)</f>
        <v/>
      </c>
      <c r="W124" s="4">
        <f>IF(I124="","",(2/29)*I124+(27/29)*W123)</f>
        <v/>
      </c>
      <c r="X124" s="6">
        <f>IF(OR(W124="",W124=0),"",V124/W124)</f>
        <v/>
      </c>
      <c r="Y124" s="4">
        <f>IF(J124="","",0.25*J124+0.75*Y123)</f>
        <v/>
      </c>
      <c r="Z124" s="4">
        <f>IF(J124="","",(2/29)*J124+(27/29)*Z123)</f>
        <v/>
      </c>
      <c r="AA124" s="6">
        <f>IF(OR(Z124="",Z124=0),"",Y124/Z124)</f>
        <v/>
      </c>
      <c r="AB124" s="4">
        <f>IF(L124="","",0.25*L124+0.75*AB123)</f>
        <v/>
      </c>
      <c r="AC124" s="4">
        <f>IF(L124="","",(2/29)*L124+(27/29)*AC123)</f>
        <v/>
      </c>
      <c r="AD124" s="6">
        <f>IF(OR(AC124="",AC124=0),"",AB124/AC124)</f>
        <v/>
      </c>
      <c r="AE124">
        <f>IF(OR(O124="",R124="",U124="",AD124=""),"",IF(OR(O124&gt;1.5,R124&gt;1.5,U124&gt;1.5,AD124&gt;1.5),"🔴 ALTO",IF(OR(O124&gt;1.3,R124&gt;1.3,U124&gt;1.3,AD124&gt;1.3,O124&lt;0.8,R124&lt;0.8,U124&lt;0.8,AD124&lt;0.8),"🟡 ATENÇÃO","🟢 OK")))</f>
        <v/>
      </c>
    </row>
    <row r="125">
      <c r="A125" s="2" t="n"/>
      <c r="L125">
        <f>IF(K125="","",K125*E125)</f>
        <v/>
      </c>
      <c r="M125" s="4">
        <f>IF(F125="","",0.25*F125+0.75*M124)</f>
        <v/>
      </c>
      <c r="N125" s="4">
        <f>IF(F125="","",(2/29)*F125+(27/29)*N124)</f>
        <v/>
      </c>
      <c r="O125" s="6">
        <f>IF(OR(N125="",N125=0),"",M125/N125)</f>
        <v/>
      </c>
      <c r="P125" s="4">
        <f>IF(G125="","",0.25*G125+0.75*P124)</f>
        <v/>
      </c>
      <c r="Q125" s="4">
        <f>IF(G125="","",(2/29)*G125+(27/29)*Q124)</f>
        <v/>
      </c>
      <c r="R125" s="6">
        <f>IF(OR(Q125="",Q125=0),"",P125/Q125)</f>
        <v/>
      </c>
      <c r="S125" s="4">
        <f>IF(H125="","",0.25*H125+0.75*S124)</f>
        <v/>
      </c>
      <c r="T125" s="4">
        <f>IF(H125="","",(2/29)*H125+(27/29)*T124)</f>
        <v/>
      </c>
      <c r="U125" s="6">
        <f>IF(OR(T125="",T125=0),"",S125/T125)</f>
        <v/>
      </c>
      <c r="V125" s="4">
        <f>IF(I125="","",0.25*I125+0.75*V124)</f>
        <v/>
      </c>
      <c r="W125" s="4">
        <f>IF(I125="","",(2/29)*I125+(27/29)*W124)</f>
        <v/>
      </c>
      <c r="X125" s="6">
        <f>IF(OR(W125="",W125=0),"",V125/W125)</f>
        <v/>
      </c>
      <c r="Y125" s="4">
        <f>IF(J125="","",0.25*J125+0.75*Y124)</f>
        <v/>
      </c>
      <c r="Z125" s="4">
        <f>IF(J125="","",(2/29)*J125+(27/29)*Z124)</f>
        <v/>
      </c>
      <c r="AA125" s="6">
        <f>IF(OR(Z125="",Z125=0),"",Y125/Z125)</f>
        <v/>
      </c>
      <c r="AB125" s="4">
        <f>IF(L125="","",0.25*L125+0.75*AB124)</f>
        <v/>
      </c>
      <c r="AC125" s="4">
        <f>IF(L125="","",(2/29)*L125+(27/29)*AC124)</f>
        <v/>
      </c>
      <c r="AD125" s="6">
        <f>IF(OR(AC125="",AC125=0),"",AB125/AC125)</f>
        <v/>
      </c>
      <c r="AE125">
        <f>IF(OR(O125="",R125="",U125="",AD125=""),"",IF(OR(O125&gt;1.5,R125&gt;1.5,U125&gt;1.5,AD125&gt;1.5),"🔴 ALTO",IF(OR(O125&gt;1.3,R125&gt;1.3,U125&gt;1.3,AD125&gt;1.3,O125&lt;0.8,R125&lt;0.8,U125&lt;0.8,AD125&lt;0.8),"🟡 ATENÇÃO","🟢 OK")))</f>
        <v/>
      </c>
    </row>
    <row r="126">
      <c r="A126" s="2" t="n"/>
      <c r="L126">
        <f>IF(K126="","",K126*E126)</f>
        <v/>
      </c>
      <c r="M126" s="4">
        <f>IF(F126="","",0.25*F126+0.75*M125)</f>
        <v/>
      </c>
      <c r="N126" s="4">
        <f>IF(F126="","",(2/29)*F126+(27/29)*N125)</f>
        <v/>
      </c>
      <c r="O126" s="6">
        <f>IF(OR(N126="",N126=0),"",M126/N126)</f>
        <v/>
      </c>
      <c r="P126" s="4">
        <f>IF(G126="","",0.25*G126+0.75*P125)</f>
        <v/>
      </c>
      <c r="Q126" s="4">
        <f>IF(G126="","",(2/29)*G126+(27/29)*Q125)</f>
        <v/>
      </c>
      <c r="R126" s="6">
        <f>IF(OR(Q126="",Q126=0),"",P126/Q126)</f>
        <v/>
      </c>
      <c r="S126" s="4">
        <f>IF(H126="","",0.25*H126+0.75*S125)</f>
        <v/>
      </c>
      <c r="T126" s="4">
        <f>IF(H126="","",(2/29)*H126+(27/29)*T125)</f>
        <v/>
      </c>
      <c r="U126" s="6">
        <f>IF(OR(T126="",T126=0),"",S126/T126)</f>
        <v/>
      </c>
      <c r="V126" s="4">
        <f>IF(I126="","",0.25*I126+0.75*V125)</f>
        <v/>
      </c>
      <c r="W126" s="4">
        <f>IF(I126="","",(2/29)*I126+(27/29)*W125)</f>
        <v/>
      </c>
      <c r="X126" s="6">
        <f>IF(OR(W126="",W126=0),"",V126/W126)</f>
        <v/>
      </c>
      <c r="Y126" s="4">
        <f>IF(J126="","",0.25*J126+0.75*Y125)</f>
        <v/>
      </c>
      <c r="Z126" s="4">
        <f>IF(J126="","",(2/29)*J126+(27/29)*Z125)</f>
        <v/>
      </c>
      <c r="AA126" s="6">
        <f>IF(OR(Z126="",Z126=0),"",Y126/Z126)</f>
        <v/>
      </c>
      <c r="AB126" s="4">
        <f>IF(L126="","",0.25*L126+0.75*AB125)</f>
        <v/>
      </c>
      <c r="AC126" s="4">
        <f>IF(L126="","",(2/29)*L126+(27/29)*AC125)</f>
        <v/>
      </c>
      <c r="AD126" s="6">
        <f>IF(OR(AC126="",AC126=0),"",AB126/AC126)</f>
        <v/>
      </c>
      <c r="AE126">
        <f>IF(OR(O126="",R126="",U126="",AD126=""),"",IF(OR(O126&gt;1.5,R126&gt;1.5,U126&gt;1.5,AD126&gt;1.5),"🔴 ALTO",IF(OR(O126&gt;1.3,R126&gt;1.3,U126&gt;1.3,AD126&gt;1.3,O126&lt;0.8,R126&lt;0.8,U126&lt;0.8,AD126&lt;0.8),"🟡 ATENÇÃO","🟢 OK")))</f>
        <v/>
      </c>
    </row>
    <row r="127">
      <c r="A127" s="2" t="n"/>
      <c r="L127">
        <f>IF(K127="","",K127*E127)</f>
        <v/>
      </c>
      <c r="M127" s="4">
        <f>IF(F127="","",0.25*F127+0.75*M126)</f>
        <v/>
      </c>
      <c r="N127" s="4">
        <f>IF(F127="","",(2/29)*F127+(27/29)*N126)</f>
        <v/>
      </c>
      <c r="O127" s="6">
        <f>IF(OR(N127="",N127=0),"",M127/N127)</f>
        <v/>
      </c>
      <c r="P127" s="4">
        <f>IF(G127="","",0.25*G127+0.75*P126)</f>
        <v/>
      </c>
      <c r="Q127" s="4">
        <f>IF(G127="","",(2/29)*G127+(27/29)*Q126)</f>
        <v/>
      </c>
      <c r="R127" s="6">
        <f>IF(OR(Q127="",Q127=0),"",P127/Q127)</f>
        <v/>
      </c>
      <c r="S127" s="4">
        <f>IF(H127="","",0.25*H127+0.75*S126)</f>
        <v/>
      </c>
      <c r="T127" s="4">
        <f>IF(H127="","",(2/29)*H127+(27/29)*T126)</f>
        <v/>
      </c>
      <c r="U127" s="6">
        <f>IF(OR(T127="",T127=0),"",S127/T127)</f>
        <v/>
      </c>
      <c r="V127" s="4">
        <f>IF(I127="","",0.25*I127+0.75*V126)</f>
        <v/>
      </c>
      <c r="W127" s="4">
        <f>IF(I127="","",(2/29)*I127+(27/29)*W126)</f>
        <v/>
      </c>
      <c r="X127" s="6">
        <f>IF(OR(W127="",W127=0),"",V127/W127)</f>
        <v/>
      </c>
      <c r="Y127" s="4">
        <f>IF(J127="","",0.25*J127+0.75*Y126)</f>
        <v/>
      </c>
      <c r="Z127" s="4">
        <f>IF(J127="","",(2/29)*J127+(27/29)*Z126)</f>
        <v/>
      </c>
      <c r="AA127" s="6">
        <f>IF(OR(Z127="",Z127=0),"",Y127/Z127)</f>
        <v/>
      </c>
      <c r="AB127" s="4">
        <f>IF(L127="","",0.25*L127+0.75*AB126)</f>
        <v/>
      </c>
      <c r="AC127" s="4">
        <f>IF(L127="","",(2/29)*L127+(27/29)*AC126)</f>
        <v/>
      </c>
      <c r="AD127" s="6">
        <f>IF(OR(AC127="",AC127=0),"",AB127/AC127)</f>
        <v/>
      </c>
      <c r="AE127">
        <f>IF(OR(O127="",R127="",U127="",AD127=""),"",IF(OR(O127&gt;1.5,R127&gt;1.5,U127&gt;1.5,AD127&gt;1.5),"🔴 ALTO",IF(OR(O127&gt;1.3,R127&gt;1.3,U127&gt;1.3,AD127&gt;1.3,O127&lt;0.8,R127&lt;0.8,U127&lt;0.8,AD127&lt;0.8),"🟡 ATENÇÃO","🟢 OK")))</f>
        <v/>
      </c>
    </row>
    <row r="128">
      <c r="A128" s="2" t="n"/>
      <c r="L128">
        <f>IF(K128="","",K128*E128)</f>
        <v/>
      </c>
      <c r="M128" s="4">
        <f>IF(F128="","",0.25*F128+0.75*M127)</f>
        <v/>
      </c>
      <c r="N128" s="4">
        <f>IF(F128="","",(2/29)*F128+(27/29)*N127)</f>
        <v/>
      </c>
      <c r="O128" s="6">
        <f>IF(OR(N128="",N128=0),"",M128/N128)</f>
        <v/>
      </c>
      <c r="P128" s="4">
        <f>IF(G128="","",0.25*G128+0.75*P127)</f>
        <v/>
      </c>
      <c r="Q128" s="4">
        <f>IF(G128="","",(2/29)*G128+(27/29)*Q127)</f>
        <v/>
      </c>
      <c r="R128" s="6">
        <f>IF(OR(Q128="",Q128=0),"",P128/Q128)</f>
        <v/>
      </c>
      <c r="S128" s="4">
        <f>IF(H128="","",0.25*H128+0.75*S127)</f>
        <v/>
      </c>
      <c r="T128" s="4">
        <f>IF(H128="","",(2/29)*H128+(27/29)*T127)</f>
        <v/>
      </c>
      <c r="U128" s="6">
        <f>IF(OR(T128="",T128=0),"",S128/T128)</f>
        <v/>
      </c>
      <c r="V128" s="4">
        <f>IF(I128="","",0.25*I128+0.75*V127)</f>
        <v/>
      </c>
      <c r="W128" s="4">
        <f>IF(I128="","",(2/29)*I128+(27/29)*W127)</f>
        <v/>
      </c>
      <c r="X128" s="6">
        <f>IF(OR(W128="",W128=0),"",V128/W128)</f>
        <v/>
      </c>
      <c r="Y128" s="4">
        <f>IF(J128="","",0.25*J128+0.75*Y127)</f>
        <v/>
      </c>
      <c r="Z128" s="4">
        <f>IF(J128="","",(2/29)*J128+(27/29)*Z127)</f>
        <v/>
      </c>
      <c r="AA128" s="6">
        <f>IF(OR(Z128="",Z128=0),"",Y128/Z128)</f>
        <v/>
      </c>
      <c r="AB128" s="4">
        <f>IF(L128="","",0.25*L128+0.75*AB127)</f>
        <v/>
      </c>
      <c r="AC128" s="4">
        <f>IF(L128="","",(2/29)*L128+(27/29)*AC127)</f>
        <v/>
      </c>
      <c r="AD128" s="6">
        <f>IF(OR(AC128="",AC128=0),"",AB128/AC128)</f>
        <v/>
      </c>
      <c r="AE128">
        <f>IF(OR(O128="",R128="",U128="",AD128=""),"",IF(OR(O128&gt;1.5,R128&gt;1.5,U128&gt;1.5,AD128&gt;1.5),"🔴 ALTO",IF(OR(O128&gt;1.3,R128&gt;1.3,U128&gt;1.3,AD128&gt;1.3,O128&lt;0.8,R128&lt;0.8,U128&lt;0.8,AD128&lt;0.8),"🟡 ATENÇÃO","🟢 OK")))</f>
        <v/>
      </c>
    </row>
    <row r="129">
      <c r="A129" s="2" t="n"/>
      <c r="L129">
        <f>IF(K129="","",K129*E129)</f>
        <v/>
      </c>
      <c r="M129" s="4">
        <f>IF(F129="","",0.25*F129+0.75*M128)</f>
        <v/>
      </c>
      <c r="N129" s="4">
        <f>IF(F129="","",(2/29)*F129+(27/29)*N128)</f>
        <v/>
      </c>
      <c r="O129" s="6">
        <f>IF(OR(N129="",N129=0),"",M129/N129)</f>
        <v/>
      </c>
      <c r="P129" s="4">
        <f>IF(G129="","",0.25*G129+0.75*P128)</f>
        <v/>
      </c>
      <c r="Q129" s="4">
        <f>IF(G129="","",(2/29)*G129+(27/29)*Q128)</f>
        <v/>
      </c>
      <c r="R129" s="6">
        <f>IF(OR(Q129="",Q129=0),"",P129/Q129)</f>
        <v/>
      </c>
      <c r="S129" s="4">
        <f>IF(H129="","",0.25*H129+0.75*S128)</f>
        <v/>
      </c>
      <c r="T129" s="4">
        <f>IF(H129="","",(2/29)*H129+(27/29)*T128)</f>
        <v/>
      </c>
      <c r="U129" s="6">
        <f>IF(OR(T129="",T129=0),"",S129/T129)</f>
        <v/>
      </c>
      <c r="V129" s="4">
        <f>IF(I129="","",0.25*I129+0.75*V128)</f>
        <v/>
      </c>
      <c r="W129" s="4">
        <f>IF(I129="","",(2/29)*I129+(27/29)*W128)</f>
        <v/>
      </c>
      <c r="X129" s="6">
        <f>IF(OR(W129="",W129=0),"",V129/W129)</f>
        <v/>
      </c>
      <c r="Y129" s="4">
        <f>IF(J129="","",0.25*J129+0.75*Y128)</f>
        <v/>
      </c>
      <c r="Z129" s="4">
        <f>IF(J129="","",(2/29)*J129+(27/29)*Z128)</f>
        <v/>
      </c>
      <c r="AA129" s="6">
        <f>IF(OR(Z129="",Z129=0),"",Y129/Z129)</f>
        <v/>
      </c>
      <c r="AB129" s="4">
        <f>IF(L129="","",0.25*L129+0.75*AB128)</f>
        <v/>
      </c>
      <c r="AC129" s="4">
        <f>IF(L129="","",(2/29)*L129+(27/29)*AC128)</f>
        <v/>
      </c>
      <c r="AD129" s="6">
        <f>IF(OR(AC129="",AC129=0),"",AB129/AC129)</f>
        <v/>
      </c>
      <c r="AE129">
        <f>IF(OR(O129="",R129="",U129="",AD129=""),"",IF(OR(O129&gt;1.5,R129&gt;1.5,U129&gt;1.5,AD129&gt;1.5),"🔴 ALTO",IF(OR(O129&gt;1.3,R129&gt;1.3,U129&gt;1.3,AD129&gt;1.3,O129&lt;0.8,R129&lt;0.8,U129&lt;0.8,AD129&lt;0.8),"🟡 ATENÇÃO","🟢 OK")))</f>
        <v/>
      </c>
    </row>
    <row r="130">
      <c r="A130" s="2" t="n"/>
      <c r="L130">
        <f>IF(K130="","",K130*E130)</f>
        <v/>
      </c>
      <c r="M130" s="4">
        <f>IF(F130="","",0.25*F130+0.75*M129)</f>
        <v/>
      </c>
      <c r="N130" s="4">
        <f>IF(F130="","",(2/29)*F130+(27/29)*N129)</f>
        <v/>
      </c>
      <c r="O130" s="6">
        <f>IF(OR(N130="",N130=0),"",M130/N130)</f>
        <v/>
      </c>
      <c r="P130" s="4">
        <f>IF(G130="","",0.25*G130+0.75*P129)</f>
        <v/>
      </c>
      <c r="Q130" s="4">
        <f>IF(G130="","",(2/29)*G130+(27/29)*Q129)</f>
        <v/>
      </c>
      <c r="R130" s="6">
        <f>IF(OR(Q130="",Q130=0),"",P130/Q130)</f>
        <v/>
      </c>
      <c r="S130" s="4">
        <f>IF(H130="","",0.25*H130+0.75*S129)</f>
        <v/>
      </c>
      <c r="T130" s="4">
        <f>IF(H130="","",(2/29)*H130+(27/29)*T129)</f>
        <v/>
      </c>
      <c r="U130" s="6">
        <f>IF(OR(T130="",T130=0),"",S130/T130)</f>
        <v/>
      </c>
      <c r="V130" s="4">
        <f>IF(I130="","",0.25*I130+0.75*V129)</f>
        <v/>
      </c>
      <c r="W130" s="4">
        <f>IF(I130="","",(2/29)*I130+(27/29)*W129)</f>
        <v/>
      </c>
      <c r="X130" s="6">
        <f>IF(OR(W130="",W130=0),"",V130/W130)</f>
        <v/>
      </c>
      <c r="Y130" s="4">
        <f>IF(J130="","",0.25*J130+0.75*Y129)</f>
        <v/>
      </c>
      <c r="Z130" s="4">
        <f>IF(J130="","",(2/29)*J130+(27/29)*Z129)</f>
        <v/>
      </c>
      <c r="AA130" s="6">
        <f>IF(OR(Z130="",Z130=0),"",Y130/Z130)</f>
        <v/>
      </c>
      <c r="AB130" s="4">
        <f>IF(L130="","",0.25*L130+0.75*AB129)</f>
        <v/>
      </c>
      <c r="AC130" s="4">
        <f>IF(L130="","",(2/29)*L130+(27/29)*AC129)</f>
        <v/>
      </c>
      <c r="AD130" s="6">
        <f>IF(OR(AC130="",AC130=0),"",AB130/AC130)</f>
        <v/>
      </c>
      <c r="AE130">
        <f>IF(OR(O130="",R130="",U130="",AD130=""),"",IF(OR(O130&gt;1.5,R130&gt;1.5,U130&gt;1.5,AD130&gt;1.5),"🔴 ALTO",IF(OR(O130&gt;1.3,R130&gt;1.3,U130&gt;1.3,AD130&gt;1.3,O130&lt;0.8,R130&lt;0.8,U130&lt;0.8,AD130&lt;0.8),"🟡 ATENÇÃO","🟢 OK")))</f>
        <v/>
      </c>
    </row>
    <row r="131">
      <c r="A131" s="2" t="n"/>
      <c r="L131">
        <f>IF(K131="","",K131*E131)</f>
        <v/>
      </c>
      <c r="M131" s="4">
        <f>IF(F131="","",0.25*F131+0.75*M130)</f>
        <v/>
      </c>
      <c r="N131" s="4">
        <f>IF(F131="","",(2/29)*F131+(27/29)*N130)</f>
        <v/>
      </c>
      <c r="O131" s="6">
        <f>IF(OR(N131="",N131=0),"",M131/N131)</f>
        <v/>
      </c>
      <c r="P131" s="4">
        <f>IF(G131="","",0.25*G131+0.75*P130)</f>
        <v/>
      </c>
      <c r="Q131" s="4">
        <f>IF(G131="","",(2/29)*G131+(27/29)*Q130)</f>
        <v/>
      </c>
      <c r="R131" s="6">
        <f>IF(OR(Q131="",Q131=0),"",P131/Q131)</f>
        <v/>
      </c>
      <c r="S131" s="4">
        <f>IF(H131="","",0.25*H131+0.75*S130)</f>
        <v/>
      </c>
      <c r="T131" s="4">
        <f>IF(H131="","",(2/29)*H131+(27/29)*T130)</f>
        <v/>
      </c>
      <c r="U131" s="6">
        <f>IF(OR(T131="",T131=0),"",S131/T131)</f>
        <v/>
      </c>
      <c r="V131" s="4">
        <f>IF(I131="","",0.25*I131+0.75*V130)</f>
        <v/>
      </c>
      <c r="W131" s="4">
        <f>IF(I131="","",(2/29)*I131+(27/29)*W130)</f>
        <v/>
      </c>
      <c r="X131" s="6">
        <f>IF(OR(W131="",W131=0),"",V131/W131)</f>
        <v/>
      </c>
      <c r="Y131" s="4">
        <f>IF(J131="","",0.25*J131+0.75*Y130)</f>
        <v/>
      </c>
      <c r="Z131" s="4">
        <f>IF(J131="","",(2/29)*J131+(27/29)*Z130)</f>
        <v/>
      </c>
      <c r="AA131" s="6">
        <f>IF(OR(Z131="",Z131=0),"",Y131/Z131)</f>
        <v/>
      </c>
      <c r="AB131" s="4">
        <f>IF(L131="","",0.25*L131+0.75*AB130)</f>
        <v/>
      </c>
      <c r="AC131" s="4">
        <f>IF(L131="","",(2/29)*L131+(27/29)*AC130)</f>
        <v/>
      </c>
      <c r="AD131" s="6">
        <f>IF(OR(AC131="",AC131=0),"",AB131/AC131)</f>
        <v/>
      </c>
      <c r="AE131">
        <f>IF(OR(O131="",R131="",U131="",AD131=""),"",IF(OR(O131&gt;1.5,R131&gt;1.5,U131&gt;1.5,AD131&gt;1.5),"🔴 ALTO",IF(OR(O131&gt;1.3,R131&gt;1.3,U131&gt;1.3,AD131&gt;1.3,O131&lt;0.8,R131&lt;0.8,U131&lt;0.8,AD131&lt;0.8),"🟡 ATENÇÃO","🟢 OK")))</f>
        <v/>
      </c>
    </row>
    <row r="132">
      <c r="A132" s="2" t="n"/>
      <c r="L132">
        <f>IF(K132="","",K132*E132)</f>
        <v/>
      </c>
      <c r="M132" s="4">
        <f>IF(F132="","",0.25*F132+0.75*M131)</f>
        <v/>
      </c>
      <c r="N132" s="4">
        <f>IF(F132="","",(2/29)*F132+(27/29)*N131)</f>
        <v/>
      </c>
      <c r="O132" s="6">
        <f>IF(OR(N132="",N132=0),"",M132/N132)</f>
        <v/>
      </c>
      <c r="P132" s="4">
        <f>IF(G132="","",0.25*G132+0.75*P131)</f>
        <v/>
      </c>
      <c r="Q132" s="4">
        <f>IF(G132="","",(2/29)*G132+(27/29)*Q131)</f>
        <v/>
      </c>
      <c r="R132" s="6">
        <f>IF(OR(Q132="",Q132=0),"",P132/Q132)</f>
        <v/>
      </c>
      <c r="S132" s="4">
        <f>IF(H132="","",0.25*H132+0.75*S131)</f>
        <v/>
      </c>
      <c r="T132" s="4">
        <f>IF(H132="","",(2/29)*H132+(27/29)*T131)</f>
        <v/>
      </c>
      <c r="U132" s="6">
        <f>IF(OR(T132="",T132=0),"",S132/T132)</f>
        <v/>
      </c>
      <c r="V132" s="4">
        <f>IF(I132="","",0.25*I132+0.75*V131)</f>
        <v/>
      </c>
      <c r="W132" s="4">
        <f>IF(I132="","",(2/29)*I132+(27/29)*W131)</f>
        <v/>
      </c>
      <c r="X132" s="6">
        <f>IF(OR(W132="",W132=0),"",V132/W132)</f>
        <v/>
      </c>
      <c r="Y132" s="4">
        <f>IF(J132="","",0.25*J132+0.75*Y131)</f>
        <v/>
      </c>
      <c r="Z132" s="4">
        <f>IF(J132="","",(2/29)*J132+(27/29)*Z131)</f>
        <v/>
      </c>
      <c r="AA132" s="6">
        <f>IF(OR(Z132="",Z132=0),"",Y132/Z132)</f>
        <v/>
      </c>
      <c r="AB132" s="4">
        <f>IF(L132="","",0.25*L132+0.75*AB131)</f>
        <v/>
      </c>
      <c r="AC132" s="4">
        <f>IF(L132="","",(2/29)*L132+(27/29)*AC131)</f>
        <v/>
      </c>
      <c r="AD132" s="6">
        <f>IF(OR(AC132="",AC132=0),"",AB132/AC132)</f>
        <v/>
      </c>
      <c r="AE132">
        <f>IF(OR(O132="",R132="",U132="",AD132=""),"",IF(OR(O132&gt;1.5,R132&gt;1.5,U132&gt;1.5,AD132&gt;1.5),"🔴 ALTO",IF(OR(O132&gt;1.3,R132&gt;1.3,U132&gt;1.3,AD132&gt;1.3,O132&lt;0.8,R132&lt;0.8,U132&lt;0.8,AD132&lt;0.8),"🟡 ATENÇÃO","🟢 OK")))</f>
        <v/>
      </c>
    </row>
    <row r="133">
      <c r="A133" s="2" t="n"/>
      <c r="L133">
        <f>IF(K133="","",K133*E133)</f>
        <v/>
      </c>
      <c r="M133" s="4">
        <f>IF(F133="","",0.25*F133+0.75*M132)</f>
        <v/>
      </c>
      <c r="N133" s="4">
        <f>IF(F133="","",(2/29)*F133+(27/29)*N132)</f>
        <v/>
      </c>
      <c r="O133" s="6">
        <f>IF(OR(N133="",N133=0),"",M133/N133)</f>
        <v/>
      </c>
      <c r="P133" s="4">
        <f>IF(G133="","",0.25*G133+0.75*P132)</f>
        <v/>
      </c>
      <c r="Q133" s="4">
        <f>IF(G133="","",(2/29)*G133+(27/29)*Q132)</f>
        <v/>
      </c>
      <c r="R133" s="6">
        <f>IF(OR(Q133="",Q133=0),"",P133/Q133)</f>
        <v/>
      </c>
      <c r="S133" s="4">
        <f>IF(H133="","",0.25*H133+0.75*S132)</f>
        <v/>
      </c>
      <c r="T133" s="4">
        <f>IF(H133="","",(2/29)*H133+(27/29)*T132)</f>
        <v/>
      </c>
      <c r="U133" s="6">
        <f>IF(OR(T133="",T133=0),"",S133/T133)</f>
        <v/>
      </c>
      <c r="V133" s="4">
        <f>IF(I133="","",0.25*I133+0.75*V132)</f>
        <v/>
      </c>
      <c r="W133" s="4">
        <f>IF(I133="","",(2/29)*I133+(27/29)*W132)</f>
        <v/>
      </c>
      <c r="X133" s="6">
        <f>IF(OR(W133="",W133=0),"",V133/W133)</f>
        <v/>
      </c>
      <c r="Y133" s="4">
        <f>IF(J133="","",0.25*J133+0.75*Y132)</f>
        <v/>
      </c>
      <c r="Z133" s="4">
        <f>IF(J133="","",(2/29)*J133+(27/29)*Z132)</f>
        <v/>
      </c>
      <c r="AA133" s="6">
        <f>IF(OR(Z133="",Z133=0),"",Y133/Z133)</f>
        <v/>
      </c>
      <c r="AB133" s="4">
        <f>IF(L133="","",0.25*L133+0.75*AB132)</f>
        <v/>
      </c>
      <c r="AC133" s="4">
        <f>IF(L133="","",(2/29)*L133+(27/29)*AC132)</f>
        <v/>
      </c>
      <c r="AD133" s="6">
        <f>IF(OR(AC133="",AC133=0),"",AB133/AC133)</f>
        <v/>
      </c>
      <c r="AE133">
        <f>IF(OR(O133="",R133="",U133="",AD133=""),"",IF(OR(O133&gt;1.5,R133&gt;1.5,U133&gt;1.5,AD133&gt;1.5),"🔴 ALTO",IF(OR(O133&gt;1.3,R133&gt;1.3,U133&gt;1.3,AD133&gt;1.3,O133&lt;0.8,R133&lt;0.8,U133&lt;0.8,AD133&lt;0.8),"🟡 ATENÇÃO","🟢 OK")))</f>
        <v/>
      </c>
    </row>
    <row r="134">
      <c r="A134" s="2" t="n"/>
      <c r="L134">
        <f>IF(K134="","",K134*E134)</f>
        <v/>
      </c>
      <c r="M134" s="4">
        <f>IF(F134="","",0.25*F134+0.75*M133)</f>
        <v/>
      </c>
      <c r="N134" s="4">
        <f>IF(F134="","",(2/29)*F134+(27/29)*N133)</f>
        <v/>
      </c>
      <c r="O134" s="6">
        <f>IF(OR(N134="",N134=0),"",M134/N134)</f>
        <v/>
      </c>
      <c r="P134" s="4">
        <f>IF(G134="","",0.25*G134+0.75*P133)</f>
        <v/>
      </c>
      <c r="Q134" s="4">
        <f>IF(G134="","",(2/29)*G134+(27/29)*Q133)</f>
        <v/>
      </c>
      <c r="R134" s="6">
        <f>IF(OR(Q134="",Q134=0),"",P134/Q134)</f>
        <v/>
      </c>
      <c r="S134" s="4">
        <f>IF(H134="","",0.25*H134+0.75*S133)</f>
        <v/>
      </c>
      <c r="T134" s="4">
        <f>IF(H134="","",(2/29)*H134+(27/29)*T133)</f>
        <v/>
      </c>
      <c r="U134" s="6">
        <f>IF(OR(T134="",T134=0),"",S134/T134)</f>
        <v/>
      </c>
      <c r="V134" s="4">
        <f>IF(I134="","",0.25*I134+0.75*V133)</f>
        <v/>
      </c>
      <c r="W134" s="4">
        <f>IF(I134="","",(2/29)*I134+(27/29)*W133)</f>
        <v/>
      </c>
      <c r="X134" s="6">
        <f>IF(OR(W134="",W134=0),"",V134/W134)</f>
        <v/>
      </c>
      <c r="Y134" s="4">
        <f>IF(J134="","",0.25*J134+0.75*Y133)</f>
        <v/>
      </c>
      <c r="Z134" s="4">
        <f>IF(J134="","",(2/29)*J134+(27/29)*Z133)</f>
        <v/>
      </c>
      <c r="AA134" s="6">
        <f>IF(OR(Z134="",Z134=0),"",Y134/Z134)</f>
        <v/>
      </c>
      <c r="AB134" s="4">
        <f>IF(L134="","",0.25*L134+0.75*AB133)</f>
        <v/>
      </c>
      <c r="AC134" s="4">
        <f>IF(L134="","",(2/29)*L134+(27/29)*AC133)</f>
        <v/>
      </c>
      <c r="AD134" s="6">
        <f>IF(OR(AC134="",AC134=0),"",AB134/AC134)</f>
        <v/>
      </c>
      <c r="AE134">
        <f>IF(OR(O134="",R134="",U134="",AD134=""),"",IF(OR(O134&gt;1.5,R134&gt;1.5,U134&gt;1.5,AD134&gt;1.5),"🔴 ALTO",IF(OR(O134&gt;1.3,R134&gt;1.3,U134&gt;1.3,AD134&gt;1.3,O134&lt;0.8,R134&lt;0.8,U134&lt;0.8,AD134&lt;0.8),"🟡 ATENÇÃO","🟢 OK")))</f>
        <v/>
      </c>
    </row>
    <row r="135">
      <c r="A135" s="2" t="n"/>
      <c r="L135">
        <f>IF(K135="","",K135*E135)</f>
        <v/>
      </c>
      <c r="M135" s="4">
        <f>IF(F135="","",0.25*F135+0.75*M134)</f>
        <v/>
      </c>
      <c r="N135" s="4">
        <f>IF(F135="","",(2/29)*F135+(27/29)*N134)</f>
        <v/>
      </c>
      <c r="O135" s="6">
        <f>IF(OR(N135="",N135=0),"",M135/N135)</f>
        <v/>
      </c>
      <c r="P135" s="4">
        <f>IF(G135="","",0.25*G135+0.75*P134)</f>
        <v/>
      </c>
      <c r="Q135" s="4">
        <f>IF(G135="","",(2/29)*G135+(27/29)*Q134)</f>
        <v/>
      </c>
      <c r="R135" s="6">
        <f>IF(OR(Q135="",Q135=0),"",P135/Q135)</f>
        <v/>
      </c>
      <c r="S135" s="4">
        <f>IF(H135="","",0.25*H135+0.75*S134)</f>
        <v/>
      </c>
      <c r="T135" s="4">
        <f>IF(H135="","",(2/29)*H135+(27/29)*T134)</f>
        <v/>
      </c>
      <c r="U135" s="6">
        <f>IF(OR(T135="",T135=0),"",S135/T135)</f>
        <v/>
      </c>
      <c r="V135" s="4">
        <f>IF(I135="","",0.25*I135+0.75*V134)</f>
        <v/>
      </c>
      <c r="W135" s="4">
        <f>IF(I135="","",(2/29)*I135+(27/29)*W134)</f>
        <v/>
      </c>
      <c r="X135" s="6">
        <f>IF(OR(W135="",W135=0),"",V135/W135)</f>
        <v/>
      </c>
      <c r="Y135" s="4">
        <f>IF(J135="","",0.25*J135+0.75*Y134)</f>
        <v/>
      </c>
      <c r="Z135" s="4">
        <f>IF(J135="","",(2/29)*J135+(27/29)*Z134)</f>
        <v/>
      </c>
      <c r="AA135" s="6">
        <f>IF(OR(Z135="",Z135=0),"",Y135/Z135)</f>
        <v/>
      </c>
      <c r="AB135" s="4">
        <f>IF(L135="","",0.25*L135+0.75*AB134)</f>
        <v/>
      </c>
      <c r="AC135" s="4">
        <f>IF(L135="","",(2/29)*L135+(27/29)*AC134)</f>
        <v/>
      </c>
      <c r="AD135" s="6">
        <f>IF(OR(AC135="",AC135=0),"",AB135/AC135)</f>
        <v/>
      </c>
      <c r="AE135">
        <f>IF(OR(O135="",R135="",U135="",AD135=""),"",IF(OR(O135&gt;1.5,R135&gt;1.5,U135&gt;1.5,AD135&gt;1.5),"🔴 ALTO",IF(OR(O135&gt;1.3,R135&gt;1.3,U135&gt;1.3,AD135&gt;1.3,O135&lt;0.8,R135&lt;0.8,U135&lt;0.8,AD135&lt;0.8),"🟡 ATENÇÃO","🟢 OK")))</f>
        <v/>
      </c>
    </row>
    <row r="136">
      <c r="A136" s="2" t="n"/>
      <c r="L136">
        <f>IF(K136="","",K136*E136)</f>
        <v/>
      </c>
      <c r="M136" s="4">
        <f>IF(F136="","",0.25*F136+0.75*M135)</f>
        <v/>
      </c>
      <c r="N136" s="4">
        <f>IF(F136="","",(2/29)*F136+(27/29)*N135)</f>
        <v/>
      </c>
      <c r="O136" s="6">
        <f>IF(OR(N136="",N136=0),"",M136/N136)</f>
        <v/>
      </c>
      <c r="P136" s="4">
        <f>IF(G136="","",0.25*G136+0.75*P135)</f>
        <v/>
      </c>
      <c r="Q136" s="4">
        <f>IF(G136="","",(2/29)*G136+(27/29)*Q135)</f>
        <v/>
      </c>
      <c r="R136" s="6">
        <f>IF(OR(Q136="",Q136=0),"",P136/Q136)</f>
        <v/>
      </c>
      <c r="S136" s="4">
        <f>IF(H136="","",0.25*H136+0.75*S135)</f>
        <v/>
      </c>
      <c r="T136" s="4">
        <f>IF(H136="","",(2/29)*H136+(27/29)*T135)</f>
        <v/>
      </c>
      <c r="U136" s="6">
        <f>IF(OR(T136="",T136=0),"",S136/T136)</f>
        <v/>
      </c>
      <c r="V136" s="4">
        <f>IF(I136="","",0.25*I136+0.75*V135)</f>
        <v/>
      </c>
      <c r="W136" s="4">
        <f>IF(I136="","",(2/29)*I136+(27/29)*W135)</f>
        <v/>
      </c>
      <c r="X136" s="6">
        <f>IF(OR(W136="",W136=0),"",V136/W136)</f>
        <v/>
      </c>
      <c r="Y136" s="4">
        <f>IF(J136="","",0.25*J136+0.75*Y135)</f>
        <v/>
      </c>
      <c r="Z136" s="4">
        <f>IF(J136="","",(2/29)*J136+(27/29)*Z135)</f>
        <v/>
      </c>
      <c r="AA136" s="6">
        <f>IF(OR(Z136="",Z136=0),"",Y136/Z136)</f>
        <v/>
      </c>
      <c r="AB136" s="4">
        <f>IF(L136="","",0.25*L136+0.75*AB135)</f>
        <v/>
      </c>
      <c r="AC136" s="4">
        <f>IF(L136="","",(2/29)*L136+(27/29)*AC135)</f>
        <v/>
      </c>
      <c r="AD136" s="6">
        <f>IF(OR(AC136="",AC136=0),"",AB136/AC136)</f>
        <v/>
      </c>
      <c r="AE136">
        <f>IF(OR(O136="",R136="",U136="",AD136=""),"",IF(OR(O136&gt;1.5,R136&gt;1.5,U136&gt;1.5,AD136&gt;1.5),"🔴 ALTO",IF(OR(O136&gt;1.3,R136&gt;1.3,U136&gt;1.3,AD136&gt;1.3,O136&lt;0.8,R136&lt;0.8,U136&lt;0.8,AD136&lt;0.8),"🟡 ATENÇÃO","🟢 OK")))</f>
        <v/>
      </c>
    </row>
    <row r="137">
      <c r="A137" s="2" t="n"/>
      <c r="L137">
        <f>IF(K137="","",K137*E137)</f>
        <v/>
      </c>
      <c r="M137" s="4">
        <f>IF(F137="","",0.25*F137+0.75*M136)</f>
        <v/>
      </c>
      <c r="N137" s="4">
        <f>IF(F137="","",(2/29)*F137+(27/29)*N136)</f>
        <v/>
      </c>
      <c r="O137" s="6">
        <f>IF(OR(N137="",N137=0),"",M137/N137)</f>
        <v/>
      </c>
      <c r="P137" s="4">
        <f>IF(G137="","",0.25*G137+0.75*P136)</f>
        <v/>
      </c>
      <c r="Q137" s="4">
        <f>IF(G137="","",(2/29)*G137+(27/29)*Q136)</f>
        <v/>
      </c>
      <c r="R137" s="6">
        <f>IF(OR(Q137="",Q137=0),"",P137/Q137)</f>
        <v/>
      </c>
      <c r="S137" s="4">
        <f>IF(H137="","",0.25*H137+0.75*S136)</f>
        <v/>
      </c>
      <c r="T137" s="4">
        <f>IF(H137="","",(2/29)*H137+(27/29)*T136)</f>
        <v/>
      </c>
      <c r="U137" s="6">
        <f>IF(OR(T137="",T137=0),"",S137/T137)</f>
        <v/>
      </c>
      <c r="V137" s="4">
        <f>IF(I137="","",0.25*I137+0.75*V136)</f>
        <v/>
      </c>
      <c r="W137" s="4">
        <f>IF(I137="","",(2/29)*I137+(27/29)*W136)</f>
        <v/>
      </c>
      <c r="X137" s="6">
        <f>IF(OR(W137="",W137=0),"",V137/W137)</f>
        <v/>
      </c>
      <c r="Y137" s="4">
        <f>IF(J137="","",0.25*J137+0.75*Y136)</f>
        <v/>
      </c>
      <c r="Z137" s="4">
        <f>IF(J137="","",(2/29)*J137+(27/29)*Z136)</f>
        <v/>
      </c>
      <c r="AA137" s="6">
        <f>IF(OR(Z137="",Z137=0),"",Y137/Z137)</f>
        <v/>
      </c>
      <c r="AB137" s="4">
        <f>IF(L137="","",0.25*L137+0.75*AB136)</f>
        <v/>
      </c>
      <c r="AC137" s="4">
        <f>IF(L137="","",(2/29)*L137+(27/29)*AC136)</f>
        <v/>
      </c>
      <c r="AD137" s="6">
        <f>IF(OR(AC137="",AC137=0),"",AB137/AC137)</f>
        <v/>
      </c>
      <c r="AE137">
        <f>IF(OR(O137="",R137="",U137="",AD137=""),"",IF(OR(O137&gt;1.5,R137&gt;1.5,U137&gt;1.5,AD137&gt;1.5),"🔴 ALTO",IF(OR(O137&gt;1.3,R137&gt;1.3,U137&gt;1.3,AD137&gt;1.3,O137&lt;0.8,R137&lt;0.8,U137&lt;0.8,AD137&lt;0.8),"🟡 ATENÇÃO","🟢 OK")))</f>
        <v/>
      </c>
    </row>
    <row r="138">
      <c r="A138" s="2" t="n"/>
      <c r="L138">
        <f>IF(K138="","",K138*E138)</f>
        <v/>
      </c>
      <c r="M138" s="4">
        <f>IF(F138="","",0.25*F138+0.75*M137)</f>
        <v/>
      </c>
      <c r="N138" s="4">
        <f>IF(F138="","",(2/29)*F138+(27/29)*N137)</f>
        <v/>
      </c>
      <c r="O138" s="6">
        <f>IF(OR(N138="",N138=0),"",M138/N138)</f>
        <v/>
      </c>
      <c r="P138" s="4">
        <f>IF(G138="","",0.25*G138+0.75*P137)</f>
        <v/>
      </c>
      <c r="Q138" s="4">
        <f>IF(G138="","",(2/29)*G138+(27/29)*Q137)</f>
        <v/>
      </c>
      <c r="R138" s="6">
        <f>IF(OR(Q138="",Q138=0),"",P138/Q138)</f>
        <v/>
      </c>
      <c r="S138" s="4">
        <f>IF(H138="","",0.25*H138+0.75*S137)</f>
        <v/>
      </c>
      <c r="T138" s="4">
        <f>IF(H138="","",(2/29)*H138+(27/29)*T137)</f>
        <v/>
      </c>
      <c r="U138" s="6">
        <f>IF(OR(T138="",T138=0),"",S138/T138)</f>
        <v/>
      </c>
      <c r="V138" s="4">
        <f>IF(I138="","",0.25*I138+0.75*V137)</f>
        <v/>
      </c>
      <c r="W138" s="4">
        <f>IF(I138="","",(2/29)*I138+(27/29)*W137)</f>
        <v/>
      </c>
      <c r="X138" s="6">
        <f>IF(OR(W138="",W138=0),"",V138/W138)</f>
        <v/>
      </c>
      <c r="Y138" s="4">
        <f>IF(J138="","",0.25*J138+0.75*Y137)</f>
        <v/>
      </c>
      <c r="Z138" s="4">
        <f>IF(J138="","",(2/29)*J138+(27/29)*Z137)</f>
        <v/>
      </c>
      <c r="AA138" s="6">
        <f>IF(OR(Z138="",Z138=0),"",Y138/Z138)</f>
        <v/>
      </c>
      <c r="AB138" s="4">
        <f>IF(L138="","",0.25*L138+0.75*AB137)</f>
        <v/>
      </c>
      <c r="AC138" s="4">
        <f>IF(L138="","",(2/29)*L138+(27/29)*AC137)</f>
        <v/>
      </c>
      <c r="AD138" s="6">
        <f>IF(OR(AC138="",AC138=0),"",AB138/AC138)</f>
        <v/>
      </c>
      <c r="AE138">
        <f>IF(OR(O138="",R138="",U138="",AD138=""),"",IF(OR(O138&gt;1.5,R138&gt;1.5,U138&gt;1.5,AD138&gt;1.5),"🔴 ALTO",IF(OR(O138&gt;1.3,R138&gt;1.3,U138&gt;1.3,AD138&gt;1.3,O138&lt;0.8,R138&lt;0.8,U138&lt;0.8,AD138&lt;0.8),"🟡 ATENÇÃO","🟢 OK")))</f>
        <v/>
      </c>
    </row>
    <row r="139">
      <c r="A139" s="2" t="n"/>
      <c r="L139">
        <f>IF(K139="","",K139*E139)</f>
        <v/>
      </c>
      <c r="M139" s="4">
        <f>IF(F139="","",0.25*F139+0.75*M138)</f>
        <v/>
      </c>
      <c r="N139" s="4">
        <f>IF(F139="","",(2/29)*F139+(27/29)*N138)</f>
        <v/>
      </c>
      <c r="O139" s="6">
        <f>IF(OR(N139="",N139=0),"",M139/N139)</f>
        <v/>
      </c>
      <c r="P139" s="4">
        <f>IF(G139="","",0.25*G139+0.75*P138)</f>
        <v/>
      </c>
      <c r="Q139" s="4">
        <f>IF(G139="","",(2/29)*G139+(27/29)*Q138)</f>
        <v/>
      </c>
      <c r="R139" s="6">
        <f>IF(OR(Q139="",Q139=0),"",P139/Q139)</f>
        <v/>
      </c>
      <c r="S139" s="4">
        <f>IF(H139="","",0.25*H139+0.75*S138)</f>
        <v/>
      </c>
      <c r="T139" s="4">
        <f>IF(H139="","",(2/29)*H139+(27/29)*T138)</f>
        <v/>
      </c>
      <c r="U139" s="6">
        <f>IF(OR(T139="",T139=0),"",S139/T139)</f>
        <v/>
      </c>
      <c r="V139" s="4">
        <f>IF(I139="","",0.25*I139+0.75*V138)</f>
        <v/>
      </c>
      <c r="W139" s="4">
        <f>IF(I139="","",(2/29)*I139+(27/29)*W138)</f>
        <v/>
      </c>
      <c r="X139" s="6">
        <f>IF(OR(W139="",W139=0),"",V139/W139)</f>
        <v/>
      </c>
      <c r="Y139" s="4">
        <f>IF(J139="","",0.25*J139+0.75*Y138)</f>
        <v/>
      </c>
      <c r="Z139" s="4">
        <f>IF(J139="","",(2/29)*J139+(27/29)*Z138)</f>
        <v/>
      </c>
      <c r="AA139" s="6">
        <f>IF(OR(Z139="",Z139=0),"",Y139/Z139)</f>
        <v/>
      </c>
      <c r="AB139" s="4">
        <f>IF(L139="","",0.25*L139+0.75*AB138)</f>
        <v/>
      </c>
      <c r="AC139" s="4">
        <f>IF(L139="","",(2/29)*L139+(27/29)*AC138)</f>
        <v/>
      </c>
      <c r="AD139" s="6">
        <f>IF(OR(AC139="",AC139=0),"",AB139/AC139)</f>
        <v/>
      </c>
      <c r="AE139">
        <f>IF(OR(O139="",R139="",U139="",AD139=""),"",IF(OR(O139&gt;1.5,R139&gt;1.5,U139&gt;1.5,AD139&gt;1.5),"🔴 ALTO",IF(OR(O139&gt;1.3,R139&gt;1.3,U139&gt;1.3,AD139&gt;1.3,O139&lt;0.8,R139&lt;0.8,U139&lt;0.8,AD139&lt;0.8),"🟡 ATENÇÃO","🟢 OK")))</f>
        <v/>
      </c>
    </row>
    <row r="140">
      <c r="A140" s="2" t="n"/>
      <c r="L140">
        <f>IF(K140="","",K140*E140)</f>
        <v/>
      </c>
      <c r="M140" s="4">
        <f>IF(F140="","",0.25*F140+0.75*M139)</f>
        <v/>
      </c>
      <c r="N140" s="4">
        <f>IF(F140="","",(2/29)*F140+(27/29)*N139)</f>
        <v/>
      </c>
      <c r="O140" s="6">
        <f>IF(OR(N140="",N140=0),"",M140/N140)</f>
        <v/>
      </c>
      <c r="P140" s="4">
        <f>IF(G140="","",0.25*G140+0.75*P139)</f>
        <v/>
      </c>
      <c r="Q140" s="4">
        <f>IF(G140="","",(2/29)*G140+(27/29)*Q139)</f>
        <v/>
      </c>
      <c r="R140" s="6">
        <f>IF(OR(Q140="",Q140=0),"",P140/Q140)</f>
        <v/>
      </c>
      <c r="S140" s="4">
        <f>IF(H140="","",0.25*H140+0.75*S139)</f>
        <v/>
      </c>
      <c r="T140" s="4">
        <f>IF(H140="","",(2/29)*H140+(27/29)*T139)</f>
        <v/>
      </c>
      <c r="U140" s="6">
        <f>IF(OR(T140="",T140=0),"",S140/T140)</f>
        <v/>
      </c>
      <c r="V140" s="4">
        <f>IF(I140="","",0.25*I140+0.75*V139)</f>
        <v/>
      </c>
      <c r="W140" s="4">
        <f>IF(I140="","",(2/29)*I140+(27/29)*W139)</f>
        <v/>
      </c>
      <c r="X140" s="6">
        <f>IF(OR(W140="",W140=0),"",V140/W140)</f>
        <v/>
      </c>
      <c r="Y140" s="4">
        <f>IF(J140="","",0.25*J140+0.75*Y139)</f>
        <v/>
      </c>
      <c r="Z140" s="4">
        <f>IF(J140="","",(2/29)*J140+(27/29)*Z139)</f>
        <v/>
      </c>
      <c r="AA140" s="6">
        <f>IF(OR(Z140="",Z140=0),"",Y140/Z140)</f>
        <v/>
      </c>
      <c r="AB140" s="4">
        <f>IF(L140="","",0.25*L140+0.75*AB139)</f>
        <v/>
      </c>
      <c r="AC140" s="4">
        <f>IF(L140="","",(2/29)*L140+(27/29)*AC139)</f>
        <v/>
      </c>
      <c r="AD140" s="6">
        <f>IF(OR(AC140="",AC140=0),"",AB140/AC140)</f>
        <v/>
      </c>
      <c r="AE140">
        <f>IF(OR(O140="",R140="",U140="",AD140=""),"",IF(OR(O140&gt;1.5,R140&gt;1.5,U140&gt;1.5,AD140&gt;1.5),"🔴 ALTO",IF(OR(O140&gt;1.3,R140&gt;1.3,U140&gt;1.3,AD140&gt;1.3,O140&lt;0.8,R140&lt;0.8,U140&lt;0.8,AD140&lt;0.8),"🟡 ATENÇÃO","🟢 OK")))</f>
        <v/>
      </c>
    </row>
    <row r="141">
      <c r="A141" s="2" t="n"/>
      <c r="L141">
        <f>IF(K141="","",K141*E141)</f>
        <v/>
      </c>
      <c r="M141" s="4">
        <f>IF(F141="","",0.25*F141+0.75*M140)</f>
        <v/>
      </c>
      <c r="N141" s="4">
        <f>IF(F141="","",(2/29)*F141+(27/29)*N140)</f>
        <v/>
      </c>
      <c r="O141" s="6">
        <f>IF(OR(N141="",N141=0),"",M141/N141)</f>
        <v/>
      </c>
      <c r="P141" s="4">
        <f>IF(G141="","",0.25*G141+0.75*P140)</f>
        <v/>
      </c>
      <c r="Q141" s="4">
        <f>IF(G141="","",(2/29)*G141+(27/29)*Q140)</f>
        <v/>
      </c>
      <c r="R141" s="6">
        <f>IF(OR(Q141="",Q141=0),"",P141/Q141)</f>
        <v/>
      </c>
      <c r="S141" s="4">
        <f>IF(H141="","",0.25*H141+0.75*S140)</f>
        <v/>
      </c>
      <c r="T141" s="4">
        <f>IF(H141="","",(2/29)*H141+(27/29)*T140)</f>
        <v/>
      </c>
      <c r="U141" s="6">
        <f>IF(OR(T141="",T141=0),"",S141/T141)</f>
        <v/>
      </c>
      <c r="V141" s="4">
        <f>IF(I141="","",0.25*I141+0.75*V140)</f>
        <v/>
      </c>
      <c r="W141" s="4">
        <f>IF(I141="","",(2/29)*I141+(27/29)*W140)</f>
        <v/>
      </c>
      <c r="X141" s="6">
        <f>IF(OR(W141="",W141=0),"",V141/W141)</f>
        <v/>
      </c>
      <c r="Y141" s="4">
        <f>IF(J141="","",0.25*J141+0.75*Y140)</f>
        <v/>
      </c>
      <c r="Z141" s="4">
        <f>IF(J141="","",(2/29)*J141+(27/29)*Z140)</f>
        <v/>
      </c>
      <c r="AA141" s="6">
        <f>IF(OR(Z141="",Z141=0),"",Y141/Z141)</f>
        <v/>
      </c>
      <c r="AB141" s="4">
        <f>IF(L141="","",0.25*L141+0.75*AB140)</f>
        <v/>
      </c>
      <c r="AC141" s="4">
        <f>IF(L141="","",(2/29)*L141+(27/29)*AC140)</f>
        <v/>
      </c>
      <c r="AD141" s="6">
        <f>IF(OR(AC141="",AC141=0),"",AB141/AC141)</f>
        <v/>
      </c>
      <c r="AE141">
        <f>IF(OR(O141="",R141="",U141="",AD141=""),"",IF(OR(O141&gt;1.5,R141&gt;1.5,U141&gt;1.5,AD141&gt;1.5),"🔴 ALTO",IF(OR(O141&gt;1.3,R141&gt;1.3,U141&gt;1.3,AD141&gt;1.3,O141&lt;0.8,R141&lt;0.8,U141&lt;0.8,AD141&lt;0.8),"🟡 ATENÇÃO","🟢 OK")))</f>
        <v/>
      </c>
    </row>
    <row r="142">
      <c r="A142" s="2" t="n"/>
      <c r="L142">
        <f>IF(K142="","",K142*E142)</f>
        <v/>
      </c>
      <c r="M142" s="4">
        <f>IF(F142="","",0.25*F142+0.75*M141)</f>
        <v/>
      </c>
      <c r="N142" s="4">
        <f>IF(F142="","",(2/29)*F142+(27/29)*N141)</f>
        <v/>
      </c>
      <c r="O142" s="6">
        <f>IF(OR(N142="",N142=0),"",M142/N142)</f>
        <v/>
      </c>
      <c r="P142" s="4">
        <f>IF(G142="","",0.25*G142+0.75*P141)</f>
        <v/>
      </c>
      <c r="Q142" s="4">
        <f>IF(G142="","",(2/29)*G142+(27/29)*Q141)</f>
        <v/>
      </c>
      <c r="R142" s="6">
        <f>IF(OR(Q142="",Q142=0),"",P142/Q142)</f>
        <v/>
      </c>
      <c r="S142" s="4">
        <f>IF(H142="","",0.25*H142+0.75*S141)</f>
        <v/>
      </c>
      <c r="T142" s="4">
        <f>IF(H142="","",(2/29)*H142+(27/29)*T141)</f>
        <v/>
      </c>
      <c r="U142" s="6">
        <f>IF(OR(T142="",T142=0),"",S142/T142)</f>
        <v/>
      </c>
      <c r="V142" s="4">
        <f>IF(I142="","",0.25*I142+0.75*V141)</f>
        <v/>
      </c>
      <c r="W142" s="4">
        <f>IF(I142="","",(2/29)*I142+(27/29)*W141)</f>
        <v/>
      </c>
      <c r="X142" s="6">
        <f>IF(OR(W142="",W142=0),"",V142/W142)</f>
        <v/>
      </c>
      <c r="Y142" s="4">
        <f>IF(J142="","",0.25*J142+0.75*Y141)</f>
        <v/>
      </c>
      <c r="Z142" s="4">
        <f>IF(J142="","",(2/29)*J142+(27/29)*Z141)</f>
        <v/>
      </c>
      <c r="AA142" s="6">
        <f>IF(OR(Z142="",Z142=0),"",Y142/Z142)</f>
        <v/>
      </c>
      <c r="AB142" s="4">
        <f>IF(L142="","",0.25*L142+0.75*AB141)</f>
        <v/>
      </c>
      <c r="AC142" s="4">
        <f>IF(L142="","",(2/29)*L142+(27/29)*AC141)</f>
        <v/>
      </c>
      <c r="AD142" s="6">
        <f>IF(OR(AC142="",AC142=0),"",AB142/AC142)</f>
        <v/>
      </c>
      <c r="AE142">
        <f>IF(OR(O142="",R142="",U142="",AD142=""),"",IF(OR(O142&gt;1.5,R142&gt;1.5,U142&gt;1.5,AD142&gt;1.5),"🔴 ALTO",IF(OR(O142&gt;1.3,R142&gt;1.3,U142&gt;1.3,AD142&gt;1.3,O142&lt;0.8,R142&lt;0.8,U142&lt;0.8,AD142&lt;0.8),"🟡 ATENÇÃO","🟢 OK")))</f>
        <v/>
      </c>
    </row>
    <row r="143">
      <c r="A143" s="2" t="n"/>
      <c r="L143">
        <f>IF(K143="","",K143*E143)</f>
        <v/>
      </c>
      <c r="M143" s="4">
        <f>IF(F143="","",0.25*F143+0.75*M142)</f>
        <v/>
      </c>
      <c r="N143" s="4">
        <f>IF(F143="","",(2/29)*F143+(27/29)*N142)</f>
        <v/>
      </c>
      <c r="O143" s="6">
        <f>IF(OR(N143="",N143=0),"",M143/N143)</f>
        <v/>
      </c>
      <c r="P143" s="4">
        <f>IF(G143="","",0.25*G143+0.75*P142)</f>
        <v/>
      </c>
      <c r="Q143" s="4">
        <f>IF(G143="","",(2/29)*G143+(27/29)*Q142)</f>
        <v/>
      </c>
      <c r="R143" s="6">
        <f>IF(OR(Q143="",Q143=0),"",P143/Q143)</f>
        <v/>
      </c>
      <c r="S143" s="4">
        <f>IF(H143="","",0.25*H143+0.75*S142)</f>
        <v/>
      </c>
      <c r="T143" s="4">
        <f>IF(H143="","",(2/29)*H143+(27/29)*T142)</f>
        <v/>
      </c>
      <c r="U143" s="6">
        <f>IF(OR(T143="",T143=0),"",S143/T143)</f>
        <v/>
      </c>
      <c r="V143" s="4">
        <f>IF(I143="","",0.25*I143+0.75*V142)</f>
        <v/>
      </c>
      <c r="W143" s="4">
        <f>IF(I143="","",(2/29)*I143+(27/29)*W142)</f>
        <v/>
      </c>
      <c r="X143" s="6">
        <f>IF(OR(W143="",W143=0),"",V143/W143)</f>
        <v/>
      </c>
      <c r="Y143" s="4">
        <f>IF(J143="","",0.25*J143+0.75*Y142)</f>
        <v/>
      </c>
      <c r="Z143" s="4">
        <f>IF(J143="","",(2/29)*J143+(27/29)*Z142)</f>
        <v/>
      </c>
      <c r="AA143" s="6">
        <f>IF(OR(Z143="",Z143=0),"",Y143/Z143)</f>
        <v/>
      </c>
      <c r="AB143" s="4">
        <f>IF(L143="","",0.25*L143+0.75*AB142)</f>
        <v/>
      </c>
      <c r="AC143" s="4">
        <f>IF(L143="","",(2/29)*L143+(27/29)*AC142)</f>
        <v/>
      </c>
      <c r="AD143" s="6">
        <f>IF(OR(AC143="",AC143=0),"",AB143/AC143)</f>
        <v/>
      </c>
      <c r="AE143">
        <f>IF(OR(O143="",R143="",U143="",AD143=""),"",IF(OR(O143&gt;1.5,R143&gt;1.5,U143&gt;1.5,AD143&gt;1.5),"🔴 ALTO",IF(OR(O143&gt;1.3,R143&gt;1.3,U143&gt;1.3,AD143&gt;1.3,O143&lt;0.8,R143&lt;0.8,U143&lt;0.8,AD143&lt;0.8),"🟡 ATENÇÃO","🟢 OK")))</f>
        <v/>
      </c>
    </row>
    <row r="144">
      <c r="A144" s="2" t="n"/>
      <c r="L144">
        <f>IF(K144="","",K144*E144)</f>
        <v/>
      </c>
      <c r="M144" s="4">
        <f>IF(F144="","",0.25*F144+0.75*M143)</f>
        <v/>
      </c>
      <c r="N144" s="4">
        <f>IF(F144="","",(2/29)*F144+(27/29)*N143)</f>
        <v/>
      </c>
      <c r="O144" s="6">
        <f>IF(OR(N144="",N144=0),"",M144/N144)</f>
        <v/>
      </c>
      <c r="P144" s="4">
        <f>IF(G144="","",0.25*G144+0.75*P143)</f>
        <v/>
      </c>
      <c r="Q144" s="4">
        <f>IF(G144="","",(2/29)*G144+(27/29)*Q143)</f>
        <v/>
      </c>
      <c r="R144" s="6">
        <f>IF(OR(Q144="",Q144=0),"",P144/Q144)</f>
        <v/>
      </c>
      <c r="S144" s="4">
        <f>IF(H144="","",0.25*H144+0.75*S143)</f>
        <v/>
      </c>
      <c r="T144" s="4">
        <f>IF(H144="","",(2/29)*H144+(27/29)*T143)</f>
        <v/>
      </c>
      <c r="U144" s="6">
        <f>IF(OR(T144="",T144=0),"",S144/T144)</f>
        <v/>
      </c>
      <c r="V144" s="4">
        <f>IF(I144="","",0.25*I144+0.75*V143)</f>
        <v/>
      </c>
      <c r="W144" s="4">
        <f>IF(I144="","",(2/29)*I144+(27/29)*W143)</f>
        <v/>
      </c>
      <c r="X144" s="6">
        <f>IF(OR(W144="",W144=0),"",V144/W144)</f>
        <v/>
      </c>
      <c r="Y144" s="4">
        <f>IF(J144="","",0.25*J144+0.75*Y143)</f>
        <v/>
      </c>
      <c r="Z144" s="4">
        <f>IF(J144="","",(2/29)*J144+(27/29)*Z143)</f>
        <v/>
      </c>
      <c r="AA144" s="6">
        <f>IF(OR(Z144="",Z144=0),"",Y144/Z144)</f>
        <v/>
      </c>
      <c r="AB144" s="4">
        <f>IF(L144="","",0.25*L144+0.75*AB143)</f>
        <v/>
      </c>
      <c r="AC144" s="4">
        <f>IF(L144="","",(2/29)*L144+(27/29)*AC143)</f>
        <v/>
      </c>
      <c r="AD144" s="6">
        <f>IF(OR(AC144="",AC144=0),"",AB144/AC144)</f>
        <v/>
      </c>
      <c r="AE144">
        <f>IF(OR(O144="",R144="",U144="",AD144=""),"",IF(OR(O144&gt;1.5,R144&gt;1.5,U144&gt;1.5,AD144&gt;1.5),"🔴 ALTO",IF(OR(O144&gt;1.3,R144&gt;1.3,U144&gt;1.3,AD144&gt;1.3,O144&lt;0.8,R144&lt;0.8,U144&lt;0.8,AD144&lt;0.8),"🟡 ATENÇÃO","🟢 OK")))</f>
        <v/>
      </c>
    </row>
    <row r="145">
      <c r="A145" s="2" t="n"/>
      <c r="L145">
        <f>IF(K145="","",K145*E145)</f>
        <v/>
      </c>
      <c r="M145" s="4">
        <f>IF(F145="","",0.25*F145+0.75*M144)</f>
        <v/>
      </c>
      <c r="N145" s="4">
        <f>IF(F145="","",(2/29)*F145+(27/29)*N144)</f>
        <v/>
      </c>
      <c r="O145" s="6">
        <f>IF(OR(N145="",N145=0),"",M145/N145)</f>
        <v/>
      </c>
      <c r="P145" s="4">
        <f>IF(G145="","",0.25*G145+0.75*P144)</f>
        <v/>
      </c>
      <c r="Q145" s="4">
        <f>IF(G145="","",(2/29)*G145+(27/29)*Q144)</f>
        <v/>
      </c>
      <c r="R145" s="6">
        <f>IF(OR(Q145="",Q145=0),"",P145/Q145)</f>
        <v/>
      </c>
      <c r="S145" s="4">
        <f>IF(H145="","",0.25*H145+0.75*S144)</f>
        <v/>
      </c>
      <c r="T145" s="4">
        <f>IF(H145="","",(2/29)*H145+(27/29)*T144)</f>
        <v/>
      </c>
      <c r="U145" s="6">
        <f>IF(OR(T145="",T145=0),"",S145/T145)</f>
        <v/>
      </c>
      <c r="V145" s="4">
        <f>IF(I145="","",0.25*I145+0.75*V144)</f>
        <v/>
      </c>
      <c r="W145" s="4">
        <f>IF(I145="","",(2/29)*I145+(27/29)*W144)</f>
        <v/>
      </c>
      <c r="X145" s="6">
        <f>IF(OR(W145="",W145=0),"",V145/W145)</f>
        <v/>
      </c>
      <c r="Y145" s="4">
        <f>IF(J145="","",0.25*J145+0.75*Y144)</f>
        <v/>
      </c>
      <c r="Z145" s="4">
        <f>IF(J145="","",(2/29)*J145+(27/29)*Z144)</f>
        <v/>
      </c>
      <c r="AA145" s="6">
        <f>IF(OR(Z145="",Z145=0),"",Y145/Z145)</f>
        <v/>
      </c>
      <c r="AB145" s="4">
        <f>IF(L145="","",0.25*L145+0.75*AB144)</f>
        <v/>
      </c>
      <c r="AC145" s="4">
        <f>IF(L145="","",(2/29)*L145+(27/29)*AC144)</f>
        <v/>
      </c>
      <c r="AD145" s="6">
        <f>IF(OR(AC145="",AC145=0),"",AB145/AC145)</f>
        <v/>
      </c>
      <c r="AE145">
        <f>IF(OR(O145="",R145="",U145="",AD145=""),"",IF(OR(O145&gt;1.5,R145&gt;1.5,U145&gt;1.5,AD145&gt;1.5),"🔴 ALTO",IF(OR(O145&gt;1.3,R145&gt;1.3,U145&gt;1.3,AD145&gt;1.3,O145&lt;0.8,R145&lt;0.8,U145&lt;0.8,AD145&lt;0.8),"🟡 ATENÇÃO","🟢 OK")))</f>
        <v/>
      </c>
    </row>
    <row r="146">
      <c r="A146" s="2" t="n"/>
      <c r="L146">
        <f>IF(K146="","",K146*E146)</f>
        <v/>
      </c>
      <c r="M146" s="4">
        <f>IF(F146="","",0.25*F146+0.75*M145)</f>
        <v/>
      </c>
      <c r="N146" s="4">
        <f>IF(F146="","",(2/29)*F146+(27/29)*N145)</f>
        <v/>
      </c>
      <c r="O146" s="6">
        <f>IF(OR(N146="",N146=0),"",M146/N146)</f>
        <v/>
      </c>
      <c r="P146" s="4">
        <f>IF(G146="","",0.25*G146+0.75*P145)</f>
        <v/>
      </c>
      <c r="Q146" s="4">
        <f>IF(G146="","",(2/29)*G146+(27/29)*Q145)</f>
        <v/>
      </c>
      <c r="R146" s="6">
        <f>IF(OR(Q146="",Q146=0),"",P146/Q146)</f>
        <v/>
      </c>
      <c r="S146" s="4">
        <f>IF(H146="","",0.25*H146+0.75*S145)</f>
        <v/>
      </c>
      <c r="T146" s="4">
        <f>IF(H146="","",(2/29)*H146+(27/29)*T145)</f>
        <v/>
      </c>
      <c r="U146" s="6">
        <f>IF(OR(T146="",T146=0),"",S146/T146)</f>
        <v/>
      </c>
      <c r="V146" s="4">
        <f>IF(I146="","",0.25*I146+0.75*V145)</f>
        <v/>
      </c>
      <c r="W146" s="4">
        <f>IF(I146="","",(2/29)*I146+(27/29)*W145)</f>
        <v/>
      </c>
      <c r="X146" s="6">
        <f>IF(OR(W146="",W146=0),"",V146/W146)</f>
        <v/>
      </c>
      <c r="Y146" s="4">
        <f>IF(J146="","",0.25*J146+0.75*Y145)</f>
        <v/>
      </c>
      <c r="Z146" s="4">
        <f>IF(J146="","",(2/29)*J146+(27/29)*Z145)</f>
        <v/>
      </c>
      <c r="AA146" s="6">
        <f>IF(OR(Z146="",Z146=0),"",Y146/Z146)</f>
        <v/>
      </c>
      <c r="AB146" s="4">
        <f>IF(L146="","",0.25*L146+0.75*AB145)</f>
        <v/>
      </c>
      <c r="AC146" s="4">
        <f>IF(L146="","",(2/29)*L146+(27/29)*AC145)</f>
        <v/>
      </c>
      <c r="AD146" s="6">
        <f>IF(OR(AC146="",AC146=0),"",AB146/AC146)</f>
        <v/>
      </c>
      <c r="AE146">
        <f>IF(OR(O146="",R146="",U146="",AD146=""),"",IF(OR(O146&gt;1.5,R146&gt;1.5,U146&gt;1.5,AD146&gt;1.5),"🔴 ALTO",IF(OR(O146&gt;1.3,R146&gt;1.3,U146&gt;1.3,AD146&gt;1.3,O146&lt;0.8,R146&lt;0.8,U146&lt;0.8,AD146&lt;0.8),"🟡 ATENÇÃO","🟢 OK")))</f>
        <v/>
      </c>
    </row>
    <row r="147">
      <c r="A147" s="2" t="n"/>
      <c r="L147">
        <f>IF(K147="","",K147*E147)</f>
        <v/>
      </c>
      <c r="M147" s="4">
        <f>IF(F147="","",0.25*F147+0.75*M146)</f>
        <v/>
      </c>
      <c r="N147" s="4">
        <f>IF(F147="","",(2/29)*F147+(27/29)*N146)</f>
        <v/>
      </c>
      <c r="O147" s="6">
        <f>IF(OR(N147="",N147=0),"",M147/N147)</f>
        <v/>
      </c>
      <c r="P147" s="4">
        <f>IF(G147="","",0.25*G147+0.75*P146)</f>
        <v/>
      </c>
      <c r="Q147" s="4">
        <f>IF(G147="","",(2/29)*G147+(27/29)*Q146)</f>
        <v/>
      </c>
      <c r="R147" s="6">
        <f>IF(OR(Q147="",Q147=0),"",P147/Q147)</f>
        <v/>
      </c>
      <c r="S147" s="4">
        <f>IF(H147="","",0.25*H147+0.75*S146)</f>
        <v/>
      </c>
      <c r="T147" s="4">
        <f>IF(H147="","",(2/29)*H147+(27/29)*T146)</f>
        <v/>
      </c>
      <c r="U147" s="6">
        <f>IF(OR(T147="",T147=0),"",S147/T147)</f>
        <v/>
      </c>
      <c r="V147" s="4">
        <f>IF(I147="","",0.25*I147+0.75*V146)</f>
        <v/>
      </c>
      <c r="W147" s="4">
        <f>IF(I147="","",(2/29)*I147+(27/29)*W146)</f>
        <v/>
      </c>
      <c r="X147" s="6">
        <f>IF(OR(W147="",W147=0),"",V147/W147)</f>
        <v/>
      </c>
      <c r="Y147" s="4">
        <f>IF(J147="","",0.25*J147+0.75*Y146)</f>
        <v/>
      </c>
      <c r="Z147" s="4">
        <f>IF(J147="","",(2/29)*J147+(27/29)*Z146)</f>
        <v/>
      </c>
      <c r="AA147" s="6">
        <f>IF(OR(Z147="",Z147=0),"",Y147/Z147)</f>
        <v/>
      </c>
      <c r="AB147" s="4">
        <f>IF(L147="","",0.25*L147+0.75*AB146)</f>
        <v/>
      </c>
      <c r="AC147" s="4">
        <f>IF(L147="","",(2/29)*L147+(27/29)*AC146)</f>
        <v/>
      </c>
      <c r="AD147" s="6">
        <f>IF(OR(AC147="",AC147=0),"",AB147/AC147)</f>
        <v/>
      </c>
      <c r="AE147">
        <f>IF(OR(O147="",R147="",U147="",AD147=""),"",IF(OR(O147&gt;1.5,R147&gt;1.5,U147&gt;1.5,AD147&gt;1.5),"🔴 ALTO",IF(OR(O147&gt;1.3,R147&gt;1.3,U147&gt;1.3,AD147&gt;1.3,O147&lt;0.8,R147&lt;0.8,U147&lt;0.8,AD147&lt;0.8),"🟡 ATENÇÃO","🟢 OK")))</f>
        <v/>
      </c>
    </row>
    <row r="148">
      <c r="A148" s="2" t="n"/>
      <c r="L148">
        <f>IF(K148="","",K148*E148)</f>
        <v/>
      </c>
      <c r="M148" s="4">
        <f>IF(F148="","",0.25*F148+0.75*M147)</f>
        <v/>
      </c>
      <c r="N148" s="4">
        <f>IF(F148="","",(2/29)*F148+(27/29)*N147)</f>
        <v/>
      </c>
      <c r="O148" s="6">
        <f>IF(OR(N148="",N148=0),"",M148/N148)</f>
        <v/>
      </c>
      <c r="P148" s="4">
        <f>IF(G148="","",0.25*G148+0.75*P147)</f>
        <v/>
      </c>
      <c r="Q148" s="4">
        <f>IF(G148="","",(2/29)*G148+(27/29)*Q147)</f>
        <v/>
      </c>
      <c r="R148" s="6">
        <f>IF(OR(Q148="",Q148=0),"",P148/Q148)</f>
        <v/>
      </c>
      <c r="S148" s="4">
        <f>IF(H148="","",0.25*H148+0.75*S147)</f>
        <v/>
      </c>
      <c r="T148" s="4">
        <f>IF(H148="","",(2/29)*H148+(27/29)*T147)</f>
        <v/>
      </c>
      <c r="U148" s="6">
        <f>IF(OR(T148="",T148=0),"",S148/T148)</f>
        <v/>
      </c>
      <c r="V148" s="4">
        <f>IF(I148="","",0.25*I148+0.75*V147)</f>
        <v/>
      </c>
      <c r="W148" s="4">
        <f>IF(I148="","",(2/29)*I148+(27/29)*W147)</f>
        <v/>
      </c>
      <c r="X148" s="6">
        <f>IF(OR(W148="",W148=0),"",V148/W148)</f>
        <v/>
      </c>
      <c r="Y148" s="4">
        <f>IF(J148="","",0.25*J148+0.75*Y147)</f>
        <v/>
      </c>
      <c r="Z148" s="4">
        <f>IF(J148="","",(2/29)*J148+(27/29)*Z147)</f>
        <v/>
      </c>
      <c r="AA148" s="6">
        <f>IF(OR(Z148="",Z148=0),"",Y148/Z148)</f>
        <v/>
      </c>
      <c r="AB148" s="4">
        <f>IF(L148="","",0.25*L148+0.75*AB147)</f>
        <v/>
      </c>
      <c r="AC148" s="4">
        <f>IF(L148="","",(2/29)*L148+(27/29)*AC147)</f>
        <v/>
      </c>
      <c r="AD148" s="6">
        <f>IF(OR(AC148="",AC148=0),"",AB148/AC148)</f>
        <v/>
      </c>
      <c r="AE148">
        <f>IF(OR(O148="",R148="",U148="",AD148=""),"",IF(OR(O148&gt;1.5,R148&gt;1.5,U148&gt;1.5,AD148&gt;1.5),"🔴 ALTO",IF(OR(O148&gt;1.3,R148&gt;1.3,U148&gt;1.3,AD148&gt;1.3,O148&lt;0.8,R148&lt;0.8,U148&lt;0.8,AD148&lt;0.8),"🟡 ATENÇÃO","🟢 OK")))</f>
        <v/>
      </c>
    </row>
    <row r="149">
      <c r="A149" s="2" t="n"/>
      <c r="L149">
        <f>IF(K149="","",K149*E149)</f>
        <v/>
      </c>
      <c r="M149" s="4">
        <f>IF(F149="","",0.25*F149+0.75*M148)</f>
        <v/>
      </c>
      <c r="N149" s="4">
        <f>IF(F149="","",(2/29)*F149+(27/29)*N148)</f>
        <v/>
      </c>
      <c r="O149" s="6">
        <f>IF(OR(N149="",N149=0),"",M149/N149)</f>
        <v/>
      </c>
      <c r="P149" s="4">
        <f>IF(G149="","",0.25*G149+0.75*P148)</f>
        <v/>
      </c>
      <c r="Q149" s="4">
        <f>IF(G149="","",(2/29)*G149+(27/29)*Q148)</f>
        <v/>
      </c>
      <c r="R149" s="6">
        <f>IF(OR(Q149="",Q149=0),"",P149/Q149)</f>
        <v/>
      </c>
      <c r="S149" s="4">
        <f>IF(H149="","",0.25*H149+0.75*S148)</f>
        <v/>
      </c>
      <c r="T149" s="4">
        <f>IF(H149="","",(2/29)*H149+(27/29)*T148)</f>
        <v/>
      </c>
      <c r="U149" s="6">
        <f>IF(OR(T149="",T149=0),"",S149/T149)</f>
        <v/>
      </c>
      <c r="V149" s="4">
        <f>IF(I149="","",0.25*I149+0.75*V148)</f>
        <v/>
      </c>
      <c r="W149" s="4">
        <f>IF(I149="","",(2/29)*I149+(27/29)*W148)</f>
        <v/>
      </c>
      <c r="X149" s="6">
        <f>IF(OR(W149="",W149=0),"",V149/W149)</f>
        <v/>
      </c>
      <c r="Y149" s="4">
        <f>IF(J149="","",0.25*J149+0.75*Y148)</f>
        <v/>
      </c>
      <c r="Z149" s="4">
        <f>IF(J149="","",(2/29)*J149+(27/29)*Z148)</f>
        <v/>
      </c>
      <c r="AA149" s="6">
        <f>IF(OR(Z149="",Z149=0),"",Y149/Z149)</f>
        <v/>
      </c>
      <c r="AB149" s="4">
        <f>IF(L149="","",0.25*L149+0.75*AB148)</f>
        <v/>
      </c>
      <c r="AC149" s="4">
        <f>IF(L149="","",(2/29)*L149+(27/29)*AC148)</f>
        <v/>
      </c>
      <c r="AD149" s="6">
        <f>IF(OR(AC149="",AC149=0),"",AB149/AC149)</f>
        <v/>
      </c>
      <c r="AE149">
        <f>IF(OR(O149="",R149="",U149="",AD149=""),"",IF(OR(O149&gt;1.5,R149&gt;1.5,U149&gt;1.5,AD149&gt;1.5),"🔴 ALTO",IF(OR(O149&gt;1.3,R149&gt;1.3,U149&gt;1.3,AD149&gt;1.3,O149&lt;0.8,R149&lt;0.8,U149&lt;0.8,AD149&lt;0.8),"🟡 ATENÇÃO","🟢 OK")))</f>
        <v/>
      </c>
    </row>
    <row r="150">
      <c r="A150" s="2" t="n"/>
      <c r="L150">
        <f>IF(K150="","",K150*E150)</f>
        <v/>
      </c>
      <c r="M150" s="4">
        <f>IF(F150="","",0.25*F150+0.75*M149)</f>
        <v/>
      </c>
      <c r="N150" s="4">
        <f>IF(F150="","",(2/29)*F150+(27/29)*N149)</f>
        <v/>
      </c>
      <c r="O150" s="6">
        <f>IF(OR(N150="",N150=0),"",M150/N150)</f>
        <v/>
      </c>
      <c r="P150" s="4">
        <f>IF(G150="","",0.25*G150+0.75*P149)</f>
        <v/>
      </c>
      <c r="Q150" s="4">
        <f>IF(G150="","",(2/29)*G150+(27/29)*Q149)</f>
        <v/>
      </c>
      <c r="R150" s="6">
        <f>IF(OR(Q150="",Q150=0),"",P150/Q150)</f>
        <v/>
      </c>
      <c r="S150" s="4">
        <f>IF(H150="","",0.25*H150+0.75*S149)</f>
        <v/>
      </c>
      <c r="T150" s="4">
        <f>IF(H150="","",(2/29)*H150+(27/29)*T149)</f>
        <v/>
      </c>
      <c r="U150" s="6">
        <f>IF(OR(T150="",T150=0),"",S150/T150)</f>
        <v/>
      </c>
      <c r="V150" s="4">
        <f>IF(I150="","",0.25*I150+0.75*V149)</f>
        <v/>
      </c>
      <c r="W150" s="4">
        <f>IF(I150="","",(2/29)*I150+(27/29)*W149)</f>
        <v/>
      </c>
      <c r="X150" s="6">
        <f>IF(OR(W150="",W150=0),"",V150/W150)</f>
        <v/>
      </c>
      <c r="Y150" s="4">
        <f>IF(J150="","",0.25*J150+0.75*Y149)</f>
        <v/>
      </c>
      <c r="Z150" s="4">
        <f>IF(J150="","",(2/29)*J150+(27/29)*Z149)</f>
        <v/>
      </c>
      <c r="AA150" s="6">
        <f>IF(OR(Z150="",Z150=0),"",Y150/Z150)</f>
        <v/>
      </c>
      <c r="AB150" s="4">
        <f>IF(L150="","",0.25*L150+0.75*AB149)</f>
        <v/>
      </c>
      <c r="AC150" s="4">
        <f>IF(L150="","",(2/29)*L150+(27/29)*AC149)</f>
        <v/>
      </c>
      <c r="AD150" s="6">
        <f>IF(OR(AC150="",AC150=0),"",AB150/AC150)</f>
        <v/>
      </c>
      <c r="AE150">
        <f>IF(OR(O150="",R150="",U150="",AD150=""),"",IF(OR(O150&gt;1.5,R150&gt;1.5,U150&gt;1.5,AD150&gt;1.5),"🔴 ALTO",IF(OR(O150&gt;1.3,R150&gt;1.3,U150&gt;1.3,AD150&gt;1.3,O150&lt;0.8,R150&lt;0.8,U150&lt;0.8,AD150&lt;0.8),"🟡 ATENÇÃO","🟢 OK")))</f>
        <v/>
      </c>
    </row>
    <row r="151">
      <c r="A151" s="2" t="n"/>
      <c r="L151">
        <f>IF(K151="","",K151*E151)</f>
        <v/>
      </c>
      <c r="M151" s="4">
        <f>IF(F151="","",0.25*F151+0.75*M150)</f>
        <v/>
      </c>
      <c r="N151" s="4">
        <f>IF(F151="","",(2/29)*F151+(27/29)*N150)</f>
        <v/>
      </c>
      <c r="O151" s="6">
        <f>IF(OR(N151="",N151=0),"",M151/N151)</f>
        <v/>
      </c>
      <c r="P151" s="4">
        <f>IF(G151="","",0.25*G151+0.75*P150)</f>
        <v/>
      </c>
      <c r="Q151" s="4">
        <f>IF(G151="","",(2/29)*G151+(27/29)*Q150)</f>
        <v/>
      </c>
      <c r="R151" s="6">
        <f>IF(OR(Q151="",Q151=0),"",P151/Q151)</f>
        <v/>
      </c>
      <c r="S151" s="4">
        <f>IF(H151="","",0.25*H151+0.75*S150)</f>
        <v/>
      </c>
      <c r="T151" s="4">
        <f>IF(H151="","",(2/29)*H151+(27/29)*T150)</f>
        <v/>
      </c>
      <c r="U151" s="6">
        <f>IF(OR(T151="",T151=0),"",S151/T151)</f>
        <v/>
      </c>
      <c r="V151" s="4">
        <f>IF(I151="","",0.25*I151+0.75*V150)</f>
        <v/>
      </c>
      <c r="W151" s="4">
        <f>IF(I151="","",(2/29)*I151+(27/29)*W150)</f>
        <v/>
      </c>
      <c r="X151" s="6">
        <f>IF(OR(W151="",W151=0),"",V151/W151)</f>
        <v/>
      </c>
      <c r="Y151" s="4">
        <f>IF(J151="","",0.25*J151+0.75*Y150)</f>
        <v/>
      </c>
      <c r="Z151" s="4">
        <f>IF(J151="","",(2/29)*J151+(27/29)*Z150)</f>
        <v/>
      </c>
      <c r="AA151" s="6">
        <f>IF(OR(Z151="",Z151=0),"",Y151/Z151)</f>
        <v/>
      </c>
      <c r="AB151" s="4">
        <f>IF(L151="","",0.25*L151+0.75*AB150)</f>
        <v/>
      </c>
      <c r="AC151" s="4">
        <f>IF(L151="","",(2/29)*L151+(27/29)*AC150)</f>
        <v/>
      </c>
      <c r="AD151" s="6">
        <f>IF(OR(AC151="",AC151=0),"",AB151/AC151)</f>
        <v/>
      </c>
      <c r="AE151">
        <f>IF(OR(O151="",R151="",U151="",AD151=""),"",IF(OR(O151&gt;1.5,R151&gt;1.5,U151&gt;1.5,AD151&gt;1.5),"🔴 ALTO",IF(OR(O151&gt;1.3,R151&gt;1.3,U151&gt;1.3,AD151&gt;1.3,O151&lt;0.8,R151&lt;0.8,U151&lt;0.8,AD151&lt;0.8),"🟡 ATENÇÃO","🟢 OK")))</f>
        <v/>
      </c>
    </row>
    <row r="152">
      <c r="A152" s="2" t="n"/>
      <c r="L152">
        <f>IF(K152="","",K152*E152)</f>
        <v/>
      </c>
      <c r="M152" s="4">
        <f>IF(F152="","",0.25*F152+0.75*M151)</f>
        <v/>
      </c>
      <c r="N152" s="4">
        <f>IF(F152="","",(2/29)*F152+(27/29)*N151)</f>
        <v/>
      </c>
      <c r="O152" s="6">
        <f>IF(OR(N152="",N152=0),"",M152/N152)</f>
        <v/>
      </c>
      <c r="P152" s="4">
        <f>IF(G152="","",0.25*G152+0.75*P151)</f>
        <v/>
      </c>
      <c r="Q152" s="4">
        <f>IF(G152="","",(2/29)*G152+(27/29)*Q151)</f>
        <v/>
      </c>
      <c r="R152" s="6">
        <f>IF(OR(Q152="",Q152=0),"",P152/Q152)</f>
        <v/>
      </c>
      <c r="S152" s="4">
        <f>IF(H152="","",0.25*H152+0.75*S151)</f>
        <v/>
      </c>
      <c r="T152" s="4">
        <f>IF(H152="","",(2/29)*H152+(27/29)*T151)</f>
        <v/>
      </c>
      <c r="U152" s="6">
        <f>IF(OR(T152="",T152=0),"",S152/T152)</f>
        <v/>
      </c>
      <c r="V152" s="4">
        <f>IF(I152="","",0.25*I152+0.75*V151)</f>
        <v/>
      </c>
      <c r="W152" s="4">
        <f>IF(I152="","",(2/29)*I152+(27/29)*W151)</f>
        <v/>
      </c>
      <c r="X152" s="6">
        <f>IF(OR(W152="",W152=0),"",V152/W152)</f>
        <v/>
      </c>
      <c r="Y152" s="4">
        <f>IF(J152="","",0.25*J152+0.75*Y151)</f>
        <v/>
      </c>
      <c r="Z152" s="4">
        <f>IF(J152="","",(2/29)*J152+(27/29)*Z151)</f>
        <v/>
      </c>
      <c r="AA152" s="6">
        <f>IF(OR(Z152="",Z152=0),"",Y152/Z152)</f>
        <v/>
      </c>
      <c r="AB152" s="4">
        <f>IF(L152="","",0.25*L152+0.75*AB151)</f>
        <v/>
      </c>
      <c r="AC152" s="4">
        <f>IF(L152="","",(2/29)*L152+(27/29)*AC151)</f>
        <v/>
      </c>
      <c r="AD152" s="6">
        <f>IF(OR(AC152="",AC152=0),"",AB152/AC152)</f>
        <v/>
      </c>
      <c r="AE152">
        <f>IF(OR(O152="",R152="",U152="",AD152=""),"",IF(OR(O152&gt;1.5,R152&gt;1.5,U152&gt;1.5,AD152&gt;1.5),"🔴 ALTO",IF(OR(O152&gt;1.3,R152&gt;1.3,U152&gt;1.3,AD152&gt;1.3,O152&lt;0.8,R152&lt;0.8,U152&lt;0.8,AD152&lt;0.8),"🟡 ATENÇÃO","🟢 OK")))</f>
        <v/>
      </c>
    </row>
    <row r="153">
      <c r="A153" s="2" t="n"/>
      <c r="L153">
        <f>IF(K153="","",K153*E153)</f>
        <v/>
      </c>
      <c r="M153" s="4">
        <f>IF(F153="","",0.25*F153+0.75*M152)</f>
        <v/>
      </c>
      <c r="N153" s="4">
        <f>IF(F153="","",(2/29)*F153+(27/29)*N152)</f>
        <v/>
      </c>
      <c r="O153" s="6">
        <f>IF(OR(N153="",N153=0),"",M153/N153)</f>
        <v/>
      </c>
      <c r="P153" s="4">
        <f>IF(G153="","",0.25*G153+0.75*P152)</f>
        <v/>
      </c>
      <c r="Q153" s="4">
        <f>IF(G153="","",(2/29)*G153+(27/29)*Q152)</f>
        <v/>
      </c>
      <c r="R153" s="6">
        <f>IF(OR(Q153="",Q153=0),"",P153/Q153)</f>
        <v/>
      </c>
      <c r="S153" s="4">
        <f>IF(H153="","",0.25*H153+0.75*S152)</f>
        <v/>
      </c>
      <c r="T153" s="4">
        <f>IF(H153="","",(2/29)*H153+(27/29)*T152)</f>
        <v/>
      </c>
      <c r="U153" s="6">
        <f>IF(OR(T153="",T153=0),"",S153/T153)</f>
        <v/>
      </c>
      <c r="V153" s="4">
        <f>IF(I153="","",0.25*I153+0.75*V152)</f>
        <v/>
      </c>
      <c r="W153" s="4">
        <f>IF(I153="","",(2/29)*I153+(27/29)*W152)</f>
        <v/>
      </c>
      <c r="X153" s="6">
        <f>IF(OR(W153="",W153=0),"",V153/W153)</f>
        <v/>
      </c>
      <c r="Y153" s="4">
        <f>IF(J153="","",0.25*J153+0.75*Y152)</f>
        <v/>
      </c>
      <c r="Z153" s="4">
        <f>IF(J153="","",(2/29)*J153+(27/29)*Z152)</f>
        <v/>
      </c>
      <c r="AA153" s="6">
        <f>IF(OR(Z153="",Z153=0),"",Y153/Z153)</f>
        <v/>
      </c>
      <c r="AB153" s="4">
        <f>IF(L153="","",0.25*L153+0.75*AB152)</f>
        <v/>
      </c>
      <c r="AC153" s="4">
        <f>IF(L153="","",(2/29)*L153+(27/29)*AC152)</f>
        <v/>
      </c>
      <c r="AD153" s="6">
        <f>IF(OR(AC153="",AC153=0),"",AB153/AC153)</f>
        <v/>
      </c>
      <c r="AE153">
        <f>IF(OR(O153="",R153="",U153="",AD153=""),"",IF(OR(O153&gt;1.5,R153&gt;1.5,U153&gt;1.5,AD153&gt;1.5),"🔴 ALTO",IF(OR(O153&gt;1.3,R153&gt;1.3,U153&gt;1.3,AD153&gt;1.3,O153&lt;0.8,R153&lt;0.8,U153&lt;0.8,AD153&lt;0.8),"🟡 ATENÇÃO","🟢 OK")))</f>
        <v/>
      </c>
    </row>
    <row r="154">
      <c r="A154" s="2" t="n"/>
      <c r="L154">
        <f>IF(K154="","",K154*E154)</f>
        <v/>
      </c>
      <c r="M154" s="4">
        <f>IF(F154="","",0.25*F154+0.75*M153)</f>
        <v/>
      </c>
      <c r="N154" s="4">
        <f>IF(F154="","",(2/29)*F154+(27/29)*N153)</f>
        <v/>
      </c>
      <c r="O154" s="6">
        <f>IF(OR(N154="",N154=0),"",M154/N154)</f>
        <v/>
      </c>
      <c r="P154" s="4">
        <f>IF(G154="","",0.25*G154+0.75*P153)</f>
        <v/>
      </c>
      <c r="Q154" s="4">
        <f>IF(G154="","",(2/29)*G154+(27/29)*Q153)</f>
        <v/>
      </c>
      <c r="R154" s="6">
        <f>IF(OR(Q154="",Q154=0),"",P154/Q154)</f>
        <v/>
      </c>
      <c r="S154" s="4">
        <f>IF(H154="","",0.25*H154+0.75*S153)</f>
        <v/>
      </c>
      <c r="T154" s="4">
        <f>IF(H154="","",(2/29)*H154+(27/29)*T153)</f>
        <v/>
      </c>
      <c r="U154" s="6">
        <f>IF(OR(T154="",T154=0),"",S154/T154)</f>
        <v/>
      </c>
      <c r="V154" s="4">
        <f>IF(I154="","",0.25*I154+0.75*V153)</f>
        <v/>
      </c>
      <c r="W154" s="4">
        <f>IF(I154="","",(2/29)*I154+(27/29)*W153)</f>
        <v/>
      </c>
      <c r="X154" s="6">
        <f>IF(OR(W154="",W154=0),"",V154/W154)</f>
        <v/>
      </c>
      <c r="Y154" s="4">
        <f>IF(J154="","",0.25*J154+0.75*Y153)</f>
        <v/>
      </c>
      <c r="Z154" s="4">
        <f>IF(J154="","",(2/29)*J154+(27/29)*Z153)</f>
        <v/>
      </c>
      <c r="AA154" s="6">
        <f>IF(OR(Z154="",Z154=0),"",Y154/Z154)</f>
        <v/>
      </c>
      <c r="AB154" s="4">
        <f>IF(L154="","",0.25*L154+0.75*AB153)</f>
        <v/>
      </c>
      <c r="AC154" s="4">
        <f>IF(L154="","",(2/29)*L154+(27/29)*AC153)</f>
        <v/>
      </c>
      <c r="AD154" s="6">
        <f>IF(OR(AC154="",AC154=0),"",AB154/AC154)</f>
        <v/>
      </c>
      <c r="AE154">
        <f>IF(OR(O154="",R154="",U154="",AD154=""),"",IF(OR(O154&gt;1.5,R154&gt;1.5,U154&gt;1.5,AD154&gt;1.5),"🔴 ALTO",IF(OR(O154&gt;1.3,R154&gt;1.3,U154&gt;1.3,AD154&gt;1.3,O154&lt;0.8,R154&lt;0.8,U154&lt;0.8,AD154&lt;0.8),"🟡 ATENÇÃO","🟢 OK")))</f>
        <v/>
      </c>
    </row>
    <row r="155">
      <c r="A155" s="2" t="n"/>
      <c r="L155">
        <f>IF(K155="","",K155*E155)</f>
        <v/>
      </c>
      <c r="M155" s="4">
        <f>IF(F155="","",0.25*F155+0.75*M154)</f>
        <v/>
      </c>
      <c r="N155" s="4">
        <f>IF(F155="","",(2/29)*F155+(27/29)*N154)</f>
        <v/>
      </c>
      <c r="O155" s="6">
        <f>IF(OR(N155="",N155=0),"",M155/N155)</f>
        <v/>
      </c>
      <c r="P155" s="4">
        <f>IF(G155="","",0.25*G155+0.75*P154)</f>
        <v/>
      </c>
      <c r="Q155" s="4">
        <f>IF(G155="","",(2/29)*G155+(27/29)*Q154)</f>
        <v/>
      </c>
      <c r="R155" s="6">
        <f>IF(OR(Q155="",Q155=0),"",P155/Q155)</f>
        <v/>
      </c>
      <c r="S155" s="4">
        <f>IF(H155="","",0.25*H155+0.75*S154)</f>
        <v/>
      </c>
      <c r="T155" s="4">
        <f>IF(H155="","",(2/29)*H155+(27/29)*T154)</f>
        <v/>
      </c>
      <c r="U155" s="6">
        <f>IF(OR(T155="",T155=0),"",S155/T155)</f>
        <v/>
      </c>
      <c r="V155" s="4">
        <f>IF(I155="","",0.25*I155+0.75*V154)</f>
        <v/>
      </c>
      <c r="W155" s="4">
        <f>IF(I155="","",(2/29)*I155+(27/29)*W154)</f>
        <v/>
      </c>
      <c r="X155" s="6">
        <f>IF(OR(W155="",W155=0),"",V155/W155)</f>
        <v/>
      </c>
      <c r="Y155" s="4">
        <f>IF(J155="","",0.25*J155+0.75*Y154)</f>
        <v/>
      </c>
      <c r="Z155" s="4">
        <f>IF(J155="","",(2/29)*J155+(27/29)*Z154)</f>
        <v/>
      </c>
      <c r="AA155" s="6">
        <f>IF(OR(Z155="",Z155=0),"",Y155/Z155)</f>
        <v/>
      </c>
      <c r="AB155" s="4">
        <f>IF(L155="","",0.25*L155+0.75*AB154)</f>
        <v/>
      </c>
      <c r="AC155" s="4">
        <f>IF(L155="","",(2/29)*L155+(27/29)*AC154)</f>
        <v/>
      </c>
      <c r="AD155" s="6">
        <f>IF(OR(AC155="",AC155=0),"",AB155/AC155)</f>
        <v/>
      </c>
      <c r="AE155">
        <f>IF(OR(O155="",R155="",U155="",AD155=""),"",IF(OR(O155&gt;1.5,R155&gt;1.5,U155&gt;1.5,AD155&gt;1.5),"🔴 ALTO",IF(OR(O155&gt;1.3,R155&gt;1.3,U155&gt;1.3,AD155&gt;1.3,O155&lt;0.8,R155&lt;0.8,U155&lt;0.8,AD155&lt;0.8),"🟡 ATENÇÃO","🟢 OK")))</f>
        <v/>
      </c>
    </row>
    <row r="156">
      <c r="A156" s="2" t="n"/>
      <c r="L156">
        <f>IF(K156="","",K156*E156)</f>
        <v/>
      </c>
      <c r="M156" s="4">
        <f>IF(F156="","",0.25*F156+0.75*M155)</f>
        <v/>
      </c>
      <c r="N156" s="4">
        <f>IF(F156="","",(2/29)*F156+(27/29)*N155)</f>
        <v/>
      </c>
      <c r="O156" s="6">
        <f>IF(OR(N156="",N156=0),"",M156/N156)</f>
        <v/>
      </c>
      <c r="P156" s="4">
        <f>IF(G156="","",0.25*G156+0.75*P155)</f>
        <v/>
      </c>
      <c r="Q156" s="4">
        <f>IF(G156="","",(2/29)*G156+(27/29)*Q155)</f>
        <v/>
      </c>
      <c r="R156" s="6">
        <f>IF(OR(Q156="",Q156=0),"",P156/Q156)</f>
        <v/>
      </c>
      <c r="S156" s="4">
        <f>IF(H156="","",0.25*H156+0.75*S155)</f>
        <v/>
      </c>
      <c r="T156" s="4">
        <f>IF(H156="","",(2/29)*H156+(27/29)*T155)</f>
        <v/>
      </c>
      <c r="U156" s="6">
        <f>IF(OR(T156="",T156=0),"",S156/T156)</f>
        <v/>
      </c>
      <c r="V156" s="4">
        <f>IF(I156="","",0.25*I156+0.75*V155)</f>
        <v/>
      </c>
      <c r="W156" s="4">
        <f>IF(I156="","",(2/29)*I156+(27/29)*W155)</f>
        <v/>
      </c>
      <c r="X156" s="6">
        <f>IF(OR(W156="",W156=0),"",V156/W156)</f>
        <v/>
      </c>
      <c r="Y156" s="4">
        <f>IF(J156="","",0.25*J156+0.75*Y155)</f>
        <v/>
      </c>
      <c r="Z156" s="4">
        <f>IF(J156="","",(2/29)*J156+(27/29)*Z155)</f>
        <v/>
      </c>
      <c r="AA156" s="6">
        <f>IF(OR(Z156="",Z156=0),"",Y156/Z156)</f>
        <v/>
      </c>
      <c r="AB156" s="4">
        <f>IF(L156="","",0.25*L156+0.75*AB155)</f>
        <v/>
      </c>
      <c r="AC156" s="4">
        <f>IF(L156="","",(2/29)*L156+(27/29)*AC155)</f>
        <v/>
      </c>
      <c r="AD156" s="6">
        <f>IF(OR(AC156="",AC156=0),"",AB156/AC156)</f>
        <v/>
      </c>
      <c r="AE156">
        <f>IF(OR(O156="",R156="",U156="",AD156=""),"",IF(OR(O156&gt;1.5,R156&gt;1.5,U156&gt;1.5,AD156&gt;1.5),"🔴 ALTO",IF(OR(O156&gt;1.3,R156&gt;1.3,U156&gt;1.3,AD156&gt;1.3,O156&lt;0.8,R156&lt;0.8,U156&lt;0.8,AD156&lt;0.8),"🟡 ATENÇÃO","🟢 OK")))</f>
        <v/>
      </c>
    </row>
    <row r="157">
      <c r="A157" s="2" t="n"/>
      <c r="L157">
        <f>IF(K157="","",K157*E157)</f>
        <v/>
      </c>
      <c r="M157" s="4">
        <f>IF(F157="","",0.25*F157+0.75*M156)</f>
        <v/>
      </c>
      <c r="N157" s="4">
        <f>IF(F157="","",(2/29)*F157+(27/29)*N156)</f>
        <v/>
      </c>
      <c r="O157" s="6">
        <f>IF(OR(N157="",N157=0),"",M157/N157)</f>
        <v/>
      </c>
      <c r="P157" s="4">
        <f>IF(G157="","",0.25*G157+0.75*P156)</f>
        <v/>
      </c>
      <c r="Q157" s="4">
        <f>IF(G157="","",(2/29)*G157+(27/29)*Q156)</f>
        <v/>
      </c>
      <c r="R157" s="6">
        <f>IF(OR(Q157="",Q157=0),"",P157/Q157)</f>
        <v/>
      </c>
      <c r="S157" s="4">
        <f>IF(H157="","",0.25*H157+0.75*S156)</f>
        <v/>
      </c>
      <c r="T157" s="4">
        <f>IF(H157="","",(2/29)*H157+(27/29)*T156)</f>
        <v/>
      </c>
      <c r="U157" s="6">
        <f>IF(OR(T157="",T157=0),"",S157/T157)</f>
        <v/>
      </c>
      <c r="V157" s="4">
        <f>IF(I157="","",0.25*I157+0.75*V156)</f>
        <v/>
      </c>
      <c r="W157" s="4">
        <f>IF(I157="","",(2/29)*I157+(27/29)*W156)</f>
        <v/>
      </c>
      <c r="X157" s="6">
        <f>IF(OR(W157="",W157=0),"",V157/W157)</f>
        <v/>
      </c>
      <c r="Y157" s="4">
        <f>IF(J157="","",0.25*J157+0.75*Y156)</f>
        <v/>
      </c>
      <c r="Z157" s="4">
        <f>IF(J157="","",(2/29)*J157+(27/29)*Z156)</f>
        <v/>
      </c>
      <c r="AA157" s="6">
        <f>IF(OR(Z157="",Z157=0),"",Y157/Z157)</f>
        <v/>
      </c>
      <c r="AB157" s="4">
        <f>IF(L157="","",0.25*L157+0.75*AB156)</f>
        <v/>
      </c>
      <c r="AC157" s="4">
        <f>IF(L157="","",(2/29)*L157+(27/29)*AC156)</f>
        <v/>
      </c>
      <c r="AD157" s="6">
        <f>IF(OR(AC157="",AC157=0),"",AB157/AC157)</f>
        <v/>
      </c>
      <c r="AE157">
        <f>IF(OR(O157="",R157="",U157="",AD157=""),"",IF(OR(O157&gt;1.5,R157&gt;1.5,U157&gt;1.5,AD157&gt;1.5),"🔴 ALTO",IF(OR(O157&gt;1.3,R157&gt;1.3,U157&gt;1.3,AD157&gt;1.3,O157&lt;0.8,R157&lt;0.8,U157&lt;0.8,AD157&lt;0.8),"🟡 ATENÇÃO","🟢 OK")))</f>
        <v/>
      </c>
    </row>
    <row r="158">
      <c r="A158" s="2" t="n"/>
      <c r="L158">
        <f>IF(K158="","",K158*E158)</f>
        <v/>
      </c>
      <c r="M158" s="4">
        <f>IF(F158="","",0.25*F158+0.75*M157)</f>
        <v/>
      </c>
      <c r="N158" s="4">
        <f>IF(F158="","",(2/29)*F158+(27/29)*N157)</f>
        <v/>
      </c>
      <c r="O158" s="6">
        <f>IF(OR(N158="",N158=0),"",M158/N158)</f>
        <v/>
      </c>
      <c r="P158" s="4">
        <f>IF(G158="","",0.25*G158+0.75*P157)</f>
        <v/>
      </c>
      <c r="Q158" s="4">
        <f>IF(G158="","",(2/29)*G158+(27/29)*Q157)</f>
        <v/>
      </c>
      <c r="R158" s="6">
        <f>IF(OR(Q158="",Q158=0),"",P158/Q158)</f>
        <v/>
      </c>
      <c r="S158" s="4">
        <f>IF(H158="","",0.25*H158+0.75*S157)</f>
        <v/>
      </c>
      <c r="T158" s="4">
        <f>IF(H158="","",(2/29)*H158+(27/29)*T157)</f>
        <v/>
      </c>
      <c r="U158" s="6">
        <f>IF(OR(T158="",T158=0),"",S158/T158)</f>
        <v/>
      </c>
      <c r="V158" s="4">
        <f>IF(I158="","",0.25*I158+0.75*V157)</f>
        <v/>
      </c>
      <c r="W158" s="4">
        <f>IF(I158="","",(2/29)*I158+(27/29)*W157)</f>
        <v/>
      </c>
      <c r="X158" s="6">
        <f>IF(OR(W158="",W158=0),"",V158/W158)</f>
        <v/>
      </c>
      <c r="Y158" s="4">
        <f>IF(J158="","",0.25*J158+0.75*Y157)</f>
        <v/>
      </c>
      <c r="Z158" s="4">
        <f>IF(J158="","",(2/29)*J158+(27/29)*Z157)</f>
        <v/>
      </c>
      <c r="AA158" s="6">
        <f>IF(OR(Z158="",Z158=0),"",Y158/Z158)</f>
        <v/>
      </c>
      <c r="AB158" s="4">
        <f>IF(L158="","",0.25*L158+0.75*AB157)</f>
        <v/>
      </c>
      <c r="AC158" s="4">
        <f>IF(L158="","",(2/29)*L158+(27/29)*AC157)</f>
        <v/>
      </c>
      <c r="AD158" s="6">
        <f>IF(OR(AC158="",AC158=0),"",AB158/AC158)</f>
        <v/>
      </c>
      <c r="AE158">
        <f>IF(OR(O158="",R158="",U158="",AD158=""),"",IF(OR(O158&gt;1.5,R158&gt;1.5,U158&gt;1.5,AD158&gt;1.5),"🔴 ALTO",IF(OR(O158&gt;1.3,R158&gt;1.3,U158&gt;1.3,AD158&gt;1.3,O158&lt;0.8,R158&lt;0.8,U158&lt;0.8,AD158&lt;0.8),"🟡 ATENÇÃO","🟢 OK")))</f>
        <v/>
      </c>
    </row>
    <row r="159">
      <c r="A159" s="2" t="n"/>
      <c r="L159">
        <f>IF(K159="","",K159*E159)</f>
        <v/>
      </c>
      <c r="M159" s="4">
        <f>IF(F159="","",0.25*F159+0.75*M158)</f>
        <v/>
      </c>
      <c r="N159" s="4">
        <f>IF(F159="","",(2/29)*F159+(27/29)*N158)</f>
        <v/>
      </c>
      <c r="O159" s="6">
        <f>IF(OR(N159="",N159=0),"",M159/N159)</f>
        <v/>
      </c>
      <c r="P159" s="4">
        <f>IF(G159="","",0.25*G159+0.75*P158)</f>
        <v/>
      </c>
      <c r="Q159" s="4">
        <f>IF(G159="","",(2/29)*G159+(27/29)*Q158)</f>
        <v/>
      </c>
      <c r="R159" s="6">
        <f>IF(OR(Q159="",Q159=0),"",P159/Q159)</f>
        <v/>
      </c>
      <c r="S159" s="4">
        <f>IF(H159="","",0.25*H159+0.75*S158)</f>
        <v/>
      </c>
      <c r="T159" s="4">
        <f>IF(H159="","",(2/29)*H159+(27/29)*T158)</f>
        <v/>
      </c>
      <c r="U159" s="6">
        <f>IF(OR(T159="",T159=0),"",S159/T159)</f>
        <v/>
      </c>
      <c r="V159" s="4">
        <f>IF(I159="","",0.25*I159+0.75*V158)</f>
        <v/>
      </c>
      <c r="W159" s="4">
        <f>IF(I159="","",(2/29)*I159+(27/29)*W158)</f>
        <v/>
      </c>
      <c r="X159" s="6">
        <f>IF(OR(W159="",W159=0),"",V159/W159)</f>
        <v/>
      </c>
      <c r="Y159" s="4">
        <f>IF(J159="","",0.25*J159+0.75*Y158)</f>
        <v/>
      </c>
      <c r="Z159" s="4">
        <f>IF(J159="","",(2/29)*J159+(27/29)*Z158)</f>
        <v/>
      </c>
      <c r="AA159" s="6">
        <f>IF(OR(Z159="",Z159=0),"",Y159/Z159)</f>
        <v/>
      </c>
      <c r="AB159" s="4">
        <f>IF(L159="","",0.25*L159+0.75*AB158)</f>
        <v/>
      </c>
      <c r="AC159" s="4">
        <f>IF(L159="","",(2/29)*L159+(27/29)*AC158)</f>
        <v/>
      </c>
      <c r="AD159" s="6">
        <f>IF(OR(AC159="",AC159=0),"",AB159/AC159)</f>
        <v/>
      </c>
      <c r="AE159">
        <f>IF(OR(O159="",R159="",U159="",AD159=""),"",IF(OR(O159&gt;1.5,R159&gt;1.5,U159&gt;1.5,AD159&gt;1.5),"🔴 ALTO",IF(OR(O159&gt;1.3,R159&gt;1.3,U159&gt;1.3,AD159&gt;1.3,O159&lt;0.8,R159&lt;0.8,U159&lt;0.8,AD159&lt;0.8),"🟡 ATENÇÃO","🟢 OK")))</f>
        <v/>
      </c>
    </row>
    <row r="160">
      <c r="A160" s="2" t="n"/>
      <c r="L160">
        <f>IF(K160="","",K160*E160)</f>
        <v/>
      </c>
      <c r="M160" s="4">
        <f>IF(F160="","",0.25*F160+0.75*M159)</f>
        <v/>
      </c>
      <c r="N160" s="4">
        <f>IF(F160="","",(2/29)*F160+(27/29)*N159)</f>
        <v/>
      </c>
      <c r="O160" s="6">
        <f>IF(OR(N160="",N160=0),"",M160/N160)</f>
        <v/>
      </c>
      <c r="P160" s="4">
        <f>IF(G160="","",0.25*G160+0.75*P159)</f>
        <v/>
      </c>
      <c r="Q160" s="4">
        <f>IF(G160="","",(2/29)*G160+(27/29)*Q159)</f>
        <v/>
      </c>
      <c r="R160" s="6">
        <f>IF(OR(Q160="",Q160=0),"",P160/Q160)</f>
        <v/>
      </c>
      <c r="S160" s="4">
        <f>IF(H160="","",0.25*H160+0.75*S159)</f>
        <v/>
      </c>
      <c r="T160" s="4">
        <f>IF(H160="","",(2/29)*H160+(27/29)*T159)</f>
        <v/>
      </c>
      <c r="U160" s="6">
        <f>IF(OR(T160="",T160=0),"",S160/T160)</f>
        <v/>
      </c>
      <c r="V160" s="4">
        <f>IF(I160="","",0.25*I160+0.75*V159)</f>
        <v/>
      </c>
      <c r="W160" s="4">
        <f>IF(I160="","",(2/29)*I160+(27/29)*W159)</f>
        <v/>
      </c>
      <c r="X160" s="6">
        <f>IF(OR(W160="",W160=0),"",V160/W160)</f>
        <v/>
      </c>
      <c r="Y160" s="4">
        <f>IF(J160="","",0.25*J160+0.75*Y159)</f>
        <v/>
      </c>
      <c r="Z160" s="4">
        <f>IF(J160="","",(2/29)*J160+(27/29)*Z159)</f>
        <v/>
      </c>
      <c r="AA160" s="6">
        <f>IF(OR(Z160="",Z160=0),"",Y160/Z160)</f>
        <v/>
      </c>
      <c r="AB160" s="4">
        <f>IF(L160="","",0.25*L160+0.75*AB159)</f>
        <v/>
      </c>
      <c r="AC160" s="4">
        <f>IF(L160="","",(2/29)*L160+(27/29)*AC159)</f>
        <v/>
      </c>
      <c r="AD160" s="6">
        <f>IF(OR(AC160="",AC160=0),"",AB160/AC160)</f>
        <v/>
      </c>
      <c r="AE160">
        <f>IF(OR(O160="",R160="",U160="",AD160=""),"",IF(OR(O160&gt;1.5,R160&gt;1.5,U160&gt;1.5,AD160&gt;1.5),"🔴 ALTO",IF(OR(O160&gt;1.3,R160&gt;1.3,U160&gt;1.3,AD160&gt;1.3,O160&lt;0.8,R160&lt;0.8,U160&lt;0.8,AD160&lt;0.8),"🟡 ATENÇÃO","🟢 OK")))</f>
        <v/>
      </c>
    </row>
    <row r="161">
      <c r="A161" s="2" t="n"/>
      <c r="L161">
        <f>IF(K161="","",K161*E161)</f>
        <v/>
      </c>
      <c r="M161" s="4">
        <f>IF(F161="","",0.25*F161+0.75*M160)</f>
        <v/>
      </c>
      <c r="N161" s="4">
        <f>IF(F161="","",(2/29)*F161+(27/29)*N160)</f>
        <v/>
      </c>
      <c r="O161" s="6">
        <f>IF(OR(N161="",N161=0),"",M161/N161)</f>
        <v/>
      </c>
      <c r="P161" s="4">
        <f>IF(G161="","",0.25*G161+0.75*P160)</f>
        <v/>
      </c>
      <c r="Q161" s="4">
        <f>IF(G161="","",(2/29)*G161+(27/29)*Q160)</f>
        <v/>
      </c>
      <c r="R161" s="6">
        <f>IF(OR(Q161="",Q161=0),"",P161/Q161)</f>
        <v/>
      </c>
      <c r="S161" s="4">
        <f>IF(H161="","",0.25*H161+0.75*S160)</f>
        <v/>
      </c>
      <c r="T161" s="4">
        <f>IF(H161="","",(2/29)*H161+(27/29)*T160)</f>
        <v/>
      </c>
      <c r="U161" s="6">
        <f>IF(OR(T161="",T161=0),"",S161/T161)</f>
        <v/>
      </c>
      <c r="V161" s="4">
        <f>IF(I161="","",0.25*I161+0.75*V160)</f>
        <v/>
      </c>
      <c r="W161" s="4">
        <f>IF(I161="","",(2/29)*I161+(27/29)*W160)</f>
        <v/>
      </c>
      <c r="X161" s="6">
        <f>IF(OR(W161="",W161=0),"",V161/W161)</f>
        <v/>
      </c>
      <c r="Y161" s="4">
        <f>IF(J161="","",0.25*J161+0.75*Y160)</f>
        <v/>
      </c>
      <c r="Z161" s="4">
        <f>IF(J161="","",(2/29)*J161+(27/29)*Z160)</f>
        <v/>
      </c>
      <c r="AA161" s="6">
        <f>IF(OR(Z161="",Z161=0),"",Y161/Z161)</f>
        <v/>
      </c>
      <c r="AB161" s="4">
        <f>IF(L161="","",0.25*L161+0.75*AB160)</f>
        <v/>
      </c>
      <c r="AC161" s="4">
        <f>IF(L161="","",(2/29)*L161+(27/29)*AC160)</f>
        <v/>
      </c>
      <c r="AD161" s="6">
        <f>IF(OR(AC161="",AC161=0),"",AB161/AC161)</f>
        <v/>
      </c>
      <c r="AE161">
        <f>IF(OR(O161="",R161="",U161="",AD161=""),"",IF(OR(O161&gt;1.5,R161&gt;1.5,U161&gt;1.5,AD161&gt;1.5),"🔴 ALTO",IF(OR(O161&gt;1.3,R161&gt;1.3,U161&gt;1.3,AD161&gt;1.3,O161&lt;0.8,R161&lt;0.8,U161&lt;0.8,AD161&lt;0.8),"🟡 ATENÇÃO","🟢 OK")))</f>
        <v/>
      </c>
    </row>
    <row r="162">
      <c r="A162" s="2" t="n"/>
      <c r="L162">
        <f>IF(K162="","",K162*E162)</f>
        <v/>
      </c>
      <c r="M162" s="4">
        <f>IF(F162="","",0.25*F162+0.75*M161)</f>
        <v/>
      </c>
      <c r="N162" s="4">
        <f>IF(F162="","",(2/29)*F162+(27/29)*N161)</f>
        <v/>
      </c>
      <c r="O162" s="6">
        <f>IF(OR(N162="",N162=0),"",M162/N162)</f>
        <v/>
      </c>
      <c r="P162" s="4">
        <f>IF(G162="","",0.25*G162+0.75*P161)</f>
        <v/>
      </c>
      <c r="Q162" s="4">
        <f>IF(G162="","",(2/29)*G162+(27/29)*Q161)</f>
        <v/>
      </c>
      <c r="R162" s="6">
        <f>IF(OR(Q162="",Q162=0),"",P162/Q162)</f>
        <v/>
      </c>
      <c r="S162" s="4">
        <f>IF(H162="","",0.25*H162+0.75*S161)</f>
        <v/>
      </c>
      <c r="T162" s="4">
        <f>IF(H162="","",(2/29)*H162+(27/29)*T161)</f>
        <v/>
      </c>
      <c r="U162" s="6">
        <f>IF(OR(T162="",T162=0),"",S162/T162)</f>
        <v/>
      </c>
      <c r="V162" s="4">
        <f>IF(I162="","",0.25*I162+0.75*V161)</f>
        <v/>
      </c>
      <c r="W162" s="4">
        <f>IF(I162="","",(2/29)*I162+(27/29)*W161)</f>
        <v/>
      </c>
      <c r="X162" s="6">
        <f>IF(OR(W162="",W162=0),"",V162/W162)</f>
        <v/>
      </c>
      <c r="Y162" s="4">
        <f>IF(J162="","",0.25*J162+0.75*Y161)</f>
        <v/>
      </c>
      <c r="Z162" s="4">
        <f>IF(J162="","",(2/29)*J162+(27/29)*Z161)</f>
        <v/>
      </c>
      <c r="AA162" s="6">
        <f>IF(OR(Z162="",Z162=0),"",Y162/Z162)</f>
        <v/>
      </c>
      <c r="AB162" s="4">
        <f>IF(L162="","",0.25*L162+0.75*AB161)</f>
        <v/>
      </c>
      <c r="AC162" s="4">
        <f>IF(L162="","",(2/29)*L162+(27/29)*AC161)</f>
        <v/>
      </c>
      <c r="AD162" s="6">
        <f>IF(OR(AC162="",AC162=0),"",AB162/AC162)</f>
        <v/>
      </c>
      <c r="AE162">
        <f>IF(OR(O162="",R162="",U162="",AD162=""),"",IF(OR(O162&gt;1.5,R162&gt;1.5,U162&gt;1.5,AD162&gt;1.5),"🔴 ALTO",IF(OR(O162&gt;1.3,R162&gt;1.3,U162&gt;1.3,AD162&gt;1.3,O162&lt;0.8,R162&lt;0.8,U162&lt;0.8,AD162&lt;0.8),"🟡 ATENÇÃO","🟢 OK")))</f>
        <v/>
      </c>
    </row>
    <row r="163">
      <c r="A163" s="2" t="n"/>
      <c r="L163">
        <f>IF(K163="","",K163*E163)</f>
        <v/>
      </c>
      <c r="M163" s="4">
        <f>IF(F163="","",0.25*F163+0.75*M162)</f>
        <v/>
      </c>
      <c r="N163" s="4">
        <f>IF(F163="","",(2/29)*F163+(27/29)*N162)</f>
        <v/>
      </c>
      <c r="O163" s="6">
        <f>IF(OR(N163="",N163=0),"",M163/N163)</f>
        <v/>
      </c>
      <c r="P163" s="4">
        <f>IF(G163="","",0.25*G163+0.75*P162)</f>
        <v/>
      </c>
      <c r="Q163" s="4">
        <f>IF(G163="","",(2/29)*G163+(27/29)*Q162)</f>
        <v/>
      </c>
      <c r="R163" s="6">
        <f>IF(OR(Q163="",Q163=0),"",P163/Q163)</f>
        <v/>
      </c>
      <c r="S163" s="4">
        <f>IF(H163="","",0.25*H163+0.75*S162)</f>
        <v/>
      </c>
      <c r="T163" s="4">
        <f>IF(H163="","",(2/29)*H163+(27/29)*T162)</f>
        <v/>
      </c>
      <c r="U163" s="6">
        <f>IF(OR(T163="",T163=0),"",S163/T163)</f>
        <v/>
      </c>
      <c r="V163" s="4">
        <f>IF(I163="","",0.25*I163+0.75*V162)</f>
        <v/>
      </c>
      <c r="W163" s="4">
        <f>IF(I163="","",(2/29)*I163+(27/29)*W162)</f>
        <v/>
      </c>
      <c r="X163" s="6">
        <f>IF(OR(W163="",W163=0),"",V163/W163)</f>
        <v/>
      </c>
      <c r="Y163" s="4">
        <f>IF(J163="","",0.25*J163+0.75*Y162)</f>
        <v/>
      </c>
      <c r="Z163" s="4">
        <f>IF(J163="","",(2/29)*J163+(27/29)*Z162)</f>
        <v/>
      </c>
      <c r="AA163" s="6">
        <f>IF(OR(Z163="",Z163=0),"",Y163/Z163)</f>
        <v/>
      </c>
      <c r="AB163" s="4">
        <f>IF(L163="","",0.25*L163+0.75*AB162)</f>
        <v/>
      </c>
      <c r="AC163" s="4">
        <f>IF(L163="","",(2/29)*L163+(27/29)*AC162)</f>
        <v/>
      </c>
      <c r="AD163" s="6">
        <f>IF(OR(AC163="",AC163=0),"",AB163/AC163)</f>
        <v/>
      </c>
      <c r="AE163">
        <f>IF(OR(O163="",R163="",U163="",AD163=""),"",IF(OR(O163&gt;1.5,R163&gt;1.5,U163&gt;1.5,AD163&gt;1.5),"🔴 ALTO",IF(OR(O163&gt;1.3,R163&gt;1.3,U163&gt;1.3,AD163&gt;1.3,O163&lt;0.8,R163&lt;0.8,U163&lt;0.8,AD163&lt;0.8),"🟡 ATENÇÃO","🟢 OK")))</f>
        <v/>
      </c>
    </row>
    <row r="164">
      <c r="A164" s="2" t="n"/>
      <c r="L164">
        <f>IF(K164="","",K164*E164)</f>
        <v/>
      </c>
      <c r="M164" s="4">
        <f>IF(F164="","",0.25*F164+0.75*M163)</f>
        <v/>
      </c>
      <c r="N164" s="4">
        <f>IF(F164="","",(2/29)*F164+(27/29)*N163)</f>
        <v/>
      </c>
      <c r="O164" s="6">
        <f>IF(OR(N164="",N164=0),"",M164/N164)</f>
        <v/>
      </c>
      <c r="P164" s="4">
        <f>IF(G164="","",0.25*G164+0.75*P163)</f>
        <v/>
      </c>
      <c r="Q164" s="4">
        <f>IF(G164="","",(2/29)*G164+(27/29)*Q163)</f>
        <v/>
      </c>
      <c r="R164" s="6">
        <f>IF(OR(Q164="",Q164=0),"",P164/Q164)</f>
        <v/>
      </c>
      <c r="S164" s="4">
        <f>IF(H164="","",0.25*H164+0.75*S163)</f>
        <v/>
      </c>
      <c r="T164" s="4">
        <f>IF(H164="","",(2/29)*H164+(27/29)*T163)</f>
        <v/>
      </c>
      <c r="U164" s="6">
        <f>IF(OR(T164="",T164=0),"",S164/T164)</f>
        <v/>
      </c>
      <c r="V164" s="4">
        <f>IF(I164="","",0.25*I164+0.75*V163)</f>
        <v/>
      </c>
      <c r="W164" s="4">
        <f>IF(I164="","",(2/29)*I164+(27/29)*W163)</f>
        <v/>
      </c>
      <c r="X164" s="6">
        <f>IF(OR(W164="",W164=0),"",V164/W164)</f>
        <v/>
      </c>
      <c r="Y164" s="4">
        <f>IF(J164="","",0.25*J164+0.75*Y163)</f>
        <v/>
      </c>
      <c r="Z164" s="4">
        <f>IF(J164="","",(2/29)*J164+(27/29)*Z163)</f>
        <v/>
      </c>
      <c r="AA164" s="6">
        <f>IF(OR(Z164="",Z164=0),"",Y164/Z164)</f>
        <v/>
      </c>
      <c r="AB164" s="4">
        <f>IF(L164="","",0.25*L164+0.75*AB163)</f>
        <v/>
      </c>
      <c r="AC164" s="4">
        <f>IF(L164="","",(2/29)*L164+(27/29)*AC163)</f>
        <v/>
      </c>
      <c r="AD164" s="6">
        <f>IF(OR(AC164="",AC164=0),"",AB164/AC164)</f>
        <v/>
      </c>
      <c r="AE164">
        <f>IF(OR(O164="",R164="",U164="",AD164=""),"",IF(OR(O164&gt;1.5,R164&gt;1.5,U164&gt;1.5,AD164&gt;1.5),"🔴 ALTO",IF(OR(O164&gt;1.3,R164&gt;1.3,U164&gt;1.3,AD164&gt;1.3,O164&lt;0.8,R164&lt;0.8,U164&lt;0.8,AD164&lt;0.8),"🟡 ATENÇÃO","🟢 OK")))</f>
        <v/>
      </c>
    </row>
    <row r="165">
      <c r="A165" s="2" t="n"/>
      <c r="L165">
        <f>IF(K165="","",K165*E165)</f>
        <v/>
      </c>
      <c r="M165" s="4">
        <f>IF(F165="","",0.25*F165+0.75*M164)</f>
        <v/>
      </c>
      <c r="N165" s="4">
        <f>IF(F165="","",(2/29)*F165+(27/29)*N164)</f>
        <v/>
      </c>
      <c r="O165" s="6">
        <f>IF(OR(N165="",N165=0),"",M165/N165)</f>
        <v/>
      </c>
      <c r="P165" s="4">
        <f>IF(G165="","",0.25*G165+0.75*P164)</f>
        <v/>
      </c>
      <c r="Q165" s="4">
        <f>IF(G165="","",(2/29)*G165+(27/29)*Q164)</f>
        <v/>
      </c>
      <c r="R165" s="6">
        <f>IF(OR(Q165="",Q165=0),"",P165/Q165)</f>
        <v/>
      </c>
      <c r="S165" s="4">
        <f>IF(H165="","",0.25*H165+0.75*S164)</f>
        <v/>
      </c>
      <c r="T165" s="4">
        <f>IF(H165="","",(2/29)*H165+(27/29)*T164)</f>
        <v/>
      </c>
      <c r="U165" s="6">
        <f>IF(OR(T165="",T165=0),"",S165/T165)</f>
        <v/>
      </c>
      <c r="V165" s="4">
        <f>IF(I165="","",0.25*I165+0.75*V164)</f>
        <v/>
      </c>
      <c r="W165" s="4">
        <f>IF(I165="","",(2/29)*I165+(27/29)*W164)</f>
        <v/>
      </c>
      <c r="X165" s="6">
        <f>IF(OR(W165="",W165=0),"",V165/W165)</f>
        <v/>
      </c>
      <c r="Y165" s="4">
        <f>IF(J165="","",0.25*J165+0.75*Y164)</f>
        <v/>
      </c>
      <c r="Z165" s="4">
        <f>IF(J165="","",(2/29)*J165+(27/29)*Z164)</f>
        <v/>
      </c>
      <c r="AA165" s="6">
        <f>IF(OR(Z165="",Z165=0),"",Y165/Z165)</f>
        <v/>
      </c>
      <c r="AB165" s="4">
        <f>IF(L165="","",0.25*L165+0.75*AB164)</f>
        <v/>
      </c>
      <c r="AC165" s="4">
        <f>IF(L165="","",(2/29)*L165+(27/29)*AC164)</f>
        <v/>
      </c>
      <c r="AD165" s="6">
        <f>IF(OR(AC165="",AC165=0),"",AB165/AC165)</f>
        <v/>
      </c>
      <c r="AE165">
        <f>IF(OR(O165="",R165="",U165="",AD165=""),"",IF(OR(O165&gt;1.5,R165&gt;1.5,U165&gt;1.5,AD165&gt;1.5),"🔴 ALTO",IF(OR(O165&gt;1.3,R165&gt;1.3,U165&gt;1.3,AD165&gt;1.3,O165&lt;0.8,R165&lt;0.8,U165&lt;0.8,AD165&lt;0.8),"🟡 ATENÇÃO","🟢 OK")))</f>
        <v/>
      </c>
    </row>
    <row r="166">
      <c r="A166" s="2" t="n"/>
      <c r="L166">
        <f>IF(K166="","",K166*E166)</f>
        <v/>
      </c>
      <c r="M166" s="4">
        <f>IF(F166="","",0.25*F166+0.75*M165)</f>
        <v/>
      </c>
      <c r="N166" s="4">
        <f>IF(F166="","",(2/29)*F166+(27/29)*N165)</f>
        <v/>
      </c>
      <c r="O166" s="6">
        <f>IF(OR(N166="",N166=0),"",M166/N166)</f>
        <v/>
      </c>
      <c r="P166" s="4">
        <f>IF(G166="","",0.25*G166+0.75*P165)</f>
        <v/>
      </c>
      <c r="Q166" s="4">
        <f>IF(G166="","",(2/29)*G166+(27/29)*Q165)</f>
        <v/>
      </c>
      <c r="R166" s="6">
        <f>IF(OR(Q166="",Q166=0),"",P166/Q166)</f>
        <v/>
      </c>
      <c r="S166" s="4">
        <f>IF(H166="","",0.25*H166+0.75*S165)</f>
        <v/>
      </c>
      <c r="T166" s="4">
        <f>IF(H166="","",(2/29)*H166+(27/29)*T165)</f>
        <v/>
      </c>
      <c r="U166" s="6">
        <f>IF(OR(T166="",T166=0),"",S166/T166)</f>
        <v/>
      </c>
      <c r="V166" s="4">
        <f>IF(I166="","",0.25*I166+0.75*V165)</f>
        <v/>
      </c>
      <c r="W166" s="4">
        <f>IF(I166="","",(2/29)*I166+(27/29)*W165)</f>
        <v/>
      </c>
      <c r="X166" s="6">
        <f>IF(OR(W166="",W166=0),"",V166/W166)</f>
        <v/>
      </c>
      <c r="Y166" s="4">
        <f>IF(J166="","",0.25*J166+0.75*Y165)</f>
        <v/>
      </c>
      <c r="Z166" s="4">
        <f>IF(J166="","",(2/29)*J166+(27/29)*Z165)</f>
        <v/>
      </c>
      <c r="AA166" s="6">
        <f>IF(OR(Z166="",Z166=0),"",Y166/Z166)</f>
        <v/>
      </c>
      <c r="AB166" s="4">
        <f>IF(L166="","",0.25*L166+0.75*AB165)</f>
        <v/>
      </c>
      <c r="AC166" s="4">
        <f>IF(L166="","",(2/29)*L166+(27/29)*AC165)</f>
        <v/>
      </c>
      <c r="AD166" s="6">
        <f>IF(OR(AC166="",AC166=0),"",AB166/AC166)</f>
        <v/>
      </c>
      <c r="AE166">
        <f>IF(OR(O166="",R166="",U166="",AD166=""),"",IF(OR(O166&gt;1.5,R166&gt;1.5,U166&gt;1.5,AD166&gt;1.5),"🔴 ALTO",IF(OR(O166&gt;1.3,R166&gt;1.3,U166&gt;1.3,AD166&gt;1.3,O166&lt;0.8,R166&lt;0.8,U166&lt;0.8,AD166&lt;0.8),"🟡 ATENÇÃO","🟢 OK")))</f>
        <v/>
      </c>
    </row>
    <row r="167">
      <c r="A167" s="2" t="n"/>
      <c r="L167">
        <f>IF(K167="","",K167*E167)</f>
        <v/>
      </c>
      <c r="M167" s="4">
        <f>IF(F167="","",0.25*F167+0.75*M166)</f>
        <v/>
      </c>
      <c r="N167" s="4">
        <f>IF(F167="","",(2/29)*F167+(27/29)*N166)</f>
        <v/>
      </c>
      <c r="O167" s="6">
        <f>IF(OR(N167="",N167=0),"",M167/N167)</f>
        <v/>
      </c>
      <c r="P167" s="4">
        <f>IF(G167="","",0.25*G167+0.75*P166)</f>
        <v/>
      </c>
      <c r="Q167" s="4">
        <f>IF(G167="","",(2/29)*G167+(27/29)*Q166)</f>
        <v/>
      </c>
      <c r="R167" s="6">
        <f>IF(OR(Q167="",Q167=0),"",P167/Q167)</f>
        <v/>
      </c>
      <c r="S167" s="4">
        <f>IF(H167="","",0.25*H167+0.75*S166)</f>
        <v/>
      </c>
      <c r="T167" s="4">
        <f>IF(H167="","",(2/29)*H167+(27/29)*T166)</f>
        <v/>
      </c>
      <c r="U167" s="6">
        <f>IF(OR(T167="",T167=0),"",S167/T167)</f>
        <v/>
      </c>
      <c r="V167" s="4">
        <f>IF(I167="","",0.25*I167+0.75*V166)</f>
        <v/>
      </c>
      <c r="W167" s="4">
        <f>IF(I167="","",(2/29)*I167+(27/29)*W166)</f>
        <v/>
      </c>
      <c r="X167" s="6">
        <f>IF(OR(W167="",W167=0),"",V167/W167)</f>
        <v/>
      </c>
      <c r="Y167" s="4">
        <f>IF(J167="","",0.25*J167+0.75*Y166)</f>
        <v/>
      </c>
      <c r="Z167" s="4">
        <f>IF(J167="","",(2/29)*J167+(27/29)*Z166)</f>
        <v/>
      </c>
      <c r="AA167" s="6">
        <f>IF(OR(Z167="",Z167=0),"",Y167/Z167)</f>
        <v/>
      </c>
      <c r="AB167" s="4">
        <f>IF(L167="","",0.25*L167+0.75*AB166)</f>
        <v/>
      </c>
      <c r="AC167" s="4">
        <f>IF(L167="","",(2/29)*L167+(27/29)*AC166)</f>
        <v/>
      </c>
      <c r="AD167" s="6">
        <f>IF(OR(AC167="",AC167=0),"",AB167/AC167)</f>
        <v/>
      </c>
      <c r="AE167">
        <f>IF(OR(O167="",R167="",U167="",AD167=""),"",IF(OR(O167&gt;1.5,R167&gt;1.5,U167&gt;1.5,AD167&gt;1.5),"🔴 ALTO",IF(OR(O167&gt;1.3,R167&gt;1.3,U167&gt;1.3,AD167&gt;1.3,O167&lt;0.8,R167&lt;0.8,U167&lt;0.8,AD167&lt;0.8),"🟡 ATENÇÃO","🟢 OK")))</f>
        <v/>
      </c>
    </row>
    <row r="168">
      <c r="A168" s="2" t="n"/>
      <c r="L168">
        <f>IF(K168="","",K168*E168)</f>
        <v/>
      </c>
      <c r="M168" s="4">
        <f>IF(F168="","",0.25*F168+0.75*M167)</f>
        <v/>
      </c>
      <c r="N168" s="4">
        <f>IF(F168="","",(2/29)*F168+(27/29)*N167)</f>
        <v/>
      </c>
      <c r="O168" s="6">
        <f>IF(OR(N168="",N168=0),"",M168/N168)</f>
        <v/>
      </c>
      <c r="P168" s="4">
        <f>IF(G168="","",0.25*G168+0.75*P167)</f>
        <v/>
      </c>
      <c r="Q168" s="4">
        <f>IF(G168="","",(2/29)*G168+(27/29)*Q167)</f>
        <v/>
      </c>
      <c r="R168" s="6">
        <f>IF(OR(Q168="",Q168=0),"",P168/Q168)</f>
        <v/>
      </c>
      <c r="S168" s="4">
        <f>IF(H168="","",0.25*H168+0.75*S167)</f>
        <v/>
      </c>
      <c r="T168" s="4">
        <f>IF(H168="","",(2/29)*H168+(27/29)*T167)</f>
        <v/>
      </c>
      <c r="U168" s="6">
        <f>IF(OR(T168="",T168=0),"",S168/T168)</f>
        <v/>
      </c>
      <c r="V168" s="4">
        <f>IF(I168="","",0.25*I168+0.75*V167)</f>
        <v/>
      </c>
      <c r="W168" s="4">
        <f>IF(I168="","",(2/29)*I168+(27/29)*W167)</f>
        <v/>
      </c>
      <c r="X168" s="6">
        <f>IF(OR(W168="",W168=0),"",V168/W168)</f>
        <v/>
      </c>
      <c r="Y168" s="4">
        <f>IF(J168="","",0.25*J168+0.75*Y167)</f>
        <v/>
      </c>
      <c r="Z168" s="4">
        <f>IF(J168="","",(2/29)*J168+(27/29)*Z167)</f>
        <v/>
      </c>
      <c r="AA168" s="6">
        <f>IF(OR(Z168="",Z168=0),"",Y168/Z168)</f>
        <v/>
      </c>
      <c r="AB168" s="4">
        <f>IF(L168="","",0.25*L168+0.75*AB167)</f>
        <v/>
      </c>
      <c r="AC168" s="4">
        <f>IF(L168="","",(2/29)*L168+(27/29)*AC167)</f>
        <v/>
      </c>
      <c r="AD168" s="6">
        <f>IF(OR(AC168="",AC168=0),"",AB168/AC168)</f>
        <v/>
      </c>
      <c r="AE168">
        <f>IF(OR(O168="",R168="",U168="",AD168=""),"",IF(OR(O168&gt;1.5,R168&gt;1.5,U168&gt;1.5,AD168&gt;1.5),"🔴 ALTO",IF(OR(O168&gt;1.3,R168&gt;1.3,U168&gt;1.3,AD168&gt;1.3,O168&lt;0.8,R168&lt;0.8,U168&lt;0.8,AD168&lt;0.8),"🟡 ATENÇÃO","🟢 OK")))</f>
        <v/>
      </c>
    </row>
    <row r="169">
      <c r="A169" s="2" t="n"/>
      <c r="L169">
        <f>IF(K169="","",K169*E169)</f>
        <v/>
      </c>
      <c r="M169" s="4">
        <f>IF(F169="","",0.25*F169+0.75*M168)</f>
        <v/>
      </c>
      <c r="N169" s="4">
        <f>IF(F169="","",(2/29)*F169+(27/29)*N168)</f>
        <v/>
      </c>
      <c r="O169" s="6">
        <f>IF(OR(N169="",N169=0),"",M169/N169)</f>
        <v/>
      </c>
      <c r="P169" s="4">
        <f>IF(G169="","",0.25*G169+0.75*P168)</f>
        <v/>
      </c>
      <c r="Q169" s="4">
        <f>IF(G169="","",(2/29)*G169+(27/29)*Q168)</f>
        <v/>
      </c>
      <c r="R169" s="6">
        <f>IF(OR(Q169="",Q169=0),"",P169/Q169)</f>
        <v/>
      </c>
      <c r="S169" s="4">
        <f>IF(H169="","",0.25*H169+0.75*S168)</f>
        <v/>
      </c>
      <c r="T169" s="4">
        <f>IF(H169="","",(2/29)*H169+(27/29)*T168)</f>
        <v/>
      </c>
      <c r="U169" s="6">
        <f>IF(OR(T169="",T169=0),"",S169/T169)</f>
        <v/>
      </c>
      <c r="V169" s="4">
        <f>IF(I169="","",0.25*I169+0.75*V168)</f>
        <v/>
      </c>
      <c r="W169" s="4">
        <f>IF(I169="","",(2/29)*I169+(27/29)*W168)</f>
        <v/>
      </c>
      <c r="X169" s="6">
        <f>IF(OR(W169="",W169=0),"",V169/W169)</f>
        <v/>
      </c>
      <c r="Y169" s="4">
        <f>IF(J169="","",0.25*J169+0.75*Y168)</f>
        <v/>
      </c>
      <c r="Z169" s="4">
        <f>IF(J169="","",(2/29)*J169+(27/29)*Z168)</f>
        <v/>
      </c>
      <c r="AA169" s="6">
        <f>IF(OR(Z169="",Z169=0),"",Y169/Z169)</f>
        <v/>
      </c>
      <c r="AB169" s="4">
        <f>IF(L169="","",0.25*L169+0.75*AB168)</f>
        <v/>
      </c>
      <c r="AC169" s="4">
        <f>IF(L169="","",(2/29)*L169+(27/29)*AC168)</f>
        <v/>
      </c>
      <c r="AD169" s="6">
        <f>IF(OR(AC169="",AC169=0),"",AB169/AC169)</f>
        <v/>
      </c>
      <c r="AE169">
        <f>IF(OR(O169="",R169="",U169="",AD169=""),"",IF(OR(O169&gt;1.5,R169&gt;1.5,U169&gt;1.5,AD169&gt;1.5),"🔴 ALTO",IF(OR(O169&gt;1.3,R169&gt;1.3,U169&gt;1.3,AD169&gt;1.3,O169&lt;0.8,R169&lt;0.8,U169&lt;0.8,AD169&lt;0.8),"🟡 ATENÇÃO","🟢 OK")))</f>
        <v/>
      </c>
    </row>
    <row r="170">
      <c r="A170" s="2" t="n"/>
      <c r="L170">
        <f>IF(K170="","",K170*E170)</f>
        <v/>
      </c>
      <c r="M170" s="4">
        <f>IF(F170="","",0.25*F170+0.75*M169)</f>
        <v/>
      </c>
      <c r="N170" s="4">
        <f>IF(F170="","",(2/29)*F170+(27/29)*N169)</f>
        <v/>
      </c>
      <c r="O170" s="6">
        <f>IF(OR(N170="",N170=0),"",M170/N170)</f>
        <v/>
      </c>
      <c r="P170" s="4">
        <f>IF(G170="","",0.25*G170+0.75*P169)</f>
        <v/>
      </c>
      <c r="Q170" s="4">
        <f>IF(G170="","",(2/29)*G170+(27/29)*Q169)</f>
        <v/>
      </c>
      <c r="R170" s="6">
        <f>IF(OR(Q170="",Q170=0),"",P170/Q170)</f>
        <v/>
      </c>
      <c r="S170" s="4">
        <f>IF(H170="","",0.25*H170+0.75*S169)</f>
        <v/>
      </c>
      <c r="T170" s="4">
        <f>IF(H170="","",(2/29)*H170+(27/29)*T169)</f>
        <v/>
      </c>
      <c r="U170" s="6">
        <f>IF(OR(T170="",T170=0),"",S170/T170)</f>
        <v/>
      </c>
      <c r="V170" s="4">
        <f>IF(I170="","",0.25*I170+0.75*V169)</f>
        <v/>
      </c>
      <c r="W170" s="4">
        <f>IF(I170="","",(2/29)*I170+(27/29)*W169)</f>
        <v/>
      </c>
      <c r="X170" s="6">
        <f>IF(OR(W170="",W170=0),"",V170/W170)</f>
        <v/>
      </c>
      <c r="Y170" s="4">
        <f>IF(J170="","",0.25*J170+0.75*Y169)</f>
        <v/>
      </c>
      <c r="Z170" s="4">
        <f>IF(J170="","",(2/29)*J170+(27/29)*Z169)</f>
        <v/>
      </c>
      <c r="AA170" s="6">
        <f>IF(OR(Z170="",Z170=0),"",Y170/Z170)</f>
        <v/>
      </c>
      <c r="AB170" s="4">
        <f>IF(L170="","",0.25*L170+0.75*AB169)</f>
        <v/>
      </c>
      <c r="AC170" s="4">
        <f>IF(L170="","",(2/29)*L170+(27/29)*AC169)</f>
        <v/>
      </c>
      <c r="AD170" s="6">
        <f>IF(OR(AC170="",AC170=0),"",AB170/AC170)</f>
        <v/>
      </c>
      <c r="AE170">
        <f>IF(OR(O170="",R170="",U170="",AD170=""),"",IF(OR(O170&gt;1.5,R170&gt;1.5,U170&gt;1.5,AD170&gt;1.5),"🔴 ALTO",IF(OR(O170&gt;1.3,R170&gt;1.3,U170&gt;1.3,AD170&gt;1.3,O170&lt;0.8,R170&lt;0.8,U170&lt;0.8,AD170&lt;0.8),"🟡 ATENÇÃO","🟢 OK")))</f>
        <v/>
      </c>
    </row>
    <row r="171">
      <c r="A171" s="2" t="n"/>
      <c r="L171">
        <f>IF(K171="","",K171*E171)</f>
        <v/>
      </c>
      <c r="M171" s="4">
        <f>IF(F171="","",0.25*F171+0.75*M170)</f>
        <v/>
      </c>
      <c r="N171" s="4">
        <f>IF(F171="","",(2/29)*F171+(27/29)*N170)</f>
        <v/>
      </c>
      <c r="O171" s="6">
        <f>IF(OR(N171="",N171=0),"",M171/N171)</f>
        <v/>
      </c>
      <c r="P171" s="4">
        <f>IF(G171="","",0.25*G171+0.75*P170)</f>
        <v/>
      </c>
      <c r="Q171" s="4">
        <f>IF(G171="","",(2/29)*G171+(27/29)*Q170)</f>
        <v/>
      </c>
      <c r="R171" s="6">
        <f>IF(OR(Q171="",Q171=0),"",P171/Q171)</f>
        <v/>
      </c>
      <c r="S171" s="4">
        <f>IF(H171="","",0.25*H171+0.75*S170)</f>
        <v/>
      </c>
      <c r="T171" s="4">
        <f>IF(H171="","",(2/29)*H171+(27/29)*T170)</f>
        <v/>
      </c>
      <c r="U171" s="6">
        <f>IF(OR(T171="",T171=0),"",S171/T171)</f>
        <v/>
      </c>
      <c r="V171" s="4">
        <f>IF(I171="","",0.25*I171+0.75*V170)</f>
        <v/>
      </c>
      <c r="W171" s="4">
        <f>IF(I171="","",(2/29)*I171+(27/29)*W170)</f>
        <v/>
      </c>
      <c r="X171" s="6">
        <f>IF(OR(W171="",W171=0),"",V171/W171)</f>
        <v/>
      </c>
      <c r="Y171" s="4">
        <f>IF(J171="","",0.25*J171+0.75*Y170)</f>
        <v/>
      </c>
      <c r="Z171" s="4">
        <f>IF(J171="","",(2/29)*J171+(27/29)*Z170)</f>
        <v/>
      </c>
      <c r="AA171" s="6">
        <f>IF(OR(Z171="",Z171=0),"",Y171/Z171)</f>
        <v/>
      </c>
      <c r="AB171" s="4">
        <f>IF(L171="","",0.25*L171+0.75*AB170)</f>
        <v/>
      </c>
      <c r="AC171" s="4">
        <f>IF(L171="","",(2/29)*L171+(27/29)*AC170)</f>
        <v/>
      </c>
      <c r="AD171" s="6">
        <f>IF(OR(AC171="",AC171=0),"",AB171/AC171)</f>
        <v/>
      </c>
      <c r="AE171">
        <f>IF(OR(O171="",R171="",U171="",AD171=""),"",IF(OR(O171&gt;1.5,R171&gt;1.5,U171&gt;1.5,AD171&gt;1.5),"🔴 ALTO",IF(OR(O171&gt;1.3,R171&gt;1.3,U171&gt;1.3,AD171&gt;1.3,O171&lt;0.8,R171&lt;0.8,U171&lt;0.8,AD171&lt;0.8),"🟡 ATENÇÃO","🟢 OK")))</f>
        <v/>
      </c>
    </row>
    <row r="172">
      <c r="A172" s="2" t="n"/>
      <c r="L172">
        <f>IF(K172="","",K172*E172)</f>
        <v/>
      </c>
      <c r="M172" s="4">
        <f>IF(F172="","",0.25*F172+0.75*M171)</f>
        <v/>
      </c>
      <c r="N172" s="4">
        <f>IF(F172="","",(2/29)*F172+(27/29)*N171)</f>
        <v/>
      </c>
      <c r="O172" s="6">
        <f>IF(OR(N172="",N172=0),"",M172/N172)</f>
        <v/>
      </c>
      <c r="P172" s="4">
        <f>IF(G172="","",0.25*G172+0.75*P171)</f>
        <v/>
      </c>
      <c r="Q172" s="4">
        <f>IF(G172="","",(2/29)*G172+(27/29)*Q171)</f>
        <v/>
      </c>
      <c r="R172" s="6">
        <f>IF(OR(Q172="",Q172=0),"",P172/Q172)</f>
        <v/>
      </c>
      <c r="S172" s="4">
        <f>IF(H172="","",0.25*H172+0.75*S171)</f>
        <v/>
      </c>
      <c r="T172" s="4">
        <f>IF(H172="","",(2/29)*H172+(27/29)*T171)</f>
        <v/>
      </c>
      <c r="U172" s="6">
        <f>IF(OR(T172="",T172=0),"",S172/T172)</f>
        <v/>
      </c>
      <c r="V172" s="4">
        <f>IF(I172="","",0.25*I172+0.75*V171)</f>
        <v/>
      </c>
      <c r="W172" s="4">
        <f>IF(I172="","",(2/29)*I172+(27/29)*W171)</f>
        <v/>
      </c>
      <c r="X172" s="6">
        <f>IF(OR(W172="",W172=0),"",V172/W172)</f>
        <v/>
      </c>
      <c r="Y172" s="4">
        <f>IF(J172="","",0.25*J172+0.75*Y171)</f>
        <v/>
      </c>
      <c r="Z172" s="4">
        <f>IF(J172="","",(2/29)*J172+(27/29)*Z171)</f>
        <v/>
      </c>
      <c r="AA172" s="6">
        <f>IF(OR(Z172="",Z172=0),"",Y172/Z172)</f>
        <v/>
      </c>
      <c r="AB172" s="4">
        <f>IF(L172="","",0.25*L172+0.75*AB171)</f>
        <v/>
      </c>
      <c r="AC172" s="4">
        <f>IF(L172="","",(2/29)*L172+(27/29)*AC171)</f>
        <v/>
      </c>
      <c r="AD172" s="6">
        <f>IF(OR(AC172="",AC172=0),"",AB172/AC172)</f>
        <v/>
      </c>
      <c r="AE172">
        <f>IF(OR(O172="",R172="",U172="",AD172=""),"",IF(OR(O172&gt;1.5,R172&gt;1.5,U172&gt;1.5,AD172&gt;1.5),"🔴 ALTO",IF(OR(O172&gt;1.3,R172&gt;1.3,U172&gt;1.3,AD172&gt;1.3,O172&lt;0.8,R172&lt;0.8,U172&lt;0.8,AD172&lt;0.8),"🟡 ATENÇÃO","🟢 OK")))</f>
        <v/>
      </c>
    </row>
    <row r="173">
      <c r="A173" s="2" t="n"/>
      <c r="L173">
        <f>IF(K173="","",K173*E173)</f>
        <v/>
      </c>
      <c r="M173" s="4">
        <f>IF(F173="","",0.25*F173+0.75*M172)</f>
        <v/>
      </c>
      <c r="N173" s="4">
        <f>IF(F173="","",(2/29)*F173+(27/29)*N172)</f>
        <v/>
      </c>
      <c r="O173" s="6">
        <f>IF(OR(N173="",N173=0),"",M173/N173)</f>
        <v/>
      </c>
      <c r="P173" s="4">
        <f>IF(G173="","",0.25*G173+0.75*P172)</f>
        <v/>
      </c>
      <c r="Q173" s="4">
        <f>IF(G173="","",(2/29)*G173+(27/29)*Q172)</f>
        <v/>
      </c>
      <c r="R173" s="6">
        <f>IF(OR(Q173="",Q173=0),"",P173/Q173)</f>
        <v/>
      </c>
      <c r="S173" s="4">
        <f>IF(H173="","",0.25*H173+0.75*S172)</f>
        <v/>
      </c>
      <c r="T173" s="4">
        <f>IF(H173="","",(2/29)*H173+(27/29)*T172)</f>
        <v/>
      </c>
      <c r="U173" s="6">
        <f>IF(OR(T173="",T173=0),"",S173/T173)</f>
        <v/>
      </c>
      <c r="V173" s="4">
        <f>IF(I173="","",0.25*I173+0.75*V172)</f>
        <v/>
      </c>
      <c r="W173" s="4">
        <f>IF(I173="","",(2/29)*I173+(27/29)*W172)</f>
        <v/>
      </c>
      <c r="X173" s="6">
        <f>IF(OR(W173="",W173=0),"",V173/W173)</f>
        <v/>
      </c>
      <c r="Y173" s="4">
        <f>IF(J173="","",0.25*J173+0.75*Y172)</f>
        <v/>
      </c>
      <c r="Z173" s="4">
        <f>IF(J173="","",(2/29)*J173+(27/29)*Z172)</f>
        <v/>
      </c>
      <c r="AA173" s="6">
        <f>IF(OR(Z173="",Z173=0),"",Y173/Z173)</f>
        <v/>
      </c>
      <c r="AB173" s="4">
        <f>IF(L173="","",0.25*L173+0.75*AB172)</f>
        <v/>
      </c>
      <c r="AC173" s="4">
        <f>IF(L173="","",(2/29)*L173+(27/29)*AC172)</f>
        <v/>
      </c>
      <c r="AD173" s="6">
        <f>IF(OR(AC173="",AC173=0),"",AB173/AC173)</f>
        <v/>
      </c>
      <c r="AE173">
        <f>IF(OR(O173="",R173="",U173="",AD173=""),"",IF(OR(O173&gt;1.5,R173&gt;1.5,U173&gt;1.5,AD173&gt;1.5),"🔴 ALTO",IF(OR(O173&gt;1.3,R173&gt;1.3,U173&gt;1.3,AD173&gt;1.3,O173&lt;0.8,R173&lt;0.8,U173&lt;0.8,AD173&lt;0.8),"🟡 ATENÇÃO","🟢 OK")))</f>
        <v/>
      </c>
    </row>
    <row r="174">
      <c r="A174" s="2" t="n"/>
      <c r="L174">
        <f>IF(K174="","",K174*E174)</f>
        <v/>
      </c>
      <c r="M174" s="4">
        <f>IF(F174="","",0.25*F174+0.75*M173)</f>
        <v/>
      </c>
      <c r="N174" s="4">
        <f>IF(F174="","",(2/29)*F174+(27/29)*N173)</f>
        <v/>
      </c>
      <c r="O174" s="6">
        <f>IF(OR(N174="",N174=0),"",M174/N174)</f>
        <v/>
      </c>
      <c r="P174" s="4">
        <f>IF(G174="","",0.25*G174+0.75*P173)</f>
        <v/>
      </c>
      <c r="Q174" s="4">
        <f>IF(G174="","",(2/29)*G174+(27/29)*Q173)</f>
        <v/>
      </c>
      <c r="R174" s="6">
        <f>IF(OR(Q174="",Q174=0),"",P174/Q174)</f>
        <v/>
      </c>
      <c r="S174" s="4">
        <f>IF(H174="","",0.25*H174+0.75*S173)</f>
        <v/>
      </c>
      <c r="T174" s="4">
        <f>IF(H174="","",(2/29)*H174+(27/29)*T173)</f>
        <v/>
      </c>
      <c r="U174" s="6">
        <f>IF(OR(T174="",T174=0),"",S174/T174)</f>
        <v/>
      </c>
      <c r="V174" s="4">
        <f>IF(I174="","",0.25*I174+0.75*V173)</f>
        <v/>
      </c>
      <c r="W174" s="4">
        <f>IF(I174="","",(2/29)*I174+(27/29)*W173)</f>
        <v/>
      </c>
      <c r="X174" s="6">
        <f>IF(OR(W174="",W174=0),"",V174/W174)</f>
        <v/>
      </c>
      <c r="Y174" s="4">
        <f>IF(J174="","",0.25*J174+0.75*Y173)</f>
        <v/>
      </c>
      <c r="Z174" s="4">
        <f>IF(J174="","",(2/29)*J174+(27/29)*Z173)</f>
        <v/>
      </c>
      <c r="AA174" s="6">
        <f>IF(OR(Z174="",Z174=0),"",Y174/Z174)</f>
        <v/>
      </c>
      <c r="AB174" s="4">
        <f>IF(L174="","",0.25*L174+0.75*AB173)</f>
        <v/>
      </c>
      <c r="AC174" s="4">
        <f>IF(L174="","",(2/29)*L174+(27/29)*AC173)</f>
        <v/>
      </c>
      <c r="AD174" s="6">
        <f>IF(OR(AC174="",AC174=0),"",AB174/AC174)</f>
        <v/>
      </c>
      <c r="AE174">
        <f>IF(OR(O174="",R174="",U174="",AD174=""),"",IF(OR(O174&gt;1.5,R174&gt;1.5,U174&gt;1.5,AD174&gt;1.5),"🔴 ALTO",IF(OR(O174&gt;1.3,R174&gt;1.3,U174&gt;1.3,AD174&gt;1.3,O174&lt;0.8,R174&lt;0.8,U174&lt;0.8,AD174&lt;0.8),"🟡 ATENÇÃO","🟢 OK")))</f>
        <v/>
      </c>
    </row>
    <row r="175">
      <c r="A175" s="2" t="n"/>
      <c r="L175">
        <f>IF(K175="","",K175*E175)</f>
        <v/>
      </c>
      <c r="M175" s="4">
        <f>IF(F175="","",0.25*F175+0.75*M174)</f>
        <v/>
      </c>
      <c r="N175" s="4">
        <f>IF(F175="","",(2/29)*F175+(27/29)*N174)</f>
        <v/>
      </c>
      <c r="O175" s="6">
        <f>IF(OR(N175="",N175=0),"",M175/N175)</f>
        <v/>
      </c>
      <c r="P175" s="4">
        <f>IF(G175="","",0.25*G175+0.75*P174)</f>
        <v/>
      </c>
      <c r="Q175" s="4">
        <f>IF(G175="","",(2/29)*G175+(27/29)*Q174)</f>
        <v/>
      </c>
      <c r="R175" s="6">
        <f>IF(OR(Q175="",Q175=0),"",P175/Q175)</f>
        <v/>
      </c>
      <c r="S175" s="4">
        <f>IF(H175="","",0.25*H175+0.75*S174)</f>
        <v/>
      </c>
      <c r="T175" s="4">
        <f>IF(H175="","",(2/29)*H175+(27/29)*T174)</f>
        <v/>
      </c>
      <c r="U175" s="6">
        <f>IF(OR(T175="",T175=0),"",S175/T175)</f>
        <v/>
      </c>
      <c r="V175" s="4">
        <f>IF(I175="","",0.25*I175+0.75*V174)</f>
        <v/>
      </c>
      <c r="W175" s="4">
        <f>IF(I175="","",(2/29)*I175+(27/29)*W174)</f>
        <v/>
      </c>
      <c r="X175" s="6">
        <f>IF(OR(W175="",W175=0),"",V175/W175)</f>
        <v/>
      </c>
      <c r="Y175" s="4">
        <f>IF(J175="","",0.25*J175+0.75*Y174)</f>
        <v/>
      </c>
      <c r="Z175" s="4">
        <f>IF(J175="","",(2/29)*J175+(27/29)*Z174)</f>
        <v/>
      </c>
      <c r="AA175" s="6">
        <f>IF(OR(Z175="",Z175=0),"",Y175/Z175)</f>
        <v/>
      </c>
      <c r="AB175" s="4">
        <f>IF(L175="","",0.25*L175+0.75*AB174)</f>
        <v/>
      </c>
      <c r="AC175" s="4">
        <f>IF(L175="","",(2/29)*L175+(27/29)*AC174)</f>
        <v/>
      </c>
      <c r="AD175" s="6">
        <f>IF(OR(AC175="",AC175=0),"",AB175/AC175)</f>
        <v/>
      </c>
      <c r="AE175">
        <f>IF(OR(O175="",R175="",U175="",AD175=""),"",IF(OR(O175&gt;1.5,R175&gt;1.5,U175&gt;1.5,AD175&gt;1.5),"🔴 ALTO",IF(OR(O175&gt;1.3,R175&gt;1.3,U175&gt;1.3,AD175&gt;1.3,O175&lt;0.8,R175&lt;0.8,U175&lt;0.8,AD175&lt;0.8),"🟡 ATENÇÃO","🟢 OK")))</f>
        <v/>
      </c>
    </row>
    <row r="176">
      <c r="A176" s="2" t="n"/>
      <c r="L176">
        <f>IF(K176="","",K176*E176)</f>
        <v/>
      </c>
      <c r="M176" s="4">
        <f>IF(F176="","",0.25*F176+0.75*M175)</f>
        <v/>
      </c>
      <c r="N176" s="4">
        <f>IF(F176="","",(2/29)*F176+(27/29)*N175)</f>
        <v/>
      </c>
      <c r="O176" s="6">
        <f>IF(OR(N176="",N176=0),"",M176/N176)</f>
        <v/>
      </c>
      <c r="P176" s="4">
        <f>IF(G176="","",0.25*G176+0.75*P175)</f>
        <v/>
      </c>
      <c r="Q176" s="4">
        <f>IF(G176="","",(2/29)*G176+(27/29)*Q175)</f>
        <v/>
      </c>
      <c r="R176" s="6">
        <f>IF(OR(Q176="",Q176=0),"",P176/Q176)</f>
        <v/>
      </c>
      <c r="S176" s="4">
        <f>IF(H176="","",0.25*H176+0.75*S175)</f>
        <v/>
      </c>
      <c r="T176" s="4">
        <f>IF(H176="","",(2/29)*H176+(27/29)*T175)</f>
        <v/>
      </c>
      <c r="U176" s="6">
        <f>IF(OR(T176="",T176=0),"",S176/T176)</f>
        <v/>
      </c>
      <c r="V176" s="4">
        <f>IF(I176="","",0.25*I176+0.75*V175)</f>
        <v/>
      </c>
      <c r="W176" s="4">
        <f>IF(I176="","",(2/29)*I176+(27/29)*W175)</f>
        <v/>
      </c>
      <c r="X176" s="6">
        <f>IF(OR(W176="",W176=0),"",V176/W176)</f>
        <v/>
      </c>
      <c r="Y176" s="4">
        <f>IF(J176="","",0.25*J176+0.75*Y175)</f>
        <v/>
      </c>
      <c r="Z176" s="4">
        <f>IF(J176="","",(2/29)*J176+(27/29)*Z175)</f>
        <v/>
      </c>
      <c r="AA176" s="6">
        <f>IF(OR(Z176="",Z176=0),"",Y176/Z176)</f>
        <v/>
      </c>
      <c r="AB176" s="4">
        <f>IF(L176="","",0.25*L176+0.75*AB175)</f>
        <v/>
      </c>
      <c r="AC176" s="4">
        <f>IF(L176="","",(2/29)*L176+(27/29)*AC175)</f>
        <v/>
      </c>
      <c r="AD176" s="6">
        <f>IF(OR(AC176="",AC176=0),"",AB176/AC176)</f>
        <v/>
      </c>
      <c r="AE176">
        <f>IF(OR(O176="",R176="",U176="",AD176=""),"",IF(OR(O176&gt;1.5,R176&gt;1.5,U176&gt;1.5,AD176&gt;1.5),"🔴 ALTO",IF(OR(O176&gt;1.3,R176&gt;1.3,U176&gt;1.3,AD176&gt;1.3,O176&lt;0.8,R176&lt;0.8,U176&lt;0.8,AD176&lt;0.8),"🟡 ATENÇÃO","🟢 OK")))</f>
        <v/>
      </c>
    </row>
    <row r="177">
      <c r="A177" s="2" t="n"/>
      <c r="L177">
        <f>IF(K177="","",K177*E177)</f>
        <v/>
      </c>
      <c r="M177" s="4">
        <f>IF(F177="","",0.25*F177+0.75*M176)</f>
        <v/>
      </c>
      <c r="N177" s="4">
        <f>IF(F177="","",(2/29)*F177+(27/29)*N176)</f>
        <v/>
      </c>
      <c r="O177" s="6">
        <f>IF(OR(N177="",N177=0),"",M177/N177)</f>
        <v/>
      </c>
      <c r="P177" s="4">
        <f>IF(G177="","",0.25*G177+0.75*P176)</f>
        <v/>
      </c>
      <c r="Q177" s="4">
        <f>IF(G177="","",(2/29)*G177+(27/29)*Q176)</f>
        <v/>
      </c>
      <c r="R177" s="6">
        <f>IF(OR(Q177="",Q177=0),"",P177/Q177)</f>
        <v/>
      </c>
      <c r="S177" s="4">
        <f>IF(H177="","",0.25*H177+0.75*S176)</f>
        <v/>
      </c>
      <c r="T177" s="4">
        <f>IF(H177="","",(2/29)*H177+(27/29)*T176)</f>
        <v/>
      </c>
      <c r="U177" s="6">
        <f>IF(OR(T177="",T177=0),"",S177/T177)</f>
        <v/>
      </c>
      <c r="V177" s="4">
        <f>IF(I177="","",0.25*I177+0.75*V176)</f>
        <v/>
      </c>
      <c r="W177" s="4">
        <f>IF(I177="","",(2/29)*I177+(27/29)*W176)</f>
        <v/>
      </c>
      <c r="X177" s="6">
        <f>IF(OR(W177="",W177=0),"",V177/W177)</f>
        <v/>
      </c>
      <c r="Y177" s="4">
        <f>IF(J177="","",0.25*J177+0.75*Y176)</f>
        <v/>
      </c>
      <c r="Z177" s="4">
        <f>IF(J177="","",(2/29)*J177+(27/29)*Z176)</f>
        <v/>
      </c>
      <c r="AA177" s="6">
        <f>IF(OR(Z177="",Z177=0),"",Y177/Z177)</f>
        <v/>
      </c>
      <c r="AB177" s="4">
        <f>IF(L177="","",0.25*L177+0.75*AB176)</f>
        <v/>
      </c>
      <c r="AC177" s="4">
        <f>IF(L177="","",(2/29)*L177+(27/29)*AC176)</f>
        <v/>
      </c>
      <c r="AD177" s="6">
        <f>IF(OR(AC177="",AC177=0),"",AB177/AC177)</f>
        <v/>
      </c>
      <c r="AE177">
        <f>IF(OR(O177="",R177="",U177="",AD177=""),"",IF(OR(O177&gt;1.5,R177&gt;1.5,U177&gt;1.5,AD177&gt;1.5),"🔴 ALTO",IF(OR(O177&gt;1.3,R177&gt;1.3,U177&gt;1.3,AD177&gt;1.3,O177&lt;0.8,R177&lt;0.8,U177&lt;0.8,AD177&lt;0.8),"🟡 ATENÇÃO","🟢 OK")))</f>
        <v/>
      </c>
    </row>
    <row r="178">
      <c r="A178" s="2" t="n"/>
      <c r="L178">
        <f>IF(K178="","",K178*E178)</f>
        <v/>
      </c>
      <c r="M178" s="4">
        <f>IF(F178="","",0.25*F178+0.75*M177)</f>
        <v/>
      </c>
      <c r="N178" s="4">
        <f>IF(F178="","",(2/29)*F178+(27/29)*N177)</f>
        <v/>
      </c>
      <c r="O178" s="6">
        <f>IF(OR(N178="",N178=0),"",M178/N178)</f>
        <v/>
      </c>
      <c r="P178" s="4">
        <f>IF(G178="","",0.25*G178+0.75*P177)</f>
        <v/>
      </c>
      <c r="Q178" s="4">
        <f>IF(G178="","",(2/29)*G178+(27/29)*Q177)</f>
        <v/>
      </c>
      <c r="R178" s="6">
        <f>IF(OR(Q178="",Q178=0),"",P178/Q178)</f>
        <v/>
      </c>
      <c r="S178" s="4">
        <f>IF(H178="","",0.25*H178+0.75*S177)</f>
        <v/>
      </c>
      <c r="T178" s="4">
        <f>IF(H178="","",(2/29)*H178+(27/29)*T177)</f>
        <v/>
      </c>
      <c r="U178" s="6">
        <f>IF(OR(T178="",T178=0),"",S178/T178)</f>
        <v/>
      </c>
      <c r="V178" s="4">
        <f>IF(I178="","",0.25*I178+0.75*V177)</f>
        <v/>
      </c>
      <c r="W178" s="4">
        <f>IF(I178="","",(2/29)*I178+(27/29)*W177)</f>
        <v/>
      </c>
      <c r="X178" s="6">
        <f>IF(OR(W178="",W178=0),"",V178/W178)</f>
        <v/>
      </c>
      <c r="Y178" s="4">
        <f>IF(J178="","",0.25*J178+0.75*Y177)</f>
        <v/>
      </c>
      <c r="Z178" s="4">
        <f>IF(J178="","",(2/29)*J178+(27/29)*Z177)</f>
        <v/>
      </c>
      <c r="AA178" s="6">
        <f>IF(OR(Z178="",Z178=0),"",Y178/Z178)</f>
        <v/>
      </c>
      <c r="AB178" s="4">
        <f>IF(L178="","",0.25*L178+0.75*AB177)</f>
        <v/>
      </c>
      <c r="AC178" s="4">
        <f>IF(L178="","",(2/29)*L178+(27/29)*AC177)</f>
        <v/>
      </c>
      <c r="AD178" s="6">
        <f>IF(OR(AC178="",AC178=0),"",AB178/AC178)</f>
        <v/>
      </c>
      <c r="AE178">
        <f>IF(OR(O178="",R178="",U178="",AD178=""),"",IF(OR(O178&gt;1.5,R178&gt;1.5,U178&gt;1.5,AD178&gt;1.5),"🔴 ALTO",IF(OR(O178&gt;1.3,R178&gt;1.3,U178&gt;1.3,AD178&gt;1.3,O178&lt;0.8,R178&lt;0.8,U178&lt;0.8,AD178&lt;0.8),"🟡 ATENÇÃO","🟢 OK")))</f>
        <v/>
      </c>
    </row>
    <row r="179">
      <c r="A179" s="2" t="n"/>
      <c r="L179">
        <f>IF(K179="","",K179*E179)</f>
        <v/>
      </c>
      <c r="M179" s="4">
        <f>IF(F179="","",0.25*F179+0.75*M178)</f>
        <v/>
      </c>
      <c r="N179" s="4">
        <f>IF(F179="","",(2/29)*F179+(27/29)*N178)</f>
        <v/>
      </c>
      <c r="O179" s="6">
        <f>IF(OR(N179="",N179=0),"",M179/N179)</f>
        <v/>
      </c>
      <c r="P179" s="4">
        <f>IF(G179="","",0.25*G179+0.75*P178)</f>
        <v/>
      </c>
      <c r="Q179" s="4">
        <f>IF(G179="","",(2/29)*G179+(27/29)*Q178)</f>
        <v/>
      </c>
      <c r="R179" s="6">
        <f>IF(OR(Q179="",Q179=0),"",P179/Q179)</f>
        <v/>
      </c>
      <c r="S179" s="4">
        <f>IF(H179="","",0.25*H179+0.75*S178)</f>
        <v/>
      </c>
      <c r="T179" s="4">
        <f>IF(H179="","",(2/29)*H179+(27/29)*T178)</f>
        <v/>
      </c>
      <c r="U179" s="6">
        <f>IF(OR(T179="",T179=0),"",S179/T179)</f>
        <v/>
      </c>
      <c r="V179" s="4">
        <f>IF(I179="","",0.25*I179+0.75*V178)</f>
        <v/>
      </c>
      <c r="W179" s="4">
        <f>IF(I179="","",(2/29)*I179+(27/29)*W178)</f>
        <v/>
      </c>
      <c r="X179" s="6">
        <f>IF(OR(W179="",W179=0),"",V179/W179)</f>
        <v/>
      </c>
      <c r="Y179" s="4">
        <f>IF(J179="","",0.25*J179+0.75*Y178)</f>
        <v/>
      </c>
      <c r="Z179" s="4">
        <f>IF(J179="","",(2/29)*J179+(27/29)*Z178)</f>
        <v/>
      </c>
      <c r="AA179" s="6">
        <f>IF(OR(Z179="",Z179=0),"",Y179/Z179)</f>
        <v/>
      </c>
      <c r="AB179" s="4">
        <f>IF(L179="","",0.25*L179+0.75*AB178)</f>
        <v/>
      </c>
      <c r="AC179" s="4">
        <f>IF(L179="","",(2/29)*L179+(27/29)*AC178)</f>
        <v/>
      </c>
      <c r="AD179" s="6">
        <f>IF(OR(AC179="",AC179=0),"",AB179/AC179)</f>
        <v/>
      </c>
      <c r="AE179">
        <f>IF(OR(O179="",R179="",U179="",AD179=""),"",IF(OR(O179&gt;1.5,R179&gt;1.5,U179&gt;1.5,AD179&gt;1.5),"🔴 ALTO",IF(OR(O179&gt;1.3,R179&gt;1.3,U179&gt;1.3,AD179&gt;1.3,O179&lt;0.8,R179&lt;0.8,U179&lt;0.8,AD179&lt;0.8),"🟡 ATENÇÃO","🟢 OK")))</f>
        <v/>
      </c>
    </row>
    <row r="180">
      <c r="A180" s="2" t="n"/>
      <c r="L180">
        <f>IF(K180="","",K180*E180)</f>
        <v/>
      </c>
      <c r="M180" s="4">
        <f>IF(F180="","",0.25*F180+0.75*M179)</f>
        <v/>
      </c>
      <c r="N180" s="4">
        <f>IF(F180="","",(2/29)*F180+(27/29)*N179)</f>
        <v/>
      </c>
      <c r="O180" s="6">
        <f>IF(OR(N180="",N180=0),"",M180/N180)</f>
        <v/>
      </c>
      <c r="P180" s="4">
        <f>IF(G180="","",0.25*G180+0.75*P179)</f>
        <v/>
      </c>
      <c r="Q180" s="4">
        <f>IF(G180="","",(2/29)*G180+(27/29)*Q179)</f>
        <v/>
      </c>
      <c r="R180" s="6">
        <f>IF(OR(Q180="",Q180=0),"",P180/Q180)</f>
        <v/>
      </c>
      <c r="S180" s="4">
        <f>IF(H180="","",0.25*H180+0.75*S179)</f>
        <v/>
      </c>
      <c r="T180" s="4">
        <f>IF(H180="","",(2/29)*H180+(27/29)*T179)</f>
        <v/>
      </c>
      <c r="U180" s="6">
        <f>IF(OR(T180="",T180=0),"",S180/T180)</f>
        <v/>
      </c>
      <c r="V180" s="4">
        <f>IF(I180="","",0.25*I180+0.75*V179)</f>
        <v/>
      </c>
      <c r="W180" s="4">
        <f>IF(I180="","",(2/29)*I180+(27/29)*W179)</f>
        <v/>
      </c>
      <c r="X180" s="6">
        <f>IF(OR(W180="",W180=0),"",V180/W180)</f>
        <v/>
      </c>
      <c r="Y180" s="4">
        <f>IF(J180="","",0.25*J180+0.75*Y179)</f>
        <v/>
      </c>
      <c r="Z180" s="4">
        <f>IF(J180="","",(2/29)*J180+(27/29)*Z179)</f>
        <v/>
      </c>
      <c r="AA180" s="6">
        <f>IF(OR(Z180="",Z180=0),"",Y180/Z180)</f>
        <v/>
      </c>
      <c r="AB180" s="4">
        <f>IF(L180="","",0.25*L180+0.75*AB179)</f>
        <v/>
      </c>
      <c r="AC180" s="4">
        <f>IF(L180="","",(2/29)*L180+(27/29)*AC179)</f>
        <v/>
      </c>
      <c r="AD180" s="6">
        <f>IF(OR(AC180="",AC180=0),"",AB180/AC180)</f>
        <v/>
      </c>
      <c r="AE180">
        <f>IF(OR(O180="",R180="",U180="",AD180=""),"",IF(OR(O180&gt;1.5,R180&gt;1.5,U180&gt;1.5,AD180&gt;1.5),"🔴 ALTO",IF(OR(O180&gt;1.3,R180&gt;1.3,U180&gt;1.3,AD180&gt;1.3,O180&lt;0.8,R180&lt;0.8,U180&lt;0.8,AD180&lt;0.8),"🟡 ATENÇÃO","🟢 OK")))</f>
        <v/>
      </c>
    </row>
    <row r="181">
      <c r="A181" s="2" t="n"/>
      <c r="L181">
        <f>IF(K181="","",K181*E181)</f>
        <v/>
      </c>
      <c r="M181" s="4">
        <f>IF(F181="","",0.25*F181+0.75*M180)</f>
        <v/>
      </c>
      <c r="N181" s="4">
        <f>IF(F181="","",(2/29)*F181+(27/29)*N180)</f>
        <v/>
      </c>
      <c r="O181" s="6">
        <f>IF(OR(N181="",N181=0),"",M181/N181)</f>
        <v/>
      </c>
      <c r="P181" s="4">
        <f>IF(G181="","",0.25*G181+0.75*P180)</f>
        <v/>
      </c>
      <c r="Q181" s="4">
        <f>IF(G181="","",(2/29)*G181+(27/29)*Q180)</f>
        <v/>
      </c>
      <c r="R181" s="6">
        <f>IF(OR(Q181="",Q181=0),"",P181/Q181)</f>
        <v/>
      </c>
      <c r="S181" s="4">
        <f>IF(H181="","",0.25*H181+0.75*S180)</f>
        <v/>
      </c>
      <c r="T181" s="4">
        <f>IF(H181="","",(2/29)*H181+(27/29)*T180)</f>
        <v/>
      </c>
      <c r="U181" s="6">
        <f>IF(OR(T181="",T181=0),"",S181/T181)</f>
        <v/>
      </c>
      <c r="V181" s="4">
        <f>IF(I181="","",0.25*I181+0.75*V180)</f>
        <v/>
      </c>
      <c r="W181" s="4">
        <f>IF(I181="","",(2/29)*I181+(27/29)*W180)</f>
        <v/>
      </c>
      <c r="X181" s="6">
        <f>IF(OR(W181="",W181=0),"",V181/W181)</f>
        <v/>
      </c>
      <c r="Y181" s="4">
        <f>IF(J181="","",0.25*J181+0.75*Y180)</f>
        <v/>
      </c>
      <c r="Z181" s="4">
        <f>IF(J181="","",(2/29)*J181+(27/29)*Z180)</f>
        <v/>
      </c>
      <c r="AA181" s="6">
        <f>IF(OR(Z181="",Z181=0),"",Y181/Z181)</f>
        <v/>
      </c>
      <c r="AB181" s="4">
        <f>IF(L181="","",0.25*L181+0.75*AB180)</f>
        <v/>
      </c>
      <c r="AC181" s="4">
        <f>IF(L181="","",(2/29)*L181+(27/29)*AC180)</f>
        <v/>
      </c>
      <c r="AD181" s="6">
        <f>IF(OR(AC181="",AC181=0),"",AB181/AC181)</f>
        <v/>
      </c>
      <c r="AE181">
        <f>IF(OR(O181="",R181="",U181="",AD181=""),"",IF(OR(O181&gt;1.5,R181&gt;1.5,U181&gt;1.5,AD181&gt;1.5),"🔴 ALTO",IF(OR(O181&gt;1.3,R181&gt;1.3,U181&gt;1.3,AD181&gt;1.3,O181&lt;0.8,R181&lt;0.8,U181&lt;0.8,AD181&lt;0.8),"🟡 ATENÇÃO","🟢 OK")))</f>
        <v/>
      </c>
    </row>
    <row r="182">
      <c r="A182" s="2" t="n"/>
      <c r="L182">
        <f>IF(K182="","",K182*E182)</f>
        <v/>
      </c>
      <c r="M182" s="4">
        <f>IF(F182="","",0.25*F182+0.75*M181)</f>
        <v/>
      </c>
      <c r="N182" s="4">
        <f>IF(F182="","",(2/29)*F182+(27/29)*N181)</f>
        <v/>
      </c>
      <c r="O182" s="6">
        <f>IF(OR(N182="",N182=0),"",M182/N182)</f>
        <v/>
      </c>
      <c r="P182" s="4">
        <f>IF(G182="","",0.25*G182+0.75*P181)</f>
        <v/>
      </c>
      <c r="Q182" s="4">
        <f>IF(G182="","",(2/29)*G182+(27/29)*Q181)</f>
        <v/>
      </c>
      <c r="R182" s="6">
        <f>IF(OR(Q182="",Q182=0),"",P182/Q182)</f>
        <v/>
      </c>
      <c r="S182" s="4">
        <f>IF(H182="","",0.25*H182+0.75*S181)</f>
        <v/>
      </c>
      <c r="T182" s="4">
        <f>IF(H182="","",(2/29)*H182+(27/29)*T181)</f>
        <v/>
      </c>
      <c r="U182" s="6">
        <f>IF(OR(T182="",T182=0),"",S182/T182)</f>
        <v/>
      </c>
      <c r="V182" s="4">
        <f>IF(I182="","",0.25*I182+0.75*V181)</f>
        <v/>
      </c>
      <c r="W182" s="4">
        <f>IF(I182="","",(2/29)*I182+(27/29)*W181)</f>
        <v/>
      </c>
      <c r="X182" s="6">
        <f>IF(OR(W182="",W182=0),"",V182/W182)</f>
        <v/>
      </c>
      <c r="Y182" s="4">
        <f>IF(J182="","",0.25*J182+0.75*Y181)</f>
        <v/>
      </c>
      <c r="Z182" s="4">
        <f>IF(J182="","",(2/29)*J182+(27/29)*Z181)</f>
        <v/>
      </c>
      <c r="AA182" s="6">
        <f>IF(OR(Z182="",Z182=0),"",Y182/Z182)</f>
        <v/>
      </c>
      <c r="AB182" s="4">
        <f>IF(L182="","",0.25*L182+0.75*AB181)</f>
        <v/>
      </c>
      <c r="AC182" s="4">
        <f>IF(L182="","",(2/29)*L182+(27/29)*AC181)</f>
        <v/>
      </c>
      <c r="AD182" s="6">
        <f>IF(OR(AC182="",AC182=0),"",AB182/AC182)</f>
        <v/>
      </c>
      <c r="AE182">
        <f>IF(OR(O182="",R182="",U182="",AD182=""),"",IF(OR(O182&gt;1.5,R182&gt;1.5,U182&gt;1.5,AD182&gt;1.5),"🔴 ALTO",IF(OR(O182&gt;1.3,R182&gt;1.3,U182&gt;1.3,AD182&gt;1.3,O182&lt;0.8,R182&lt;0.8,U182&lt;0.8,AD182&lt;0.8),"🟡 ATENÇÃO","🟢 OK")))</f>
        <v/>
      </c>
    </row>
    <row r="183">
      <c r="A183" s="2" t="n"/>
      <c r="L183">
        <f>IF(K183="","",K183*E183)</f>
        <v/>
      </c>
      <c r="M183" s="4">
        <f>IF(F183="","",0.25*F183+0.75*M182)</f>
        <v/>
      </c>
      <c r="N183" s="4">
        <f>IF(F183="","",(2/29)*F183+(27/29)*N182)</f>
        <v/>
      </c>
      <c r="O183" s="6">
        <f>IF(OR(N183="",N183=0),"",M183/N183)</f>
        <v/>
      </c>
      <c r="P183" s="4">
        <f>IF(G183="","",0.25*G183+0.75*P182)</f>
        <v/>
      </c>
      <c r="Q183" s="4">
        <f>IF(G183="","",(2/29)*G183+(27/29)*Q182)</f>
        <v/>
      </c>
      <c r="R183" s="6">
        <f>IF(OR(Q183="",Q183=0),"",P183/Q183)</f>
        <v/>
      </c>
      <c r="S183" s="4">
        <f>IF(H183="","",0.25*H183+0.75*S182)</f>
        <v/>
      </c>
      <c r="T183" s="4">
        <f>IF(H183="","",(2/29)*H183+(27/29)*T182)</f>
        <v/>
      </c>
      <c r="U183" s="6">
        <f>IF(OR(T183="",T183=0),"",S183/T183)</f>
        <v/>
      </c>
      <c r="V183" s="4">
        <f>IF(I183="","",0.25*I183+0.75*V182)</f>
        <v/>
      </c>
      <c r="W183" s="4">
        <f>IF(I183="","",(2/29)*I183+(27/29)*W182)</f>
        <v/>
      </c>
      <c r="X183" s="6">
        <f>IF(OR(W183="",W183=0),"",V183/W183)</f>
        <v/>
      </c>
      <c r="Y183" s="4">
        <f>IF(J183="","",0.25*J183+0.75*Y182)</f>
        <v/>
      </c>
      <c r="Z183" s="4">
        <f>IF(J183="","",(2/29)*J183+(27/29)*Z182)</f>
        <v/>
      </c>
      <c r="AA183" s="6">
        <f>IF(OR(Z183="",Z183=0),"",Y183/Z183)</f>
        <v/>
      </c>
      <c r="AB183" s="4">
        <f>IF(L183="","",0.25*L183+0.75*AB182)</f>
        <v/>
      </c>
      <c r="AC183" s="4">
        <f>IF(L183="","",(2/29)*L183+(27/29)*AC182)</f>
        <v/>
      </c>
      <c r="AD183" s="6">
        <f>IF(OR(AC183="",AC183=0),"",AB183/AC183)</f>
        <v/>
      </c>
      <c r="AE183">
        <f>IF(OR(O183="",R183="",U183="",AD183=""),"",IF(OR(O183&gt;1.5,R183&gt;1.5,U183&gt;1.5,AD183&gt;1.5),"🔴 ALTO",IF(OR(O183&gt;1.3,R183&gt;1.3,U183&gt;1.3,AD183&gt;1.3,O183&lt;0.8,R183&lt;0.8,U183&lt;0.8,AD183&lt;0.8),"🟡 ATENÇÃO","🟢 OK")))</f>
        <v/>
      </c>
    </row>
    <row r="184">
      <c r="A184" s="2" t="n"/>
      <c r="L184">
        <f>IF(K184="","",K184*E184)</f>
        <v/>
      </c>
      <c r="M184" s="4">
        <f>IF(F184="","",0.25*F184+0.75*M183)</f>
        <v/>
      </c>
      <c r="N184" s="4">
        <f>IF(F184="","",(2/29)*F184+(27/29)*N183)</f>
        <v/>
      </c>
      <c r="O184" s="6">
        <f>IF(OR(N184="",N184=0),"",M184/N184)</f>
        <v/>
      </c>
      <c r="P184" s="4">
        <f>IF(G184="","",0.25*G184+0.75*P183)</f>
        <v/>
      </c>
      <c r="Q184" s="4">
        <f>IF(G184="","",(2/29)*G184+(27/29)*Q183)</f>
        <v/>
      </c>
      <c r="R184" s="6">
        <f>IF(OR(Q184="",Q184=0),"",P184/Q184)</f>
        <v/>
      </c>
      <c r="S184" s="4">
        <f>IF(H184="","",0.25*H184+0.75*S183)</f>
        <v/>
      </c>
      <c r="T184" s="4">
        <f>IF(H184="","",(2/29)*H184+(27/29)*T183)</f>
        <v/>
      </c>
      <c r="U184" s="6">
        <f>IF(OR(T184="",T184=0),"",S184/T184)</f>
        <v/>
      </c>
      <c r="V184" s="4">
        <f>IF(I184="","",0.25*I184+0.75*V183)</f>
        <v/>
      </c>
      <c r="W184" s="4">
        <f>IF(I184="","",(2/29)*I184+(27/29)*W183)</f>
        <v/>
      </c>
      <c r="X184" s="6">
        <f>IF(OR(W184="",W184=0),"",V184/W184)</f>
        <v/>
      </c>
      <c r="Y184" s="4">
        <f>IF(J184="","",0.25*J184+0.75*Y183)</f>
        <v/>
      </c>
      <c r="Z184" s="4">
        <f>IF(J184="","",(2/29)*J184+(27/29)*Z183)</f>
        <v/>
      </c>
      <c r="AA184" s="6">
        <f>IF(OR(Z184="",Z184=0),"",Y184/Z184)</f>
        <v/>
      </c>
      <c r="AB184" s="4">
        <f>IF(L184="","",0.25*L184+0.75*AB183)</f>
        <v/>
      </c>
      <c r="AC184" s="4">
        <f>IF(L184="","",(2/29)*L184+(27/29)*AC183)</f>
        <v/>
      </c>
      <c r="AD184" s="6">
        <f>IF(OR(AC184="",AC184=0),"",AB184/AC184)</f>
        <v/>
      </c>
      <c r="AE184">
        <f>IF(OR(O184="",R184="",U184="",AD184=""),"",IF(OR(O184&gt;1.5,R184&gt;1.5,U184&gt;1.5,AD184&gt;1.5),"🔴 ALTO",IF(OR(O184&gt;1.3,R184&gt;1.3,U184&gt;1.3,AD184&gt;1.3,O184&lt;0.8,R184&lt;0.8,U184&lt;0.8,AD184&lt;0.8),"🟡 ATENÇÃO","🟢 OK")))</f>
        <v/>
      </c>
    </row>
    <row r="185">
      <c r="A185" s="2" t="n"/>
      <c r="L185">
        <f>IF(K185="","",K185*E185)</f>
        <v/>
      </c>
      <c r="M185" s="4">
        <f>IF(F185="","",0.25*F185+0.75*M184)</f>
        <v/>
      </c>
      <c r="N185" s="4">
        <f>IF(F185="","",(2/29)*F185+(27/29)*N184)</f>
        <v/>
      </c>
      <c r="O185" s="6">
        <f>IF(OR(N185="",N185=0),"",M185/N185)</f>
        <v/>
      </c>
      <c r="P185" s="4">
        <f>IF(G185="","",0.25*G185+0.75*P184)</f>
        <v/>
      </c>
      <c r="Q185" s="4">
        <f>IF(G185="","",(2/29)*G185+(27/29)*Q184)</f>
        <v/>
      </c>
      <c r="R185" s="6">
        <f>IF(OR(Q185="",Q185=0),"",P185/Q185)</f>
        <v/>
      </c>
      <c r="S185" s="4">
        <f>IF(H185="","",0.25*H185+0.75*S184)</f>
        <v/>
      </c>
      <c r="T185" s="4">
        <f>IF(H185="","",(2/29)*H185+(27/29)*T184)</f>
        <v/>
      </c>
      <c r="U185" s="6">
        <f>IF(OR(T185="",T185=0),"",S185/T185)</f>
        <v/>
      </c>
      <c r="V185" s="4">
        <f>IF(I185="","",0.25*I185+0.75*V184)</f>
        <v/>
      </c>
      <c r="W185" s="4">
        <f>IF(I185="","",(2/29)*I185+(27/29)*W184)</f>
        <v/>
      </c>
      <c r="X185" s="6">
        <f>IF(OR(W185="",W185=0),"",V185/W185)</f>
        <v/>
      </c>
      <c r="Y185" s="4">
        <f>IF(J185="","",0.25*J185+0.75*Y184)</f>
        <v/>
      </c>
      <c r="Z185" s="4">
        <f>IF(J185="","",(2/29)*J185+(27/29)*Z184)</f>
        <v/>
      </c>
      <c r="AA185" s="6">
        <f>IF(OR(Z185="",Z185=0),"",Y185/Z185)</f>
        <v/>
      </c>
      <c r="AB185" s="4">
        <f>IF(L185="","",0.25*L185+0.75*AB184)</f>
        <v/>
      </c>
      <c r="AC185" s="4">
        <f>IF(L185="","",(2/29)*L185+(27/29)*AC184)</f>
        <v/>
      </c>
      <c r="AD185" s="6">
        <f>IF(OR(AC185="",AC185=0),"",AB185/AC185)</f>
        <v/>
      </c>
      <c r="AE185">
        <f>IF(OR(O185="",R185="",U185="",AD185=""),"",IF(OR(O185&gt;1.5,R185&gt;1.5,U185&gt;1.5,AD185&gt;1.5),"🔴 ALTO",IF(OR(O185&gt;1.3,R185&gt;1.3,U185&gt;1.3,AD185&gt;1.3,O185&lt;0.8,R185&lt;0.8,U185&lt;0.8,AD185&lt;0.8),"🟡 ATENÇÃO","🟢 OK")))</f>
        <v/>
      </c>
    </row>
    <row r="186">
      <c r="A186" s="2" t="n"/>
      <c r="L186">
        <f>IF(K186="","",K186*E186)</f>
        <v/>
      </c>
      <c r="M186" s="4">
        <f>IF(F186="","",0.25*F186+0.75*M185)</f>
        <v/>
      </c>
      <c r="N186" s="4">
        <f>IF(F186="","",(2/29)*F186+(27/29)*N185)</f>
        <v/>
      </c>
      <c r="O186" s="6">
        <f>IF(OR(N186="",N186=0),"",M186/N186)</f>
        <v/>
      </c>
      <c r="P186" s="4">
        <f>IF(G186="","",0.25*G186+0.75*P185)</f>
        <v/>
      </c>
      <c r="Q186" s="4">
        <f>IF(G186="","",(2/29)*G186+(27/29)*Q185)</f>
        <v/>
      </c>
      <c r="R186" s="6">
        <f>IF(OR(Q186="",Q186=0),"",P186/Q186)</f>
        <v/>
      </c>
      <c r="S186" s="4">
        <f>IF(H186="","",0.25*H186+0.75*S185)</f>
        <v/>
      </c>
      <c r="T186" s="4">
        <f>IF(H186="","",(2/29)*H186+(27/29)*T185)</f>
        <v/>
      </c>
      <c r="U186" s="6">
        <f>IF(OR(T186="",T186=0),"",S186/T186)</f>
        <v/>
      </c>
      <c r="V186" s="4">
        <f>IF(I186="","",0.25*I186+0.75*V185)</f>
        <v/>
      </c>
      <c r="W186" s="4">
        <f>IF(I186="","",(2/29)*I186+(27/29)*W185)</f>
        <v/>
      </c>
      <c r="X186" s="6">
        <f>IF(OR(W186="",W186=0),"",V186/W186)</f>
        <v/>
      </c>
      <c r="Y186" s="4">
        <f>IF(J186="","",0.25*J186+0.75*Y185)</f>
        <v/>
      </c>
      <c r="Z186" s="4">
        <f>IF(J186="","",(2/29)*J186+(27/29)*Z185)</f>
        <v/>
      </c>
      <c r="AA186" s="6">
        <f>IF(OR(Z186="",Z186=0),"",Y186/Z186)</f>
        <v/>
      </c>
      <c r="AB186" s="4">
        <f>IF(L186="","",0.25*L186+0.75*AB185)</f>
        <v/>
      </c>
      <c r="AC186" s="4">
        <f>IF(L186="","",(2/29)*L186+(27/29)*AC185)</f>
        <v/>
      </c>
      <c r="AD186" s="6">
        <f>IF(OR(AC186="",AC186=0),"",AB186/AC186)</f>
        <v/>
      </c>
      <c r="AE186">
        <f>IF(OR(O186="",R186="",U186="",AD186=""),"",IF(OR(O186&gt;1.5,R186&gt;1.5,U186&gt;1.5,AD186&gt;1.5),"🔴 ALTO",IF(OR(O186&gt;1.3,R186&gt;1.3,U186&gt;1.3,AD186&gt;1.3,O186&lt;0.8,R186&lt;0.8,U186&lt;0.8,AD186&lt;0.8),"🟡 ATENÇÃO","🟢 OK")))</f>
        <v/>
      </c>
    </row>
    <row r="187">
      <c r="A187" s="2" t="n"/>
      <c r="L187">
        <f>IF(K187="","",K187*E187)</f>
        <v/>
      </c>
      <c r="M187" s="4">
        <f>IF(F187="","",0.25*F187+0.75*M186)</f>
        <v/>
      </c>
      <c r="N187" s="4">
        <f>IF(F187="","",(2/29)*F187+(27/29)*N186)</f>
        <v/>
      </c>
      <c r="O187" s="6">
        <f>IF(OR(N187="",N187=0),"",M187/N187)</f>
        <v/>
      </c>
      <c r="P187" s="4">
        <f>IF(G187="","",0.25*G187+0.75*P186)</f>
        <v/>
      </c>
      <c r="Q187" s="4">
        <f>IF(G187="","",(2/29)*G187+(27/29)*Q186)</f>
        <v/>
      </c>
      <c r="R187" s="6">
        <f>IF(OR(Q187="",Q187=0),"",P187/Q187)</f>
        <v/>
      </c>
      <c r="S187" s="4">
        <f>IF(H187="","",0.25*H187+0.75*S186)</f>
        <v/>
      </c>
      <c r="T187" s="4">
        <f>IF(H187="","",(2/29)*H187+(27/29)*T186)</f>
        <v/>
      </c>
      <c r="U187" s="6">
        <f>IF(OR(T187="",T187=0),"",S187/T187)</f>
        <v/>
      </c>
      <c r="V187" s="4">
        <f>IF(I187="","",0.25*I187+0.75*V186)</f>
        <v/>
      </c>
      <c r="W187" s="4">
        <f>IF(I187="","",(2/29)*I187+(27/29)*W186)</f>
        <v/>
      </c>
      <c r="X187" s="6">
        <f>IF(OR(W187="",W187=0),"",V187/W187)</f>
        <v/>
      </c>
      <c r="Y187" s="4">
        <f>IF(J187="","",0.25*J187+0.75*Y186)</f>
        <v/>
      </c>
      <c r="Z187" s="4">
        <f>IF(J187="","",(2/29)*J187+(27/29)*Z186)</f>
        <v/>
      </c>
      <c r="AA187" s="6">
        <f>IF(OR(Z187="",Z187=0),"",Y187/Z187)</f>
        <v/>
      </c>
      <c r="AB187" s="4">
        <f>IF(L187="","",0.25*L187+0.75*AB186)</f>
        <v/>
      </c>
      <c r="AC187" s="4">
        <f>IF(L187="","",(2/29)*L187+(27/29)*AC186)</f>
        <v/>
      </c>
      <c r="AD187" s="6">
        <f>IF(OR(AC187="",AC187=0),"",AB187/AC187)</f>
        <v/>
      </c>
      <c r="AE187">
        <f>IF(OR(O187="",R187="",U187="",AD187=""),"",IF(OR(O187&gt;1.5,R187&gt;1.5,U187&gt;1.5,AD187&gt;1.5),"🔴 ALTO",IF(OR(O187&gt;1.3,R187&gt;1.3,U187&gt;1.3,AD187&gt;1.3,O187&lt;0.8,R187&lt;0.8,U187&lt;0.8,AD187&lt;0.8),"🟡 ATENÇÃO","🟢 OK")))</f>
        <v/>
      </c>
    </row>
    <row r="188">
      <c r="A188" s="2" t="n"/>
      <c r="L188">
        <f>IF(K188="","",K188*E188)</f>
        <v/>
      </c>
      <c r="M188" s="4">
        <f>IF(F188="","",0.25*F188+0.75*M187)</f>
        <v/>
      </c>
      <c r="N188" s="4">
        <f>IF(F188="","",(2/29)*F188+(27/29)*N187)</f>
        <v/>
      </c>
      <c r="O188" s="6">
        <f>IF(OR(N188="",N188=0),"",M188/N188)</f>
        <v/>
      </c>
      <c r="P188" s="4">
        <f>IF(G188="","",0.25*G188+0.75*P187)</f>
        <v/>
      </c>
      <c r="Q188" s="4">
        <f>IF(G188="","",(2/29)*G188+(27/29)*Q187)</f>
        <v/>
      </c>
      <c r="R188" s="6">
        <f>IF(OR(Q188="",Q188=0),"",P188/Q188)</f>
        <v/>
      </c>
      <c r="S188" s="4">
        <f>IF(H188="","",0.25*H188+0.75*S187)</f>
        <v/>
      </c>
      <c r="T188" s="4">
        <f>IF(H188="","",(2/29)*H188+(27/29)*T187)</f>
        <v/>
      </c>
      <c r="U188" s="6">
        <f>IF(OR(T188="",T188=0),"",S188/T188)</f>
        <v/>
      </c>
      <c r="V188" s="4">
        <f>IF(I188="","",0.25*I188+0.75*V187)</f>
        <v/>
      </c>
      <c r="W188" s="4">
        <f>IF(I188="","",(2/29)*I188+(27/29)*W187)</f>
        <v/>
      </c>
      <c r="X188" s="6">
        <f>IF(OR(W188="",W188=0),"",V188/W188)</f>
        <v/>
      </c>
      <c r="Y188" s="4">
        <f>IF(J188="","",0.25*J188+0.75*Y187)</f>
        <v/>
      </c>
      <c r="Z188" s="4">
        <f>IF(J188="","",(2/29)*J188+(27/29)*Z187)</f>
        <v/>
      </c>
      <c r="AA188" s="6">
        <f>IF(OR(Z188="",Z188=0),"",Y188/Z188)</f>
        <v/>
      </c>
      <c r="AB188" s="4">
        <f>IF(L188="","",0.25*L188+0.75*AB187)</f>
        <v/>
      </c>
      <c r="AC188" s="4">
        <f>IF(L188="","",(2/29)*L188+(27/29)*AC187)</f>
        <v/>
      </c>
      <c r="AD188" s="6">
        <f>IF(OR(AC188="",AC188=0),"",AB188/AC188)</f>
        <v/>
      </c>
      <c r="AE188">
        <f>IF(OR(O188="",R188="",U188="",AD188=""),"",IF(OR(O188&gt;1.5,R188&gt;1.5,U188&gt;1.5,AD188&gt;1.5),"🔴 ALTO",IF(OR(O188&gt;1.3,R188&gt;1.3,U188&gt;1.3,AD188&gt;1.3,O188&lt;0.8,R188&lt;0.8,U188&lt;0.8,AD188&lt;0.8),"🟡 ATENÇÃO","🟢 OK")))</f>
        <v/>
      </c>
    </row>
    <row r="189">
      <c r="A189" s="2" t="n"/>
      <c r="L189">
        <f>IF(K189="","",K189*E189)</f>
        <v/>
      </c>
      <c r="M189" s="4">
        <f>IF(F189="","",0.25*F189+0.75*M188)</f>
        <v/>
      </c>
      <c r="N189" s="4">
        <f>IF(F189="","",(2/29)*F189+(27/29)*N188)</f>
        <v/>
      </c>
      <c r="O189" s="6">
        <f>IF(OR(N189="",N189=0),"",M189/N189)</f>
        <v/>
      </c>
      <c r="P189" s="4">
        <f>IF(G189="","",0.25*G189+0.75*P188)</f>
        <v/>
      </c>
      <c r="Q189" s="4">
        <f>IF(G189="","",(2/29)*G189+(27/29)*Q188)</f>
        <v/>
      </c>
      <c r="R189" s="6">
        <f>IF(OR(Q189="",Q189=0),"",P189/Q189)</f>
        <v/>
      </c>
      <c r="S189" s="4">
        <f>IF(H189="","",0.25*H189+0.75*S188)</f>
        <v/>
      </c>
      <c r="T189" s="4">
        <f>IF(H189="","",(2/29)*H189+(27/29)*T188)</f>
        <v/>
      </c>
      <c r="U189" s="6">
        <f>IF(OR(T189="",T189=0),"",S189/T189)</f>
        <v/>
      </c>
      <c r="V189" s="4">
        <f>IF(I189="","",0.25*I189+0.75*V188)</f>
        <v/>
      </c>
      <c r="W189" s="4">
        <f>IF(I189="","",(2/29)*I189+(27/29)*W188)</f>
        <v/>
      </c>
      <c r="X189" s="6">
        <f>IF(OR(W189="",W189=0),"",V189/W189)</f>
        <v/>
      </c>
      <c r="Y189" s="4">
        <f>IF(J189="","",0.25*J189+0.75*Y188)</f>
        <v/>
      </c>
      <c r="Z189" s="4">
        <f>IF(J189="","",(2/29)*J189+(27/29)*Z188)</f>
        <v/>
      </c>
      <c r="AA189" s="6">
        <f>IF(OR(Z189="",Z189=0),"",Y189/Z189)</f>
        <v/>
      </c>
      <c r="AB189" s="4">
        <f>IF(L189="","",0.25*L189+0.75*AB188)</f>
        <v/>
      </c>
      <c r="AC189" s="4">
        <f>IF(L189="","",(2/29)*L189+(27/29)*AC188)</f>
        <v/>
      </c>
      <c r="AD189" s="6">
        <f>IF(OR(AC189="",AC189=0),"",AB189/AC189)</f>
        <v/>
      </c>
      <c r="AE189">
        <f>IF(OR(O189="",R189="",U189="",AD189=""),"",IF(OR(O189&gt;1.5,R189&gt;1.5,U189&gt;1.5,AD189&gt;1.5),"🔴 ALTO",IF(OR(O189&gt;1.3,R189&gt;1.3,U189&gt;1.3,AD189&gt;1.3,O189&lt;0.8,R189&lt;0.8,U189&lt;0.8,AD189&lt;0.8),"🟡 ATENÇÃO","🟢 OK")))</f>
        <v/>
      </c>
    </row>
    <row r="190">
      <c r="A190" s="2" t="n"/>
      <c r="L190">
        <f>IF(K190="","",K190*E190)</f>
        <v/>
      </c>
      <c r="M190" s="4">
        <f>IF(F190="","",0.25*F190+0.75*M189)</f>
        <v/>
      </c>
      <c r="N190" s="4">
        <f>IF(F190="","",(2/29)*F190+(27/29)*N189)</f>
        <v/>
      </c>
      <c r="O190" s="6">
        <f>IF(OR(N190="",N190=0),"",M190/N190)</f>
        <v/>
      </c>
      <c r="P190" s="4">
        <f>IF(G190="","",0.25*G190+0.75*P189)</f>
        <v/>
      </c>
      <c r="Q190" s="4">
        <f>IF(G190="","",(2/29)*G190+(27/29)*Q189)</f>
        <v/>
      </c>
      <c r="R190" s="6">
        <f>IF(OR(Q190="",Q190=0),"",P190/Q190)</f>
        <v/>
      </c>
      <c r="S190" s="4">
        <f>IF(H190="","",0.25*H190+0.75*S189)</f>
        <v/>
      </c>
      <c r="T190" s="4">
        <f>IF(H190="","",(2/29)*H190+(27/29)*T189)</f>
        <v/>
      </c>
      <c r="U190" s="6">
        <f>IF(OR(T190="",T190=0),"",S190/T190)</f>
        <v/>
      </c>
      <c r="V190" s="4">
        <f>IF(I190="","",0.25*I190+0.75*V189)</f>
        <v/>
      </c>
      <c r="W190" s="4">
        <f>IF(I190="","",(2/29)*I190+(27/29)*W189)</f>
        <v/>
      </c>
      <c r="X190" s="6">
        <f>IF(OR(W190="",W190=0),"",V190/W190)</f>
        <v/>
      </c>
      <c r="Y190" s="4">
        <f>IF(J190="","",0.25*J190+0.75*Y189)</f>
        <v/>
      </c>
      <c r="Z190" s="4">
        <f>IF(J190="","",(2/29)*J190+(27/29)*Z189)</f>
        <v/>
      </c>
      <c r="AA190" s="6">
        <f>IF(OR(Z190="",Z190=0),"",Y190/Z190)</f>
        <v/>
      </c>
      <c r="AB190" s="4">
        <f>IF(L190="","",0.25*L190+0.75*AB189)</f>
        <v/>
      </c>
      <c r="AC190" s="4">
        <f>IF(L190="","",(2/29)*L190+(27/29)*AC189)</f>
        <v/>
      </c>
      <c r="AD190" s="6">
        <f>IF(OR(AC190="",AC190=0),"",AB190/AC190)</f>
        <v/>
      </c>
      <c r="AE190">
        <f>IF(OR(O190="",R190="",U190="",AD190=""),"",IF(OR(O190&gt;1.5,R190&gt;1.5,U190&gt;1.5,AD190&gt;1.5),"🔴 ALTO",IF(OR(O190&gt;1.3,R190&gt;1.3,U190&gt;1.3,AD190&gt;1.3,O190&lt;0.8,R190&lt;0.8,U190&lt;0.8,AD190&lt;0.8),"🟡 ATENÇÃO","🟢 OK")))</f>
        <v/>
      </c>
    </row>
    <row r="191">
      <c r="A191" s="2" t="n"/>
      <c r="L191">
        <f>IF(K191="","",K191*E191)</f>
        <v/>
      </c>
      <c r="M191" s="4">
        <f>IF(F191="","",0.25*F191+0.75*M190)</f>
        <v/>
      </c>
      <c r="N191" s="4">
        <f>IF(F191="","",(2/29)*F191+(27/29)*N190)</f>
        <v/>
      </c>
      <c r="O191" s="6">
        <f>IF(OR(N191="",N191=0),"",M191/N191)</f>
        <v/>
      </c>
      <c r="P191" s="4">
        <f>IF(G191="","",0.25*G191+0.75*P190)</f>
        <v/>
      </c>
      <c r="Q191" s="4">
        <f>IF(G191="","",(2/29)*G191+(27/29)*Q190)</f>
        <v/>
      </c>
      <c r="R191" s="6">
        <f>IF(OR(Q191="",Q191=0),"",P191/Q191)</f>
        <v/>
      </c>
      <c r="S191" s="4">
        <f>IF(H191="","",0.25*H191+0.75*S190)</f>
        <v/>
      </c>
      <c r="T191" s="4">
        <f>IF(H191="","",(2/29)*H191+(27/29)*T190)</f>
        <v/>
      </c>
      <c r="U191" s="6">
        <f>IF(OR(T191="",T191=0),"",S191/T191)</f>
        <v/>
      </c>
      <c r="V191" s="4">
        <f>IF(I191="","",0.25*I191+0.75*V190)</f>
        <v/>
      </c>
      <c r="W191" s="4">
        <f>IF(I191="","",(2/29)*I191+(27/29)*W190)</f>
        <v/>
      </c>
      <c r="X191" s="6">
        <f>IF(OR(W191="",W191=0),"",V191/W191)</f>
        <v/>
      </c>
      <c r="Y191" s="4">
        <f>IF(J191="","",0.25*J191+0.75*Y190)</f>
        <v/>
      </c>
      <c r="Z191" s="4">
        <f>IF(J191="","",(2/29)*J191+(27/29)*Z190)</f>
        <v/>
      </c>
      <c r="AA191" s="6">
        <f>IF(OR(Z191="",Z191=0),"",Y191/Z191)</f>
        <v/>
      </c>
      <c r="AB191" s="4">
        <f>IF(L191="","",0.25*L191+0.75*AB190)</f>
        <v/>
      </c>
      <c r="AC191" s="4">
        <f>IF(L191="","",(2/29)*L191+(27/29)*AC190)</f>
        <v/>
      </c>
      <c r="AD191" s="6">
        <f>IF(OR(AC191="",AC191=0),"",AB191/AC191)</f>
        <v/>
      </c>
      <c r="AE191">
        <f>IF(OR(O191="",R191="",U191="",AD191=""),"",IF(OR(O191&gt;1.5,R191&gt;1.5,U191&gt;1.5,AD191&gt;1.5),"🔴 ALTO",IF(OR(O191&gt;1.3,R191&gt;1.3,U191&gt;1.3,AD191&gt;1.3,O191&lt;0.8,R191&lt;0.8,U191&lt;0.8,AD191&lt;0.8),"🟡 ATENÇÃO","🟢 OK")))</f>
        <v/>
      </c>
    </row>
    <row r="192">
      <c r="A192" s="2" t="n"/>
      <c r="L192">
        <f>IF(K192="","",K192*E192)</f>
        <v/>
      </c>
      <c r="M192" s="4">
        <f>IF(F192="","",0.25*F192+0.75*M191)</f>
        <v/>
      </c>
      <c r="N192" s="4">
        <f>IF(F192="","",(2/29)*F192+(27/29)*N191)</f>
        <v/>
      </c>
      <c r="O192" s="6">
        <f>IF(OR(N192="",N192=0),"",M192/N192)</f>
        <v/>
      </c>
      <c r="P192" s="4">
        <f>IF(G192="","",0.25*G192+0.75*P191)</f>
        <v/>
      </c>
      <c r="Q192" s="4">
        <f>IF(G192="","",(2/29)*G192+(27/29)*Q191)</f>
        <v/>
      </c>
      <c r="R192" s="6">
        <f>IF(OR(Q192="",Q192=0),"",P192/Q192)</f>
        <v/>
      </c>
      <c r="S192" s="4">
        <f>IF(H192="","",0.25*H192+0.75*S191)</f>
        <v/>
      </c>
      <c r="T192" s="4">
        <f>IF(H192="","",(2/29)*H192+(27/29)*T191)</f>
        <v/>
      </c>
      <c r="U192" s="6">
        <f>IF(OR(T192="",T192=0),"",S192/T192)</f>
        <v/>
      </c>
      <c r="V192" s="4">
        <f>IF(I192="","",0.25*I192+0.75*V191)</f>
        <v/>
      </c>
      <c r="W192" s="4">
        <f>IF(I192="","",(2/29)*I192+(27/29)*W191)</f>
        <v/>
      </c>
      <c r="X192" s="6">
        <f>IF(OR(W192="",W192=0),"",V192/W192)</f>
        <v/>
      </c>
      <c r="Y192" s="4">
        <f>IF(J192="","",0.25*J192+0.75*Y191)</f>
        <v/>
      </c>
      <c r="Z192" s="4">
        <f>IF(J192="","",(2/29)*J192+(27/29)*Z191)</f>
        <v/>
      </c>
      <c r="AA192" s="6">
        <f>IF(OR(Z192="",Z192=0),"",Y192/Z192)</f>
        <v/>
      </c>
      <c r="AB192" s="4">
        <f>IF(L192="","",0.25*L192+0.75*AB191)</f>
        <v/>
      </c>
      <c r="AC192" s="4">
        <f>IF(L192="","",(2/29)*L192+(27/29)*AC191)</f>
        <v/>
      </c>
      <c r="AD192" s="6">
        <f>IF(OR(AC192="",AC192=0),"",AB192/AC192)</f>
        <v/>
      </c>
      <c r="AE192">
        <f>IF(OR(O192="",R192="",U192="",AD192=""),"",IF(OR(O192&gt;1.5,R192&gt;1.5,U192&gt;1.5,AD192&gt;1.5),"🔴 ALTO",IF(OR(O192&gt;1.3,R192&gt;1.3,U192&gt;1.3,AD192&gt;1.3,O192&lt;0.8,R192&lt;0.8,U192&lt;0.8,AD192&lt;0.8),"🟡 ATENÇÃO","🟢 OK")))</f>
        <v/>
      </c>
    </row>
    <row r="193">
      <c r="A193" s="2" t="n"/>
      <c r="L193">
        <f>IF(K193="","",K193*E193)</f>
        <v/>
      </c>
      <c r="M193" s="4">
        <f>IF(F193="","",0.25*F193+0.75*M192)</f>
        <v/>
      </c>
      <c r="N193" s="4">
        <f>IF(F193="","",(2/29)*F193+(27/29)*N192)</f>
        <v/>
      </c>
      <c r="O193" s="6">
        <f>IF(OR(N193="",N193=0),"",M193/N193)</f>
        <v/>
      </c>
      <c r="P193" s="4">
        <f>IF(G193="","",0.25*G193+0.75*P192)</f>
        <v/>
      </c>
      <c r="Q193" s="4">
        <f>IF(G193="","",(2/29)*G193+(27/29)*Q192)</f>
        <v/>
      </c>
      <c r="R193" s="6">
        <f>IF(OR(Q193="",Q193=0),"",P193/Q193)</f>
        <v/>
      </c>
      <c r="S193" s="4">
        <f>IF(H193="","",0.25*H193+0.75*S192)</f>
        <v/>
      </c>
      <c r="T193" s="4">
        <f>IF(H193="","",(2/29)*H193+(27/29)*T192)</f>
        <v/>
      </c>
      <c r="U193" s="6">
        <f>IF(OR(T193="",T193=0),"",S193/T193)</f>
        <v/>
      </c>
      <c r="V193" s="4">
        <f>IF(I193="","",0.25*I193+0.75*V192)</f>
        <v/>
      </c>
      <c r="W193" s="4">
        <f>IF(I193="","",(2/29)*I193+(27/29)*W192)</f>
        <v/>
      </c>
      <c r="X193" s="6">
        <f>IF(OR(W193="",W193=0),"",V193/W193)</f>
        <v/>
      </c>
      <c r="Y193" s="4">
        <f>IF(J193="","",0.25*J193+0.75*Y192)</f>
        <v/>
      </c>
      <c r="Z193" s="4">
        <f>IF(J193="","",(2/29)*J193+(27/29)*Z192)</f>
        <v/>
      </c>
      <c r="AA193" s="6">
        <f>IF(OR(Z193="",Z193=0),"",Y193/Z193)</f>
        <v/>
      </c>
      <c r="AB193" s="4">
        <f>IF(L193="","",0.25*L193+0.75*AB192)</f>
        <v/>
      </c>
      <c r="AC193" s="4">
        <f>IF(L193="","",(2/29)*L193+(27/29)*AC192)</f>
        <v/>
      </c>
      <c r="AD193" s="6">
        <f>IF(OR(AC193="",AC193=0),"",AB193/AC193)</f>
        <v/>
      </c>
      <c r="AE193">
        <f>IF(OR(O193="",R193="",U193="",AD193=""),"",IF(OR(O193&gt;1.5,R193&gt;1.5,U193&gt;1.5,AD193&gt;1.5),"🔴 ALTO",IF(OR(O193&gt;1.3,R193&gt;1.3,U193&gt;1.3,AD193&gt;1.3,O193&lt;0.8,R193&lt;0.8,U193&lt;0.8,AD193&lt;0.8),"🟡 ATENÇÃO","🟢 OK")))</f>
        <v/>
      </c>
    </row>
    <row r="194">
      <c r="A194" s="2" t="n"/>
      <c r="L194">
        <f>IF(K194="","",K194*E194)</f>
        <v/>
      </c>
      <c r="M194" s="4">
        <f>IF(F194="","",0.25*F194+0.75*M193)</f>
        <v/>
      </c>
      <c r="N194" s="4">
        <f>IF(F194="","",(2/29)*F194+(27/29)*N193)</f>
        <v/>
      </c>
      <c r="O194" s="6">
        <f>IF(OR(N194="",N194=0),"",M194/N194)</f>
        <v/>
      </c>
      <c r="P194" s="4">
        <f>IF(G194="","",0.25*G194+0.75*P193)</f>
        <v/>
      </c>
      <c r="Q194" s="4">
        <f>IF(G194="","",(2/29)*G194+(27/29)*Q193)</f>
        <v/>
      </c>
      <c r="R194" s="6">
        <f>IF(OR(Q194="",Q194=0),"",P194/Q194)</f>
        <v/>
      </c>
      <c r="S194" s="4">
        <f>IF(H194="","",0.25*H194+0.75*S193)</f>
        <v/>
      </c>
      <c r="T194" s="4">
        <f>IF(H194="","",(2/29)*H194+(27/29)*T193)</f>
        <v/>
      </c>
      <c r="U194" s="6">
        <f>IF(OR(T194="",T194=0),"",S194/T194)</f>
        <v/>
      </c>
      <c r="V194" s="4">
        <f>IF(I194="","",0.25*I194+0.75*V193)</f>
        <v/>
      </c>
      <c r="W194" s="4">
        <f>IF(I194="","",(2/29)*I194+(27/29)*W193)</f>
        <v/>
      </c>
      <c r="X194" s="6">
        <f>IF(OR(W194="",W194=0),"",V194/W194)</f>
        <v/>
      </c>
      <c r="Y194" s="4">
        <f>IF(J194="","",0.25*J194+0.75*Y193)</f>
        <v/>
      </c>
      <c r="Z194" s="4">
        <f>IF(J194="","",(2/29)*J194+(27/29)*Z193)</f>
        <v/>
      </c>
      <c r="AA194" s="6">
        <f>IF(OR(Z194="",Z194=0),"",Y194/Z194)</f>
        <v/>
      </c>
      <c r="AB194" s="4">
        <f>IF(L194="","",0.25*L194+0.75*AB193)</f>
        <v/>
      </c>
      <c r="AC194" s="4">
        <f>IF(L194="","",(2/29)*L194+(27/29)*AC193)</f>
        <v/>
      </c>
      <c r="AD194" s="6">
        <f>IF(OR(AC194="",AC194=0),"",AB194/AC194)</f>
        <v/>
      </c>
      <c r="AE194">
        <f>IF(OR(O194="",R194="",U194="",AD194=""),"",IF(OR(O194&gt;1.5,R194&gt;1.5,U194&gt;1.5,AD194&gt;1.5),"🔴 ALTO",IF(OR(O194&gt;1.3,R194&gt;1.3,U194&gt;1.3,AD194&gt;1.3,O194&lt;0.8,R194&lt;0.8,U194&lt;0.8,AD194&lt;0.8),"🟡 ATENÇÃO","🟢 OK")))</f>
        <v/>
      </c>
    </row>
    <row r="195">
      <c r="A195" s="2" t="n"/>
      <c r="L195">
        <f>IF(K195="","",K195*E195)</f>
        <v/>
      </c>
      <c r="M195" s="4">
        <f>IF(F195="","",0.25*F195+0.75*M194)</f>
        <v/>
      </c>
      <c r="N195" s="4">
        <f>IF(F195="","",(2/29)*F195+(27/29)*N194)</f>
        <v/>
      </c>
      <c r="O195" s="6">
        <f>IF(OR(N195="",N195=0),"",M195/N195)</f>
        <v/>
      </c>
      <c r="P195" s="4">
        <f>IF(G195="","",0.25*G195+0.75*P194)</f>
        <v/>
      </c>
      <c r="Q195" s="4">
        <f>IF(G195="","",(2/29)*G195+(27/29)*Q194)</f>
        <v/>
      </c>
      <c r="R195" s="6">
        <f>IF(OR(Q195="",Q195=0),"",P195/Q195)</f>
        <v/>
      </c>
      <c r="S195" s="4">
        <f>IF(H195="","",0.25*H195+0.75*S194)</f>
        <v/>
      </c>
      <c r="T195" s="4">
        <f>IF(H195="","",(2/29)*H195+(27/29)*T194)</f>
        <v/>
      </c>
      <c r="U195" s="6">
        <f>IF(OR(T195="",T195=0),"",S195/T195)</f>
        <v/>
      </c>
      <c r="V195" s="4">
        <f>IF(I195="","",0.25*I195+0.75*V194)</f>
        <v/>
      </c>
      <c r="W195" s="4">
        <f>IF(I195="","",(2/29)*I195+(27/29)*W194)</f>
        <v/>
      </c>
      <c r="X195" s="6">
        <f>IF(OR(W195="",W195=0),"",V195/W195)</f>
        <v/>
      </c>
      <c r="Y195" s="4">
        <f>IF(J195="","",0.25*J195+0.75*Y194)</f>
        <v/>
      </c>
      <c r="Z195" s="4">
        <f>IF(J195="","",(2/29)*J195+(27/29)*Z194)</f>
        <v/>
      </c>
      <c r="AA195" s="6">
        <f>IF(OR(Z195="",Z195=0),"",Y195/Z195)</f>
        <v/>
      </c>
      <c r="AB195" s="4">
        <f>IF(L195="","",0.25*L195+0.75*AB194)</f>
        <v/>
      </c>
      <c r="AC195" s="4">
        <f>IF(L195="","",(2/29)*L195+(27/29)*AC194)</f>
        <v/>
      </c>
      <c r="AD195" s="6">
        <f>IF(OR(AC195="",AC195=0),"",AB195/AC195)</f>
        <v/>
      </c>
      <c r="AE195">
        <f>IF(OR(O195="",R195="",U195="",AD195=""),"",IF(OR(O195&gt;1.5,R195&gt;1.5,U195&gt;1.5,AD195&gt;1.5),"🔴 ALTO",IF(OR(O195&gt;1.3,R195&gt;1.3,U195&gt;1.3,AD195&gt;1.3,O195&lt;0.8,R195&lt;0.8,U195&lt;0.8,AD195&lt;0.8),"🟡 ATENÇÃO","🟢 OK")))</f>
        <v/>
      </c>
    </row>
    <row r="196">
      <c r="A196" s="2" t="n"/>
      <c r="L196">
        <f>IF(K196="","",K196*E196)</f>
        <v/>
      </c>
      <c r="M196" s="4">
        <f>IF(F196="","",0.25*F196+0.75*M195)</f>
        <v/>
      </c>
      <c r="N196" s="4">
        <f>IF(F196="","",(2/29)*F196+(27/29)*N195)</f>
        <v/>
      </c>
      <c r="O196" s="6">
        <f>IF(OR(N196="",N196=0),"",M196/N196)</f>
        <v/>
      </c>
      <c r="P196" s="4">
        <f>IF(G196="","",0.25*G196+0.75*P195)</f>
        <v/>
      </c>
      <c r="Q196" s="4">
        <f>IF(G196="","",(2/29)*G196+(27/29)*Q195)</f>
        <v/>
      </c>
      <c r="R196" s="6">
        <f>IF(OR(Q196="",Q196=0),"",P196/Q196)</f>
        <v/>
      </c>
      <c r="S196" s="4">
        <f>IF(H196="","",0.25*H196+0.75*S195)</f>
        <v/>
      </c>
      <c r="T196" s="4">
        <f>IF(H196="","",(2/29)*H196+(27/29)*T195)</f>
        <v/>
      </c>
      <c r="U196" s="6">
        <f>IF(OR(T196="",T196=0),"",S196/T196)</f>
        <v/>
      </c>
      <c r="V196" s="4">
        <f>IF(I196="","",0.25*I196+0.75*V195)</f>
        <v/>
      </c>
      <c r="W196" s="4">
        <f>IF(I196="","",(2/29)*I196+(27/29)*W195)</f>
        <v/>
      </c>
      <c r="X196" s="6">
        <f>IF(OR(W196="",W196=0),"",V196/W196)</f>
        <v/>
      </c>
      <c r="Y196" s="4">
        <f>IF(J196="","",0.25*J196+0.75*Y195)</f>
        <v/>
      </c>
      <c r="Z196" s="4">
        <f>IF(J196="","",(2/29)*J196+(27/29)*Z195)</f>
        <v/>
      </c>
      <c r="AA196" s="6">
        <f>IF(OR(Z196="",Z196=0),"",Y196/Z196)</f>
        <v/>
      </c>
      <c r="AB196" s="4">
        <f>IF(L196="","",0.25*L196+0.75*AB195)</f>
        <v/>
      </c>
      <c r="AC196" s="4">
        <f>IF(L196="","",(2/29)*L196+(27/29)*AC195)</f>
        <v/>
      </c>
      <c r="AD196" s="6">
        <f>IF(OR(AC196="",AC196=0),"",AB196/AC196)</f>
        <v/>
      </c>
      <c r="AE196">
        <f>IF(OR(O196="",R196="",U196="",AD196=""),"",IF(OR(O196&gt;1.5,R196&gt;1.5,U196&gt;1.5,AD196&gt;1.5),"🔴 ALTO",IF(OR(O196&gt;1.3,R196&gt;1.3,U196&gt;1.3,AD196&gt;1.3,O196&lt;0.8,R196&lt;0.8,U196&lt;0.8,AD196&lt;0.8),"🟡 ATENÇÃO","🟢 OK")))</f>
        <v/>
      </c>
    </row>
    <row r="197">
      <c r="A197" s="2" t="n"/>
      <c r="L197">
        <f>IF(K197="","",K197*E197)</f>
        <v/>
      </c>
      <c r="M197" s="4">
        <f>IF(F197="","",0.25*F197+0.75*M196)</f>
        <v/>
      </c>
      <c r="N197" s="4">
        <f>IF(F197="","",(2/29)*F197+(27/29)*N196)</f>
        <v/>
      </c>
      <c r="O197" s="6">
        <f>IF(OR(N197="",N197=0),"",M197/N197)</f>
        <v/>
      </c>
      <c r="P197" s="4">
        <f>IF(G197="","",0.25*G197+0.75*P196)</f>
        <v/>
      </c>
      <c r="Q197" s="4">
        <f>IF(G197="","",(2/29)*G197+(27/29)*Q196)</f>
        <v/>
      </c>
      <c r="R197" s="6">
        <f>IF(OR(Q197="",Q197=0),"",P197/Q197)</f>
        <v/>
      </c>
      <c r="S197" s="4">
        <f>IF(H197="","",0.25*H197+0.75*S196)</f>
        <v/>
      </c>
      <c r="T197" s="4">
        <f>IF(H197="","",(2/29)*H197+(27/29)*T196)</f>
        <v/>
      </c>
      <c r="U197" s="6">
        <f>IF(OR(T197="",T197=0),"",S197/T197)</f>
        <v/>
      </c>
      <c r="V197" s="4">
        <f>IF(I197="","",0.25*I197+0.75*V196)</f>
        <v/>
      </c>
      <c r="W197" s="4">
        <f>IF(I197="","",(2/29)*I197+(27/29)*W196)</f>
        <v/>
      </c>
      <c r="X197" s="6">
        <f>IF(OR(W197="",W197=0),"",V197/W197)</f>
        <v/>
      </c>
      <c r="Y197" s="4">
        <f>IF(J197="","",0.25*J197+0.75*Y196)</f>
        <v/>
      </c>
      <c r="Z197" s="4">
        <f>IF(J197="","",(2/29)*J197+(27/29)*Z196)</f>
        <v/>
      </c>
      <c r="AA197" s="6">
        <f>IF(OR(Z197="",Z197=0),"",Y197/Z197)</f>
        <v/>
      </c>
      <c r="AB197" s="4">
        <f>IF(L197="","",0.25*L197+0.75*AB196)</f>
        <v/>
      </c>
      <c r="AC197" s="4">
        <f>IF(L197="","",(2/29)*L197+(27/29)*AC196)</f>
        <v/>
      </c>
      <c r="AD197" s="6">
        <f>IF(OR(AC197="",AC197=0),"",AB197/AC197)</f>
        <v/>
      </c>
      <c r="AE197">
        <f>IF(OR(O197="",R197="",U197="",AD197=""),"",IF(OR(O197&gt;1.5,R197&gt;1.5,U197&gt;1.5,AD197&gt;1.5),"🔴 ALTO",IF(OR(O197&gt;1.3,R197&gt;1.3,U197&gt;1.3,AD197&gt;1.3,O197&lt;0.8,R197&lt;0.8,U197&lt;0.8,AD197&lt;0.8),"🟡 ATENÇÃO","🟢 OK")))</f>
        <v/>
      </c>
    </row>
    <row r="198">
      <c r="A198" s="2" t="n"/>
      <c r="L198">
        <f>IF(K198="","",K198*E198)</f>
        <v/>
      </c>
      <c r="M198" s="4">
        <f>IF(F198="","",0.25*F198+0.75*M197)</f>
        <v/>
      </c>
      <c r="N198" s="4">
        <f>IF(F198="","",(2/29)*F198+(27/29)*N197)</f>
        <v/>
      </c>
      <c r="O198" s="6">
        <f>IF(OR(N198="",N198=0),"",M198/N198)</f>
        <v/>
      </c>
      <c r="P198" s="4">
        <f>IF(G198="","",0.25*G198+0.75*P197)</f>
        <v/>
      </c>
      <c r="Q198" s="4">
        <f>IF(G198="","",(2/29)*G198+(27/29)*Q197)</f>
        <v/>
      </c>
      <c r="R198" s="6">
        <f>IF(OR(Q198="",Q198=0),"",P198/Q198)</f>
        <v/>
      </c>
      <c r="S198" s="4">
        <f>IF(H198="","",0.25*H198+0.75*S197)</f>
        <v/>
      </c>
      <c r="T198" s="4">
        <f>IF(H198="","",(2/29)*H198+(27/29)*T197)</f>
        <v/>
      </c>
      <c r="U198" s="6">
        <f>IF(OR(T198="",T198=0),"",S198/T198)</f>
        <v/>
      </c>
      <c r="V198" s="4">
        <f>IF(I198="","",0.25*I198+0.75*V197)</f>
        <v/>
      </c>
      <c r="W198" s="4">
        <f>IF(I198="","",(2/29)*I198+(27/29)*W197)</f>
        <v/>
      </c>
      <c r="X198" s="6">
        <f>IF(OR(W198="",W198=0),"",V198/W198)</f>
        <v/>
      </c>
      <c r="Y198" s="4">
        <f>IF(J198="","",0.25*J198+0.75*Y197)</f>
        <v/>
      </c>
      <c r="Z198" s="4">
        <f>IF(J198="","",(2/29)*J198+(27/29)*Z197)</f>
        <v/>
      </c>
      <c r="AA198" s="6">
        <f>IF(OR(Z198="",Z198=0),"",Y198/Z198)</f>
        <v/>
      </c>
      <c r="AB198" s="4">
        <f>IF(L198="","",0.25*L198+0.75*AB197)</f>
        <v/>
      </c>
      <c r="AC198" s="4">
        <f>IF(L198="","",(2/29)*L198+(27/29)*AC197)</f>
        <v/>
      </c>
      <c r="AD198" s="6">
        <f>IF(OR(AC198="",AC198=0),"",AB198/AC198)</f>
        <v/>
      </c>
      <c r="AE198">
        <f>IF(OR(O198="",R198="",U198="",AD198=""),"",IF(OR(O198&gt;1.5,R198&gt;1.5,U198&gt;1.5,AD198&gt;1.5),"🔴 ALTO",IF(OR(O198&gt;1.3,R198&gt;1.3,U198&gt;1.3,AD198&gt;1.3,O198&lt;0.8,R198&lt;0.8,U198&lt;0.8,AD198&lt;0.8),"🟡 ATENÇÃO","🟢 OK")))</f>
        <v/>
      </c>
    </row>
    <row r="199">
      <c r="A199" s="2" t="n"/>
      <c r="L199">
        <f>IF(K199="","",K199*E199)</f>
        <v/>
      </c>
      <c r="M199" s="4">
        <f>IF(F199="","",0.25*F199+0.75*M198)</f>
        <v/>
      </c>
      <c r="N199" s="4">
        <f>IF(F199="","",(2/29)*F199+(27/29)*N198)</f>
        <v/>
      </c>
      <c r="O199" s="6">
        <f>IF(OR(N199="",N199=0),"",M199/N199)</f>
        <v/>
      </c>
      <c r="P199" s="4">
        <f>IF(G199="","",0.25*G199+0.75*P198)</f>
        <v/>
      </c>
      <c r="Q199" s="4">
        <f>IF(G199="","",(2/29)*G199+(27/29)*Q198)</f>
        <v/>
      </c>
      <c r="R199" s="6">
        <f>IF(OR(Q199="",Q199=0),"",P199/Q199)</f>
        <v/>
      </c>
      <c r="S199" s="4">
        <f>IF(H199="","",0.25*H199+0.75*S198)</f>
        <v/>
      </c>
      <c r="T199" s="4">
        <f>IF(H199="","",(2/29)*H199+(27/29)*T198)</f>
        <v/>
      </c>
      <c r="U199" s="6">
        <f>IF(OR(T199="",T199=0),"",S199/T199)</f>
        <v/>
      </c>
      <c r="V199" s="4">
        <f>IF(I199="","",0.25*I199+0.75*V198)</f>
        <v/>
      </c>
      <c r="W199" s="4">
        <f>IF(I199="","",(2/29)*I199+(27/29)*W198)</f>
        <v/>
      </c>
      <c r="X199" s="6">
        <f>IF(OR(W199="",W199=0),"",V199/W199)</f>
        <v/>
      </c>
      <c r="Y199" s="4">
        <f>IF(J199="","",0.25*J199+0.75*Y198)</f>
        <v/>
      </c>
      <c r="Z199" s="4">
        <f>IF(J199="","",(2/29)*J199+(27/29)*Z198)</f>
        <v/>
      </c>
      <c r="AA199" s="6">
        <f>IF(OR(Z199="",Z199=0),"",Y199/Z199)</f>
        <v/>
      </c>
      <c r="AB199" s="4">
        <f>IF(L199="","",0.25*L199+0.75*AB198)</f>
        <v/>
      </c>
      <c r="AC199" s="4">
        <f>IF(L199="","",(2/29)*L199+(27/29)*AC198)</f>
        <v/>
      </c>
      <c r="AD199" s="6">
        <f>IF(OR(AC199="",AC199=0),"",AB199/AC199)</f>
        <v/>
      </c>
      <c r="AE199">
        <f>IF(OR(O199="",R199="",U199="",AD199=""),"",IF(OR(O199&gt;1.5,R199&gt;1.5,U199&gt;1.5,AD199&gt;1.5),"🔴 ALTO",IF(OR(O199&gt;1.3,R199&gt;1.3,U199&gt;1.3,AD199&gt;1.3,O199&lt;0.8,R199&lt;0.8,U199&lt;0.8,AD199&lt;0.8),"🟡 ATENÇÃO","🟢 OK")))</f>
        <v/>
      </c>
    </row>
    <row r="200">
      <c r="A200" s="2" t="n"/>
      <c r="L200">
        <f>IF(K200="","",K200*E200)</f>
        <v/>
      </c>
      <c r="M200" s="4">
        <f>IF(F200="","",0.25*F200+0.75*M199)</f>
        <v/>
      </c>
      <c r="N200" s="4">
        <f>IF(F200="","",(2/29)*F200+(27/29)*N199)</f>
        <v/>
      </c>
      <c r="O200" s="6">
        <f>IF(OR(N200="",N200=0),"",M200/N200)</f>
        <v/>
      </c>
      <c r="P200" s="4">
        <f>IF(G200="","",0.25*G200+0.75*P199)</f>
        <v/>
      </c>
      <c r="Q200" s="4">
        <f>IF(G200="","",(2/29)*G200+(27/29)*Q199)</f>
        <v/>
      </c>
      <c r="R200" s="6">
        <f>IF(OR(Q200="",Q200=0),"",P200/Q200)</f>
        <v/>
      </c>
      <c r="S200" s="4">
        <f>IF(H200="","",0.25*H200+0.75*S199)</f>
        <v/>
      </c>
      <c r="T200" s="4">
        <f>IF(H200="","",(2/29)*H200+(27/29)*T199)</f>
        <v/>
      </c>
      <c r="U200" s="6">
        <f>IF(OR(T200="",T200=0),"",S200/T200)</f>
        <v/>
      </c>
      <c r="V200" s="4">
        <f>IF(I200="","",0.25*I200+0.75*V199)</f>
        <v/>
      </c>
      <c r="W200" s="4">
        <f>IF(I200="","",(2/29)*I200+(27/29)*W199)</f>
        <v/>
      </c>
      <c r="X200" s="6">
        <f>IF(OR(W200="",W200=0),"",V200/W200)</f>
        <v/>
      </c>
      <c r="Y200" s="4">
        <f>IF(J200="","",0.25*J200+0.75*Y199)</f>
        <v/>
      </c>
      <c r="Z200" s="4">
        <f>IF(J200="","",(2/29)*J200+(27/29)*Z199)</f>
        <v/>
      </c>
      <c r="AA200" s="6">
        <f>IF(OR(Z200="",Z200=0),"",Y200/Z200)</f>
        <v/>
      </c>
      <c r="AB200" s="4">
        <f>IF(L200="","",0.25*L200+0.75*AB199)</f>
        <v/>
      </c>
      <c r="AC200" s="4">
        <f>IF(L200="","",(2/29)*L200+(27/29)*AC199)</f>
        <v/>
      </c>
      <c r="AD200" s="6">
        <f>IF(OR(AC200="",AC200=0),"",AB200/AC200)</f>
        <v/>
      </c>
      <c r="AE200">
        <f>IF(OR(O200="",R200="",U200="",AD200=""),"",IF(OR(O200&gt;1.5,R200&gt;1.5,U200&gt;1.5,AD200&gt;1.5),"🔴 ALTO",IF(OR(O200&gt;1.3,R200&gt;1.3,U200&gt;1.3,AD200&gt;1.3,O200&lt;0.8,R200&lt;0.8,U200&lt;0.8,AD200&lt;0.8),"🟡 ATENÇÃO","🟢 OK")))</f>
        <v/>
      </c>
    </row>
    <row r="201">
      <c r="A201" s="2" t="n"/>
      <c r="L201">
        <f>IF(K201="","",K201*E201)</f>
        <v/>
      </c>
      <c r="M201" s="4">
        <f>IF(F201="","",0.25*F201+0.75*M200)</f>
        <v/>
      </c>
      <c r="N201" s="4">
        <f>IF(F201="","",(2/29)*F201+(27/29)*N200)</f>
        <v/>
      </c>
      <c r="O201" s="6">
        <f>IF(OR(N201="",N201=0),"",M201/N201)</f>
        <v/>
      </c>
      <c r="P201" s="4">
        <f>IF(G201="","",0.25*G201+0.75*P200)</f>
        <v/>
      </c>
      <c r="Q201" s="4">
        <f>IF(G201="","",(2/29)*G201+(27/29)*Q200)</f>
        <v/>
      </c>
      <c r="R201" s="6">
        <f>IF(OR(Q201="",Q201=0),"",P201/Q201)</f>
        <v/>
      </c>
      <c r="S201" s="4">
        <f>IF(H201="","",0.25*H201+0.75*S200)</f>
        <v/>
      </c>
      <c r="T201" s="4">
        <f>IF(H201="","",(2/29)*H201+(27/29)*T200)</f>
        <v/>
      </c>
      <c r="U201" s="6">
        <f>IF(OR(T201="",T201=0),"",S201/T201)</f>
        <v/>
      </c>
      <c r="V201" s="4">
        <f>IF(I201="","",0.25*I201+0.75*V200)</f>
        <v/>
      </c>
      <c r="W201" s="4">
        <f>IF(I201="","",(2/29)*I201+(27/29)*W200)</f>
        <v/>
      </c>
      <c r="X201" s="6">
        <f>IF(OR(W201="",W201=0),"",V201/W201)</f>
        <v/>
      </c>
      <c r="Y201" s="4">
        <f>IF(J201="","",0.25*J201+0.75*Y200)</f>
        <v/>
      </c>
      <c r="Z201" s="4">
        <f>IF(J201="","",(2/29)*J201+(27/29)*Z200)</f>
        <v/>
      </c>
      <c r="AA201" s="6">
        <f>IF(OR(Z201="",Z201=0),"",Y201/Z201)</f>
        <v/>
      </c>
      <c r="AB201" s="4">
        <f>IF(L201="","",0.25*L201+0.75*AB200)</f>
        <v/>
      </c>
      <c r="AC201" s="4">
        <f>IF(L201="","",(2/29)*L201+(27/29)*AC200)</f>
        <v/>
      </c>
      <c r="AD201" s="6">
        <f>IF(OR(AC201="",AC201=0),"",AB201/AC201)</f>
        <v/>
      </c>
      <c r="AE201">
        <f>IF(OR(O201="",R201="",U201="",AD201=""),"",IF(OR(O201&gt;1.5,R201&gt;1.5,U201&gt;1.5,AD201&gt;1.5),"🔴 ALTO",IF(OR(O201&gt;1.3,R201&gt;1.3,U201&gt;1.3,AD201&gt;1.3,O201&lt;0.8,R201&lt;0.8,U201&lt;0.8,AD201&lt;0.8),"🟡 ATENÇÃO","🟢 OK")))</f>
        <v/>
      </c>
    </row>
    <row r="202">
      <c r="A202" s="2" t="n"/>
      <c r="L202">
        <f>IF(K202="","",K202*E202)</f>
        <v/>
      </c>
      <c r="M202" s="4">
        <f>IF(F202="","",0.25*F202+0.75*M201)</f>
        <v/>
      </c>
      <c r="N202" s="4">
        <f>IF(F202="","",(2/29)*F202+(27/29)*N201)</f>
        <v/>
      </c>
      <c r="O202" s="6">
        <f>IF(OR(N202="",N202=0),"",M202/N202)</f>
        <v/>
      </c>
      <c r="P202" s="4">
        <f>IF(G202="","",0.25*G202+0.75*P201)</f>
        <v/>
      </c>
      <c r="Q202" s="4">
        <f>IF(G202="","",(2/29)*G202+(27/29)*Q201)</f>
        <v/>
      </c>
      <c r="R202" s="6">
        <f>IF(OR(Q202="",Q202=0),"",P202/Q202)</f>
        <v/>
      </c>
      <c r="S202" s="4">
        <f>IF(H202="","",0.25*H202+0.75*S201)</f>
        <v/>
      </c>
      <c r="T202" s="4">
        <f>IF(H202="","",(2/29)*H202+(27/29)*T201)</f>
        <v/>
      </c>
      <c r="U202" s="6">
        <f>IF(OR(T202="",T202=0),"",S202/T202)</f>
        <v/>
      </c>
      <c r="V202" s="4">
        <f>IF(I202="","",0.25*I202+0.75*V201)</f>
        <v/>
      </c>
      <c r="W202" s="4">
        <f>IF(I202="","",(2/29)*I202+(27/29)*W201)</f>
        <v/>
      </c>
      <c r="X202" s="6">
        <f>IF(OR(W202="",W202=0),"",V202/W202)</f>
        <v/>
      </c>
      <c r="Y202" s="4">
        <f>IF(J202="","",0.25*J202+0.75*Y201)</f>
        <v/>
      </c>
      <c r="Z202" s="4">
        <f>IF(J202="","",(2/29)*J202+(27/29)*Z201)</f>
        <v/>
      </c>
      <c r="AA202" s="6">
        <f>IF(OR(Z202="",Z202=0),"",Y202/Z202)</f>
        <v/>
      </c>
      <c r="AB202" s="4">
        <f>IF(L202="","",0.25*L202+0.75*AB201)</f>
        <v/>
      </c>
      <c r="AC202" s="4">
        <f>IF(L202="","",(2/29)*L202+(27/29)*AC201)</f>
        <v/>
      </c>
      <c r="AD202" s="6">
        <f>IF(OR(AC202="",AC202=0),"",AB202/AC202)</f>
        <v/>
      </c>
      <c r="AE202">
        <f>IF(OR(O202="",R202="",U202="",AD202=""),"",IF(OR(O202&gt;1.5,R202&gt;1.5,U202&gt;1.5,AD202&gt;1.5),"🔴 ALTO",IF(OR(O202&gt;1.3,R202&gt;1.3,U202&gt;1.3,AD202&gt;1.3,O202&lt;0.8,R202&lt;0.8,U202&lt;0.8,AD202&lt;0.8),"🟡 ATENÇÃO","🟢 OK")))</f>
        <v/>
      </c>
    </row>
    <row r="203">
      <c r="A203" s="2" t="n"/>
      <c r="L203">
        <f>IF(K203="","",K203*E203)</f>
        <v/>
      </c>
      <c r="M203" s="4">
        <f>IF(F203="","",0.25*F203+0.75*M202)</f>
        <v/>
      </c>
      <c r="N203" s="4">
        <f>IF(F203="","",(2/29)*F203+(27/29)*N202)</f>
        <v/>
      </c>
      <c r="O203" s="6">
        <f>IF(OR(N203="",N203=0),"",M203/N203)</f>
        <v/>
      </c>
      <c r="P203" s="4">
        <f>IF(G203="","",0.25*G203+0.75*P202)</f>
        <v/>
      </c>
      <c r="Q203" s="4">
        <f>IF(G203="","",(2/29)*G203+(27/29)*Q202)</f>
        <v/>
      </c>
      <c r="R203" s="6">
        <f>IF(OR(Q203="",Q203=0),"",P203/Q203)</f>
        <v/>
      </c>
      <c r="S203" s="4">
        <f>IF(H203="","",0.25*H203+0.75*S202)</f>
        <v/>
      </c>
      <c r="T203" s="4">
        <f>IF(H203="","",(2/29)*H203+(27/29)*T202)</f>
        <v/>
      </c>
      <c r="U203" s="6">
        <f>IF(OR(T203="",T203=0),"",S203/T203)</f>
        <v/>
      </c>
      <c r="V203" s="4">
        <f>IF(I203="","",0.25*I203+0.75*V202)</f>
        <v/>
      </c>
      <c r="W203" s="4">
        <f>IF(I203="","",(2/29)*I203+(27/29)*W202)</f>
        <v/>
      </c>
      <c r="X203" s="6">
        <f>IF(OR(W203="",W203=0),"",V203/W203)</f>
        <v/>
      </c>
      <c r="Y203" s="4">
        <f>IF(J203="","",0.25*J203+0.75*Y202)</f>
        <v/>
      </c>
      <c r="Z203" s="4">
        <f>IF(J203="","",(2/29)*J203+(27/29)*Z202)</f>
        <v/>
      </c>
      <c r="AA203" s="6">
        <f>IF(OR(Z203="",Z203=0),"",Y203/Z203)</f>
        <v/>
      </c>
      <c r="AB203" s="4">
        <f>IF(L203="","",0.25*L203+0.75*AB202)</f>
        <v/>
      </c>
      <c r="AC203" s="4">
        <f>IF(L203="","",(2/29)*L203+(27/29)*AC202)</f>
        <v/>
      </c>
      <c r="AD203" s="6">
        <f>IF(OR(AC203="",AC203=0),"",AB203/AC203)</f>
        <v/>
      </c>
      <c r="AE203">
        <f>IF(OR(O203="",R203="",U203="",AD203=""),"",IF(OR(O203&gt;1.5,R203&gt;1.5,U203&gt;1.5,AD203&gt;1.5),"🔴 ALTO",IF(OR(O203&gt;1.3,R203&gt;1.3,U203&gt;1.3,AD203&gt;1.3,O203&lt;0.8,R203&lt;0.8,U203&lt;0.8,AD203&lt;0.8),"🟡 ATENÇÃO","🟢 OK")))</f>
        <v/>
      </c>
    </row>
    <row r="204">
      <c r="A204" s="2" t="n"/>
      <c r="L204">
        <f>IF(K204="","",K204*E204)</f>
        <v/>
      </c>
      <c r="M204" s="4">
        <f>IF(F204="","",0.25*F204+0.75*M203)</f>
        <v/>
      </c>
      <c r="N204" s="4">
        <f>IF(F204="","",(2/29)*F204+(27/29)*N203)</f>
        <v/>
      </c>
      <c r="O204" s="6">
        <f>IF(OR(N204="",N204=0),"",M204/N204)</f>
        <v/>
      </c>
      <c r="P204" s="4">
        <f>IF(G204="","",0.25*G204+0.75*P203)</f>
        <v/>
      </c>
      <c r="Q204" s="4">
        <f>IF(G204="","",(2/29)*G204+(27/29)*Q203)</f>
        <v/>
      </c>
      <c r="R204" s="6">
        <f>IF(OR(Q204="",Q204=0),"",P204/Q204)</f>
        <v/>
      </c>
      <c r="S204" s="4">
        <f>IF(H204="","",0.25*H204+0.75*S203)</f>
        <v/>
      </c>
      <c r="T204" s="4">
        <f>IF(H204="","",(2/29)*H204+(27/29)*T203)</f>
        <v/>
      </c>
      <c r="U204" s="6">
        <f>IF(OR(T204="",T204=0),"",S204/T204)</f>
        <v/>
      </c>
      <c r="V204" s="4">
        <f>IF(I204="","",0.25*I204+0.75*V203)</f>
        <v/>
      </c>
      <c r="W204" s="4">
        <f>IF(I204="","",(2/29)*I204+(27/29)*W203)</f>
        <v/>
      </c>
      <c r="X204" s="6">
        <f>IF(OR(W204="",W204=0),"",V204/W204)</f>
        <v/>
      </c>
      <c r="Y204" s="4">
        <f>IF(J204="","",0.25*J204+0.75*Y203)</f>
        <v/>
      </c>
      <c r="Z204" s="4">
        <f>IF(J204="","",(2/29)*J204+(27/29)*Z203)</f>
        <v/>
      </c>
      <c r="AA204" s="6">
        <f>IF(OR(Z204="",Z204=0),"",Y204/Z204)</f>
        <v/>
      </c>
      <c r="AB204" s="4">
        <f>IF(L204="","",0.25*L204+0.75*AB203)</f>
        <v/>
      </c>
      <c r="AC204" s="4">
        <f>IF(L204="","",(2/29)*L204+(27/29)*AC203)</f>
        <v/>
      </c>
      <c r="AD204" s="6">
        <f>IF(OR(AC204="",AC204=0),"",AB204/AC204)</f>
        <v/>
      </c>
      <c r="AE204">
        <f>IF(OR(O204="",R204="",U204="",AD204=""),"",IF(OR(O204&gt;1.5,R204&gt;1.5,U204&gt;1.5,AD204&gt;1.5),"🔴 ALTO",IF(OR(O204&gt;1.3,R204&gt;1.3,U204&gt;1.3,AD204&gt;1.3,O204&lt;0.8,R204&lt;0.8,U204&lt;0.8,AD204&lt;0.8),"🟡 ATENÇÃO","🟢 OK")))</f>
        <v/>
      </c>
    </row>
    <row r="205">
      <c r="A205" s="2" t="n"/>
      <c r="L205">
        <f>IF(K205="","",K205*E205)</f>
        <v/>
      </c>
      <c r="M205" s="4">
        <f>IF(F205="","",0.25*F205+0.75*M204)</f>
        <v/>
      </c>
      <c r="N205" s="4">
        <f>IF(F205="","",(2/29)*F205+(27/29)*N204)</f>
        <v/>
      </c>
      <c r="O205" s="6">
        <f>IF(OR(N205="",N205=0),"",M205/N205)</f>
        <v/>
      </c>
      <c r="P205" s="4">
        <f>IF(G205="","",0.25*G205+0.75*P204)</f>
        <v/>
      </c>
      <c r="Q205" s="4">
        <f>IF(G205="","",(2/29)*G205+(27/29)*Q204)</f>
        <v/>
      </c>
      <c r="R205" s="6">
        <f>IF(OR(Q205="",Q205=0),"",P205/Q205)</f>
        <v/>
      </c>
      <c r="S205" s="4">
        <f>IF(H205="","",0.25*H205+0.75*S204)</f>
        <v/>
      </c>
      <c r="T205" s="4">
        <f>IF(H205="","",(2/29)*H205+(27/29)*T204)</f>
        <v/>
      </c>
      <c r="U205" s="6">
        <f>IF(OR(T205="",T205=0),"",S205/T205)</f>
        <v/>
      </c>
      <c r="V205" s="4">
        <f>IF(I205="","",0.25*I205+0.75*V204)</f>
        <v/>
      </c>
      <c r="W205" s="4">
        <f>IF(I205="","",(2/29)*I205+(27/29)*W204)</f>
        <v/>
      </c>
      <c r="X205" s="6">
        <f>IF(OR(W205="",W205=0),"",V205/W205)</f>
        <v/>
      </c>
      <c r="Y205" s="4">
        <f>IF(J205="","",0.25*J205+0.75*Y204)</f>
        <v/>
      </c>
      <c r="Z205" s="4">
        <f>IF(J205="","",(2/29)*J205+(27/29)*Z204)</f>
        <v/>
      </c>
      <c r="AA205" s="6">
        <f>IF(OR(Z205="",Z205=0),"",Y205/Z205)</f>
        <v/>
      </c>
      <c r="AB205" s="4">
        <f>IF(L205="","",0.25*L205+0.75*AB204)</f>
        <v/>
      </c>
      <c r="AC205" s="4">
        <f>IF(L205="","",(2/29)*L205+(27/29)*AC204)</f>
        <v/>
      </c>
      <c r="AD205" s="6">
        <f>IF(OR(AC205="",AC205=0),"",AB205/AC205)</f>
        <v/>
      </c>
      <c r="AE205">
        <f>IF(OR(O205="",R205="",U205="",AD205=""),"",IF(OR(O205&gt;1.5,R205&gt;1.5,U205&gt;1.5,AD205&gt;1.5),"🔴 ALTO",IF(OR(O205&gt;1.3,R205&gt;1.3,U205&gt;1.3,AD205&gt;1.3,O205&lt;0.8,R205&lt;0.8,U205&lt;0.8,AD205&lt;0.8),"🟡 ATENÇÃO","🟢 OK")))</f>
        <v/>
      </c>
    </row>
    <row r="206">
      <c r="A206" s="2" t="n"/>
      <c r="L206">
        <f>IF(K206="","",K206*E206)</f>
        <v/>
      </c>
      <c r="M206" s="4">
        <f>IF(F206="","",0.25*F206+0.75*M205)</f>
        <v/>
      </c>
      <c r="N206" s="4">
        <f>IF(F206="","",(2/29)*F206+(27/29)*N205)</f>
        <v/>
      </c>
      <c r="O206" s="6">
        <f>IF(OR(N206="",N206=0),"",M206/N206)</f>
        <v/>
      </c>
      <c r="P206" s="4">
        <f>IF(G206="","",0.25*G206+0.75*P205)</f>
        <v/>
      </c>
      <c r="Q206" s="4">
        <f>IF(G206="","",(2/29)*G206+(27/29)*Q205)</f>
        <v/>
      </c>
      <c r="R206" s="6">
        <f>IF(OR(Q206="",Q206=0),"",P206/Q206)</f>
        <v/>
      </c>
      <c r="S206" s="4">
        <f>IF(H206="","",0.25*H206+0.75*S205)</f>
        <v/>
      </c>
      <c r="T206" s="4">
        <f>IF(H206="","",(2/29)*H206+(27/29)*T205)</f>
        <v/>
      </c>
      <c r="U206" s="6">
        <f>IF(OR(T206="",T206=0),"",S206/T206)</f>
        <v/>
      </c>
      <c r="V206" s="4">
        <f>IF(I206="","",0.25*I206+0.75*V205)</f>
        <v/>
      </c>
      <c r="W206" s="4">
        <f>IF(I206="","",(2/29)*I206+(27/29)*W205)</f>
        <v/>
      </c>
      <c r="X206" s="6">
        <f>IF(OR(W206="",W206=0),"",V206/W206)</f>
        <v/>
      </c>
      <c r="Y206" s="4">
        <f>IF(J206="","",0.25*J206+0.75*Y205)</f>
        <v/>
      </c>
      <c r="Z206" s="4">
        <f>IF(J206="","",(2/29)*J206+(27/29)*Z205)</f>
        <v/>
      </c>
      <c r="AA206" s="6">
        <f>IF(OR(Z206="",Z206=0),"",Y206/Z206)</f>
        <v/>
      </c>
      <c r="AB206" s="4">
        <f>IF(L206="","",0.25*L206+0.75*AB205)</f>
        <v/>
      </c>
      <c r="AC206" s="4">
        <f>IF(L206="","",(2/29)*L206+(27/29)*AC205)</f>
        <v/>
      </c>
      <c r="AD206" s="6">
        <f>IF(OR(AC206="",AC206=0),"",AB206/AC206)</f>
        <v/>
      </c>
      <c r="AE206">
        <f>IF(OR(O206="",R206="",U206="",AD206=""),"",IF(OR(O206&gt;1.5,R206&gt;1.5,U206&gt;1.5,AD206&gt;1.5),"🔴 ALTO",IF(OR(O206&gt;1.3,R206&gt;1.3,U206&gt;1.3,AD206&gt;1.3,O206&lt;0.8,R206&lt;0.8,U206&lt;0.8,AD206&lt;0.8),"🟡 ATENÇÃO","🟢 OK")))</f>
        <v/>
      </c>
    </row>
    <row r="207">
      <c r="A207" s="2" t="n"/>
      <c r="L207">
        <f>IF(K207="","",K207*E207)</f>
        <v/>
      </c>
      <c r="M207" s="4">
        <f>IF(F207="","",0.25*F207+0.75*M206)</f>
        <v/>
      </c>
      <c r="N207" s="4">
        <f>IF(F207="","",(2/29)*F207+(27/29)*N206)</f>
        <v/>
      </c>
      <c r="O207" s="6">
        <f>IF(OR(N207="",N207=0),"",M207/N207)</f>
        <v/>
      </c>
      <c r="P207" s="4">
        <f>IF(G207="","",0.25*G207+0.75*P206)</f>
        <v/>
      </c>
      <c r="Q207" s="4">
        <f>IF(G207="","",(2/29)*G207+(27/29)*Q206)</f>
        <v/>
      </c>
      <c r="R207" s="6">
        <f>IF(OR(Q207="",Q207=0),"",P207/Q207)</f>
        <v/>
      </c>
      <c r="S207" s="4">
        <f>IF(H207="","",0.25*H207+0.75*S206)</f>
        <v/>
      </c>
      <c r="T207" s="4">
        <f>IF(H207="","",(2/29)*H207+(27/29)*T206)</f>
        <v/>
      </c>
      <c r="U207" s="6">
        <f>IF(OR(T207="",T207=0),"",S207/T207)</f>
        <v/>
      </c>
      <c r="V207" s="4">
        <f>IF(I207="","",0.25*I207+0.75*V206)</f>
        <v/>
      </c>
      <c r="W207" s="4">
        <f>IF(I207="","",(2/29)*I207+(27/29)*W206)</f>
        <v/>
      </c>
      <c r="X207" s="6">
        <f>IF(OR(W207="",W207=0),"",V207/W207)</f>
        <v/>
      </c>
      <c r="Y207" s="4">
        <f>IF(J207="","",0.25*J207+0.75*Y206)</f>
        <v/>
      </c>
      <c r="Z207" s="4">
        <f>IF(J207="","",(2/29)*J207+(27/29)*Z206)</f>
        <v/>
      </c>
      <c r="AA207" s="6">
        <f>IF(OR(Z207="",Z207=0),"",Y207/Z207)</f>
        <v/>
      </c>
      <c r="AB207" s="4">
        <f>IF(L207="","",0.25*L207+0.75*AB206)</f>
        <v/>
      </c>
      <c r="AC207" s="4">
        <f>IF(L207="","",(2/29)*L207+(27/29)*AC206)</f>
        <v/>
      </c>
      <c r="AD207" s="6">
        <f>IF(OR(AC207="",AC207=0),"",AB207/AC207)</f>
        <v/>
      </c>
      <c r="AE207">
        <f>IF(OR(O207="",R207="",U207="",AD207=""),"",IF(OR(O207&gt;1.5,R207&gt;1.5,U207&gt;1.5,AD207&gt;1.5),"🔴 ALTO",IF(OR(O207&gt;1.3,R207&gt;1.3,U207&gt;1.3,AD207&gt;1.3,O207&lt;0.8,R207&lt;0.8,U207&lt;0.8,AD207&lt;0.8),"🟡 ATENÇÃO","🟢 OK")))</f>
        <v/>
      </c>
    </row>
    <row r="208">
      <c r="A208" s="2" t="n"/>
      <c r="L208">
        <f>IF(K208="","",K208*E208)</f>
        <v/>
      </c>
      <c r="M208" s="4">
        <f>IF(F208="","",0.25*F208+0.75*M207)</f>
        <v/>
      </c>
      <c r="N208" s="4">
        <f>IF(F208="","",(2/29)*F208+(27/29)*N207)</f>
        <v/>
      </c>
      <c r="O208" s="6">
        <f>IF(OR(N208="",N208=0),"",M208/N208)</f>
        <v/>
      </c>
      <c r="P208" s="4">
        <f>IF(G208="","",0.25*G208+0.75*P207)</f>
        <v/>
      </c>
      <c r="Q208" s="4">
        <f>IF(G208="","",(2/29)*G208+(27/29)*Q207)</f>
        <v/>
      </c>
      <c r="R208" s="6">
        <f>IF(OR(Q208="",Q208=0),"",P208/Q208)</f>
        <v/>
      </c>
      <c r="S208" s="4">
        <f>IF(H208="","",0.25*H208+0.75*S207)</f>
        <v/>
      </c>
      <c r="T208" s="4">
        <f>IF(H208="","",(2/29)*H208+(27/29)*T207)</f>
        <v/>
      </c>
      <c r="U208" s="6">
        <f>IF(OR(T208="",T208=0),"",S208/T208)</f>
        <v/>
      </c>
      <c r="V208" s="4">
        <f>IF(I208="","",0.25*I208+0.75*V207)</f>
        <v/>
      </c>
      <c r="W208" s="4">
        <f>IF(I208="","",(2/29)*I208+(27/29)*W207)</f>
        <v/>
      </c>
      <c r="X208" s="6">
        <f>IF(OR(W208="",W208=0),"",V208/W208)</f>
        <v/>
      </c>
      <c r="Y208" s="4">
        <f>IF(J208="","",0.25*J208+0.75*Y207)</f>
        <v/>
      </c>
      <c r="Z208" s="4">
        <f>IF(J208="","",(2/29)*J208+(27/29)*Z207)</f>
        <v/>
      </c>
      <c r="AA208" s="6">
        <f>IF(OR(Z208="",Z208=0),"",Y208/Z208)</f>
        <v/>
      </c>
      <c r="AB208" s="4">
        <f>IF(L208="","",0.25*L208+0.75*AB207)</f>
        <v/>
      </c>
      <c r="AC208" s="4">
        <f>IF(L208="","",(2/29)*L208+(27/29)*AC207)</f>
        <v/>
      </c>
      <c r="AD208" s="6">
        <f>IF(OR(AC208="",AC208=0),"",AB208/AC208)</f>
        <v/>
      </c>
      <c r="AE208">
        <f>IF(OR(O208="",R208="",U208="",AD208=""),"",IF(OR(O208&gt;1.5,R208&gt;1.5,U208&gt;1.5,AD208&gt;1.5),"🔴 ALTO",IF(OR(O208&gt;1.3,R208&gt;1.3,U208&gt;1.3,AD208&gt;1.3,O208&lt;0.8,R208&lt;0.8,U208&lt;0.8,AD208&lt;0.8),"🟡 ATENÇÃO","🟢 OK")))</f>
        <v/>
      </c>
    </row>
  </sheetData>
  <conditionalFormatting sqref="I4:L4">
    <cfRule type="cellIs" priority="25" operator="greaterThan" dxfId="74">
      <formula>1.5</formula>
    </cfRule>
    <cfRule type="cellIs" priority="26" operator="between" dxfId="72">
      <formula>1.3</formula>
      <formula>1.5</formula>
    </cfRule>
    <cfRule type="cellIs" priority="27" operator="lessThan" dxfId="72">
      <formula>0.8</formula>
    </cfRule>
    <cfRule type="cellIs" priority="28" operator="between" dxfId="71">
      <formula>0.8</formula>
      <formula>1.3</formula>
    </cfRule>
  </conditionalFormatting>
  <conditionalFormatting sqref="O9:O208">
    <cfRule type="cellIs" priority="65" operator="greaterThan" dxfId="4">
      <formula>1.5</formula>
    </cfRule>
    <cfRule type="cellIs" priority="66" operator="lessThan" dxfId="3">
      <formula>0.8</formula>
    </cfRule>
    <cfRule type="cellIs" priority="67" operator="between" dxfId="1">
      <formula>1.3</formula>
      <formula>1.5</formula>
    </cfRule>
    <cfRule type="cellIs" priority="68" operator="between" dxfId="0">
      <formula>0.8</formula>
      <formula>1.3</formula>
    </cfRule>
  </conditionalFormatting>
  <conditionalFormatting sqref="R9:R208">
    <cfRule type="cellIs" priority="69" operator="greaterThan" dxfId="4">
      <formula>1.5</formula>
    </cfRule>
    <cfRule type="cellIs" priority="70" operator="lessThan" dxfId="3">
      <formula>0.8</formula>
    </cfRule>
    <cfRule type="cellIs" priority="71" operator="between" dxfId="1">
      <formula>1.3</formula>
      <formula>1.5</formula>
    </cfRule>
    <cfRule type="cellIs" priority="72" operator="between" dxfId="0">
      <formula>0.8</formula>
      <formula>1.3</formula>
    </cfRule>
  </conditionalFormatting>
  <conditionalFormatting sqref="U9:U208">
    <cfRule type="cellIs" priority="73" operator="greaterThan" dxfId="4">
      <formula>1.5</formula>
    </cfRule>
    <cfRule type="cellIs" priority="74" operator="lessThan" dxfId="3">
      <formula>0.8</formula>
    </cfRule>
    <cfRule type="cellIs" priority="75" operator="between" dxfId="1">
      <formula>1.3</formula>
      <formula>1.5</formula>
    </cfRule>
    <cfRule type="cellIs" priority="76" operator="between" dxfId="0">
      <formula>0.8</formula>
      <formula>1.3</formula>
    </cfRule>
  </conditionalFormatting>
  <conditionalFormatting sqref="X9:X208">
    <cfRule type="cellIs" priority="77" operator="greaterThan" dxfId="4">
      <formula>1.5</formula>
    </cfRule>
    <cfRule type="cellIs" priority="78" operator="lessThan" dxfId="3">
      <formula>0.8</formula>
    </cfRule>
    <cfRule type="cellIs" priority="79" operator="between" dxfId="1">
      <formula>1.3</formula>
      <formula>1.5</formula>
    </cfRule>
    <cfRule type="cellIs" priority="80" operator="between" dxfId="0">
      <formula>0.8</formula>
      <formula>1.3</formula>
    </cfRule>
  </conditionalFormatting>
  <conditionalFormatting sqref="AA9:AA208">
    <cfRule type="cellIs" priority="81" operator="greaterThan" dxfId="4">
      <formula>1.5</formula>
    </cfRule>
    <cfRule type="cellIs" priority="82" operator="lessThan" dxfId="3">
      <formula>0.8</formula>
    </cfRule>
    <cfRule type="cellIs" priority="83" operator="between" dxfId="1">
      <formula>1.3</formula>
      <formula>1.5</formula>
    </cfRule>
    <cfRule type="cellIs" priority="84" operator="between" dxfId="0">
      <formula>0.8</formula>
      <formula>1.3</formula>
    </cfRule>
  </conditionalFormatting>
  <conditionalFormatting sqref="AD9:AD208">
    <cfRule type="cellIs" priority="85" operator="greaterThan" dxfId="4">
      <formula>1.5</formula>
    </cfRule>
    <cfRule type="cellIs" priority="86" operator="lessThan" dxfId="3">
      <formula>0.8</formula>
    </cfRule>
    <cfRule type="cellIs" priority="87" operator="between" dxfId="1">
      <formula>1.3</formula>
      <formula>1.5</formula>
    </cfRule>
    <cfRule type="cellIs" priority="88" operator="between" dxfId="0">
      <formula>0.8</formula>
      <formula>1.3</formula>
    </cfRule>
  </conditionalFormatting>
  <dataValidations count="1">
    <dataValidation sqref="B5" showDropDown="0" showInputMessage="1" showErrorMessage="1" allowBlank="1" type="list">
      <formula1>$AH$2:$AH$31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63B3ED"/>
    <outlinePr summaryBelow="1" summaryRight="1"/>
    <pageSetUpPr/>
  </sheetPr>
  <dimension ref="A1:J50"/>
  <sheetViews>
    <sheetView zoomScale="53" workbookViewId="0">
      <pane ySplit="8" topLeftCell="A9" activePane="bottomLeft" state="frozen"/>
      <selection pane="bottomLeft" activeCell="B6" sqref="B6"/>
    </sheetView>
  </sheetViews>
  <sheetFormatPr baseColWidth="8" defaultRowHeight="15" outlineLevelRow="1"/>
  <cols>
    <col width="91.5703125" bestFit="1" customWidth="1" min="1" max="1"/>
    <col width="9.85546875" bestFit="1" customWidth="1" min="2" max="2"/>
    <col width="11" bestFit="1" customWidth="1" min="3" max="3"/>
    <col width="8.140625" bestFit="1" customWidth="1" min="4" max="4"/>
    <col width="8.42578125" bestFit="1" customWidth="1" min="5" max="5"/>
    <col width="12.42578125" bestFit="1" customWidth="1" min="6" max="6"/>
    <col width="9" bestFit="1" customWidth="1" min="7" max="8"/>
    <col width="9.7109375" bestFit="1" customWidth="1" min="9" max="9"/>
    <col width="5.5703125" bestFit="1" customWidth="1" min="10" max="10"/>
  </cols>
  <sheetData>
    <row r="1" ht="42" customHeight="1">
      <c r="A1" s="594" t="inlineStr">
        <is>
          <t>📊  MONOTONIA &amp; STRAIN  |  Carga Interna (PSE × Duração)  |  Belenenses</t>
        </is>
      </c>
      <c r="B1" s="599" t="n"/>
      <c r="C1" s="599" t="n"/>
      <c r="D1" s="599" t="n"/>
      <c r="E1" s="599" t="n"/>
      <c r="F1" s="599" t="n"/>
      <c r="G1" s="599" t="n"/>
      <c r="H1" s="599" t="n"/>
      <c r="I1" s="599" t="n"/>
      <c r="J1" s="599" t="n"/>
    </row>
    <row r="2" ht="21.95" customHeight="1">
      <c r="A2" s="631" t="inlineStr">
        <is>
          <t>Monotonia = Média diária ÷ DP diário  ·  Strain = Carga semanal × Monotonia  ·  Semáforo: 🟢 Monot &lt; 1.5  |  🟡 1.5–2.0  |  🔴 &gt; 2.0</t>
        </is>
      </c>
      <c r="B2" s="632" t="n"/>
      <c r="C2" s="632" t="n"/>
      <c r="D2" s="632" t="n"/>
      <c r="E2" s="632" t="n"/>
      <c r="F2" s="632" t="n"/>
      <c r="G2" s="632" t="n"/>
      <c r="H2" s="632" t="n"/>
      <c r="I2" s="632" t="n"/>
      <c r="J2" s="632" t="n"/>
    </row>
    <row r="3" ht="6" customHeight="1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 ht="26.1" customHeight="1">
      <c r="A4" s="596" t="inlineStr">
        <is>
          <t>⚙️  PARÂMETROS</t>
        </is>
      </c>
      <c r="B4" s="601" t="n"/>
      <c r="C4" s="601" t="n"/>
      <c r="D4" s="316" t="inlineStr">
        <is>
          <t>LIMIARES:</t>
        </is>
      </c>
      <c r="E4" s="317" t="inlineStr">
        <is>
          <t>🟢 &lt; 1.5</t>
        </is>
      </c>
      <c r="F4" s="318" t="inlineStr">
        <is>
          <t>🟡 1.5 – 2.0</t>
        </is>
      </c>
      <c r="G4" s="319" t="inlineStr">
        <is>
          <t>🔴 &gt; 2.0</t>
        </is>
      </c>
      <c r="H4" s="601" t="n"/>
      <c r="I4" s="601" t="n"/>
      <c r="J4" s="601" t="n"/>
    </row>
    <row r="5" ht="26.1" customHeight="1">
      <c r="A5" s="135" t="inlineStr">
        <is>
          <t>Microciclo:</t>
        </is>
      </c>
      <c r="B5" s="552" t="n">
        <v>10</v>
      </c>
      <c r="C5" s="134" t="n"/>
      <c r="D5" s="320" t="inlineStr">
        <is>
          <t>Strain:</t>
        </is>
      </c>
      <c r="E5" s="321" t="inlineStr">
        <is>
          <t>🟢 &lt; 6000</t>
        </is>
      </c>
      <c r="F5" s="322" t="inlineStr">
        <is>
          <t>🟡 6000 – 10000</t>
        </is>
      </c>
      <c r="G5" s="323" t="inlineStr">
        <is>
          <t>🔴 &gt; 10000</t>
        </is>
      </c>
      <c r="H5" s="134" t="n"/>
      <c r="I5" s="134" t="n"/>
      <c r="J5" s="134" t="n"/>
    </row>
    <row r="7" ht="27.95" customHeight="1">
      <c r="A7" s="596" t="inlineStr">
        <is>
          <t>A — MONOTONIA &amp; STRAIN POR JOGADOR  (MC selecionado — Treinos)</t>
        </is>
      </c>
      <c r="B7" s="601" t="n"/>
      <c r="C7" s="601" t="n"/>
      <c r="D7" s="601" t="n"/>
      <c r="E7" s="601" t="n"/>
      <c r="F7" s="601" t="n"/>
      <c r="G7" s="601" t="n"/>
      <c r="H7" s="601" t="n"/>
      <c r="I7" s="601" t="n"/>
      <c r="J7" s="601" t="n"/>
    </row>
    <row r="8" ht="36" customHeight="1" thickBot="1">
      <c r="A8" s="191" t="inlineStr">
        <is>
          <t>Jogador</t>
        </is>
      </c>
      <c r="B8" s="191" t="inlineStr">
        <is>
          <t>Nº Sessões</t>
        </is>
      </c>
      <c r="C8" s="191" t="inlineStr">
        <is>
          <t>Carga Total
(CI Σ)</t>
        </is>
      </c>
      <c r="D8" s="191" t="inlineStr">
        <is>
          <t>Média Diária
(CI)</t>
        </is>
      </c>
      <c r="E8" s="191" t="inlineStr">
        <is>
          <t>DP Diário
(CI)</t>
        </is>
      </c>
      <c r="F8" s="191" t="inlineStr">
        <is>
          <t>Monotonia</t>
        </is>
      </c>
      <c r="G8" s="191" t="inlineStr">
        <is>
          <t>Strain</t>
        </is>
      </c>
      <c r="H8" s="191" t="inlineStr">
        <is>
          <t>Alerta
Monot.</t>
        </is>
      </c>
      <c r="I8" s="191" t="inlineStr">
        <is>
          <t>Alerta
Strain</t>
        </is>
      </c>
      <c r="J8" s="191" t="inlineStr">
        <is>
          <t>Risco</t>
        </is>
      </c>
    </row>
    <row r="9" ht="26.1" customHeight="1">
      <c r="A9" s="325">
        <f t="array" ref="A9">IFERROR(INDEX(_xlfn._xlws.SORT(_xlfn.UNIQUE(_xlfn._xlws.FILTER(tblCarga[Jogador],(tblCarga[Microciclo (Nr)]=$B$5)*(tblCarga[Tipo]="Treino")))),ROW()-8),"")</f>
        <v/>
      </c>
      <c r="B9" s="326">
        <f>IF(A9="","",COUNTIFS(tblCarga[Jogador],A9,tblCarga[Microciclo (Nr)],$B$5,tblCarga[Tipo],"Treino"))</f>
        <v/>
      </c>
      <c r="C9" s="327">
        <f t="array" ref="C9">IF(A9="","",SUMPRODUCT((tblCarga[Jogador]=A9)*(tblCarga[Microciclo (Nr)]=$B$5)*(tblCarga[Tipo]="Treino")*tblCarga[PSE Sessão]*tblCarga[Duração (min)]))</f>
        <v/>
      </c>
      <c r="D9" s="328">
        <f>IF(A9="","",IFERROR(C9/B9,0))</f>
        <v/>
      </c>
      <c r="E9" s="328">
        <f t="array" ref="E9">IF(A9="","",IFERROR(STDEV(_xlfn._xlws.FILTER(tblCarga[PSE Sessão]*tblCarga[Duração (min)],(tblCarga[Jogador]=A9)*(tblCarga[Microciclo (Nr)]=$B$5)*(tblCarga[Tipo]="Treino"))),0))</f>
        <v/>
      </c>
      <c r="F9" s="329">
        <f>IF(A9="","",IFERROR(D9/E9,0))</f>
        <v/>
      </c>
      <c r="G9" s="327">
        <f>IF(A9="","",C9*F9)</f>
        <v/>
      </c>
      <c r="H9" s="330">
        <f>IF(F9="","",IF(F9&gt;2,"ALTO",IF(F9&gt;1.5,"ATENCAO","OK")))</f>
        <v/>
      </c>
      <c r="I9" s="330">
        <f>IF(G9="","",IF(G9&gt;10000,"ALTO",IF(G9&gt;6000,"ATENCAO","OK")))</f>
        <v/>
      </c>
      <c r="J9" s="330">
        <f>IF(A9="","",IF(OR(F9&gt;2,G9&gt;10000),"ALTO",IF(OR(F9&gt;1.5,G9&gt;6000),"MEDIO","OK")))</f>
        <v/>
      </c>
    </row>
    <row r="10" ht="26.1" customHeight="1">
      <c r="A10" s="141">
        <f t="array" ref="A10">IFERROR(INDEX(_xlfn._xlws.SORT(_xlfn.UNIQUE(_xlfn._xlws.FILTER(tblCarga[Jogador],(tblCarga[Microciclo (Nr)]=$B$5)*(tblCarga[Tipo]="Treino")))),ROW()-8),"")</f>
        <v/>
      </c>
      <c r="B10" s="332">
        <f>IF(A10="","",COUNTIFS(tblCarga[Jogador],A10,tblCarga[Microciclo (Nr)],$B$5,tblCarga[Tipo],"Treino"))</f>
        <v/>
      </c>
      <c r="C10" s="333">
        <f t="array" ref="C10">IF(A10="","",SUMPRODUCT((tblCarga[Jogador]=A10)*(tblCarga[Microciclo (Nr)]=$B$5)*(tblCarga[Tipo]="Treino")*tblCarga[PSE Sessão]*tblCarga[Duração (min)]))</f>
        <v/>
      </c>
      <c r="D10" s="334">
        <f>IF(A10="","",IFERROR(C10/B10,0))</f>
        <v/>
      </c>
      <c r="E10" s="334">
        <f t="array" ref="E10">IF(A10="","",IFERROR(STDEV(_xlfn._xlws.FILTER(tblCarga[PSE Sessão]*tblCarga[Duração (min)],(tblCarga[Jogador]=A10)*(tblCarga[Microciclo (Nr)]=$B$5)*(tblCarga[Tipo]="Treino"))),0))</f>
        <v/>
      </c>
      <c r="F10" s="335">
        <f>IF(A10="","",IFERROR(D10/E10,0))</f>
        <v/>
      </c>
      <c r="G10" s="333">
        <f>IF(A10="","",C10*F10)</f>
        <v/>
      </c>
      <c r="H10" s="142">
        <f>IF(F10="","",IF(F10&gt;2,"ALTO",IF(F10&gt;1.5,"ATENCAO","OK")))</f>
        <v/>
      </c>
      <c r="I10" s="142">
        <f>IF(G10="","",IF(G10&gt;10000,"ALTO",IF(G10&gt;6000,"ATENCAO","OK")))</f>
        <v/>
      </c>
      <c r="J10" s="142">
        <f>IF(A10="","",IF(OR(F10&gt;2,G10&gt;10000),"ALTO",IF(OR(F10&gt;1.5,G10&gt;6000),"MEDIO","OK")))</f>
        <v/>
      </c>
    </row>
    <row r="11" ht="26.1" customHeight="1">
      <c r="A11" s="146">
        <f t="array" ref="A11">IFERROR(INDEX(_xlfn._xlws.SORT(_xlfn.UNIQUE(_xlfn._xlws.FILTER(tblCarga[Jogador],(tblCarga[Microciclo (Nr)]=$B$5)*(tblCarga[Tipo]="Treino")))),ROW()-8),"")</f>
        <v/>
      </c>
      <c r="B11" s="340">
        <f>IF(A11="","",COUNTIFS(tblCarga[Jogador],A11,tblCarga[Microciclo (Nr)],$B$5,tblCarga[Tipo],"Treino"))</f>
        <v/>
      </c>
      <c r="C11" s="341">
        <f t="array" ref="C11">IF(A11="","",SUMPRODUCT((tblCarga[Jogador]=A11)*(tblCarga[Microciclo (Nr)]=$B$5)*(tblCarga[Tipo]="Treino")*tblCarga[PSE Sessão]*tblCarga[Duração (min)]))</f>
        <v/>
      </c>
      <c r="D11" s="342">
        <f>IF(A11="","",IFERROR(C11/B11,0))</f>
        <v/>
      </c>
      <c r="E11" s="342">
        <f t="array" ref="E11">IF(A11="","",IFERROR(STDEV(_xlfn._xlws.FILTER(tblCarga[PSE Sessão]*tblCarga[Duração (min)],(tblCarga[Jogador]=A11)*(tblCarga[Microciclo (Nr)]=$B$5)*(tblCarga[Tipo]="Treino"))),0))</f>
        <v/>
      </c>
      <c r="F11" s="343">
        <f>IF(A11="","",IFERROR(D11/E11,0))</f>
        <v/>
      </c>
      <c r="G11" s="341">
        <f>IF(A11="","",C11*F11)</f>
        <v/>
      </c>
      <c r="H11" s="147">
        <f>IF(F11="","",IF(F11&gt;2,"ALTO",IF(F11&gt;1.5,"ATENCAO","OK")))</f>
        <v/>
      </c>
      <c r="I11" s="147">
        <f>IF(G11="","",IF(G11&gt;10000,"ALTO",IF(G11&gt;6000,"ATENCAO","OK")))</f>
        <v/>
      </c>
      <c r="J11" s="147">
        <f>IF(A11="","",IF(OR(F11&gt;2,G11&gt;10000),"ALTO",IF(OR(F11&gt;1.5,G11&gt;6000),"MEDIO","OK")))</f>
        <v/>
      </c>
    </row>
    <row r="12" ht="26.1" customHeight="1">
      <c r="A12" s="141">
        <f t="array" ref="A12">IFERROR(INDEX(_xlfn._xlws.SORT(_xlfn.UNIQUE(_xlfn._xlws.FILTER(tblCarga[Jogador],(tblCarga[Microciclo (Nr)]=$B$5)*(tblCarga[Tipo]="Treino")))),ROW()-8),"")</f>
        <v/>
      </c>
      <c r="B12" s="332">
        <f>IF(A12="","",COUNTIFS(tblCarga[Jogador],A12,tblCarga[Microciclo (Nr)],$B$5,tblCarga[Tipo],"Treino"))</f>
        <v/>
      </c>
      <c r="C12" s="333">
        <f t="array" ref="C12">IF(A12="","",SUMPRODUCT((tblCarga[Jogador]=A12)*(tblCarga[Microciclo (Nr)]=$B$5)*(tblCarga[Tipo]="Treino")*tblCarga[PSE Sessão]*tblCarga[Duração (min)]))</f>
        <v/>
      </c>
      <c r="D12" s="334">
        <f>IF(A12="","",IFERROR(C12/B12,0))</f>
        <v/>
      </c>
      <c r="E12" s="334">
        <f t="array" ref="E12">IF(A12="","",IFERROR(STDEV(_xlfn._xlws.FILTER(tblCarga[PSE Sessão]*tblCarga[Duração (min)],(tblCarga[Jogador]=A12)*(tblCarga[Microciclo (Nr)]=$B$5)*(tblCarga[Tipo]="Treino"))),0))</f>
        <v/>
      </c>
      <c r="F12" s="335">
        <f>IF(A12="","",IFERROR(D12/E12,0))</f>
        <v/>
      </c>
      <c r="G12" s="333">
        <f>IF(A12="","",C12*F12)</f>
        <v/>
      </c>
      <c r="H12" s="142">
        <f>IF(F12="","",IF(F12&gt;2,"ALTO",IF(F12&gt;1.5,"ATENCAO","OK")))</f>
        <v/>
      </c>
      <c r="I12" s="142">
        <f>IF(G12="","",IF(G12&gt;10000,"ALTO",IF(G12&gt;6000,"ATENCAO","OK")))</f>
        <v/>
      </c>
      <c r="J12" s="142">
        <f>IF(A12="","",IF(OR(F12&gt;2,G12&gt;10000),"ALTO",IF(OR(F12&gt;1.5,G12&gt;6000),"MEDIO","OK")))</f>
        <v/>
      </c>
    </row>
    <row r="13" ht="26.1" customHeight="1">
      <c r="A13" s="146">
        <f t="array" ref="A13">IFERROR(INDEX(_xlfn._xlws.SORT(_xlfn.UNIQUE(_xlfn._xlws.FILTER(tblCarga[Jogador],(tblCarga[Microciclo (Nr)]=$B$5)*(tblCarga[Tipo]="Treino")))),ROW()-8),"")</f>
        <v/>
      </c>
      <c r="B13" s="340">
        <f>IF(A13="","",COUNTIFS(tblCarga[Jogador],A13,tblCarga[Microciclo (Nr)],$B$5,tblCarga[Tipo],"Treino"))</f>
        <v/>
      </c>
      <c r="C13" s="341">
        <f t="array" ref="C13">IF(A13="","",SUMPRODUCT((tblCarga[Jogador]=A13)*(tblCarga[Microciclo (Nr)]=$B$5)*(tblCarga[Tipo]="Treino")*tblCarga[PSE Sessão]*tblCarga[Duração (min)]))</f>
        <v/>
      </c>
      <c r="D13" s="342">
        <f>IF(A13="","",IFERROR(C13/B13,0))</f>
        <v/>
      </c>
      <c r="E13" s="342">
        <f t="array" ref="E13">IF(A13="","",IFERROR(STDEV(_xlfn._xlws.FILTER(tblCarga[PSE Sessão]*tblCarga[Duração (min)],(tblCarga[Jogador]=A13)*(tblCarga[Microciclo (Nr)]=$B$5)*(tblCarga[Tipo]="Treino"))),0))</f>
        <v/>
      </c>
      <c r="F13" s="343">
        <f>IF(A13="","",IFERROR(D13/E13,0))</f>
        <v/>
      </c>
      <c r="G13" s="341">
        <f>IF(A13="","",C13*F13)</f>
        <v/>
      </c>
      <c r="H13" s="147">
        <f>IF(F13="","",IF(F13&gt;2,"ALTO",IF(F13&gt;1.5,"ATENCAO","OK")))</f>
        <v/>
      </c>
      <c r="I13" s="147">
        <f>IF(G13="","",IF(G13&gt;10000,"ALTO",IF(G13&gt;6000,"ATENCAO","OK")))</f>
        <v/>
      </c>
      <c r="J13" s="147">
        <f>IF(A13="","",IF(OR(F13&gt;2,G13&gt;10000),"ALTO",IF(OR(F13&gt;1.5,G13&gt;6000),"MEDIO","OK")))</f>
        <v/>
      </c>
    </row>
    <row r="14" ht="26.1" customHeight="1">
      <c r="A14" s="141">
        <f t="array" ref="A14">IFERROR(INDEX(_xlfn._xlws.SORT(_xlfn.UNIQUE(_xlfn._xlws.FILTER(tblCarga[Jogador],(tblCarga[Microciclo (Nr)]=$B$5)*(tblCarga[Tipo]="Treino")))),ROW()-8),"")</f>
        <v/>
      </c>
      <c r="B14" s="332">
        <f>IF(A14="","",COUNTIFS(tblCarga[Jogador],A14,tblCarga[Microciclo (Nr)],$B$5,tblCarga[Tipo],"Treino"))</f>
        <v/>
      </c>
      <c r="C14" s="333">
        <f t="array" ref="C14">IF(A14="","",SUMPRODUCT((tblCarga[Jogador]=A14)*(tblCarga[Microciclo (Nr)]=$B$5)*(tblCarga[Tipo]="Treino")*tblCarga[PSE Sessão]*tblCarga[Duração (min)]))</f>
        <v/>
      </c>
      <c r="D14" s="334">
        <f>IF(A14="","",IFERROR(C14/B14,0))</f>
        <v/>
      </c>
      <c r="E14" s="334">
        <f t="array" ref="E14">IF(A14="","",IFERROR(STDEV(_xlfn._xlws.FILTER(tblCarga[PSE Sessão]*tblCarga[Duração (min)],(tblCarga[Jogador]=A14)*(tblCarga[Microciclo (Nr)]=$B$5)*(tblCarga[Tipo]="Treino"))),0))</f>
        <v/>
      </c>
      <c r="F14" s="335">
        <f>IF(A14="","",IFERROR(D14/E14,0))</f>
        <v/>
      </c>
      <c r="G14" s="333">
        <f>IF(A14="","",C14*F14)</f>
        <v/>
      </c>
      <c r="H14" s="142">
        <f>IF(F14="","",IF(F14&gt;2,"ALTO",IF(F14&gt;1.5,"ATENCAO","OK")))</f>
        <v/>
      </c>
      <c r="I14" s="142">
        <f>IF(G14="","",IF(G14&gt;10000,"ALTO",IF(G14&gt;6000,"ATENCAO","OK")))</f>
        <v/>
      </c>
      <c r="J14" s="142">
        <f>IF(A14="","",IF(OR(F14&gt;2,G14&gt;10000),"ALTO",IF(OR(F14&gt;1.5,G14&gt;6000),"MEDIO","OK")))</f>
        <v/>
      </c>
    </row>
    <row r="15" ht="26.1" customHeight="1">
      <c r="A15" s="146">
        <f t="array" ref="A15">IFERROR(INDEX(_xlfn._xlws.SORT(_xlfn.UNIQUE(_xlfn._xlws.FILTER(tblCarga[Jogador],(tblCarga[Microciclo (Nr)]=$B$5)*(tblCarga[Tipo]="Treino")))),ROW()-8),"")</f>
        <v/>
      </c>
      <c r="B15" s="340">
        <f>IF(A15="","",COUNTIFS(tblCarga[Jogador],A15,tblCarga[Microciclo (Nr)],$B$5,tblCarga[Tipo],"Treino"))</f>
        <v/>
      </c>
      <c r="C15" s="341">
        <f t="array" ref="C15">IF(A15="","",SUMPRODUCT((tblCarga[Jogador]=A15)*(tblCarga[Microciclo (Nr)]=$B$5)*(tblCarga[Tipo]="Treino")*tblCarga[PSE Sessão]*tblCarga[Duração (min)]))</f>
        <v/>
      </c>
      <c r="D15" s="342">
        <f>IF(A15="","",IFERROR(C15/B15,0))</f>
        <v/>
      </c>
      <c r="E15" s="342">
        <f t="array" ref="E15">IF(A15="","",IFERROR(STDEV(_xlfn._xlws.FILTER(tblCarga[PSE Sessão]*tblCarga[Duração (min)],(tblCarga[Jogador]=A15)*(tblCarga[Microciclo (Nr)]=$B$5)*(tblCarga[Tipo]="Treino"))),0))</f>
        <v/>
      </c>
      <c r="F15" s="343">
        <f>IF(A15="","",IFERROR(D15/E15,0))</f>
        <v/>
      </c>
      <c r="G15" s="341">
        <f>IF(A15="","",C15*F15)</f>
        <v/>
      </c>
      <c r="H15" s="147">
        <f>IF(F15="","",IF(F15&gt;2,"ALTO",IF(F15&gt;1.5,"ATENCAO","OK")))</f>
        <v/>
      </c>
      <c r="I15" s="147">
        <f>IF(G15="","",IF(G15&gt;10000,"ALTO",IF(G15&gt;6000,"ATENCAO","OK")))</f>
        <v/>
      </c>
      <c r="J15" s="147">
        <f>IF(A15="","",IF(OR(F15&gt;2,G15&gt;10000),"ALTO",IF(OR(F15&gt;1.5,G15&gt;6000),"MEDIO","OK")))</f>
        <v/>
      </c>
    </row>
    <row r="16" ht="26.1" customHeight="1">
      <c r="A16" s="141">
        <f t="array" ref="A16">IFERROR(INDEX(_xlfn._xlws.SORT(_xlfn.UNIQUE(_xlfn._xlws.FILTER(tblCarga[Jogador],(tblCarga[Microciclo (Nr)]=$B$5)*(tblCarga[Tipo]="Treino")))),ROW()-8),"")</f>
        <v/>
      </c>
      <c r="B16" s="332">
        <f>IF(A16="","",COUNTIFS(tblCarga[Jogador],A16,tblCarga[Microciclo (Nr)],$B$5,tblCarga[Tipo],"Treino"))</f>
        <v/>
      </c>
      <c r="C16" s="333">
        <f t="array" ref="C16">IF(A16="","",SUMPRODUCT((tblCarga[Jogador]=A16)*(tblCarga[Microciclo (Nr)]=$B$5)*(tblCarga[Tipo]="Treino")*tblCarga[PSE Sessão]*tblCarga[Duração (min)]))</f>
        <v/>
      </c>
      <c r="D16" s="334">
        <f>IF(A16="","",IFERROR(C16/B16,0))</f>
        <v/>
      </c>
      <c r="E16" s="334">
        <f t="array" ref="E16">IF(A16="","",IFERROR(STDEV(_xlfn._xlws.FILTER(tblCarga[PSE Sessão]*tblCarga[Duração (min)],(tblCarga[Jogador]=A16)*(tblCarga[Microciclo (Nr)]=$B$5)*(tblCarga[Tipo]="Treino"))),0))</f>
        <v/>
      </c>
      <c r="F16" s="335">
        <f>IF(A16="","",IFERROR(D16/E16,0))</f>
        <v/>
      </c>
      <c r="G16" s="333">
        <f>IF(A16="","",C16*F16)</f>
        <v/>
      </c>
      <c r="H16" s="142">
        <f>IF(F16="","",IF(F16&gt;2,"ALTO",IF(F16&gt;1.5,"ATENCAO","OK")))</f>
        <v/>
      </c>
      <c r="I16" s="142">
        <f>IF(G16="","",IF(G16&gt;10000,"ALTO",IF(G16&gt;6000,"ATENCAO","OK")))</f>
        <v/>
      </c>
      <c r="J16" s="142">
        <f>IF(A16="","",IF(OR(F16&gt;2,G16&gt;10000),"ALTO",IF(OR(F16&gt;1.5,G16&gt;6000),"MEDIO","OK")))</f>
        <v/>
      </c>
    </row>
    <row r="17" ht="26.1" customHeight="1">
      <c r="A17" s="144">
        <f t="array" ref="A17">IFERROR(INDEX(_xlfn._xlws.SORT(_xlfn.UNIQUE(_xlfn._xlws.FILTER(tblCarga[Jogador],(tblCarga[Microciclo (Nr)]=$B$5)*(tblCarga[Tipo]="Treino")))),ROW()-8),"")</f>
        <v/>
      </c>
      <c r="B17" s="336">
        <f>IF(A17="","",COUNTIFS(tblCarga[Jogador],A17,tblCarga[Microciclo (Nr)],$B$5,tblCarga[Tipo],"Treino"))</f>
        <v/>
      </c>
      <c r="C17" s="337">
        <f t="array" ref="C17">IF(A17="","",SUMPRODUCT((tblCarga[Jogador]=A17)*(tblCarga[Microciclo (Nr)]=$B$5)*(tblCarga[Tipo]="Treino")*tblCarga[PSE Sessão]*tblCarga[Duração (min)]))</f>
        <v/>
      </c>
      <c r="D17" s="338">
        <f>IF(A17="","",IFERROR(C17/B17,0))</f>
        <v/>
      </c>
      <c r="E17" s="338">
        <f t="array" ref="E17">IF(A17="","",IFERROR(STDEV(_xlfn._xlws.FILTER(tblCarga[PSE Sessão]*tblCarga[Duração (min)],(tblCarga[Jogador]=A17)*(tblCarga[Microciclo (Nr)]=$B$5)*(tblCarga[Tipo]="Treino"))),0))</f>
        <v/>
      </c>
      <c r="F17" s="339">
        <f>IF(A17="","",IFERROR(D17/E17,0))</f>
        <v/>
      </c>
      <c r="G17" s="337">
        <f>IF(A17="","",C17*F17)</f>
        <v/>
      </c>
      <c r="H17" s="145">
        <f>IF(F17="","",IF(F17&gt;2,"ALTO",IF(F17&gt;1.5,"ATENCAO","OK")))</f>
        <v/>
      </c>
      <c r="I17" s="145">
        <f>IF(G17="","",IF(G17&gt;10000,"ALTO",IF(G17&gt;6000,"ATENCAO","OK")))</f>
        <v/>
      </c>
      <c r="J17" s="145">
        <f>IF(A17="","",IF(OR(F17&gt;2,G17&gt;10000),"ALTO",IF(OR(F17&gt;1.5,G17&gt;6000),"MEDIO","OK")))</f>
        <v/>
      </c>
    </row>
    <row r="18" outlineLevel="1">
      <c r="A18">
        <f t="array" ref="A18">IFERROR(INDEX(_xlfn._xlws.SORT(_xlfn.UNIQUE(_xlfn._xlws.FILTER(tblCarga[Jogador],(tblCarga[Microciclo (Nr)]=$B$5)*(tblCarga[Tipo]="Treino")))),ROW()-8),"")</f>
        <v/>
      </c>
      <c r="B18" s="46">
        <f>IF(A18="","",COUNTIFS(tblCarga[Jogador],A18,tblCarga[Microciclo (Nr)],$B$5,tblCarga[Tipo],"Treino"))</f>
        <v/>
      </c>
      <c r="C18" s="47">
        <f t="array" ref="C18">IF(A18="","",SUMPRODUCT((tblCarga[Jogador]=A18)*(tblCarga[Microciclo (Nr)]=$B$5)*(tblCarga[Tipo]="Treino")*tblCarga[PSE Sessão]*tblCarga[Duração (min)]))</f>
        <v/>
      </c>
      <c r="D18" s="48">
        <f>IF(A18="","",IFERROR(C18/B18,0))</f>
        <v/>
      </c>
      <c r="E18" s="48">
        <f t="array" ref="E18">IF(A18="","",IFERROR(STDEV(_xlfn._xlws.FILTER(tblCarga[PSE Sessão]*tblCarga[Duração (min)],(tblCarga[Jogador]=A18)*(tblCarga[Microciclo (Nr)]=$B$5)*(tblCarga[Tipo]="Treino"))),0))</f>
        <v/>
      </c>
      <c r="F18" s="49">
        <f>IF(A18="","",IFERROR(D18/E18,0))</f>
        <v/>
      </c>
      <c r="G18" s="47">
        <f>IF(A18="","",C18*F18)</f>
        <v/>
      </c>
      <c r="H18" s="50">
        <f>IF(F18="","",IF(F18&gt;2,"ALTO",IF(F18&gt;1.5,"ATENCAO","OK")))</f>
        <v/>
      </c>
      <c r="I18" s="50">
        <f>IF(G18="","",IF(G18&gt;10000,"ALTO",IF(G18&gt;6000,"ATENCAO","OK")))</f>
        <v/>
      </c>
      <c r="J18" s="50">
        <f>IF(A18="","",IF(OR(F18&gt;2,G18&gt;10000),"ALTO",IF(OR(F18&gt;1.5,G18&gt;6000),"MEDIO","OK")))</f>
        <v/>
      </c>
    </row>
    <row r="19" outlineLevel="1">
      <c r="A19" s="51">
        <f t="array" ref="A19">IFERROR(INDEX(_xlfn._xlws.SORT(_xlfn.UNIQUE(_xlfn._xlws.FILTER(tblCarga[Jogador],(tblCarga[Microciclo (Nr)]=$B$5)*(tblCarga[Tipo]="Treino")))),ROW()-8),"")</f>
        <v/>
      </c>
      <c r="B19" s="52">
        <f>IF(A19="","",COUNTIFS(tblCarga[Jogador],A19,tblCarga[Microciclo (Nr)],$B$5,tblCarga[Tipo],"Treino"))</f>
        <v/>
      </c>
      <c r="C19" s="53">
        <f t="array" ref="C19">IF(A19="","",SUMPRODUCT((tblCarga[Jogador]=A19)*(tblCarga[Microciclo (Nr)]=$B$5)*(tblCarga[Tipo]="Treino")*tblCarga[PSE Sessão]*tblCarga[Duração (min)]))</f>
        <v/>
      </c>
      <c r="D19" s="54">
        <f>IF(A19="","",IFERROR(C19/B19,0))</f>
        <v/>
      </c>
      <c r="E19" s="54">
        <f t="array" ref="E19">IF(A19="","",IFERROR(STDEV(_xlfn._xlws.FILTER(tblCarga[PSE Sessão]*tblCarga[Duração (min)],(tblCarga[Jogador]=A19)*(tblCarga[Microciclo (Nr)]=$B$5)*(tblCarga[Tipo]="Treino"))),0))</f>
        <v/>
      </c>
      <c r="F19" s="55">
        <f>IF(A19="","",IFERROR(D19/E19,0))</f>
        <v/>
      </c>
      <c r="G19" s="53">
        <f>IF(A19="","",C19*F19)</f>
        <v/>
      </c>
      <c r="H19" s="56">
        <f>IF(F19="","",IF(F19&gt;2,"ALTO",IF(F19&gt;1.5,"ATENCAO","OK")))</f>
        <v/>
      </c>
      <c r="I19" s="56">
        <f>IF(G19="","",IF(G19&gt;10000,"ALTO",IF(G19&gt;6000,"ATENCAO","OK")))</f>
        <v/>
      </c>
      <c r="J19" s="56">
        <f>IF(A19="","",IF(OR(F19&gt;2,G19&gt;10000),"ALTO",IF(OR(F19&gt;1.5,G19&gt;6000),"MEDIO","OK")))</f>
        <v/>
      </c>
    </row>
    <row r="20" outlineLevel="1">
      <c r="A20">
        <f t="array" ref="A20">IFERROR(INDEX(_xlfn._xlws.SORT(_xlfn.UNIQUE(_xlfn._xlws.FILTER(tblCarga[Jogador],(tblCarga[Microciclo (Nr)]=$B$5)*(tblCarga[Tipo]="Treino")))),ROW()-8),"")</f>
        <v/>
      </c>
      <c r="B20" s="46">
        <f>IF(A20="","",COUNTIFS(tblCarga[Jogador],A20,tblCarga[Microciclo (Nr)],$B$5,tblCarga[Tipo],"Treino"))</f>
        <v/>
      </c>
      <c r="C20" s="47">
        <f t="array" ref="C20">IF(A20="","",SUMPRODUCT((tblCarga[Jogador]=A20)*(tblCarga[Microciclo (Nr)]=$B$5)*(tblCarga[Tipo]="Treino")*tblCarga[PSE Sessão]*tblCarga[Duração (min)]))</f>
        <v/>
      </c>
      <c r="D20" s="48">
        <f>IF(A20="","",IFERROR(C20/B20,0))</f>
        <v/>
      </c>
      <c r="E20" s="48">
        <f t="array" ref="E20">IF(A20="","",IFERROR(STDEV(_xlfn._xlws.FILTER(tblCarga[PSE Sessão]*tblCarga[Duração (min)],(tblCarga[Jogador]=A20)*(tblCarga[Microciclo (Nr)]=$B$5)*(tblCarga[Tipo]="Treino"))),0))</f>
        <v/>
      </c>
      <c r="F20" s="49">
        <f>IF(A20="","",IFERROR(D20/E20,0))</f>
        <v/>
      </c>
      <c r="G20" s="47">
        <f>IF(A20="","",C20*F20)</f>
        <v/>
      </c>
      <c r="H20" s="50">
        <f>IF(F20="","",IF(F20&gt;2,"ALTO",IF(F20&gt;1.5,"ATENCAO","OK")))</f>
        <v/>
      </c>
      <c r="I20" s="50">
        <f>IF(G20="","",IF(G20&gt;10000,"ALTO",IF(G20&gt;6000,"ATENCAO","OK")))</f>
        <v/>
      </c>
      <c r="J20" s="50">
        <f>IF(A20="","",IF(OR(F20&gt;2,G20&gt;10000),"ALTO",IF(OR(F20&gt;1.5,G20&gt;6000),"MEDIO","OK")))</f>
        <v/>
      </c>
    </row>
    <row r="21" outlineLevel="1">
      <c r="A21" s="51">
        <f t="array" ref="A21">IFERROR(INDEX(_xlfn._xlws.SORT(_xlfn.UNIQUE(_xlfn._xlws.FILTER(tblCarga[Jogador],(tblCarga[Microciclo (Nr)]=$B$5)*(tblCarga[Tipo]="Treino")))),ROW()-8),"")</f>
        <v/>
      </c>
      <c r="B21" s="52">
        <f>IF(A21="","",COUNTIFS(tblCarga[Jogador],A21,tblCarga[Microciclo (Nr)],$B$5,tblCarga[Tipo],"Treino"))</f>
        <v/>
      </c>
      <c r="C21" s="53">
        <f t="array" ref="C21">IF(A21="","",SUMPRODUCT((tblCarga[Jogador]=A21)*(tblCarga[Microciclo (Nr)]=$B$5)*(tblCarga[Tipo]="Treino")*tblCarga[PSE Sessão]*tblCarga[Duração (min)]))</f>
        <v/>
      </c>
      <c r="D21" s="54">
        <f>IF(A21="","",IFERROR(C21/B21,0))</f>
        <v/>
      </c>
      <c r="E21" s="54">
        <f t="array" ref="E21">IF(A21="","",IFERROR(STDEV(_xlfn._xlws.FILTER(tblCarga[PSE Sessão]*tblCarga[Duração (min)],(tblCarga[Jogador]=A21)*(tblCarga[Microciclo (Nr)]=$B$5)*(tblCarga[Tipo]="Treino"))),0))</f>
        <v/>
      </c>
      <c r="F21" s="55">
        <f>IF(A21="","",IFERROR(D21/E21,0))</f>
        <v/>
      </c>
      <c r="G21" s="53">
        <f>IF(A21="","",C21*F21)</f>
        <v/>
      </c>
      <c r="H21" s="56">
        <f>IF(F21="","",IF(F21&gt;2,"ALTO",IF(F21&gt;1.5,"ATENCAO","OK")))</f>
        <v/>
      </c>
      <c r="I21" s="56">
        <f>IF(G21="","",IF(G21&gt;10000,"ALTO",IF(G21&gt;6000,"ATENCAO","OK")))</f>
        <v/>
      </c>
      <c r="J21" s="56">
        <f>IF(A21="","",IF(OR(F21&gt;2,G21&gt;10000),"ALTO",IF(OR(F21&gt;1.5,G21&gt;6000),"MEDIO","OK")))</f>
        <v/>
      </c>
    </row>
    <row r="22" outlineLevel="1">
      <c r="A22">
        <f t="array" ref="A22">IFERROR(INDEX(_xlfn._xlws.SORT(_xlfn.UNIQUE(_xlfn._xlws.FILTER(tblCarga[Jogador],(tblCarga[Microciclo (Nr)]=$B$5)*(tblCarga[Tipo]="Treino")))),ROW()-8),"")</f>
        <v/>
      </c>
      <c r="B22" s="46">
        <f>IF(A22="","",COUNTIFS(tblCarga[Jogador],A22,tblCarga[Microciclo (Nr)],$B$5,tblCarga[Tipo],"Treino"))</f>
        <v/>
      </c>
      <c r="C22" s="47">
        <f t="array" ref="C22">IF(A22="","",SUMPRODUCT((tblCarga[Jogador]=A22)*(tblCarga[Microciclo (Nr)]=$B$5)*(tblCarga[Tipo]="Treino")*tblCarga[PSE Sessão]*tblCarga[Duração (min)]))</f>
        <v/>
      </c>
      <c r="D22" s="48">
        <f>IF(A22="","",IFERROR(C22/B22,0))</f>
        <v/>
      </c>
      <c r="E22" s="48">
        <f t="array" ref="E22">IF(A22="","",IFERROR(STDEV(_xlfn._xlws.FILTER(tblCarga[PSE Sessão]*tblCarga[Duração (min)],(tblCarga[Jogador]=A22)*(tblCarga[Microciclo (Nr)]=$B$5)*(tblCarga[Tipo]="Treino"))),0))</f>
        <v/>
      </c>
      <c r="F22" s="49">
        <f>IF(A22="","",IFERROR(D22/E22,0))</f>
        <v/>
      </c>
      <c r="G22" s="47">
        <f>IF(A22="","",C22*F22)</f>
        <v/>
      </c>
      <c r="H22" s="50">
        <f>IF(F22="","",IF(F22&gt;2,"ALTO",IF(F22&gt;1.5,"ATENCAO","OK")))</f>
        <v/>
      </c>
      <c r="I22" s="50">
        <f>IF(G22="","",IF(G22&gt;10000,"ALTO",IF(G22&gt;6000,"ATENCAO","OK")))</f>
        <v/>
      </c>
      <c r="J22" s="50">
        <f>IF(A22="","",IF(OR(F22&gt;2,G22&gt;10000),"ALTO",IF(OR(F22&gt;1.5,G22&gt;6000),"MEDIO","OK")))</f>
        <v/>
      </c>
    </row>
    <row r="23" outlineLevel="1">
      <c r="A23" s="51">
        <f t="array" ref="A23">IFERROR(INDEX(_xlfn._xlws.SORT(_xlfn.UNIQUE(_xlfn._xlws.FILTER(tblCarga[Jogador],(tblCarga[Microciclo (Nr)]=$B$5)*(tblCarga[Tipo]="Treino")))),ROW()-8),"")</f>
        <v/>
      </c>
      <c r="B23" s="52">
        <f>IF(A23="","",COUNTIFS(tblCarga[Jogador],A23,tblCarga[Microciclo (Nr)],$B$5,tblCarga[Tipo],"Treino"))</f>
        <v/>
      </c>
      <c r="C23" s="53">
        <f t="array" ref="C23">IF(A23="","",SUMPRODUCT((tblCarga[Jogador]=A23)*(tblCarga[Microciclo (Nr)]=$B$5)*(tblCarga[Tipo]="Treino")*tblCarga[PSE Sessão]*tblCarga[Duração (min)]))</f>
        <v/>
      </c>
      <c r="D23" s="54">
        <f>IF(A23="","",IFERROR(C23/B23,0))</f>
        <v/>
      </c>
      <c r="E23" s="54">
        <f t="array" ref="E23">IF(A23="","",IFERROR(STDEV(_xlfn._xlws.FILTER(tblCarga[PSE Sessão]*tblCarga[Duração (min)],(tblCarga[Jogador]=A23)*(tblCarga[Microciclo (Nr)]=$B$5)*(tblCarga[Tipo]="Treino"))),0))</f>
        <v/>
      </c>
      <c r="F23" s="55">
        <f>IF(A23="","",IFERROR(D23/E23,0))</f>
        <v/>
      </c>
      <c r="G23" s="53">
        <f>IF(A23="","",C23*F23)</f>
        <v/>
      </c>
      <c r="H23" s="56">
        <f>IF(F23="","",IF(F23&gt;2,"ALTO",IF(F23&gt;1.5,"ATENCAO","OK")))</f>
        <v/>
      </c>
      <c r="I23" s="56">
        <f>IF(G23="","",IF(G23&gt;10000,"ALTO",IF(G23&gt;6000,"ATENCAO","OK")))</f>
        <v/>
      </c>
      <c r="J23" s="56">
        <f>IF(A23="","",IF(OR(F23&gt;2,G23&gt;10000),"ALTO",IF(OR(F23&gt;1.5,G23&gt;6000),"MEDIO","OK")))</f>
        <v/>
      </c>
    </row>
    <row r="24" outlineLevel="1">
      <c r="A24">
        <f t="array" ref="A24">IFERROR(INDEX(_xlfn._xlws.SORT(_xlfn.UNIQUE(_xlfn._xlws.FILTER(tblCarga[Jogador],(tblCarga[Microciclo (Nr)]=$B$5)*(tblCarga[Tipo]="Treino")))),ROW()-8),"")</f>
        <v/>
      </c>
      <c r="B24" s="46">
        <f>IF(A24="","",COUNTIFS(tblCarga[Jogador],A24,tblCarga[Microciclo (Nr)],$B$5,tblCarga[Tipo],"Treino"))</f>
        <v/>
      </c>
      <c r="C24" s="47">
        <f t="array" ref="C24">IF(A24="","",SUMPRODUCT((tblCarga[Jogador]=A24)*(tblCarga[Microciclo (Nr)]=$B$5)*(tblCarga[Tipo]="Treino")*tblCarga[PSE Sessão]*tblCarga[Duração (min)]))</f>
        <v/>
      </c>
      <c r="D24" s="48">
        <f>IF(A24="","",IFERROR(C24/B24,0))</f>
        <v/>
      </c>
      <c r="E24" s="48">
        <f t="array" ref="E24">IF(A24="","",IFERROR(STDEV(_xlfn._xlws.FILTER(tblCarga[PSE Sessão]*tblCarga[Duração (min)],(tblCarga[Jogador]=A24)*(tblCarga[Microciclo (Nr)]=$B$5)*(tblCarga[Tipo]="Treino"))),0))</f>
        <v/>
      </c>
      <c r="F24" s="49">
        <f>IF(A24="","",IFERROR(D24/E24,0))</f>
        <v/>
      </c>
      <c r="G24" s="47">
        <f>IF(A24="","",C24*F24)</f>
        <v/>
      </c>
      <c r="H24" s="50">
        <f>IF(F24="","",IF(F24&gt;2,"ALTO",IF(F24&gt;1.5,"ATENCAO","OK")))</f>
        <v/>
      </c>
      <c r="I24" s="50">
        <f>IF(G24="","",IF(G24&gt;10000,"ALTO",IF(G24&gt;6000,"ATENCAO","OK")))</f>
        <v/>
      </c>
      <c r="J24" s="50">
        <f>IF(A24="","",IF(OR(F24&gt;2,G24&gt;10000),"ALTO",IF(OR(F24&gt;1.5,G24&gt;6000),"MEDIO","OK")))</f>
        <v/>
      </c>
    </row>
    <row r="25" outlineLevel="1">
      <c r="A25" s="51">
        <f t="array" ref="A25">IFERROR(INDEX(_xlfn._xlws.SORT(_xlfn.UNIQUE(_xlfn._xlws.FILTER(tblCarga[Jogador],(tblCarga[Microciclo (Nr)]=$B$5)*(tblCarga[Tipo]="Treino")))),ROW()-8),"")</f>
        <v/>
      </c>
      <c r="B25" s="52">
        <f>IF(A25="","",COUNTIFS(tblCarga[Jogador],A25,tblCarga[Microciclo (Nr)],$B$5,tblCarga[Tipo],"Treino"))</f>
        <v/>
      </c>
      <c r="C25" s="53">
        <f t="array" ref="C25">IF(A25="","",SUMPRODUCT((tblCarga[Jogador]=A25)*(tblCarga[Microciclo (Nr)]=$B$5)*(tblCarga[Tipo]="Treino")*tblCarga[PSE Sessão]*tblCarga[Duração (min)]))</f>
        <v/>
      </c>
      <c r="D25" s="54">
        <f>IF(A25="","",IFERROR(C25/B25,0))</f>
        <v/>
      </c>
      <c r="E25" s="54">
        <f t="array" ref="E25">IF(A25="","",IFERROR(STDEV(_xlfn._xlws.FILTER(tblCarga[PSE Sessão]*tblCarga[Duração (min)],(tblCarga[Jogador]=A25)*(tblCarga[Microciclo (Nr)]=$B$5)*(tblCarga[Tipo]="Treino"))),0))</f>
        <v/>
      </c>
      <c r="F25" s="55">
        <f>IF(A25="","",IFERROR(D25/E25,0))</f>
        <v/>
      </c>
      <c r="G25" s="53">
        <f>IF(A25="","",C25*F25)</f>
        <v/>
      </c>
      <c r="H25" s="56">
        <f>IF(F25="","",IF(F25&gt;2,"ALTO",IF(F25&gt;1.5,"ATENCAO","OK")))</f>
        <v/>
      </c>
      <c r="I25" s="56">
        <f>IF(G25="","",IF(G25&gt;10000,"ALTO",IF(G25&gt;6000,"ATENCAO","OK")))</f>
        <v/>
      </c>
      <c r="J25" s="56">
        <f>IF(A25="","",IF(OR(F25&gt;2,G25&gt;10000),"ALTO",IF(OR(F25&gt;1.5,G25&gt;6000),"MEDIO","OK")))</f>
        <v/>
      </c>
    </row>
    <row r="26" outlineLevel="1">
      <c r="A26">
        <f t="array" ref="A26">IFERROR(INDEX(_xlfn._xlws.SORT(_xlfn.UNIQUE(_xlfn._xlws.FILTER(tblCarga[Jogador],(tblCarga[Microciclo (Nr)]=$B$5)*(tblCarga[Tipo]="Treino")))),ROW()-8),"")</f>
        <v/>
      </c>
      <c r="B26" s="46">
        <f>IF(A26="","",COUNTIFS(tblCarga[Jogador],A26,tblCarga[Microciclo (Nr)],$B$5,tblCarga[Tipo],"Treino"))</f>
        <v/>
      </c>
      <c r="C26" s="47">
        <f t="array" ref="C26">IF(A26="","",SUMPRODUCT((tblCarga[Jogador]=A26)*(tblCarga[Microciclo (Nr)]=$B$5)*(tblCarga[Tipo]="Treino")*tblCarga[PSE Sessão]*tblCarga[Duração (min)]))</f>
        <v/>
      </c>
      <c r="D26" s="48">
        <f>IF(A26="","",IFERROR(C26/B26,0))</f>
        <v/>
      </c>
      <c r="E26" s="48">
        <f t="array" ref="E26">IF(A26="","",IFERROR(STDEV(_xlfn._xlws.FILTER(tblCarga[PSE Sessão]*tblCarga[Duração (min)],(tblCarga[Jogador]=A26)*(tblCarga[Microciclo (Nr)]=$B$5)*(tblCarga[Tipo]="Treino"))),0))</f>
        <v/>
      </c>
      <c r="F26" s="49">
        <f>IF(A26="","",IFERROR(D26/E26,0))</f>
        <v/>
      </c>
      <c r="G26" s="47">
        <f>IF(A26="","",C26*F26)</f>
        <v/>
      </c>
      <c r="H26" s="50">
        <f>IF(F26="","",IF(F26&gt;2,"ALTO",IF(F26&gt;1.5,"ATENCAO","OK")))</f>
        <v/>
      </c>
      <c r="I26" s="50">
        <f>IF(G26="","",IF(G26&gt;10000,"ALTO",IF(G26&gt;6000,"ATENCAO","OK")))</f>
        <v/>
      </c>
      <c r="J26" s="50">
        <f>IF(A26="","",IF(OR(F26&gt;2,G26&gt;10000),"ALTO",IF(OR(F26&gt;1.5,G26&gt;6000),"MEDIO","OK")))</f>
        <v/>
      </c>
    </row>
    <row r="27" outlineLevel="1">
      <c r="A27" s="51">
        <f t="array" ref="A27">IFERROR(INDEX(_xlfn._xlws.SORT(_xlfn.UNIQUE(_xlfn._xlws.FILTER(tblCarga[Jogador],(tblCarga[Microciclo (Nr)]=$B$5)*(tblCarga[Tipo]="Treino")))),ROW()-8),"")</f>
        <v/>
      </c>
      <c r="B27" s="52">
        <f>IF(A27="","",COUNTIFS(tblCarga[Jogador],A27,tblCarga[Microciclo (Nr)],$B$5,tblCarga[Tipo],"Treino"))</f>
        <v/>
      </c>
      <c r="C27" s="53">
        <f t="array" ref="C27">IF(A27="","",SUMPRODUCT((tblCarga[Jogador]=A27)*(tblCarga[Microciclo (Nr)]=$B$5)*(tblCarga[Tipo]="Treino")*tblCarga[PSE Sessão]*tblCarga[Duração (min)]))</f>
        <v/>
      </c>
      <c r="D27" s="54">
        <f>IF(A27="","",IFERROR(C27/B27,0))</f>
        <v/>
      </c>
      <c r="E27" s="54">
        <f t="array" ref="E27">IF(A27="","",IFERROR(STDEV(_xlfn._xlws.FILTER(tblCarga[PSE Sessão]*tblCarga[Duração (min)],(tblCarga[Jogador]=A27)*(tblCarga[Microciclo (Nr)]=$B$5)*(tblCarga[Tipo]="Treino"))),0))</f>
        <v/>
      </c>
      <c r="F27" s="55">
        <f>IF(A27="","",IFERROR(D27/E27,0))</f>
        <v/>
      </c>
      <c r="G27" s="53">
        <f>IF(A27="","",C27*F27)</f>
        <v/>
      </c>
      <c r="H27" s="56">
        <f>IF(F27="","",IF(F27&gt;2,"ALTO",IF(F27&gt;1.5,"ATENCAO","OK")))</f>
        <v/>
      </c>
      <c r="I27" s="56">
        <f>IF(G27="","",IF(G27&gt;10000,"ALTO",IF(G27&gt;6000,"ATENCAO","OK")))</f>
        <v/>
      </c>
      <c r="J27" s="56">
        <f>IF(A27="","",IF(OR(F27&gt;2,G27&gt;10000),"ALTO",IF(OR(F27&gt;1.5,G27&gt;6000),"MEDIO","OK")))</f>
        <v/>
      </c>
    </row>
    <row r="28" outlineLevel="1">
      <c r="A28">
        <f t="array" ref="A28">IFERROR(INDEX(_xlfn._xlws.SORT(_xlfn.UNIQUE(_xlfn._xlws.FILTER(tblCarga[Jogador],(tblCarga[Microciclo (Nr)]=$B$5)*(tblCarga[Tipo]="Treino")))),ROW()-8),"")</f>
        <v/>
      </c>
      <c r="B28" s="46">
        <f>IF(A28="","",COUNTIFS(tblCarga[Jogador],A28,tblCarga[Microciclo (Nr)],$B$5,tblCarga[Tipo],"Treino"))</f>
        <v/>
      </c>
      <c r="C28" s="47">
        <f t="array" ref="C28">IF(A28="","",SUMPRODUCT((tblCarga[Jogador]=A28)*(tblCarga[Microciclo (Nr)]=$B$5)*(tblCarga[Tipo]="Treino")*tblCarga[PSE Sessão]*tblCarga[Duração (min)]))</f>
        <v/>
      </c>
      <c r="D28" s="48">
        <f>IF(A28="","",IFERROR(C28/B28,0))</f>
        <v/>
      </c>
      <c r="E28" s="48">
        <f t="array" ref="E28">IF(A28="","",IFERROR(STDEV(_xlfn._xlws.FILTER(tblCarga[PSE Sessão]*tblCarga[Duração (min)],(tblCarga[Jogador]=A28)*(tblCarga[Microciclo (Nr)]=$B$5)*(tblCarga[Tipo]="Treino"))),0))</f>
        <v/>
      </c>
      <c r="F28" s="49">
        <f>IF(A28="","",IFERROR(D28/E28,0))</f>
        <v/>
      </c>
      <c r="G28" s="47">
        <f>IF(A28="","",C28*F28)</f>
        <v/>
      </c>
      <c r="H28" s="50">
        <f>IF(F28="","",IF(F28&gt;2,"ALTO",IF(F28&gt;1.5,"ATENCAO","OK")))</f>
        <v/>
      </c>
      <c r="I28" s="50">
        <f>IF(G28="","",IF(G28&gt;10000,"ALTO",IF(G28&gt;6000,"ATENCAO","OK")))</f>
        <v/>
      </c>
      <c r="J28" s="50">
        <f>IF(A28="","",IF(OR(F28&gt;2,G28&gt;10000),"ALTO",IF(OR(F28&gt;1.5,G28&gt;6000),"MEDIO","OK")))</f>
        <v/>
      </c>
    </row>
    <row r="29" outlineLevel="1">
      <c r="A29" s="51">
        <f t="array" ref="A29">IFERROR(INDEX(_xlfn._xlws.SORT(_xlfn.UNIQUE(_xlfn._xlws.FILTER(tblCarga[Jogador],(tblCarga[Microciclo (Nr)]=$B$5)*(tblCarga[Tipo]="Treino")))),ROW()-8),"")</f>
        <v/>
      </c>
      <c r="B29" s="52">
        <f>IF(A29="","",COUNTIFS(tblCarga[Jogador],A29,tblCarga[Microciclo (Nr)],$B$5,tblCarga[Tipo],"Treino"))</f>
        <v/>
      </c>
      <c r="C29" s="53">
        <f t="array" ref="C29">IF(A29="","",SUMPRODUCT((tblCarga[Jogador]=A29)*(tblCarga[Microciclo (Nr)]=$B$5)*(tblCarga[Tipo]="Treino")*tblCarga[PSE Sessão]*tblCarga[Duração (min)]))</f>
        <v/>
      </c>
      <c r="D29" s="54">
        <f>IF(A29="","",IFERROR(C29/B29,0))</f>
        <v/>
      </c>
      <c r="E29" s="54">
        <f t="array" ref="E29">IF(A29="","",IFERROR(STDEV(_xlfn._xlws.FILTER(tblCarga[PSE Sessão]*tblCarga[Duração (min)],(tblCarga[Jogador]=A29)*(tblCarga[Microciclo (Nr)]=$B$5)*(tblCarga[Tipo]="Treino"))),0))</f>
        <v/>
      </c>
      <c r="F29" s="55">
        <f>IF(A29="","",IFERROR(D29/E29,0))</f>
        <v/>
      </c>
      <c r="G29" s="53">
        <f>IF(A29="","",C29*F29)</f>
        <v/>
      </c>
      <c r="H29" s="56">
        <f>IF(F29="","",IF(F29&gt;2,"ALTO",IF(F29&gt;1.5,"ATENCAO","OK")))</f>
        <v/>
      </c>
      <c r="I29" s="56">
        <f>IF(G29="","",IF(G29&gt;10000,"ALTO",IF(G29&gt;6000,"ATENCAO","OK")))</f>
        <v/>
      </c>
      <c r="J29" s="56">
        <f>IF(A29="","",IF(OR(F29&gt;2,G29&gt;10000),"ALTO",IF(OR(F29&gt;1.5,G29&gt;6000),"MEDIO","OK")))</f>
        <v/>
      </c>
    </row>
    <row r="30" outlineLevel="1">
      <c r="A30">
        <f t="array" ref="A30">IFERROR(INDEX(_xlfn._xlws.SORT(_xlfn.UNIQUE(_xlfn._xlws.FILTER(tblCarga[Jogador],(tblCarga[Microciclo (Nr)]=$B$5)*(tblCarga[Tipo]="Treino")))),ROW()-8),"")</f>
        <v/>
      </c>
      <c r="B30" s="46">
        <f>IF(A30="","",COUNTIFS(tblCarga[Jogador],A30,tblCarga[Microciclo (Nr)],$B$5,tblCarga[Tipo],"Treino"))</f>
        <v/>
      </c>
      <c r="C30" s="47">
        <f t="array" ref="C30">IF(A30="","",SUMPRODUCT((tblCarga[Jogador]=A30)*(tblCarga[Microciclo (Nr)]=$B$5)*(tblCarga[Tipo]="Treino")*tblCarga[PSE Sessão]*tblCarga[Duração (min)]))</f>
        <v/>
      </c>
      <c r="D30" s="48">
        <f>IF(A30="","",IFERROR(C30/B30,0))</f>
        <v/>
      </c>
      <c r="E30" s="48">
        <f t="array" ref="E30">IF(A30="","",IFERROR(STDEV(_xlfn._xlws.FILTER(tblCarga[PSE Sessão]*tblCarga[Duração (min)],(tblCarga[Jogador]=A30)*(tblCarga[Microciclo (Nr)]=$B$5)*(tblCarga[Tipo]="Treino"))),0))</f>
        <v/>
      </c>
      <c r="F30" s="49">
        <f>IF(A30="","",IFERROR(D30/E30,0))</f>
        <v/>
      </c>
      <c r="G30" s="47">
        <f>IF(A30="","",C30*F30)</f>
        <v/>
      </c>
      <c r="H30" s="50">
        <f>IF(F30="","",IF(F30&gt;2,"ALTO",IF(F30&gt;1.5,"ATENCAO","OK")))</f>
        <v/>
      </c>
      <c r="I30" s="50">
        <f>IF(G30="","",IF(G30&gt;10000,"ALTO",IF(G30&gt;6000,"ATENCAO","OK")))</f>
        <v/>
      </c>
      <c r="J30" s="50">
        <f>IF(A30="","",IF(OR(F30&gt;2,G30&gt;10000),"ALTO",IF(OR(F30&gt;1.5,G30&gt;6000),"MEDIO","OK")))</f>
        <v/>
      </c>
    </row>
    <row r="31" outlineLevel="1">
      <c r="A31" s="51">
        <f t="array" ref="A31">IFERROR(INDEX(_xlfn._xlws.SORT(_xlfn.UNIQUE(_xlfn._xlws.FILTER(tblCarga[Jogador],(tblCarga[Microciclo (Nr)]=$B$5)*(tblCarga[Tipo]="Treino")))),ROW()-8),"")</f>
        <v/>
      </c>
      <c r="B31" s="52">
        <f>IF(A31="","",COUNTIFS(tblCarga[Jogador],A31,tblCarga[Microciclo (Nr)],$B$5,tblCarga[Tipo],"Treino"))</f>
        <v/>
      </c>
      <c r="C31" s="53">
        <f t="array" ref="C31">IF(A31="","",SUMPRODUCT((tblCarga[Jogador]=A31)*(tblCarga[Microciclo (Nr)]=$B$5)*(tblCarga[Tipo]="Treino")*tblCarga[PSE Sessão]*tblCarga[Duração (min)]))</f>
        <v/>
      </c>
      <c r="D31" s="54">
        <f>IF(A31="","",IFERROR(C31/B31,0))</f>
        <v/>
      </c>
      <c r="E31" s="54">
        <f t="array" ref="E31">IF(A31="","",IFERROR(STDEV(_xlfn._xlws.FILTER(tblCarga[PSE Sessão]*tblCarga[Duração (min)],(tblCarga[Jogador]=A31)*(tblCarga[Microciclo (Nr)]=$B$5)*(tblCarga[Tipo]="Treino"))),0))</f>
        <v/>
      </c>
      <c r="F31" s="55">
        <f>IF(A31="","",IFERROR(D31/E31,0))</f>
        <v/>
      </c>
      <c r="G31" s="53">
        <f>IF(A31="","",C31*F31)</f>
        <v/>
      </c>
      <c r="H31" s="56">
        <f>IF(F31="","",IF(F31&gt;2,"ALTO",IF(F31&gt;1.5,"ATENCAO","OK")))</f>
        <v/>
      </c>
      <c r="I31" s="56">
        <f>IF(G31="","",IF(G31&gt;10000,"ALTO",IF(G31&gt;6000,"ATENCAO","OK")))</f>
        <v/>
      </c>
      <c r="J31" s="56">
        <f>IF(A31="","",IF(OR(F31&gt;2,G31&gt;10000),"ALTO",IF(OR(F31&gt;1.5,G31&gt;6000),"MEDIO","OK")))</f>
        <v/>
      </c>
    </row>
    <row r="32" outlineLevel="1">
      <c r="A32">
        <f t="array" ref="A32">IFERROR(INDEX(_xlfn._xlws.SORT(_xlfn.UNIQUE(_xlfn._xlws.FILTER(tblCarga[Jogador],(tblCarga[Microciclo (Nr)]=$B$5)*(tblCarga[Tipo]="Treino")))),ROW()-8),"")</f>
        <v/>
      </c>
      <c r="B32" s="46">
        <f>IF(A32="","",COUNTIFS(tblCarga[Jogador],A32,tblCarga[Microciclo (Nr)],$B$5,tblCarga[Tipo],"Treino"))</f>
        <v/>
      </c>
      <c r="C32" s="47">
        <f t="array" ref="C32">IF(A32="","",SUMPRODUCT((tblCarga[Jogador]=A32)*(tblCarga[Microciclo (Nr)]=$B$5)*(tblCarga[Tipo]="Treino")*tblCarga[PSE Sessão]*tblCarga[Duração (min)]))</f>
        <v/>
      </c>
      <c r="D32" s="48">
        <f>IF(A32="","",IFERROR(C32/B32,0))</f>
        <v/>
      </c>
      <c r="E32" s="48">
        <f t="array" ref="E32">IF(A32="","",IFERROR(STDEV(_xlfn._xlws.FILTER(tblCarga[PSE Sessão]*tblCarga[Duração (min)],(tblCarga[Jogador]=A32)*(tblCarga[Microciclo (Nr)]=$B$5)*(tblCarga[Tipo]="Treino"))),0))</f>
        <v/>
      </c>
      <c r="F32" s="49">
        <f>IF(A32="","",IFERROR(D32/E32,0))</f>
        <v/>
      </c>
      <c r="G32" s="47">
        <f>IF(A32="","",C32*F32)</f>
        <v/>
      </c>
      <c r="H32" s="50">
        <f>IF(F32="","",IF(F32&gt;2,"ALTO",IF(F32&gt;1.5,"ATENCAO","OK")))</f>
        <v/>
      </c>
      <c r="I32" s="50">
        <f>IF(G32="","",IF(G32&gt;10000,"ALTO",IF(G32&gt;6000,"ATENCAO","OK")))</f>
        <v/>
      </c>
      <c r="J32" s="50">
        <f>IF(A32="","",IF(OR(F32&gt;2,G32&gt;10000),"ALTO",IF(OR(F32&gt;1.5,G32&gt;6000),"MEDIO","OK")))</f>
        <v/>
      </c>
    </row>
    <row r="33" outlineLevel="1">
      <c r="A33" s="51">
        <f t="array" ref="A33">IFERROR(INDEX(_xlfn._xlws.SORT(_xlfn.UNIQUE(_xlfn._xlws.FILTER(tblCarga[Jogador],(tblCarga[Microciclo (Nr)]=$B$5)*(tblCarga[Tipo]="Treino")))),ROW()-8),"")</f>
        <v/>
      </c>
      <c r="B33" s="52">
        <f>IF(A33="","",COUNTIFS(tblCarga[Jogador],A33,tblCarga[Microciclo (Nr)],$B$5,tblCarga[Tipo],"Treino"))</f>
        <v/>
      </c>
      <c r="C33" s="53">
        <f t="array" ref="C33">IF(A33="","",SUMPRODUCT((tblCarga[Jogador]=A33)*(tblCarga[Microciclo (Nr)]=$B$5)*(tblCarga[Tipo]="Treino")*tblCarga[PSE Sessão]*tblCarga[Duração (min)]))</f>
        <v/>
      </c>
      <c r="D33" s="54">
        <f>IF(A33="","",IFERROR(C33/B33,0))</f>
        <v/>
      </c>
      <c r="E33" s="54">
        <f t="array" ref="E33">IF(A33="","",IFERROR(STDEV(_xlfn._xlws.FILTER(tblCarga[PSE Sessão]*tblCarga[Duração (min)],(tblCarga[Jogador]=A33)*(tblCarga[Microciclo (Nr)]=$B$5)*(tblCarga[Tipo]="Treino"))),0))</f>
        <v/>
      </c>
      <c r="F33" s="55">
        <f>IF(A33="","",IFERROR(D33/E33,0))</f>
        <v/>
      </c>
      <c r="G33" s="53">
        <f>IF(A33="","",C33*F33)</f>
        <v/>
      </c>
      <c r="H33" s="56">
        <f>IF(F33="","",IF(F33&gt;2,"ALTO",IF(F33&gt;1.5,"ATENCAO","OK")))</f>
        <v/>
      </c>
      <c r="I33" s="56">
        <f>IF(G33="","",IF(G33&gt;10000,"ALTO",IF(G33&gt;6000,"ATENCAO","OK")))</f>
        <v/>
      </c>
      <c r="J33" s="56">
        <f>IF(A33="","",IF(OR(F33&gt;2,G33&gt;10000),"ALTO",IF(OR(F33&gt;1.5,G33&gt;6000),"MEDIO","OK")))</f>
        <v/>
      </c>
    </row>
    <row r="34">
      <c r="A34" s="22">
        <f t="array" ref="A34">IFERROR(INDEX(_xlfn._xlws.SORT(_xlfn.UNIQUE(_xlfn._xlws.FILTER(tblCarga[Jogador],(tblCarga[Microciclo (Nr)]=$B$5)*(tblCarga[Tipo]="Treino")))),ROW()-8),"")</f>
        <v/>
      </c>
      <c r="B34" s="97">
        <f>IF(A34="","",COUNTIFS(tblCarga[Jogador],A34,tblCarga[Microciclo (Nr)],$B$5,tblCarga[Tipo],"Treino"))</f>
        <v/>
      </c>
      <c r="C34" s="98">
        <f t="array" ref="C34">IF(A34="","",SUMPRODUCT((tblCarga[Jogador]=A34)*(tblCarga[Microciclo (Nr)]=$B$5)*(tblCarga[Tipo]="Treino")*tblCarga[PSE Sessão]*tblCarga[Duração (min)]))</f>
        <v/>
      </c>
      <c r="D34" s="99">
        <f>IF(A34="","",IFERROR(C34/B34,0))</f>
        <v/>
      </c>
      <c r="E34" s="99">
        <f t="array" ref="E34">IF(A34="","",IFERROR(STDEV(_xlfn._xlws.FILTER(tblCarga[PSE Sessão]*tblCarga[Duração (min)],(tblCarga[Jogador]=A34)*(tblCarga[Microciclo (Nr)]=$B$5)*(tblCarga[Tipo]="Treino"))),0))</f>
        <v/>
      </c>
      <c r="F34" s="100">
        <f>IF(A34="","",IFERROR(D34/E34,0))</f>
        <v/>
      </c>
      <c r="G34" s="98">
        <f>IF(A34="","",C34*F34)</f>
        <v/>
      </c>
      <c r="H34" s="101">
        <f>IF(F34="","",IF(F34&gt;2,"ALTO",IF(F34&gt;1.5,"ATENCAO","OK")))</f>
        <v/>
      </c>
      <c r="I34" s="50">
        <f>IF(G34="","",IF(G34&gt;10000,"ALTO",IF(G34&gt;6000,"ATENCAO","OK")))</f>
        <v/>
      </c>
      <c r="J34" s="50">
        <f>IF(A34="","",IF(OR(F34&gt;2,G34&gt;10000),"ALTO",IF(OR(F34&gt;1.5,G34&gt;6000),"MEDIO","OK")))</f>
        <v/>
      </c>
    </row>
    <row r="35">
      <c r="A35" s="603">
        <f t="array" ref="A35">IFERROR(INDEX(_xlfn._xlws.SORT(_xlfn.UNIQUE(_xlfn._xlws.FILTER(tblCarga[Jogador],(tblCarga[Microciclo (Nr)]=$B$5)*(tblCarga[Tipo]="Treino")))),ROW()-8),"")</f>
        <v/>
      </c>
      <c r="B35" s="82">
        <f>IF(A35="","",COUNTIFS(tblCarga[Jogador],A35,tblCarga[Microciclo (Nr)],$B$5,tblCarga[Tipo],"Treino"))</f>
        <v/>
      </c>
      <c r="C35" s="89">
        <f t="array" ref="C35">IF(A35="","",SUMPRODUCT((tblCarga[Jogador]=A35)*(tblCarga[Microciclo (Nr)]=$B$5)*(tblCarga[Tipo]="Treino")*tblCarga[PSE Sessão]*tblCarga[Duração (min)]))</f>
        <v/>
      </c>
      <c r="D35" s="102">
        <f>IF(A35="","",IFERROR(C35/B35,0))</f>
        <v/>
      </c>
      <c r="E35" s="102">
        <f t="array" ref="E35">IF(A35="","",IFERROR(STDEV(_xlfn._xlws.FILTER(tblCarga[PSE Sessão]*tblCarga[Duração (min)],(tblCarga[Jogador]=A35)*(tblCarga[Microciclo (Nr)]=$B$5)*(tblCarga[Tipo]="Treino"))),0))</f>
        <v/>
      </c>
      <c r="F35" s="87">
        <f>IF(A35="","",IFERROR(D35/E35,0))</f>
        <v/>
      </c>
      <c r="G35" s="89">
        <f>IF(A35="","",C35*F35)</f>
        <v/>
      </c>
      <c r="H35" s="91">
        <f>IF(F35="","",IF(F35&gt;2,"ALTO",IF(F35&gt;1.5,"ATENCAO","OK")))</f>
        <v/>
      </c>
      <c r="I35" s="44">
        <f>IF(G35="","",IF(G35&gt;10000,"ALTO",IF(G35&gt;6000,"ATENCAO","OK")))</f>
        <v/>
      </c>
      <c r="J35" s="56">
        <f>IF(A35="","",IF(OR(F35&gt;2,G35&gt;10000),"ALTO",IF(OR(F35&gt;1.5,G35&gt;6000),"MEDIO","OK")))</f>
        <v/>
      </c>
    </row>
    <row r="36" ht="27.95" customHeight="1">
      <c r="A36" s="600">
        <f t="array" ref="A36">IFERROR(INDEX(_xlfn._xlws.SORT(_xlfn.UNIQUE(_xlfn._xlws.FILTER(tblCarga[Jogador],(tblCarga[Microciclo (Nr)]=$B$5)*(tblCarga[Tipo]="Treino")))),ROW()-8),"")</f>
        <v/>
      </c>
      <c r="B36" s="344">
        <f>IF(A36="","",COUNTIFS(tblCarga[Jogador],A36,tblCarga[Microciclo (Nr)],$B$5,tblCarga[Tipo],"Treino"))</f>
        <v/>
      </c>
      <c r="C36" s="345">
        <f t="array" ref="C36">IF(A36="","",SUMPRODUCT((tblCarga[Jogador]=A36)*(tblCarga[Microciclo (Nr)]=$B$5)*(tblCarga[Tipo]="Treino")*tblCarga[PSE Sessão]*tblCarga[Duração (min)]))</f>
        <v/>
      </c>
      <c r="D36" s="346">
        <f>IF(A36="","",IFERROR(C36/B36,0))</f>
        <v/>
      </c>
      <c r="E36" s="346">
        <f t="array" ref="E36">IF(A36="","",IFERROR(STDEV(_xlfn._xlws.FILTER(tblCarga[PSE Sessão]*tblCarga[Duração (min)],(tblCarga[Jogador]=A36)*(tblCarga[Microciclo (Nr)]=$B$5)*(tblCarga[Tipo]="Treino"))),0))</f>
        <v/>
      </c>
      <c r="F36" s="347">
        <f>IF(A36="","",IFERROR(D36/E36,0))</f>
        <v/>
      </c>
      <c r="G36" s="345">
        <f>IF(A36="","",C36*F36)</f>
        <v/>
      </c>
      <c r="H36" s="348">
        <f>IF(F36="","",IF(F36&gt;2,"ALTO",IF(F36&gt;1.5,"ATENCAO","OK")))</f>
        <v/>
      </c>
      <c r="I36" s="45" t="inlineStr">
        <is>
          <t>Tendência</t>
        </is>
      </c>
      <c r="J36" s="349">
        <f>IF(A36="","",IF(OR(F36&gt;2,G36&gt;10000),"ALTO",IF(OR(F36&gt;1.5,G36&gt;6000),"MEDIO","OK")))</f>
        <v/>
      </c>
    </row>
    <row r="37" ht="36" customHeight="1">
      <c r="A37" s="191">
        <f t="array" ref="A37">IFERROR(INDEX(_xlfn._xlws.SORT(_xlfn.UNIQUE(_xlfn._xlws.FILTER(tblCarga[Jogador],(tblCarga[Microciclo (Nr)]=$B$5)*(tblCarga[Tipo]="Treino")))),ROW()-8),"")</f>
        <v/>
      </c>
      <c r="B37" s="353">
        <f>IF(A37="","",COUNTIFS(tblCarga[Jogador],A37,tblCarga[Microciclo (Nr)],$B$5,tblCarga[Tipo],"Treino"))</f>
        <v/>
      </c>
      <c r="C37" s="354">
        <f t="array" ref="C37">IF(A37="","",SUMPRODUCT((tblCarga[Jogador]=A37)*(tblCarga[Microciclo (Nr)]=$B$5)*(tblCarga[Tipo]="Treino")*tblCarga[PSE Sessão]*tblCarga[Duração (min)]))</f>
        <v/>
      </c>
      <c r="D37" s="355">
        <f>IF(A37="","",IFERROR(C37/B37,0))</f>
        <v/>
      </c>
      <c r="E37" s="355">
        <f t="array" ref="E37">IF(A37="","",IFERROR(STDEV(_xlfn._xlws.FILTER(tblCarga[PSE Sessão]*tblCarga[Duração (min)],(tblCarga[Jogador]=A37)*(tblCarga[Microciclo (Nr)]=$B$5)*(tblCarga[Tipo]="Treino"))),0))</f>
        <v/>
      </c>
      <c r="F37" s="356">
        <f>IF(A37="","",IFERROR(D37/E37,0))</f>
        <v/>
      </c>
      <c r="G37" s="354">
        <f>IF(A37="","",C37*F37)</f>
        <v/>
      </c>
      <c r="H37" s="191">
        <f>IF(F37="","",IF(F37&gt;2,"ALTO",IF(F37&gt;1.5,"ATENCAO","OK")))</f>
        <v/>
      </c>
      <c r="I37" s="191">
        <f>""</f>
        <v/>
      </c>
      <c r="J37" s="191">
        <f>IF(A37="","",IF(OR(F37&gt;2,G37&gt;10000),"ALTO",IF(OR(F37&gt;1.5,G37&gt;6000),"MEDIO","OK")))</f>
        <v/>
      </c>
    </row>
    <row r="38" ht="24" customHeight="1">
      <c r="A38" s="138">
        <f t="array" ref="A38">IFERROR(INDEX(_xlfn._xlws.SORT(_xlfn.UNIQUE(_xlfn._xlws.FILTER(tblCarga[Jogador],(tblCarga[Microciclo (Nr)]=$B$5)*(tblCarga[Tipo]="Treino")))),ROW()-8),"")</f>
        <v/>
      </c>
      <c r="B38" s="357">
        <f>IF(A38="","",COUNTIFS(tblCarga[Jogador],A38,tblCarga[Microciclo (Nr)],$B$5,tblCarga[Tipo],"Treino"))</f>
        <v/>
      </c>
      <c r="C38" s="358">
        <f t="array" ref="C38">IF(A38="","",SUMPRODUCT((tblCarga[Jogador]=A38)*(tblCarga[Microciclo (Nr)]=$B$5)*(tblCarga[Tipo]="Treino")*tblCarga[PSE Sessão]*tblCarga[Duração (min)]))</f>
        <v/>
      </c>
      <c r="D38" s="359">
        <f>IF(A38="","",IFERROR(C38/B38,0))</f>
        <v/>
      </c>
      <c r="E38" s="359">
        <f t="array" ref="E38">IF(A38="","",IFERROR(STDEV(_xlfn._xlws.FILTER(tblCarga[PSE Sessão]*tblCarga[Duração (min)],(tblCarga[Jogador]=A38)*(tblCarga[Microciclo (Nr)]=$B$5)*(tblCarga[Tipo]="Treino"))),0))</f>
        <v/>
      </c>
      <c r="F38" s="360">
        <f>IF(A38="","",IFERROR(D38/E38,0))</f>
        <v/>
      </c>
      <c r="G38" s="358">
        <f>IF(A38="","",C38*F38)</f>
        <v/>
      </c>
      <c r="H38" s="137">
        <f>IF(F38="","",IF(F38&gt;2,"ALTO",IF(F38&gt;1.5,"ATENCAO","OK")))</f>
        <v/>
      </c>
      <c r="I38" s="137">
        <f>IF(A38="","",IF(AND(G38&gt;0,H38&gt;0),"UP",IF(AND(G38&lt;0,H38&lt;0),"DOWN","STABLE")))</f>
        <v/>
      </c>
      <c r="J38" s="137">
        <f>IF(A38="","",IF(OR(F38&gt;2,G38&gt;10000),"ALTO",IF(OR(F38&gt;1.5,G38&gt;6000),"MEDIO","OK")))</f>
        <v/>
      </c>
    </row>
    <row r="39" ht="24" customHeight="1">
      <c r="A39" s="363" t="n"/>
      <c r="B39" s="363" t="n"/>
      <c r="C39" s="363" t="n"/>
      <c r="D39" s="363" t="n"/>
      <c r="E39" s="363" t="n"/>
      <c r="F39" s="363" t="n"/>
      <c r="G39" s="363" t="n"/>
      <c r="H39" s="363" t="n"/>
      <c r="I39" s="364">
        <f>IF(A39="","",IF(AND(G39&gt;0,H39&gt;0),"UP",IF(AND(G39&lt;0,H39&lt;0),"DOWN","STABLE")))</f>
        <v/>
      </c>
      <c r="J39" s="363" t="n"/>
    </row>
    <row r="40" ht="24" customHeight="1">
      <c r="A40" s="368" t="inlineStr">
        <is>
          <t>B — EVOLUÇÃO MONOTONIA &amp; STRAIN POR MICROCICLO  (Média da Equipa — Treinos)</t>
        </is>
      </c>
      <c r="B40" s="369" t="n"/>
      <c r="C40" s="369" t="n"/>
      <c r="D40" s="369" t="n"/>
      <c r="E40" s="369" t="n"/>
      <c r="F40" s="369" t="n"/>
      <c r="G40" s="369" t="n"/>
      <c r="H40" s="369" t="n"/>
      <c r="I40" s="370">
        <f>IF(A40="","",IF(AND(G40&gt;0,H40&gt;0),"UP",IF(AND(G40&lt;0,H40&lt;0),"DOWN","STABLE")))</f>
        <v/>
      </c>
      <c r="J40" s="369" t="n"/>
    </row>
    <row r="41" ht="24" customHeight="1">
      <c r="A41" s="371" t="inlineStr">
        <is>
          <t>Microciclo</t>
        </is>
      </c>
      <c r="B41" s="371" t="inlineStr">
        <is>
          <t>Nº Treinos</t>
        </is>
      </c>
      <c r="C41" s="371" t="inlineStr">
        <is>
          <t>Nº Jogadores</t>
        </is>
      </c>
      <c r="D41" s="371" t="inlineStr">
        <is>
          <t>Carga Média
Equipa (CI)</t>
        </is>
      </c>
      <c r="E41" s="371" t="inlineStr">
        <is>
          <t>Monotonia
Média</t>
        </is>
      </c>
      <c r="F41" s="371" t="inlineStr">
        <is>
          <t>Strain
Médio</t>
        </is>
      </c>
      <c r="G41" s="371" t="inlineStr">
        <is>
          <t>Δ Monot.
vs anterior</t>
        </is>
      </c>
      <c r="H41" s="371" t="inlineStr">
        <is>
          <t>Δ Strain
vs anterior</t>
        </is>
      </c>
      <c r="I41" s="364">
        <f>IF(A41="","",IF(AND(G41&gt;0,H41&gt;0),"UP",IF(AND(G41&lt;0,H41&lt;0),"DOWN","STABLE")))</f>
        <v/>
      </c>
      <c r="J41" s="363" t="n"/>
    </row>
    <row r="42" ht="24" customHeight="1">
      <c r="A42" s="369">
        <f t="array" ref="A42">IFERROR(SMALL(_xlfn.UNIQUE(_xlfn._xlws.FILTER(tblCarga[Microciclo (Nr)],tblCarga[Tipo]="Treino")),ROW()-41),"")</f>
        <v/>
      </c>
      <c r="B42" s="369">
        <f>IF(A42="","",COUNTIFS(tblCarga[Microciclo (Nr)],A42,tblCarga[Tipo],"Treino"))</f>
        <v/>
      </c>
      <c r="C42" s="369">
        <f t="array" ref="C42">IF(A42="","",IFERROR(ROWS(_xlfn.UNIQUE(_xlfn._xlws.FILTER(tblCarga[Jogador],(tblCarga[Microciclo (Nr)]=A42)*(tblCarga[Tipo]="Treino")))),0))</f>
        <v/>
      </c>
      <c r="D42" s="369">
        <f t="array" ref="D42">IF(A42="","",SUMPRODUCT((tblCarga[Microciclo (Nr)]=A42)*(tblCarga[Tipo]="Treino")*tblCarga[PSE Sessão]*tblCarga[Duração (min)])/B42)</f>
        <v/>
      </c>
      <c r="E42" s="373">
        <f t="array" ref="E42">IF(A42="","",IFERROR(D42/STDEV(_xlfn._xlws.FILTER(tblCarga[PSE Sessão]*tblCarga[Duração (min)],(tblCarga[Microciclo (Nr)]=A42)*(tblCarga[Tipo]="Treino"))),0))</f>
        <v/>
      </c>
      <c r="F42" s="374">
        <f t="array" ref="F42">IF(A42="","",SUMPRODUCT((tblCarga[Microciclo (Nr)]=A42)*(tblCarga[Tipo]="Treino")*tblCarga[PSE Sessão]*tblCarga[Duração (min)])*E42)</f>
        <v/>
      </c>
      <c r="G42" s="373">
        <f>""</f>
        <v/>
      </c>
      <c r="H42" s="374">
        <f>""</f>
        <v/>
      </c>
      <c r="I42" s="370">
        <f>IF(A42="","",IF(AND(G42&gt;0,H42&gt;0),"UP",IF(AND(G42&lt;0,H42&lt;0),"DOWN","STABLE")))</f>
        <v/>
      </c>
      <c r="J42" s="369" t="n"/>
    </row>
    <row r="43" ht="24" customHeight="1">
      <c r="A43" s="363">
        <f t="array" ref="A43">IFERROR(SMALL(_xlfn.UNIQUE(_xlfn._xlws.FILTER(tblCarga[Microciclo (Nr)],tblCarga[Tipo]="Treino")),ROW()-41),"")</f>
        <v/>
      </c>
      <c r="B43" s="363">
        <f>IF(A43="","",COUNTIFS(tblCarga[Microciclo (Nr)],A43,tblCarga[Tipo],"Treino"))</f>
        <v/>
      </c>
      <c r="C43" s="363">
        <f t="array" ref="C43">IF(A43="","",IFERROR(ROWS(_xlfn.UNIQUE(_xlfn._xlws.FILTER(tblCarga[Jogador],(tblCarga[Microciclo (Nr)]=A43)*(tblCarga[Tipo]="Treino")))),0))</f>
        <v/>
      </c>
      <c r="D43" s="363">
        <f t="array" ref="D43">IF(A43="","",SUMPRODUCT((tblCarga[Microciclo (Nr)]=A43)*(tblCarga[Tipo]="Treino")*tblCarga[PSE Sessão]*tblCarga[Duração (min)])/B43)</f>
        <v/>
      </c>
      <c r="E43" s="377">
        <f t="array" ref="E43">IF(A43="","",IFERROR(D43/STDEV(_xlfn._xlws.FILTER(tblCarga[PSE Sessão]*tblCarga[Duração (min)],(tblCarga[Microciclo (Nr)]=A43)*(tblCarga[Tipo]="Treino"))),0))</f>
        <v/>
      </c>
      <c r="F43" s="378">
        <f t="array" ref="F43">IF(A43="","",SUMPRODUCT((tblCarga[Microciclo (Nr)]=A43)*(tblCarga[Tipo]="Treino")*tblCarga[PSE Sessão]*tblCarga[Duração (min)])*E43)</f>
        <v/>
      </c>
      <c r="G43" s="377">
        <f>IF(A43="","",IFERROR(E43/E42-1,"—"))</f>
        <v/>
      </c>
      <c r="H43" s="378">
        <f>IF(A43="","",IFERROR(F43/F42-1,"—"))</f>
        <v/>
      </c>
      <c r="I43" s="364">
        <f>IF(A43="","",IF(AND(G43&gt;0,H43&gt;0),"UP",IF(AND(G43&lt;0,H43&lt;0),"DOWN","STABLE")))</f>
        <v/>
      </c>
      <c r="J43" s="363" t="n"/>
    </row>
    <row r="44" outlineLevel="1" ht="24" customHeight="1">
      <c r="A44" s="369">
        <f t="array" ref="A44">IFERROR(SMALL(_xlfn.UNIQUE(_xlfn._xlws.FILTER(tblCarga[Microciclo (Nr)],tblCarga[Tipo]="Treino")),ROW()-41),"")</f>
        <v/>
      </c>
      <c r="B44" s="369">
        <f>IF(A44="","",COUNTIFS(tblCarga[Microciclo (Nr)],A44,tblCarga[Tipo],"Treino"))</f>
        <v/>
      </c>
      <c r="C44" s="369">
        <f t="array" ref="C44">IF(A44="","",IFERROR(ROWS(_xlfn.UNIQUE(_xlfn._xlws.FILTER(tblCarga[Jogador],(tblCarga[Microciclo (Nr)]=A44)*(tblCarga[Tipo]="Treino")))),0))</f>
        <v/>
      </c>
      <c r="D44" s="369">
        <f t="array" ref="D44">IF(A44="","",SUMPRODUCT((tblCarga[Microciclo (Nr)]=A44)*(tblCarga[Tipo]="Treino")*tblCarga[PSE Sessão]*tblCarga[Duração (min)])/B44)</f>
        <v/>
      </c>
      <c r="E44" s="373">
        <f t="array" ref="E44">IF(A44="","",IFERROR(D44/STDEV(_xlfn._xlws.FILTER(tblCarga[PSE Sessão]*tblCarga[Duração (min)],(tblCarga[Microciclo (Nr)]=A44)*(tblCarga[Tipo]="Treino"))),0))</f>
        <v/>
      </c>
      <c r="F44" s="374">
        <f t="array" ref="F44">IF(A44="","",SUMPRODUCT((tblCarga[Microciclo (Nr)]=A44)*(tblCarga[Tipo]="Treino")*tblCarga[PSE Sessão]*tblCarga[Duração (min)])*E44)</f>
        <v/>
      </c>
      <c r="G44" s="373">
        <f>IF(A44="","",IFERROR(E44/E43-1,"—"))</f>
        <v/>
      </c>
      <c r="H44" s="374">
        <f>IF(A44="","",IFERROR(F44/F43-1,"—"))</f>
        <v/>
      </c>
      <c r="I44" s="370">
        <f>IF(A44="","",IF(AND(G44&gt;0,H44&gt;0),"UP",IF(AND(G44&lt;0,H44&lt;0),"DOWN","STABLE")))</f>
        <v/>
      </c>
      <c r="J44" s="369" t="n"/>
    </row>
    <row r="45" outlineLevel="1" ht="24" customHeight="1">
      <c r="A45" s="361">
        <f t="array" ref="A45">IFERROR(SMALL(_xlfn.UNIQUE(_xlfn._xlws.FILTER(tblCarga[Microciclo (Nr)],tblCarga[Tipo]="Treino")),ROW()-41),"")</f>
        <v/>
      </c>
      <c r="B45" s="361">
        <f>IF(A45="","",COUNTIFS(tblCarga[Microciclo (Nr)],A45,tblCarga[Tipo],"Treino"))</f>
        <v/>
      </c>
      <c r="C45" s="361">
        <f t="array" ref="C45">IF(A45="","",IFERROR(ROWS(_xlfn.UNIQUE(_xlfn._xlws.FILTER(tblCarga[Jogador],(tblCarga[Microciclo (Nr)]=A45)*(tblCarga[Tipo]="Treino")))),0))</f>
        <v/>
      </c>
      <c r="D45" s="361">
        <f t="array" ref="D45">IF(A45="","",SUMPRODUCT((tblCarga[Microciclo (Nr)]=A45)*(tblCarga[Tipo]="Treino")*tblCarga[PSE Sessão]*tblCarga[Duração (min)])/B45)</f>
        <v/>
      </c>
      <c r="E45" s="375">
        <f t="array" ref="E45">IF(A45="","",IFERROR(D45/STDEV(_xlfn._xlws.FILTER(tblCarga[PSE Sessão]*tblCarga[Duração (min)],(tblCarga[Microciclo (Nr)]=A45)*(tblCarga[Tipo]="Treino"))),0))</f>
        <v/>
      </c>
      <c r="F45" s="376">
        <f t="array" ref="F45">IF(A45="","",SUMPRODUCT((tblCarga[Microciclo (Nr)]=A45)*(tblCarga[Tipo]="Treino")*tblCarga[PSE Sessão]*tblCarga[Duração (min)])*E45)</f>
        <v/>
      </c>
      <c r="G45" s="375">
        <f>IF(A45="","",IFERROR(E45/E44-1,"—"))</f>
        <v/>
      </c>
      <c r="H45" s="376">
        <f>IF(A45="","",IFERROR(F45/F44-1,"—"))</f>
        <v/>
      </c>
      <c r="I45" s="362">
        <f>""</f>
        <v/>
      </c>
      <c r="J45" s="361" t="n"/>
    </row>
    <row r="46" outlineLevel="1">
      <c r="A46">
        <f t="array" ref="A46">IFERROR(SMALL(_xlfn.UNIQUE(_xlfn._xlws.FILTER(tblCarga[Microciclo (Nr)],tblCarga[Tipo]="Treino")),ROW()-41),"")</f>
        <v/>
      </c>
      <c r="B46">
        <f>IF(A46="","",COUNTIFS(tblCarga[Microciclo (Nr)],A46,tblCarga[Tipo],"Treino"))</f>
        <v/>
      </c>
      <c r="C46">
        <f t="array" ref="C46">IF(A46="","",IFERROR(ROWS(_xlfn.UNIQUE(_xlfn._xlws.FILTER(tblCarga[Jogador],(tblCarga[Microciclo (Nr)]=A46)*(tblCarga[Tipo]="Treino")))),0))</f>
        <v/>
      </c>
      <c r="D46">
        <f t="array" ref="D46">IF(A46="","",SUMPRODUCT((tblCarga[Microciclo (Nr)]=A46)*(tblCarga[Tipo]="Treino")*tblCarga[PSE Sessão]*tblCarga[Duração (min)])/B46)</f>
        <v/>
      </c>
      <c r="E46" s="6">
        <f t="array" ref="E46">IF(A46="","",IFERROR(D46/STDEV(_xlfn._xlws.FILTER(tblCarga[PSE Sessão]*tblCarga[Duração (min)],(tblCarga[Microciclo (Nr)]=A46)*(tblCarga[Tipo]="Treino"))),0))</f>
        <v/>
      </c>
      <c r="F46" s="4">
        <f t="array" ref="F46">IF(A46="","",SUMPRODUCT((tblCarga[Microciclo (Nr)]=A46)*(tblCarga[Tipo]="Treino")*tblCarga[PSE Sessão]*tblCarga[Duração (min)])*E46)</f>
        <v/>
      </c>
      <c r="G46" s="6">
        <f>IF(A46="","",IFERROR(E46/E45-1,"—"))</f>
        <v/>
      </c>
      <c r="H46" s="4">
        <f>IF(A46="","",IFERROR(F46/F45-1,"—"))</f>
        <v/>
      </c>
      <c r="I46" s="50">
        <f>IF(A46="","",IF(AND(G46&gt;0,H46&gt;0),"UP",IF(AND(G46&lt;0,H46&lt;0),"DOWN","STABLE")))</f>
        <v/>
      </c>
    </row>
    <row r="47" outlineLevel="1">
      <c r="A47">
        <f t="array" ref="A47">IFERROR(SMALL(_xlfn.UNIQUE(_xlfn._xlws.FILTER(tblCarga[Microciclo (Nr)],tblCarga[Tipo]="Treino")),ROW()-41),"")</f>
        <v/>
      </c>
      <c r="B47">
        <f>IF(A47="","",COUNTIFS(tblCarga[Microciclo (Nr)],A47,tblCarga[Tipo],"Treino"))</f>
        <v/>
      </c>
      <c r="C47">
        <f t="array" ref="C47">IF(A47="","",IFERROR(ROWS(_xlfn.UNIQUE(_xlfn._xlws.FILTER(tblCarga[Jogador],(tblCarga[Microciclo (Nr)]=A47)*(tblCarga[Tipo]="Treino")))),0))</f>
        <v/>
      </c>
      <c r="D47">
        <f t="array" ref="D47">IF(A47="","",SUMPRODUCT((tblCarga[Microciclo (Nr)]=A47)*(tblCarga[Tipo]="Treino")*tblCarga[PSE Sessão]*tblCarga[Duração (min)])/B47)</f>
        <v/>
      </c>
      <c r="E47" s="6">
        <f t="array" ref="E47">IF(A47="","",IFERROR(D47/STDEV(_xlfn._xlws.FILTER(tblCarga[PSE Sessão]*tblCarga[Duração (min)],(tblCarga[Microciclo (Nr)]=A47)*(tblCarga[Tipo]="Treino"))),0))</f>
        <v/>
      </c>
      <c r="F47" s="4">
        <f t="array" ref="F47">IF(A47="","",SUMPRODUCT((tblCarga[Microciclo (Nr)]=A47)*(tblCarga[Tipo]="Treino")*tblCarga[PSE Sessão]*tblCarga[Duração (min)])*E47)</f>
        <v/>
      </c>
      <c r="G47" s="6">
        <f>IF(A47="","",IFERROR(E47/E46-1,"—"))</f>
        <v/>
      </c>
      <c r="H47" s="4">
        <f>IF(A47="","",IFERROR(F47/F46-1,"—"))</f>
        <v/>
      </c>
      <c r="I47" s="56">
        <f>""</f>
        <v/>
      </c>
    </row>
    <row r="48" outlineLevel="1">
      <c r="A48">
        <f t="array" ref="A48">IFERROR(SMALL(_xlfn.UNIQUE(_xlfn._xlws.FILTER(tblCarga[Microciclo (Nr)],tblCarga[Tipo]="Treino")),ROW()-41),"")</f>
        <v/>
      </c>
      <c r="B48">
        <f>IF(A48="","",COUNTIFS(tblCarga[Microciclo (Nr)],A48,tblCarga[Tipo],"Treino"))</f>
        <v/>
      </c>
      <c r="C48">
        <f t="array" ref="C48">IF(A48="","",IFERROR(ROWS(_xlfn.UNIQUE(_xlfn._xlws.FILTER(tblCarga[Jogador],(tblCarga[Microciclo (Nr)]=A48)*(tblCarga[Tipo]="Treino")))),0))</f>
        <v/>
      </c>
      <c r="D48">
        <f t="array" ref="D48">IF(A48="","",SUMPRODUCT((tblCarga[Microciclo (Nr)]=A48)*(tblCarga[Tipo]="Treino")*tblCarga[PSE Sessão]*tblCarga[Duração (min)])/B48)</f>
        <v/>
      </c>
      <c r="E48" s="6">
        <f t="array" ref="E48">IF(A48="","",IFERROR(D48/STDEV(_xlfn._xlws.FILTER(tblCarga[PSE Sessão]*tblCarga[Duração (min)],(tblCarga[Microciclo (Nr)]=A48)*(tblCarga[Tipo]="Treino"))),0))</f>
        <v/>
      </c>
      <c r="F48" s="4">
        <f t="array" ref="F48">IF(A48="","",SUMPRODUCT((tblCarga[Microciclo (Nr)]=A48)*(tblCarga[Tipo]="Treino")*tblCarga[PSE Sessão]*tblCarga[Duração (min)])*E48)</f>
        <v/>
      </c>
      <c r="G48" s="6">
        <f>IF(A48="","",IFERROR(E48/E47-1,"—"))</f>
        <v/>
      </c>
      <c r="H48" s="4">
        <f>IF(A48="","",IFERROR(F48/F47-1,"—"))</f>
        <v/>
      </c>
      <c r="I48" s="50">
        <f>IF(A48="","",IF(AND(G48&gt;0,H48&gt;0),"UP",IF(AND(G48&lt;0,H48&lt;0),"DOWN","STABLE")))</f>
        <v/>
      </c>
    </row>
    <row r="49" outlineLevel="1">
      <c r="A49">
        <f t="array" ref="A49">IFERROR(SMALL(_xlfn.UNIQUE(_xlfn._xlws.FILTER(tblCarga[Microciclo (Nr)],tblCarga[Tipo]="Treino")),ROW()-41),"")</f>
        <v/>
      </c>
      <c r="B49">
        <f>IF(A49="","",COUNTIFS(tblCarga[Microciclo (Nr)],A49,tblCarga[Tipo],"Treino"))</f>
        <v/>
      </c>
      <c r="C49">
        <f t="array" ref="C49">IF(A49="","",IFERROR(ROWS(_xlfn.UNIQUE(_xlfn._xlws.FILTER(tblCarga[Jogador],(tblCarga[Microciclo (Nr)]=A49)*(tblCarga[Tipo]="Treino")))),0))</f>
        <v/>
      </c>
      <c r="D49">
        <f t="array" ref="D49">IF(A49="","",SUMPRODUCT((tblCarga[Microciclo (Nr)]=A49)*(tblCarga[Tipo]="Treino")*tblCarga[PSE Sessão]*tblCarga[Duração (min)])/B49)</f>
        <v/>
      </c>
      <c r="E49" s="6">
        <f t="array" ref="E49">IF(A49="","",IFERROR(D49/STDEV(_xlfn._xlws.FILTER(tblCarga[PSE Sessão]*tblCarga[Duração (min)],(tblCarga[Microciclo (Nr)]=A49)*(tblCarga[Tipo]="Treino"))),0))</f>
        <v/>
      </c>
      <c r="F49" s="4">
        <f t="array" ref="F49">IF(A49="","",SUMPRODUCT((tblCarga[Microciclo (Nr)]=A49)*(tblCarga[Tipo]="Treino")*tblCarga[PSE Sessão]*tblCarga[Duração (min)])*E49)</f>
        <v/>
      </c>
      <c r="G49" s="6">
        <f>IF(A49="","",IFERROR(E49/E48-1,"—"))</f>
        <v/>
      </c>
      <c r="H49" s="4">
        <f>IF(A49="","",IFERROR(F49/F48-1,"—"))</f>
        <v/>
      </c>
      <c r="I49" s="56">
        <f>""</f>
        <v/>
      </c>
    </row>
    <row r="50" outlineLevel="1">
      <c r="I50" s="50">
        <f>IF(A50="","",IF(AND(G50&gt;0,H50&gt;0),"UP",IF(AND(G50&lt;0,H50&lt;0),"DOWN","STABLE")))</f>
        <v/>
      </c>
    </row>
  </sheetData>
  <conditionalFormatting sqref="F9:F17">
    <cfRule type="colorScale" priority="35">
      <colorScale>
        <cfvo type="min"/>
        <cfvo type="num" val="50"/>
        <cfvo type="max"/>
        <color rgb="FF52C41A"/>
        <color rgb="FFFAAD14"/>
        <color rgb="FFFF4D4F"/>
      </colorScale>
    </cfRule>
  </conditionalFormatting>
  <conditionalFormatting sqref="F9:F38">
    <cfRule type="cellIs" priority="25" operator="greaterThan" dxfId="4">
      <formula>2</formula>
    </cfRule>
    <cfRule type="cellIs" priority="26" operator="between" dxfId="1">
      <formula>1.5</formula>
      <formula>2</formula>
    </cfRule>
    <cfRule type="cellIs" priority="27" operator="lessThan" dxfId="0">
      <formula>1.5</formula>
    </cfRule>
  </conditionalFormatting>
  <conditionalFormatting sqref="G9:G17">
    <cfRule type="colorScale" priority="36">
      <colorScale>
        <cfvo type="min"/>
        <cfvo type="num" val="50"/>
        <cfvo type="max"/>
        <color rgb="FF52C41A"/>
        <color rgb="FFFAAD14"/>
        <color rgb="FFFF4D4F"/>
      </colorScale>
    </cfRule>
  </conditionalFormatting>
  <conditionalFormatting sqref="G9:G38">
    <cfRule type="cellIs" priority="28" operator="greaterThan" dxfId="4">
      <formula>10000</formula>
    </cfRule>
    <cfRule type="cellIs" priority="29" operator="between" dxfId="1">
      <formula>6000</formula>
      <formula>10000</formula>
    </cfRule>
    <cfRule type="cellIs" priority="30" operator="lessThan" dxfId="0">
      <formula>6000</formula>
    </cfRule>
  </conditionalFormatting>
  <conditionalFormatting sqref="H9:J34 H35:H38 J35:J38">
    <cfRule type="containsText" priority="31" operator="containsText" dxfId="4" text="ALTO">
      <formula>NOT(ISERROR(SEARCH("ALTO",H9)))</formula>
    </cfRule>
    <cfRule type="containsText" priority="32" operator="containsText" dxfId="1" text="ATENCAO">
      <formula>NOT(ISERROR(SEARCH("ATENCAO",H9)))</formula>
    </cfRule>
    <cfRule type="containsText" priority="33" operator="containsText" dxfId="1" text="MEDIO">
      <formula>NOT(ISERROR(SEARCH("MEDIO",H9)))</formula>
    </cfRule>
    <cfRule type="containsText" priority="34" operator="containsText" dxfId="0" text="OK">
      <formula>NOT(ISERROR(SEARCH("OK",H9)))</formula>
    </cfRule>
  </conditionalFormatting>
  <conditionalFormatting sqref="I37:I50">
    <cfRule type="containsText" priority="22" operator="containsText" dxfId="36" text="UP">
      <formula>NOT(ISERROR(SEARCH("UP",I37)))</formula>
    </cfRule>
    <cfRule type="containsText" priority="23" operator="containsText" dxfId="15" text="DOWN">
      <formula>NOT(ISERROR(SEARCH("DOWN",I37)))</formula>
    </cfRule>
    <cfRule type="containsText" priority="24" operator="containsText" dxfId="34" text="STABLE">
      <formula>NOT(ISERROR(SEARCH("STABLE",I37)))</formula>
    </cfRule>
  </conditionalFormatting>
  <dataValidations count="1">
    <dataValidation sqref="B5" showDropDown="0" showInputMessage="1" showErrorMessage="1" allowBlank="1" type="list">
      <formula1>"4,5,6,7,8,9,10"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63B3ED"/>
    <outlinePr summaryBelow="1" summaryRight="1"/>
    <pageSetUpPr/>
  </sheetPr>
  <dimension ref="A1:K222"/>
  <sheetViews>
    <sheetView zoomScale="6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5" sqref="G5"/>
    </sheetView>
  </sheetViews>
  <sheetFormatPr baseColWidth="8" defaultRowHeight="15" outlineLevelRow="1"/>
  <cols>
    <col width="13.85546875" bestFit="1" customWidth="1" min="1" max="1"/>
    <col width="14.7109375" bestFit="1" customWidth="1" min="2" max="2"/>
    <col width="19.42578125" bestFit="1" customWidth="1" min="3" max="3"/>
    <col width="12.140625" bestFit="1" customWidth="1" min="4" max="4"/>
    <col width="15" bestFit="1" customWidth="1" min="5" max="5"/>
    <col width="15.85546875" bestFit="1" customWidth="1" min="6" max="6"/>
    <col width="11.42578125" bestFit="1" customWidth="1" min="7" max="7"/>
    <col width="10.85546875" bestFit="1" customWidth="1" min="8" max="8"/>
    <col width="13.5703125" bestFit="1" customWidth="1" min="9" max="9"/>
    <col width="10.85546875" bestFit="1" customWidth="1" min="10" max="10"/>
    <col width="13.140625" bestFit="1" customWidth="1" min="11" max="11"/>
  </cols>
  <sheetData>
    <row r="1" ht="42" customHeight="1">
      <c r="A1" s="594" t="inlineStr">
        <is>
          <t>🏃  MONITORIZAÇÃO DE VELOCIDADE MÁXIMA  |  Recordes · Dias sem ≥90% Vmáx · Alertas</t>
        </is>
      </c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27.95" customHeight="1">
      <c r="A3" s="596" t="inlineStr">
        <is>
          <t>A — PERFIL DE VELOCIDADE &amp; ALERTA DE INACTIVIDADE  |  Todos os jogadores</t>
        </is>
      </c>
    </row>
    <row r="4" ht="6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46.5" customHeight="1" thickBot="1">
      <c r="A5" s="195" t="inlineStr">
        <is>
          <t>Jogador</t>
        </is>
      </c>
      <c r="B5" s="195" t="inlineStr">
        <is>
          <t>Posição</t>
        </is>
      </c>
      <c r="C5" s="195" t="inlineStr">
        <is>
          <t>Vmáx Record
(km/h)</t>
        </is>
      </c>
      <c r="D5" s="195" t="inlineStr">
        <is>
          <t>Última Vmáx
(km/h)</t>
        </is>
      </c>
      <c r="E5" s="195" t="inlineStr">
        <is>
          <t>Última Data
≥90% Vmáx</t>
        </is>
      </c>
      <c r="F5" s="195" t="inlineStr">
        <is>
          <t>Dias sem
≥90% Vmáx</t>
        </is>
      </c>
      <c r="G5" s="195" t="inlineStr">
        <is>
          <t>Última Data
≥95% Vmáx</t>
        </is>
      </c>
      <c r="H5" s="195" t="inlineStr">
        <is>
          <t>Dias sem
≥95% Vmáx</t>
        </is>
      </c>
      <c r="I5" s="195" t="inlineStr">
        <is>
          <t>Total Sessões
≥90% Vmáx</t>
        </is>
      </c>
      <c r="J5" s="195" t="inlineStr">
        <is>
          <t>% Sessões
≥90% Vmáx</t>
        </is>
      </c>
      <c r="K5" s="195" t="inlineStr">
        <is>
          <t>Alerta</t>
        </is>
      </c>
    </row>
    <row r="6" ht="26.1" customHeight="1">
      <c r="A6" s="325">
        <f t="array" ref="A6:A14">_xlfn._xlws.SORT(_xlfn.UNIQUE(tblCarga[Jogador]))</f>
        <v/>
      </c>
      <c r="B6" s="379">
        <f>_xlfn.XLOOKUP(A6,tblCarga[Jogador],tblCarga[Posição])</f>
        <v/>
      </c>
      <c r="C6" s="380">
        <f>_xlfn.MAXIFS(tblCarga[Vel. Máx (km/h)],tblCarga[Jogador],A6)</f>
        <v/>
      </c>
      <c r="D6" s="380">
        <f t="array" ref="D6">IFERROR(INDEX(_xlfn._xlws.FILTER(tblCarga[Vel. Máx (km/h)],(tblCarga[Jogador]=A6)*(tblCarga[Data]=_xlfn.MAXIFS(tblCarga[Data],tblCarga[Jogador],A6))),1),"")</f>
        <v/>
      </c>
      <c r="E6" s="381">
        <f>IFERROR(_xlfn.MAXIFS(tblCarga[Data],tblCarga[Jogador],A6,tblCarga[Nº ≥90% Vmáx],"&gt;0"),"—")</f>
        <v/>
      </c>
      <c r="F6" s="382">
        <f>IF(E6="—","—",TODAY()-E6)</f>
        <v/>
      </c>
      <c r="G6" s="381">
        <f>IFERROR(_xlfn.MAXIFS(tblCarga[Data],tblCarga[Jogador],A6,tblCarga[Nº ≥95% Vmáx],"&gt;0"),"—")</f>
        <v/>
      </c>
      <c r="H6" s="382">
        <f>IF(G6="—","—",TODAY()-G6)</f>
        <v/>
      </c>
      <c r="I6" s="379">
        <f>COUNTIFS(tblCarga[Jogador],A6,tblCarga[Nº ≥90% Vmáx],"&gt;0")</f>
        <v/>
      </c>
      <c r="J6" s="383">
        <f>I6/COUNTIF(tblCarga[Jogador],A6)</f>
        <v/>
      </c>
      <c r="K6" s="379">
        <f>IF(F6="—","⚪ S/D",IF(F6&gt;14,"🔴 &gt;14d",IF(F6&gt;7,"🟡 &gt;7d","🟢 OK")))</f>
        <v/>
      </c>
    </row>
    <row r="7" ht="26.1" customHeight="1">
      <c r="A7" s="141" t="inlineStr">
        <is>
          <t>Capitulo</t>
        </is>
      </c>
      <c r="B7" s="143">
        <f>_xlfn.XLOOKUP(A7,tblCarga[Jogador],tblCarga[Posição])</f>
        <v/>
      </c>
      <c r="C7" s="388">
        <f>_xlfn.MAXIFS(tblCarga[Vel. Máx (km/h)],tblCarga[Jogador],A7)</f>
        <v/>
      </c>
      <c r="D7" s="388">
        <f t="array" ref="D7">IFERROR(INDEX(_xlfn._xlws.FILTER(tblCarga[Vel. Máx (km/h)],(tblCarga[Jogador]=A7)*(tblCarga[Data]=_xlfn.MAXIFS(tblCarga[Data],tblCarga[Jogador],A7))),1),"")</f>
        <v/>
      </c>
      <c r="E7" s="389">
        <f>IFERROR(_xlfn.MAXIFS(tblCarga[Data],tblCarga[Jogador],A7,tblCarga[Nº ≥90% Vmáx],"&gt;0"),"—")</f>
        <v/>
      </c>
      <c r="F7" s="390">
        <f>IF(E7="—","—",TODAY()-E7)</f>
        <v/>
      </c>
      <c r="G7" s="389">
        <f>IFERROR(_xlfn.MAXIFS(tblCarga[Data],tblCarga[Jogador],A7,tblCarga[Nº ≥95% Vmáx],"&gt;0"),"—")</f>
        <v/>
      </c>
      <c r="H7" s="390">
        <f>IF(G7="—","—",TODAY()-G7)</f>
        <v/>
      </c>
      <c r="I7" s="143">
        <f>COUNTIFS(tblCarga[Jogador],A7,tblCarga[Nº ≥90% Vmáx],"&gt;0")</f>
        <v/>
      </c>
      <c r="J7" s="391">
        <f>I7/COUNTIF(tblCarga[Jogador],A7)</f>
        <v/>
      </c>
      <c r="K7" s="143">
        <f>IF(F7="—","⚪ S/D",IF(F7&gt;14,"🔴 &gt;14d",IF(F7&gt;7,"🟡 &gt;7d","🟢 OK")))</f>
        <v/>
      </c>
    </row>
    <row r="8" ht="26.1" customHeight="1">
      <c r="A8" s="146" t="inlineStr">
        <is>
          <t>Edu</t>
        </is>
      </c>
      <c r="B8" s="148">
        <f>_xlfn.XLOOKUP(A8,tblCarga[Jogador],tblCarga[Posição])</f>
        <v/>
      </c>
      <c r="C8" s="392">
        <f>_xlfn.MAXIFS(tblCarga[Vel. Máx (km/h)],tblCarga[Jogador],A8)</f>
        <v/>
      </c>
      <c r="D8" s="392">
        <f t="array" ref="D8">IFERROR(INDEX(_xlfn._xlws.FILTER(tblCarga[Vel. Máx (km/h)],(tblCarga[Jogador]=A8)*(tblCarga[Data]=_xlfn.MAXIFS(tblCarga[Data],tblCarga[Jogador],A8))),1),"")</f>
        <v/>
      </c>
      <c r="E8" s="393">
        <f>IFERROR(_xlfn.MAXIFS(tblCarga[Data],tblCarga[Jogador],A8,tblCarga[Nº ≥90% Vmáx],"&gt;0"),"—")</f>
        <v/>
      </c>
      <c r="F8" s="394">
        <f>IF(E8="—","—",TODAY()-E8)</f>
        <v/>
      </c>
      <c r="G8" s="393">
        <f>IFERROR(_xlfn.MAXIFS(tblCarga[Data],tblCarga[Jogador],A8,tblCarga[Nº ≥95% Vmáx],"&gt;0"),"—")</f>
        <v/>
      </c>
      <c r="H8" s="394">
        <f>IF(G8="—","—",TODAY()-G8)</f>
        <v/>
      </c>
      <c r="I8" s="148">
        <f>COUNTIFS(tblCarga[Jogador],A8,tblCarga[Nº ≥90% Vmáx],"&gt;0")</f>
        <v/>
      </c>
      <c r="J8" s="395">
        <f>I8/COUNTIF(tblCarga[Jogador],A8)</f>
        <v/>
      </c>
      <c r="K8" s="148">
        <f>IF(F8="—","⚪ S/D",IF(F8&gt;14,"🔴 &gt;14d",IF(F8&gt;7,"🟡 &gt;7d","🟢 OK")))</f>
        <v/>
      </c>
    </row>
    <row r="9" ht="26.1" customHeight="1">
      <c r="A9" s="141" t="inlineStr">
        <is>
          <t>Enzo Hugo</t>
        </is>
      </c>
      <c r="B9" s="143">
        <f>_xlfn.XLOOKUP(A9,tblCarga[Jogador],tblCarga[Posição])</f>
        <v/>
      </c>
      <c r="C9" s="388">
        <f>_xlfn.MAXIFS(tblCarga[Vel. Máx (km/h)],tblCarga[Jogador],A9)</f>
        <v/>
      </c>
      <c r="D9" s="388">
        <f t="array" ref="D9">IFERROR(INDEX(_xlfn._xlws.FILTER(tblCarga[Vel. Máx (km/h)],(tblCarga[Jogador]=A9)*(tblCarga[Data]=_xlfn.MAXIFS(tblCarga[Data],tblCarga[Jogador],A9))),1),"")</f>
        <v/>
      </c>
      <c r="E9" s="389">
        <f>IFERROR(_xlfn.MAXIFS(tblCarga[Data],tblCarga[Jogador],A9,tblCarga[Nº ≥90% Vmáx],"&gt;0"),"—")</f>
        <v/>
      </c>
      <c r="F9" s="390">
        <f>IF(E9="—","—",TODAY()-E9)</f>
        <v/>
      </c>
      <c r="G9" s="389">
        <f>IFERROR(_xlfn.MAXIFS(tblCarga[Data],tblCarga[Jogador],A9,tblCarga[Nº ≥95% Vmáx],"&gt;0"),"—")</f>
        <v/>
      </c>
      <c r="H9" s="390">
        <f>IF(G9="—","—",TODAY()-G9)</f>
        <v/>
      </c>
      <c r="I9" s="143">
        <f>COUNTIFS(tblCarga[Jogador],A9,tblCarga[Nº ≥90% Vmáx],"&gt;0")</f>
        <v/>
      </c>
      <c r="J9" s="391">
        <f>I9/COUNTIF(tblCarga[Jogador],A9)</f>
        <v/>
      </c>
      <c r="K9" s="143">
        <f>IF(F9="—","⚪ S/D",IF(F9&gt;14,"🔴 &gt;14d",IF(F9&gt;7,"🟡 &gt;7d","🟢 OK")))</f>
        <v/>
      </c>
    </row>
    <row r="10" ht="26.1" customHeight="1">
      <c r="A10" s="146" t="inlineStr">
        <is>
          <t>Gomes</t>
        </is>
      </c>
      <c r="B10" s="148">
        <f>_xlfn.XLOOKUP(A10,tblCarga[Jogador],tblCarga[Posição])</f>
        <v/>
      </c>
      <c r="C10" s="392">
        <f>_xlfn.MAXIFS(tblCarga[Vel. Máx (km/h)],tblCarga[Jogador],A10)</f>
        <v/>
      </c>
      <c r="D10" s="392">
        <f t="array" ref="D10">IFERROR(INDEX(_xlfn._xlws.FILTER(tblCarga[Vel. Máx (km/h)],(tblCarga[Jogador]=A10)*(tblCarga[Data]=_xlfn.MAXIFS(tblCarga[Data],tblCarga[Jogador],A10))),1),"")</f>
        <v/>
      </c>
      <c r="E10" s="393">
        <f>IFERROR(_xlfn.MAXIFS(tblCarga[Data],tblCarga[Jogador],A10,tblCarga[Nº ≥90% Vmáx],"&gt;0"),"—")</f>
        <v/>
      </c>
      <c r="F10" s="394">
        <f>IF(E10="—","—",TODAY()-E10)</f>
        <v/>
      </c>
      <c r="G10" s="393">
        <f>IFERROR(_xlfn.MAXIFS(tblCarga[Data],tblCarga[Jogador],A10,tblCarga[Nº ≥95% Vmáx],"&gt;0"),"—")</f>
        <v/>
      </c>
      <c r="H10" s="394">
        <f>IF(G10="—","—",TODAY()-G10)</f>
        <v/>
      </c>
      <c r="I10" s="148">
        <f>COUNTIFS(tblCarga[Jogador],A10,tblCarga[Nº ≥90% Vmáx],"&gt;0")</f>
        <v/>
      </c>
      <c r="J10" s="395">
        <f>I10/COUNTIF(tblCarga[Jogador],A10)</f>
        <v/>
      </c>
      <c r="K10" s="148">
        <f>IF(F10="—","⚪ S/D",IF(F10&gt;14,"🔴 &gt;14d",IF(F10&gt;7,"🟡 &gt;7d","🟢 OK")))</f>
        <v/>
      </c>
    </row>
    <row r="11" ht="26.1" customHeight="1">
      <c r="A11" s="141" t="inlineStr">
        <is>
          <t>Nogueira</t>
        </is>
      </c>
      <c r="B11" s="143">
        <f>_xlfn.XLOOKUP(A11,tblCarga[Jogador],tblCarga[Posição])</f>
        <v/>
      </c>
      <c r="C11" s="388">
        <f>_xlfn.MAXIFS(tblCarga[Vel. Máx (km/h)],tblCarga[Jogador],A11)</f>
        <v/>
      </c>
      <c r="D11" s="388">
        <f t="array" ref="D11">IFERROR(INDEX(_xlfn._xlws.FILTER(tblCarga[Vel. Máx (km/h)],(tblCarga[Jogador]=A11)*(tblCarga[Data]=_xlfn.MAXIFS(tblCarga[Data],tblCarga[Jogador],A11))),1),"")</f>
        <v/>
      </c>
      <c r="E11" s="389">
        <f>IFERROR(_xlfn.MAXIFS(tblCarga[Data],tblCarga[Jogador],A11,tblCarga[Nº ≥90% Vmáx],"&gt;0"),"—")</f>
        <v/>
      </c>
      <c r="F11" s="390">
        <f>IF(E11="—","—",TODAY()-E11)</f>
        <v/>
      </c>
      <c r="G11" s="389">
        <f>IFERROR(_xlfn.MAXIFS(tblCarga[Data],tblCarga[Jogador],A11,tblCarga[Nº ≥95% Vmáx],"&gt;0"),"—")</f>
        <v/>
      </c>
      <c r="H11" s="390">
        <f>IF(G11="—","—",TODAY()-G11)</f>
        <v/>
      </c>
      <c r="I11" s="143">
        <f>COUNTIFS(tblCarga[Jogador],A11,tblCarga[Nº ≥90% Vmáx],"&gt;0")</f>
        <v/>
      </c>
      <c r="J11" s="391">
        <f>I11/COUNTIF(tblCarga[Jogador],A11)</f>
        <v/>
      </c>
      <c r="K11" s="143">
        <f>IF(F11="—","⚪ S/D",IF(F11&gt;14,"🔴 &gt;14d",IF(F11&gt;7,"🟡 &gt;7d","🟢 OK")))</f>
        <v/>
      </c>
    </row>
    <row r="12" ht="26.1" customHeight="1">
      <c r="A12" s="146" t="inlineStr">
        <is>
          <t>Paulino</t>
        </is>
      </c>
      <c r="B12" s="148">
        <f>_xlfn.XLOOKUP(A12,tblCarga[Jogador],tblCarga[Posição])</f>
        <v/>
      </c>
      <c r="C12" s="392">
        <f>_xlfn.MAXIFS(tblCarga[Vel. Máx (km/h)],tblCarga[Jogador],A12)</f>
        <v/>
      </c>
      <c r="D12" s="392">
        <f t="array" ref="D12">IFERROR(INDEX(_xlfn._xlws.FILTER(tblCarga[Vel. Máx (km/h)],(tblCarga[Jogador]=A12)*(tblCarga[Data]=_xlfn.MAXIFS(tblCarga[Data],tblCarga[Jogador],A12))),1),"")</f>
        <v/>
      </c>
      <c r="E12" s="393">
        <f>IFERROR(_xlfn.MAXIFS(tblCarga[Data],tblCarga[Jogador],A12,tblCarga[Nº ≥90% Vmáx],"&gt;0"),"—")</f>
        <v/>
      </c>
      <c r="F12" s="394">
        <f>IF(E12="—","—",TODAY()-E12)</f>
        <v/>
      </c>
      <c r="G12" s="393">
        <f>IFERROR(_xlfn.MAXIFS(tblCarga[Data],tblCarga[Jogador],A12,tblCarga[Nº ≥95% Vmáx],"&gt;0"),"—")</f>
        <v/>
      </c>
      <c r="H12" s="394">
        <f>IF(G12="—","—",TODAY()-G12)</f>
        <v/>
      </c>
      <c r="I12" s="148">
        <f>COUNTIFS(tblCarga[Jogador],A12,tblCarga[Nº ≥90% Vmáx],"&gt;0")</f>
        <v/>
      </c>
      <c r="J12" s="395">
        <f>I12/COUNTIF(tblCarga[Jogador],A12)</f>
        <v/>
      </c>
      <c r="K12" s="148">
        <f>IF(F12="—","⚪ S/D",IF(F12&gt;14,"🔴 &gt;14d",IF(F12&gt;7,"🟡 &gt;7d","🟢 OK")))</f>
        <v/>
      </c>
    </row>
    <row r="13" ht="26.1" customHeight="1">
      <c r="A13" s="141" t="inlineStr">
        <is>
          <t>Sá</t>
        </is>
      </c>
      <c r="B13" s="143">
        <f>_xlfn.XLOOKUP(A13,tblCarga[Jogador],tblCarga[Posição])</f>
        <v/>
      </c>
      <c r="C13" s="388">
        <f>_xlfn.MAXIFS(tblCarga[Vel. Máx (km/h)],tblCarga[Jogador],A13)</f>
        <v/>
      </c>
      <c r="D13" s="388">
        <f t="array" ref="D13">IFERROR(INDEX(_xlfn._xlws.FILTER(tblCarga[Vel. Máx (km/h)],(tblCarga[Jogador]=A13)*(tblCarga[Data]=_xlfn.MAXIFS(tblCarga[Data],tblCarga[Jogador],A13))),1),"")</f>
        <v/>
      </c>
      <c r="E13" s="389">
        <f>IFERROR(_xlfn.MAXIFS(tblCarga[Data],tblCarga[Jogador],A13,tblCarga[Nº ≥90% Vmáx],"&gt;0"),"—")</f>
        <v/>
      </c>
      <c r="F13" s="390">
        <f>IF(E13="—","—",TODAY()-E13)</f>
        <v/>
      </c>
      <c r="G13" s="389">
        <f>IFERROR(_xlfn.MAXIFS(tblCarga[Data],tblCarga[Jogador],A13,tblCarga[Nº ≥95% Vmáx],"&gt;0"),"—")</f>
        <v/>
      </c>
      <c r="H13" s="390">
        <f>IF(G13="—","—",TODAY()-G13)</f>
        <v/>
      </c>
      <c r="I13" s="143">
        <f>COUNTIFS(tblCarga[Jogador],A13,tblCarga[Nº ≥90% Vmáx],"&gt;0")</f>
        <v/>
      </c>
      <c r="J13" s="391">
        <f>I13/COUNTIF(tblCarga[Jogador],A13)</f>
        <v/>
      </c>
      <c r="K13" s="143">
        <f>IF(F13="—","⚪ S/D",IF(F13&gt;14,"🔴 &gt;14d",IF(F13&gt;7,"🟡 &gt;7d","🟢 OK")))</f>
        <v/>
      </c>
    </row>
    <row r="14" ht="26.1" customHeight="1">
      <c r="A14" s="146" t="inlineStr">
        <is>
          <t>Varela</t>
        </is>
      </c>
      <c r="B14" s="148">
        <f>_xlfn.XLOOKUP(A14,tblCarga[Jogador],tblCarga[Posição])</f>
        <v/>
      </c>
      <c r="C14" s="392">
        <f>_xlfn.MAXIFS(tblCarga[Vel. Máx (km/h)],tblCarga[Jogador],A14)</f>
        <v/>
      </c>
      <c r="D14" s="392">
        <f t="array" ref="D14">IFERROR(INDEX(_xlfn._xlws.FILTER(tblCarga[Vel. Máx (km/h)],(tblCarga[Jogador]=A14)*(tblCarga[Data]=_xlfn.MAXIFS(tblCarga[Data],tblCarga[Jogador],A14))),1),"")</f>
        <v/>
      </c>
      <c r="E14" s="393">
        <f>IFERROR(_xlfn.MAXIFS(tblCarga[Data],tblCarga[Jogador],A14,tblCarga[Nº ≥90% Vmáx],"&gt;0"),"—")</f>
        <v/>
      </c>
      <c r="F14" s="394">
        <f>IF(E14="—","—",TODAY()-E14)</f>
        <v/>
      </c>
      <c r="G14" s="393">
        <f>IFERROR(_xlfn.MAXIFS(tblCarga[Data],tblCarga[Jogador],A14,tblCarga[Nº ≥95% Vmáx],"&gt;0"),"—")</f>
        <v/>
      </c>
      <c r="H14" s="394">
        <f>IF(G14="—","—",TODAY()-G14)</f>
        <v/>
      </c>
      <c r="I14" s="148">
        <f>COUNTIFS(tblCarga[Jogador],A14,tblCarga[Nº ≥90% Vmáx],"&gt;0")</f>
        <v/>
      </c>
      <c r="J14" s="395">
        <f>I14/COUNTIF(tblCarga[Jogador],A14)</f>
        <v/>
      </c>
      <c r="K14" s="148">
        <f>IF(F14="—","⚪ S/D",IF(F14&gt;14,"🔴 &gt;14d",IF(F14&gt;7,"🟡 &gt;7d","🟢 OK")))</f>
        <v/>
      </c>
    </row>
    <row r="15" outlineLevel="1" ht="26.1" customHeight="1">
      <c r="A15" s="130" t="n"/>
      <c r="B15" s="132">
        <f>IFERROR(_xlfn.XLOOKUP(A15,tblCarga[Jogador],tblCarga[Posição]),"")</f>
        <v/>
      </c>
      <c r="C15" s="384">
        <f>IF(A15="","",_xlfn.MAXIFS(tblCarga[Vel. Máx (km/h)],tblCarga[Jogador],A15))</f>
        <v/>
      </c>
      <c r="D15" s="384">
        <f t="array" ref="D15">IF(A15="","",IFERROR(INDEX(_xlfn._xlws.FILTER(tblCarga[Vel. Máx (km/h)],(tblCarga[Jogador]=A15)*(tblCarga[Data]=_xlfn.MAXIFS(tblCarga[Data],tblCarga[Jogador],A15))),1),""))</f>
        <v/>
      </c>
      <c r="E15" s="385">
        <f>IF(A15="","",IFERROR(_xlfn.MAXIFS(tblCarga[Data],tblCarga[Jogador],A15,tblCarga[Nº ≥90% Vmáx],"&gt;0"),"—"))</f>
        <v/>
      </c>
      <c r="F15" s="386">
        <f>IF(A15="","",IF(E15="—","—",TODAY()-E15))</f>
        <v/>
      </c>
      <c r="G15" s="385">
        <f>IF(A15="","",IFERROR(_xlfn.MAXIFS(tblCarga[Data],tblCarga[Jogador],A15,tblCarga[Nº ≥95% Vmáx],"&gt;0"),"—"))</f>
        <v/>
      </c>
      <c r="H15" s="386">
        <f>IF(A15="","",IF(G15="—","—",TODAY()-G15))</f>
        <v/>
      </c>
      <c r="I15" s="132">
        <f>IF(A15="","",COUNTIFS(tblCarga[Jogador],A15,tblCarga[Nº ≥90% Vmáx],"&gt;0"))</f>
        <v/>
      </c>
      <c r="J15" s="387">
        <f>IF(A15="","",IFERROR(I15/COUNTIF(tblCarga[Jogador],A15),""))</f>
        <v/>
      </c>
      <c r="K15" s="132">
        <f>IF(A15="","",IF(F15="—","⚪ S/D",IF(F15&gt;14,"🔴 &gt;14d",IF(F15&gt;7,"🟡 &gt;7d","🟢 OK"))))</f>
        <v/>
      </c>
    </row>
    <row r="16" hidden="1" outlineLevel="1">
      <c r="A16" s="22" t="n"/>
      <c r="B16" s="22">
        <f>IFERROR(_xlfn.XLOOKUP(A16,tblCarga[Jogador],tblCarga[Posição]),"")</f>
        <v/>
      </c>
      <c r="C16" s="622">
        <f>IF(A16="","",_xlfn.MAXIFS(tblCarga[Vel. Máx (km/h)],tblCarga[Jogador],A16))</f>
        <v/>
      </c>
      <c r="D16" s="622">
        <f t="array" ref="D16">IF(A16="","",IFERROR(INDEX(_xlfn._xlws.FILTER(tblCarga[Vel. Máx (km/h)],(tblCarga[Jogador]=A16)*(tblCarga[Data]=_xlfn.MAXIFS(tblCarga[Data],tblCarga[Jogador],A16))),1),""))</f>
        <v/>
      </c>
      <c r="E16" s="93">
        <f>IF(A16="","",IFERROR(_xlfn.MAXIFS(tblCarga[Data],tblCarga[Jogador],A16,tblCarga[Nº ≥90% Vmáx],"&gt;0"),"—"))</f>
        <v/>
      </c>
      <c r="F16" s="621">
        <f>IF(A16="","",IF(E16="—","—",TODAY()-E16))</f>
        <v/>
      </c>
      <c r="G16" s="93">
        <f>IF(A16="","",IFERROR(_xlfn.MAXIFS(tblCarga[Data],tblCarga[Jogador],A16,tblCarga[Nº ≥95% Vmáx],"&gt;0"),"—"))</f>
        <v/>
      </c>
      <c r="H16" s="621">
        <f>IF(A16="","",IF(G16="—","—",TODAY()-G16))</f>
        <v/>
      </c>
      <c r="I16" s="22">
        <f>IF(A16="","",COUNTIFS(tblCarga[Jogador],A16,tblCarga[Nº ≥90% Vmáx],"&gt;0"))</f>
        <v/>
      </c>
      <c r="J16" s="94">
        <f>IF(A16="","",IFERROR(I16/COUNTIF(tblCarga[Jogador],A16),""))</f>
        <v/>
      </c>
      <c r="K16" s="22">
        <f>IF(A16="","",IF(F16="—","⚪ S/D",IF(F16&gt;14,"🔴 &gt;14d",IF(F16&gt;7,"🟡 &gt;7d","🟢 OK"))))</f>
        <v/>
      </c>
    </row>
    <row r="21" ht="35.1" customHeight="1"/>
    <row r="37">
      <c r="A37" s="95" t="inlineStr">
        <is>
          <t>B — HISTÓRICO DE VELOCIDADE INDIVIDUAL  |  Jogador selecionado</t>
        </is>
      </c>
    </row>
    <row r="39">
      <c r="A39" s="95" t="inlineStr">
        <is>
          <t>Jogador:</t>
        </is>
      </c>
      <c r="B39" s="67" t="inlineStr">
        <is>
          <t>Varela</t>
        </is>
      </c>
    </row>
    <row r="41">
      <c r="A41" s="21" t="inlineStr">
        <is>
          <t>Data</t>
        </is>
      </c>
      <c r="B41" s="21" t="inlineStr">
        <is>
          <t>Vel. Máx (km/h)</t>
        </is>
      </c>
      <c r="C41" s="21" t="inlineStr">
        <is>
          <t>Nº ≥85% Vmáx</t>
        </is>
      </c>
      <c r="D41" s="21" t="inlineStr">
        <is>
          <t>Nº ≥90% Vmáx</t>
        </is>
      </c>
      <c r="E41" s="21" t="inlineStr">
        <is>
          <t>Nº ≥95% Vmáx</t>
        </is>
      </c>
      <c r="F41" s="21" t="inlineStr">
        <is>
          <t>% Record</t>
        </is>
      </c>
    </row>
    <row r="42">
      <c r="A42" s="2">
        <f t="array" ref="A42:A93">_xlfn.SORTBY(_xlfn._xlws.FILTER(tblCarga[Data],tblCarga[Jogador]=$B$39),_xlfn._xlws.FILTER(tblCarga[Data],tblCarga[Jogador]=$B$39),1)</f>
        <v/>
      </c>
      <c r="B42" s="5">
        <f t="array" ref="B42:B93">_xlfn.SORTBY(_xlfn._xlws.FILTER(tblCarga[Vel. Máx (km/h)],tblCarga[Jogador]=$B$39),_xlfn._xlws.FILTER(tblCarga[Data],tblCarga[Jogador]=$B$39),1)</f>
        <v/>
      </c>
      <c r="C42">
        <f t="array" ref="C42:C93">_xlfn.SORTBY(_xlfn._xlws.FILTER(tblCarga[Nº ≥85% Vmáx],tblCarga[Jogador]=$B$39),_xlfn._xlws.FILTER(tblCarga[Data],tblCarga[Jogador]=$B$39),1)</f>
        <v/>
      </c>
      <c r="D42">
        <f t="array" ref="D42:D93">_xlfn.SORTBY(_xlfn._xlws.FILTER(tblCarga[Nº ≥90% Vmáx],tblCarga[Jogador]=$B$39),_xlfn._xlws.FILTER(tblCarga[Data],tblCarga[Jogador]=$B$39),1)</f>
        <v/>
      </c>
      <c r="E42">
        <f t="array" ref="E42:E93">_xlfn.SORTBY(_xlfn._xlws.FILTER(tblCarga[Nº ≥95% Vmáx],tblCarga[Jogador]=$B$39),_xlfn._xlws.FILTER(tblCarga[Data],tblCarga[Jogador]=$B$39),1)</f>
        <v/>
      </c>
      <c r="F42" s="11">
        <f t="array" ref="F42:F93">_xlfn.ANCHORARRAY(B42)/_xlfn.MAXIFS(tblCarga[Vel. Máx (km/h)],tblCarga[Jogador],$B$39)</f>
        <v/>
      </c>
    </row>
    <row r="43">
      <c r="A43" s="2" t="n">
        <v>46042</v>
      </c>
      <c r="B43" s="5" t="n">
        <v>33.7</v>
      </c>
      <c r="C43" t="n">
        <v>17</v>
      </c>
      <c r="D43" t="n">
        <v>10</v>
      </c>
      <c r="E43" t="n">
        <v>0</v>
      </c>
      <c r="F43" s="11" t="n">
        <v>0.9573863636363636</v>
      </c>
    </row>
    <row r="44">
      <c r="A44" s="2" t="n">
        <v>46043</v>
      </c>
      <c r="B44" s="5" t="n">
        <v>31.3</v>
      </c>
      <c r="C44" t="n">
        <v>12</v>
      </c>
      <c r="D44" t="n">
        <v>10</v>
      </c>
      <c r="E44" t="n">
        <v>0</v>
      </c>
      <c r="F44" s="11" t="n">
        <v>0.8892045454545454</v>
      </c>
    </row>
    <row r="45">
      <c r="A45" s="2" t="n">
        <v>46045</v>
      </c>
      <c r="B45" s="5" t="n">
        <v>32.3</v>
      </c>
      <c r="C45" t="n">
        <v>6</v>
      </c>
      <c r="D45" t="n">
        <v>3</v>
      </c>
      <c r="E45" t="n">
        <v>1</v>
      </c>
      <c r="F45" s="11" t="n">
        <v>0.9176136363636362</v>
      </c>
    </row>
    <row r="46">
      <c r="A46" s="2" t="n">
        <v>46046</v>
      </c>
      <c r="B46" s="5" t="n">
        <v>29.4</v>
      </c>
      <c r="C46" t="n">
        <v>7</v>
      </c>
      <c r="D46" t="n">
        <v>3</v>
      </c>
      <c r="E46" t="n">
        <v>1</v>
      </c>
      <c r="F46" s="11" t="n">
        <v>0.8352272727272726</v>
      </c>
    </row>
    <row r="47">
      <c r="A47" s="2" t="n">
        <v>46048</v>
      </c>
      <c r="B47" s="5" t="n">
        <v>33.6</v>
      </c>
      <c r="C47" t="n">
        <v>9</v>
      </c>
      <c r="D47" t="n">
        <v>6</v>
      </c>
      <c r="E47" t="n">
        <v>4</v>
      </c>
      <c r="F47" s="11" t="n">
        <v>0.9545454545454545</v>
      </c>
    </row>
    <row r="48">
      <c r="A48" s="2" t="n">
        <v>46049</v>
      </c>
      <c r="B48" s="5" t="n">
        <v>33.6</v>
      </c>
      <c r="C48" t="n">
        <v>11</v>
      </c>
      <c r="D48" t="n">
        <v>10</v>
      </c>
      <c r="E48" t="n">
        <v>0</v>
      </c>
      <c r="F48" s="11" t="n">
        <v>0.9545454545454545</v>
      </c>
    </row>
    <row r="49">
      <c r="A49" s="2" t="n">
        <v>46050</v>
      </c>
      <c r="B49" s="5" t="n">
        <v>30.5</v>
      </c>
      <c r="C49" t="n">
        <v>14</v>
      </c>
      <c r="D49" t="n">
        <v>6</v>
      </c>
      <c r="E49" t="n">
        <v>2</v>
      </c>
      <c r="F49" s="11" t="n">
        <v>0.8664772727272727</v>
      </c>
    </row>
    <row r="50">
      <c r="A50" s="2" t="n">
        <v>46051</v>
      </c>
      <c r="B50" s="5" t="n">
        <v>30.2</v>
      </c>
      <c r="C50" t="n">
        <v>4</v>
      </c>
      <c r="D50" t="n">
        <v>1</v>
      </c>
      <c r="E50" t="n">
        <v>0</v>
      </c>
      <c r="F50" s="11" t="n">
        <v>0.8579545454545454</v>
      </c>
    </row>
    <row r="51">
      <c r="A51" s="2" t="n">
        <v>46052</v>
      </c>
      <c r="B51" s="5" t="n">
        <v>32.6</v>
      </c>
      <c r="C51" t="n">
        <v>13</v>
      </c>
      <c r="D51" t="n">
        <v>5</v>
      </c>
      <c r="E51" t="n">
        <v>3</v>
      </c>
      <c r="F51" s="11" t="n">
        <v>0.9261363636363636</v>
      </c>
    </row>
    <row r="52">
      <c r="A52" s="2" t="n">
        <v>46055</v>
      </c>
      <c r="B52" s="5" t="n">
        <v>32.2</v>
      </c>
      <c r="C52" t="n">
        <v>10</v>
      </c>
      <c r="D52" t="n">
        <v>7</v>
      </c>
      <c r="E52" t="n">
        <v>2</v>
      </c>
      <c r="F52" s="11" t="n">
        <v>0.9147727272727273</v>
      </c>
    </row>
    <row r="53">
      <c r="A53" s="2" t="n">
        <v>46056</v>
      </c>
      <c r="B53" s="5" t="n">
        <v>31.3</v>
      </c>
      <c r="C53" t="n">
        <v>7</v>
      </c>
      <c r="D53" t="n">
        <v>2</v>
      </c>
      <c r="E53" t="n">
        <v>0</v>
      </c>
      <c r="F53" s="11" t="n">
        <v>0.8892045454545454</v>
      </c>
    </row>
    <row r="54">
      <c r="A54" s="2" t="n">
        <v>46057</v>
      </c>
      <c r="B54" s="5" t="n">
        <v>33.3</v>
      </c>
      <c r="C54" t="n">
        <v>12</v>
      </c>
      <c r="D54" t="n">
        <v>6</v>
      </c>
      <c r="E54" t="n">
        <v>1</v>
      </c>
      <c r="F54" s="11" t="n">
        <v>0.9460227272727271</v>
      </c>
    </row>
    <row r="55">
      <c r="A55" s="2" t="n">
        <v>46058</v>
      </c>
      <c r="B55" s="5" t="n">
        <v>28.5</v>
      </c>
      <c r="C55" t="n">
        <v>9</v>
      </c>
      <c r="D55" t="n">
        <v>3</v>
      </c>
      <c r="E55" t="n">
        <v>0</v>
      </c>
      <c r="F55" s="11" t="n">
        <v>0.8096590909090908</v>
      </c>
    </row>
    <row r="56">
      <c r="A56" s="2" t="n">
        <v>46059</v>
      </c>
      <c r="B56" s="5" t="n">
        <v>33.6</v>
      </c>
      <c r="C56" t="n">
        <v>14</v>
      </c>
      <c r="D56" t="n">
        <v>6</v>
      </c>
      <c r="E56" t="n">
        <v>3</v>
      </c>
      <c r="F56" s="11" t="n">
        <v>0.9545454545454545</v>
      </c>
    </row>
    <row r="57">
      <c r="A57" s="2" t="n">
        <v>46062</v>
      </c>
      <c r="B57" s="5" t="n">
        <v>31.7</v>
      </c>
      <c r="C57" t="n">
        <v>17</v>
      </c>
      <c r="D57" t="n">
        <v>3</v>
      </c>
      <c r="E57" t="n">
        <v>0</v>
      </c>
      <c r="F57" s="11" t="n">
        <v>0.9005681818181818</v>
      </c>
    </row>
    <row r="58">
      <c r="A58" s="2" t="n">
        <v>46063</v>
      </c>
      <c r="B58" s="5" t="n">
        <v>32.8</v>
      </c>
      <c r="C58" t="n">
        <v>16</v>
      </c>
      <c r="D58" t="n">
        <v>9</v>
      </c>
      <c r="E58" t="n">
        <v>0</v>
      </c>
      <c r="F58" s="11" t="n">
        <v>0.9318181818181817</v>
      </c>
    </row>
    <row r="59">
      <c r="A59" s="2" t="n">
        <v>46064</v>
      </c>
      <c r="B59" s="5" t="n">
        <v>32.6</v>
      </c>
      <c r="C59" t="n">
        <v>8</v>
      </c>
      <c r="D59" t="n">
        <v>8</v>
      </c>
      <c r="E59" t="n">
        <v>0</v>
      </c>
      <c r="F59" s="11" t="n">
        <v>0.9261363636363636</v>
      </c>
    </row>
    <row r="60">
      <c r="A60" s="2" t="n">
        <v>46065</v>
      </c>
      <c r="B60" s="5" t="n">
        <v>30.1</v>
      </c>
      <c r="C60" t="n">
        <v>5</v>
      </c>
      <c r="D60" t="n">
        <v>2</v>
      </c>
      <c r="E60" t="n">
        <v>0</v>
      </c>
      <c r="F60" s="11" t="n">
        <v>0.8551136363636364</v>
      </c>
    </row>
    <row r="61">
      <c r="A61" s="2" t="n">
        <v>46066</v>
      </c>
      <c r="B61" s="5" t="n">
        <v>33.2</v>
      </c>
      <c r="C61" t="n">
        <v>14</v>
      </c>
      <c r="D61" t="n">
        <v>6</v>
      </c>
      <c r="E61" t="n">
        <v>3</v>
      </c>
      <c r="F61" s="11" t="n">
        <v>0.9431818181818182</v>
      </c>
    </row>
    <row r="62">
      <c r="A62" s="2" t="n">
        <v>46069</v>
      </c>
      <c r="B62" s="5" t="n">
        <v>33</v>
      </c>
      <c r="C62" t="n">
        <v>14</v>
      </c>
      <c r="D62" t="n">
        <v>7</v>
      </c>
      <c r="E62" t="n">
        <v>3</v>
      </c>
      <c r="F62" s="11" t="n">
        <v>0.9374999999999999</v>
      </c>
    </row>
    <row r="63">
      <c r="A63" s="2" t="n">
        <v>46070</v>
      </c>
      <c r="B63" s="5" t="n">
        <v>33</v>
      </c>
      <c r="C63" t="n">
        <v>13</v>
      </c>
      <c r="D63" t="n">
        <v>8</v>
      </c>
      <c r="E63" t="n">
        <v>3</v>
      </c>
      <c r="F63" s="11" t="n">
        <v>0.9374999999999999</v>
      </c>
    </row>
    <row r="64">
      <c r="A64" s="2" t="n">
        <v>46071</v>
      </c>
      <c r="B64" s="5" t="n">
        <v>33</v>
      </c>
      <c r="C64" t="n">
        <v>12</v>
      </c>
      <c r="D64" t="n">
        <v>7</v>
      </c>
      <c r="E64" t="n">
        <v>3</v>
      </c>
      <c r="F64" s="11" t="n">
        <v>0.9374999999999999</v>
      </c>
    </row>
    <row r="65">
      <c r="A65" s="2" t="n">
        <v>46072</v>
      </c>
      <c r="B65" s="5" t="n">
        <v>33</v>
      </c>
      <c r="C65" t="n">
        <v>11</v>
      </c>
      <c r="D65" t="n">
        <v>7</v>
      </c>
      <c r="E65" t="n">
        <v>3</v>
      </c>
      <c r="F65" s="11" t="n">
        <v>0.9374999999999999</v>
      </c>
    </row>
    <row r="66">
      <c r="A66" s="2" t="n">
        <v>46072</v>
      </c>
      <c r="B66" s="5" t="n">
        <v>29.8</v>
      </c>
      <c r="C66" t="n">
        <v>7</v>
      </c>
      <c r="D66" t="n">
        <v>3</v>
      </c>
      <c r="E66" t="n">
        <v>1</v>
      </c>
      <c r="F66" s="11" t="n">
        <v>0.8465909090909091</v>
      </c>
    </row>
    <row r="67">
      <c r="A67" s="2" t="n">
        <v>46073</v>
      </c>
      <c r="B67" s="5" t="n">
        <v>33</v>
      </c>
      <c r="C67" t="n">
        <v>13</v>
      </c>
      <c r="D67" t="n">
        <v>10</v>
      </c>
      <c r="E67" t="n">
        <v>4</v>
      </c>
      <c r="F67" s="11" t="n">
        <v>0.9374999999999999</v>
      </c>
    </row>
    <row r="68">
      <c r="A68" s="2" t="n">
        <v>46074</v>
      </c>
      <c r="B68" s="5" t="n">
        <v>34</v>
      </c>
      <c r="C68" t="n">
        <v>18</v>
      </c>
      <c r="D68" t="n">
        <v>12</v>
      </c>
      <c r="E68" t="n">
        <v>5</v>
      </c>
      <c r="F68" s="11" t="n">
        <v>0.9659090909090908</v>
      </c>
    </row>
    <row r="69">
      <c r="A69" s="2" t="n">
        <v>46075</v>
      </c>
      <c r="B69" s="5" t="n">
        <v>30</v>
      </c>
      <c r="C69" t="n">
        <v>5</v>
      </c>
      <c r="D69" t="n">
        <v>3</v>
      </c>
      <c r="E69" t="n">
        <v>1</v>
      </c>
      <c r="F69" s="11" t="n">
        <v>0.8522727272727272</v>
      </c>
    </row>
    <row r="70">
      <c r="A70" s="2" t="n">
        <v>46075</v>
      </c>
      <c r="B70" s="5" t="n">
        <v>30</v>
      </c>
      <c r="C70" t="n">
        <v>5</v>
      </c>
      <c r="D70" t="n">
        <v>3</v>
      </c>
      <c r="E70" t="n">
        <v>1</v>
      </c>
      <c r="F70" s="11" t="n">
        <v>0.8522727272727272</v>
      </c>
    </row>
    <row r="71">
      <c r="A71" s="2" t="n">
        <v>46075</v>
      </c>
      <c r="B71" s="5" t="n">
        <v>32.7</v>
      </c>
      <c r="C71" t="n">
        <v>27</v>
      </c>
      <c r="D71" t="n">
        <v>12</v>
      </c>
      <c r="E71" t="n">
        <v>7</v>
      </c>
      <c r="F71" s="11" t="n">
        <v>0.9289772727272727</v>
      </c>
    </row>
    <row r="72">
      <c r="A72" s="2" t="n">
        <v>46076</v>
      </c>
      <c r="B72" s="5" t="n">
        <v>31</v>
      </c>
      <c r="C72" t="n">
        <v>8</v>
      </c>
      <c r="D72" t="n">
        <v>4</v>
      </c>
      <c r="E72" t="n">
        <v>2</v>
      </c>
      <c r="F72" s="11" t="n">
        <v>0.8806818181818181</v>
      </c>
    </row>
    <row r="73">
      <c r="A73" s="2" t="n">
        <v>46076</v>
      </c>
      <c r="B73" s="5" t="n">
        <v>31</v>
      </c>
      <c r="C73" t="n">
        <v>8</v>
      </c>
      <c r="D73" t="n">
        <v>4</v>
      </c>
      <c r="E73" t="n">
        <v>2</v>
      </c>
      <c r="F73" s="11" t="n">
        <v>0.8806818181818181</v>
      </c>
    </row>
    <row r="74">
      <c r="A74" s="2" t="n">
        <v>46076</v>
      </c>
      <c r="B74" s="5" t="n">
        <v>27.4</v>
      </c>
      <c r="C74" t="n">
        <v>2</v>
      </c>
      <c r="D74" t="n">
        <v>0</v>
      </c>
      <c r="E74" t="n">
        <v>0</v>
      </c>
      <c r="F74" s="11" t="n">
        <v>0.7784090909090908</v>
      </c>
    </row>
    <row r="75">
      <c r="A75" s="2" t="n">
        <v>46076</v>
      </c>
      <c r="B75" s="5" t="n">
        <v>25.9</v>
      </c>
      <c r="C75" t="n">
        <v>4</v>
      </c>
      <c r="D75" t="n">
        <v>2</v>
      </c>
      <c r="E75" t="n">
        <v>0</v>
      </c>
      <c r="F75" s="11" t="n">
        <v>0.7357954545454545</v>
      </c>
    </row>
    <row r="76">
      <c r="A76" s="2" t="n">
        <v>46077</v>
      </c>
      <c r="B76" s="5" t="n">
        <v>33</v>
      </c>
      <c r="C76" t="n">
        <v>14</v>
      </c>
      <c r="D76" t="n">
        <v>8</v>
      </c>
      <c r="E76" t="n">
        <v>4</v>
      </c>
      <c r="F76" s="11" t="n">
        <v>0.9374999999999999</v>
      </c>
    </row>
    <row r="77">
      <c r="A77" s="2" t="n">
        <v>46077</v>
      </c>
      <c r="B77" s="5" t="n">
        <v>28.4</v>
      </c>
      <c r="C77" t="n">
        <v>6</v>
      </c>
      <c r="D77" t="n">
        <v>3</v>
      </c>
      <c r="E77" t="n">
        <v>1</v>
      </c>
      <c r="F77" s="11" t="n">
        <v>0.8068181818181818</v>
      </c>
    </row>
    <row r="78">
      <c r="A78" s="2" t="n">
        <v>46077</v>
      </c>
      <c r="B78" s="5" t="n">
        <v>30.4</v>
      </c>
      <c r="C78" t="n">
        <v>9</v>
      </c>
      <c r="D78" t="n">
        <v>5</v>
      </c>
      <c r="E78" t="n">
        <v>2</v>
      </c>
      <c r="F78" s="11" t="n">
        <v>0.8636363636363635</v>
      </c>
    </row>
    <row r="79">
      <c r="A79" s="2" t="n">
        <v>46078</v>
      </c>
      <c r="B79" s="5" t="n">
        <v>33.2</v>
      </c>
      <c r="C79" t="n">
        <v>10</v>
      </c>
      <c r="D79" t="n">
        <v>4</v>
      </c>
      <c r="E79" t="n">
        <v>1</v>
      </c>
      <c r="F79" s="11" t="n">
        <v>0.9431818181818182</v>
      </c>
    </row>
    <row r="80">
      <c r="A80" s="2" t="n">
        <v>46079</v>
      </c>
      <c r="B80" s="5" t="n">
        <v>33.2</v>
      </c>
      <c r="C80" t="n">
        <v>9</v>
      </c>
      <c r="D80" t="n">
        <v>5</v>
      </c>
      <c r="E80" t="n">
        <v>1</v>
      </c>
      <c r="F80" s="11" t="n">
        <v>0.9431818181818182</v>
      </c>
    </row>
    <row r="81">
      <c r="A81" s="2" t="n">
        <v>46080</v>
      </c>
      <c r="B81" s="5" t="n">
        <v>32.2</v>
      </c>
      <c r="C81" t="n">
        <v>15</v>
      </c>
      <c r="D81" t="n">
        <v>6</v>
      </c>
      <c r="E81" t="n">
        <v>3</v>
      </c>
      <c r="F81" s="11" t="n">
        <v>0.9147727272727273</v>
      </c>
    </row>
    <row r="82">
      <c r="A82" s="2" t="n">
        <v>46082</v>
      </c>
      <c r="B82" s="5" t="n">
        <v>32.1</v>
      </c>
      <c r="C82" t="n">
        <v>16</v>
      </c>
      <c r="D82" t="n">
        <v>9</v>
      </c>
      <c r="E82" t="n">
        <v>3</v>
      </c>
      <c r="F82" s="11" t="n">
        <v>0.9119318181818181</v>
      </c>
    </row>
    <row r="83">
      <c r="A83" s="2" t="n">
        <v>46083</v>
      </c>
      <c r="B83" s="5" t="n">
        <v>28.1</v>
      </c>
      <c r="C83" t="n">
        <v>9</v>
      </c>
      <c r="D83" t="n">
        <v>5</v>
      </c>
      <c r="E83" t="n">
        <v>1</v>
      </c>
      <c r="F83" s="11" t="n">
        <v>0.7982954545454545</v>
      </c>
    </row>
    <row r="84">
      <c r="A84" s="2" t="n">
        <v>46084</v>
      </c>
      <c r="B84" s="5" t="n">
        <v>35.2</v>
      </c>
      <c r="C84" t="n">
        <v>9</v>
      </c>
      <c r="D84" t="n">
        <v>5</v>
      </c>
      <c r="E84" t="n">
        <v>2</v>
      </c>
      <c r="F84" s="11" t="n">
        <v>1</v>
      </c>
    </row>
    <row r="85">
      <c r="A85" s="2" t="n">
        <v>46085</v>
      </c>
      <c r="B85" s="5" t="n">
        <v>26.1</v>
      </c>
      <c r="C85" t="n">
        <v>3</v>
      </c>
      <c r="D85" t="n">
        <v>1</v>
      </c>
      <c r="E85" t="n">
        <v>0</v>
      </c>
      <c r="F85" s="11" t="n">
        <v>0.7414772727272727</v>
      </c>
    </row>
    <row r="86">
      <c r="A86" s="2" t="n">
        <v>46086</v>
      </c>
      <c r="B86" s="5" t="n">
        <v>30.6</v>
      </c>
      <c r="C86" t="n">
        <v>6</v>
      </c>
      <c r="D86" t="n">
        <v>3</v>
      </c>
      <c r="E86" t="n">
        <v>1</v>
      </c>
      <c r="F86" s="11" t="n">
        <v>0.8693181818181818</v>
      </c>
    </row>
    <row r="87">
      <c r="A87" s="2" t="n">
        <v>46087</v>
      </c>
      <c r="B87" s="5" t="n">
        <v>30.9</v>
      </c>
      <c r="C87" t="n">
        <v>14</v>
      </c>
      <c r="D87" t="n">
        <v>7</v>
      </c>
      <c r="E87" t="n">
        <v>3</v>
      </c>
      <c r="F87" s="11" t="n">
        <v>0.8778409090909089</v>
      </c>
    </row>
    <row r="88">
      <c r="A88" s="2" t="n">
        <v>46088</v>
      </c>
      <c r="B88" s="5" t="n">
        <v>32.3</v>
      </c>
      <c r="C88" t="n">
        <v>14</v>
      </c>
      <c r="D88" t="n">
        <v>6</v>
      </c>
      <c r="E88" t="n">
        <v>2</v>
      </c>
      <c r="F88" s="11" t="n">
        <v>0.9176136363636362</v>
      </c>
    </row>
    <row r="89">
      <c r="A89" s="2" t="n">
        <v>46089</v>
      </c>
      <c r="B89" s="5" t="n">
        <v>33.2</v>
      </c>
      <c r="C89" t="n">
        <v>14</v>
      </c>
      <c r="D89" t="n">
        <v>6</v>
      </c>
      <c r="E89" t="n">
        <v>2</v>
      </c>
      <c r="F89" s="11" t="n">
        <v>0.9431818181818182</v>
      </c>
    </row>
    <row r="90">
      <c r="A90" s="2" t="n">
        <v>46091</v>
      </c>
      <c r="B90" s="5" t="n">
        <v>30.9</v>
      </c>
      <c r="C90" t="n">
        <v>13</v>
      </c>
      <c r="D90" t="n">
        <v>7</v>
      </c>
      <c r="E90" t="n">
        <v>2</v>
      </c>
      <c r="F90" s="11" t="n">
        <v>0.8778409090909089</v>
      </c>
    </row>
    <row r="91">
      <c r="A91" s="2" t="n">
        <v>46092</v>
      </c>
      <c r="B91" s="5" t="n">
        <v>27.7</v>
      </c>
      <c r="C91" t="n">
        <v>8</v>
      </c>
      <c r="D91" t="n">
        <v>3</v>
      </c>
      <c r="E91" t="n">
        <v>1</v>
      </c>
      <c r="F91" s="11" t="n">
        <v>0.7869318181818181</v>
      </c>
    </row>
    <row r="92">
      <c r="A92" s="2" t="n">
        <v>46093</v>
      </c>
      <c r="B92" s="5" t="n">
        <v>34.3</v>
      </c>
      <c r="C92" t="n">
        <v>12</v>
      </c>
      <c r="D92" t="n">
        <v>7</v>
      </c>
      <c r="E92" t="n">
        <v>2</v>
      </c>
      <c r="F92" s="11" t="n">
        <v>0.974431818181818</v>
      </c>
    </row>
    <row r="93">
      <c r="A93" s="2" t="n">
        <v>46138</v>
      </c>
      <c r="B93" s="5" t="n">
        <v>25</v>
      </c>
      <c r="C93" t="n">
        <v>8</v>
      </c>
      <c r="D93" t="n">
        <v>3</v>
      </c>
      <c r="E93" t="n">
        <v>1</v>
      </c>
      <c r="F93" s="11" t="n">
        <v>0.7102272727272727</v>
      </c>
    </row>
    <row r="94">
      <c r="A94" s="2" t="n"/>
      <c r="B94" s="5" t="n"/>
      <c r="F94" s="11" t="n"/>
    </row>
    <row r="95">
      <c r="A95" s="2" t="n"/>
      <c r="B95" s="5" t="n"/>
      <c r="F95" s="11" t="n"/>
    </row>
    <row r="96">
      <c r="A96" s="2" t="n"/>
      <c r="B96" s="5" t="n"/>
      <c r="F96" s="11" t="n"/>
    </row>
    <row r="97">
      <c r="A97" s="2" t="n"/>
      <c r="B97" s="5" t="n"/>
      <c r="F97" s="11" t="n"/>
    </row>
    <row r="98">
      <c r="A98" s="2" t="n"/>
      <c r="B98" s="5" t="n"/>
      <c r="F98" s="11" t="n"/>
    </row>
    <row r="99">
      <c r="A99" s="2" t="n"/>
      <c r="B99" s="5" t="n"/>
      <c r="F99" s="11" t="n"/>
    </row>
    <row r="100">
      <c r="A100" s="2" t="n"/>
      <c r="B100" s="5" t="n"/>
      <c r="F100" s="11" t="n"/>
    </row>
    <row r="101">
      <c r="A101" s="2" t="n"/>
      <c r="B101" s="5" t="n"/>
      <c r="F101" s="11" t="n"/>
    </row>
    <row r="102">
      <c r="A102" s="2" t="n"/>
      <c r="B102" s="5" t="n"/>
      <c r="F102" s="11" t="n"/>
    </row>
    <row r="103">
      <c r="A103" s="2" t="n"/>
      <c r="B103" s="5" t="n"/>
      <c r="F103" s="11" t="n"/>
    </row>
    <row r="104">
      <c r="A104" s="2" t="n"/>
      <c r="B104" s="5" t="n"/>
      <c r="F104" s="11" t="n"/>
    </row>
    <row r="105">
      <c r="A105" s="2" t="n"/>
      <c r="B105" s="5" t="n"/>
      <c r="F105" s="11" t="n"/>
    </row>
    <row r="106">
      <c r="A106" s="2" t="n"/>
      <c r="B106" s="5" t="n"/>
      <c r="F106" s="11" t="n"/>
    </row>
    <row r="107">
      <c r="A107" s="2" t="n"/>
      <c r="B107" s="5" t="n"/>
      <c r="F107" s="11" t="n"/>
    </row>
    <row r="108">
      <c r="A108" s="2" t="n"/>
      <c r="B108" s="5" t="n"/>
      <c r="F108" s="11" t="n"/>
    </row>
    <row r="109">
      <c r="A109" s="2" t="n"/>
      <c r="B109" s="5" t="n"/>
      <c r="F109" s="11" t="n"/>
    </row>
    <row r="110">
      <c r="A110" s="2" t="n"/>
      <c r="B110" s="5" t="n"/>
      <c r="F110" s="11" t="n"/>
    </row>
    <row r="111">
      <c r="A111" s="2" t="n"/>
      <c r="B111" s="5" t="n"/>
      <c r="F111" s="11" t="n"/>
    </row>
    <row r="112">
      <c r="A112" s="2" t="n"/>
      <c r="B112" s="5" t="n"/>
      <c r="F112" s="11" t="n"/>
    </row>
    <row r="113">
      <c r="A113" s="2" t="n"/>
      <c r="B113" s="5" t="n"/>
      <c r="F113" s="11" t="n"/>
    </row>
    <row r="114">
      <c r="A114" s="2" t="n"/>
      <c r="B114" s="5" t="n"/>
      <c r="F114" s="11" t="n"/>
    </row>
    <row r="115">
      <c r="A115" s="2" t="n"/>
      <c r="B115" s="5" t="n"/>
      <c r="F115" s="11" t="n"/>
    </row>
    <row r="116">
      <c r="A116" s="2" t="n"/>
      <c r="B116" s="5" t="n"/>
      <c r="F116" s="11" t="n"/>
    </row>
    <row r="117">
      <c r="A117" s="2" t="n"/>
      <c r="B117" s="5" t="n"/>
      <c r="F117" s="11" t="n"/>
    </row>
    <row r="118">
      <c r="A118" s="2" t="n"/>
      <c r="B118" s="5" t="n"/>
      <c r="F118" s="11" t="n"/>
    </row>
    <row r="119">
      <c r="A119" s="2" t="n"/>
      <c r="B119" s="5" t="n"/>
      <c r="F119" s="11" t="n"/>
    </row>
    <row r="120">
      <c r="A120" s="2" t="n"/>
      <c r="B120" s="5" t="n"/>
      <c r="F120" s="11" t="n"/>
    </row>
    <row r="121">
      <c r="A121" s="2" t="n"/>
      <c r="B121" s="5" t="n"/>
      <c r="F121" s="11" t="n"/>
    </row>
    <row r="122">
      <c r="A122" s="2" t="n"/>
      <c r="B122" s="5" t="n"/>
      <c r="F122" s="11" t="n"/>
    </row>
    <row r="123">
      <c r="A123" s="2" t="n"/>
      <c r="B123" s="5" t="n"/>
      <c r="F123" s="11" t="n"/>
    </row>
    <row r="124">
      <c r="A124" s="2" t="n"/>
      <c r="B124" s="5" t="n"/>
      <c r="F124" s="11" t="n"/>
    </row>
    <row r="125">
      <c r="A125" s="2" t="n"/>
      <c r="B125" s="5" t="n"/>
      <c r="E125" s="5" t="n"/>
      <c r="F125" s="11" t="n"/>
    </row>
    <row r="126">
      <c r="A126" s="2" t="n"/>
      <c r="B126" s="5" t="n"/>
      <c r="E126" s="5" t="n"/>
      <c r="F126" s="11" t="n"/>
    </row>
    <row r="127">
      <c r="A127" s="2" t="n"/>
      <c r="B127" s="5" t="n"/>
      <c r="E127" s="5" t="n"/>
      <c r="F127" s="11" t="n"/>
    </row>
    <row r="128">
      <c r="A128" s="2" t="n"/>
      <c r="B128" s="5" t="n"/>
      <c r="E128" s="5" t="n"/>
      <c r="F128" s="11" t="n"/>
    </row>
    <row r="129">
      <c r="A129" s="2" t="n"/>
      <c r="B129" s="5" t="n"/>
      <c r="E129" s="5" t="n"/>
      <c r="F129" s="11" t="n"/>
    </row>
    <row r="130">
      <c r="A130" s="2" t="n"/>
      <c r="B130" s="5" t="n"/>
      <c r="E130" s="5" t="n"/>
      <c r="F130" s="11" t="n"/>
    </row>
    <row r="131">
      <c r="A131" s="2" t="n"/>
      <c r="B131" s="5" t="n"/>
      <c r="E131" s="5" t="n"/>
      <c r="F131" s="11" t="n"/>
    </row>
    <row r="132">
      <c r="A132" s="2" t="n"/>
      <c r="B132" s="5" t="n"/>
      <c r="E132" s="5" t="n"/>
      <c r="F132" s="11" t="n"/>
    </row>
    <row r="133">
      <c r="A133" s="2" t="n"/>
      <c r="B133" s="5" t="n"/>
      <c r="E133" s="5" t="n"/>
      <c r="F133" s="11" t="n"/>
    </row>
    <row r="134">
      <c r="A134" s="2" t="n"/>
      <c r="B134" s="5" t="n"/>
      <c r="E134" s="5" t="n"/>
      <c r="F134" s="11" t="n"/>
    </row>
    <row r="135">
      <c r="A135" s="2" t="n"/>
      <c r="B135" s="5" t="n"/>
      <c r="E135" s="5" t="n"/>
      <c r="F135" s="11" t="n"/>
    </row>
    <row r="136">
      <c r="A136" s="2" t="n"/>
      <c r="B136" s="5" t="n"/>
      <c r="E136" s="5" t="n"/>
      <c r="F136" s="11" t="n"/>
    </row>
    <row r="137">
      <c r="A137" s="2" t="n"/>
      <c r="B137" s="5" t="n"/>
      <c r="E137" s="5" t="n"/>
      <c r="F137" s="11" t="n"/>
    </row>
    <row r="138">
      <c r="A138" s="2" t="n"/>
      <c r="B138" s="5" t="n"/>
      <c r="E138" s="5" t="n"/>
      <c r="F138" s="11" t="n"/>
    </row>
    <row r="139">
      <c r="A139" s="2" t="n"/>
      <c r="B139" s="5" t="n"/>
      <c r="E139" s="5" t="n"/>
      <c r="F139" s="11" t="n"/>
    </row>
    <row r="140">
      <c r="A140" s="2" t="n"/>
      <c r="B140" s="5" t="n"/>
      <c r="E140" s="5" t="n"/>
      <c r="F140" s="11" t="n"/>
    </row>
    <row r="141">
      <c r="A141" s="2" t="n"/>
      <c r="B141" s="5" t="n"/>
      <c r="E141" s="5" t="n"/>
      <c r="F141" s="11" t="n"/>
    </row>
    <row r="142">
      <c r="A142" s="2" t="n"/>
      <c r="B142" s="5" t="n"/>
      <c r="E142" s="5" t="n"/>
      <c r="F142" s="11" t="n"/>
    </row>
    <row r="143">
      <c r="A143" s="2" t="n"/>
      <c r="B143" s="5" t="n"/>
      <c r="E143" s="5" t="n"/>
      <c r="F143" s="11" t="n"/>
    </row>
    <row r="144">
      <c r="A144" s="2" t="n"/>
      <c r="B144" s="5" t="n"/>
      <c r="E144" s="5" t="n"/>
      <c r="F144" s="11" t="n"/>
    </row>
    <row r="145">
      <c r="A145" s="2" t="n"/>
      <c r="B145" s="5" t="n"/>
      <c r="E145" s="5" t="n"/>
      <c r="F145" s="11" t="n"/>
    </row>
    <row r="146">
      <c r="A146" s="2" t="n"/>
      <c r="B146" s="5" t="n"/>
      <c r="E146" s="5" t="n"/>
      <c r="F146" s="11" t="n"/>
    </row>
    <row r="147">
      <c r="A147" s="2" t="n"/>
      <c r="B147" s="5" t="n"/>
      <c r="E147" s="5" t="n"/>
      <c r="F147" s="11" t="n"/>
    </row>
    <row r="148">
      <c r="A148" s="2" t="n"/>
      <c r="B148" s="5" t="n"/>
      <c r="E148" s="5" t="n"/>
      <c r="F148" s="11" t="n"/>
    </row>
    <row r="149">
      <c r="A149" s="2" t="n"/>
      <c r="B149" s="5" t="n"/>
      <c r="E149" s="5" t="n"/>
      <c r="F149" s="11" t="n"/>
    </row>
    <row r="150">
      <c r="A150" s="2" t="n"/>
      <c r="B150" s="5" t="n"/>
      <c r="E150" s="5" t="n"/>
      <c r="F150" s="11" t="n"/>
    </row>
    <row r="151">
      <c r="A151" s="2" t="n"/>
      <c r="B151" s="5" t="n"/>
      <c r="E151" s="5" t="n"/>
      <c r="F151" s="11" t="n"/>
    </row>
    <row r="152">
      <c r="A152" s="2" t="n"/>
      <c r="B152" s="5" t="n"/>
      <c r="E152" s="5" t="n"/>
      <c r="F152" s="11" t="n"/>
    </row>
    <row r="153">
      <c r="A153" s="2" t="n"/>
      <c r="B153" s="5" t="n"/>
      <c r="E153" s="5" t="n"/>
      <c r="F153" s="11" t="n"/>
    </row>
    <row r="154">
      <c r="A154" s="2" t="n"/>
      <c r="B154" s="5" t="n"/>
      <c r="E154" s="5" t="n"/>
      <c r="F154" s="11" t="n"/>
    </row>
    <row r="155">
      <c r="A155" s="2" t="n"/>
      <c r="B155" s="5" t="n"/>
      <c r="E155" s="5" t="n"/>
      <c r="F155" s="11" t="n"/>
    </row>
    <row r="156">
      <c r="A156" s="2" t="n"/>
      <c r="B156" s="5" t="n"/>
      <c r="E156" s="5" t="n"/>
      <c r="F156" s="11" t="n"/>
    </row>
    <row r="157">
      <c r="A157" s="2" t="n"/>
      <c r="B157" s="5" t="n"/>
      <c r="E157" s="5" t="n"/>
      <c r="F157" s="11" t="n"/>
    </row>
    <row r="158">
      <c r="A158" s="2" t="n"/>
      <c r="B158" s="5" t="n"/>
      <c r="E158" s="5" t="n"/>
      <c r="F158" s="11" t="n"/>
    </row>
    <row r="159">
      <c r="A159" s="2" t="n"/>
      <c r="B159" s="5" t="n"/>
      <c r="E159" s="5" t="n"/>
      <c r="F159" s="11" t="n"/>
    </row>
    <row r="160">
      <c r="A160" s="2" t="n"/>
      <c r="B160" s="5" t="n"/>
      <c r="E160" s="5" t="n"/>
      <c r="F160" s="11" t="n"/>
    </row>
    <row r="161">
      <c r="A161" s="2" t="n"/>
      <c r="B161" s="5" t="n"/>
      <c r="E161" s="5" t="n"/>
      <c r="F161" s="11" t="n"/>
    </row>
    <row r="162">
      <c r="A162" s="2" t="n"/>
      <c r="B162" s="5" t="n"/>
      <c r="E162" s="5" t="n"/>
      <c r="F162" s="11" t="n"/>
    </row>
    <row r="163">
      <c r="A163" s="2" t="n"/>
      <c r="B163" s="5" t="n"/>
      <c r="E163" s="5" t="n"/>
      <c r="F163" s="11" t="n"/>
    </row>
    <row r="164">
      <c r="A164" s="2" t="n"/>
      <c r="B164" s="5" t="n"/>
      <c r="E164" s="5" t="n"/>
      <c r="F164" s="11" t="n"/>
    </row>
    <row r="165">
      <c r="A165" s="2" t="n"/>
      <c r="B165" s="5" t="n"/>
      <c r="E165" s="5" t="n"/>
      <c r="F165" s="11" t="n"/>
    </row>
    <row r="166">
      <c r="A166" s="2" t="n"/>
      <c r="B166" s="5" t="n"/>
      <c r="E166" s="5" t="n"/>
      <c r="F166" s="11" t="n"/>
    </row>
    <row r="167">
      <c r="A167" s="2" t="n"/>
      <c r="B167" s="5" t="n"/>
      <c r="E167" s="5" t="n"/>
      <c r="F167" s="11" t="n"/>
    </row>
    <row r="168">
      <c r="A168" s="2" t="n"/>
      <c r="B168" s="5" t="n"/>
      <c r="E168" s="5" t="n"/>
      <c r="F168" s="11" t="n"/>
    </row>
    <row r="169">
      <c r="A169" s="2" t="n"/>
      <c r="B169" s="5" t="n"/>
      <c r="E169" s="5" t="n"/>
      <c r="F169" s="11" t="n"/>
    </row>
    <row r="170">
      <c r="A170" s="2" t="n"/>
      <c r="B170" s="5" t="n"/>
      <c r="E170" s="5" t="n"/>
      <c r="F170" s="11" t="n"/>
    </row>
    <row r="171">
      <c r="A171" s="2" t="n"/>
      <c r="B171" s="5" t="n"/>
      <c r="E171" s="5" t="n"/>
      <c r="F171" s="11" t="n"/>
    </row>
    <row r="172">
      <c r="A172" s="2" t="n"/>
      <c r="B172" s="5" t="n"/>
      <c r="E172" s="5" t="n"/>
      <c r="F172" s="11" t="n"/>
    </row>
    <row r="173">
      <c r="A173" s="2" t="n"/>
      <c r="B173" s="5" t="n"/>
      <c r="E173" s="5" t="n"/>
      <c r="F173" s="11" t="n"/>
    </row>
    <row r="174">
      <c r="A174" s="2" t="n"/>
      <c r="B174" s="5" t="n"/>
      <c r="E174" s="5" t="n"/>
      <c r="F174" s="11" t="n"/>
    </row>
    <row r="175">
      <c r="A175" s="2" t="n"/>
      <c r="B175" s="5" t="n"/>
      <c r="E175" s="5" t="n"/>
      <c r="F175" s="11" t="n"/>
    </row>
    <row r="176">
      <c r="A176" s="2" t="n"/>
      <c r="B176" s="5" t="n"/>
      <c r="E176" s="5" t="n"/>
      <c r="F176" s="11" t="n"/>
    </row>
    <row r="177">
      <c r="A177" s="2" t="n"/>
      <c r="B177" s="5" t="n"/>
      <c r="E177" s="5" t="n"/>
      <c r="F177" s="11" t="n"/>
    </row>
    <row r="178">
      <c r="A178" s="2" t="n"/>
      <c r="B178" s="5" t="n"/>
      <c r="E178" s="5" t="n"/>
      <c r="F178" s="11" t="n"/>
    </row>
    <row r="179">
      <c r="A179" s="2" t="n"/>
      <c r="B179" s="5" t="n"/>
      <c r="E179" s="5" t="n"/>
      <c r="F179" s="11" t="n"/>
    </row>
    <row r="180">
      <c r="A180" s="2" t="n"/>
      <c r="B180" s="5" t="n"/>
      <c r="E180" s="5" t="n"/>
      <c r="F180" s="11" t="n"/>
    </row>
    <row r="181">
      <c r="A181" s="2" t="n"/>
      <c r="B181" s="5" t="n"/>
      <c r="E181" s="5" t="n"/>
      <c r="F181" s="11" t="n"/>
    </row>
    <row r="182">
      <c r="A182" s="2" t="n"/>
      <c r="B182" s="5" t="n"/>
      <c r="E182" s="5" t="n"/>
      <c r="F182" s="11" t="n"/>
    </row>
    <row r="183">
      <c r="A183" s="2" t="n"/>
      <c r="B183" s="5" t="n"/>
      <c r="E183" s="5" t="n"/>
      <c r="F183" s="11" t="n"/>
    </row>
    <row r="184">
      <c r="A184" s="2" t="n"/>
      <c r="B184" s="5" t="n"/>
      <c r="E184" s="5" t="n"/>
      <c r="F184" s="11" t="n"/>
    </row>
    <row r="185">
      <c r="A185" s="2" t="n"/>
      <c r="B185" s="5" t="n"/>
      <c r="E185" s="5" t="n"/>
      <c r="F185" s="11" t="n"/>
    </row>
    <row r="186">
      <c r="A186" s="2" t="n"/>
      <c r="B186" s="5" t="n"/>
      <c r="E186" s="5" t="n"/>
      <c r="F186" s="11" t="n"/>
    </row>
    <row r="187">
      <c r="A187" s="2" t="n"/>
      <c r="B187" s="5" t="n"/>
      <c r="E187" s="5" t="n"/>
      <c r="F187" s="11" t="n"/>
    </row>
    <row r="188">
      <c r="A188" s="2" t="n"/>
      <c r="B188" s="5" t="n"/>
      <c r="E188" s="5" t="n"/>
      <c r="F188" s="11" t="n"/>
    </row>
    <row r="189">
      <c r="A189" s="2" t="n"/>
      <c r="B189" s="5" t="n"/>
      <c r="E189" s="5" t="n"/>
      <c r="F189" s="11" t="n"/>
    </row>
    <row r="190">
      <c r="A190" s="2" t="n"/>
      <c r="B190" s="5" t="n"/>
      <c r="E190" s="5" t="n"/>
      <c r="F190" s="11" t="n"/>
    </row>
    <row r="191">
      <c r="A191" s="2" t="n"/>
      <c r="B191" s="5" t="n"/>
      <c r="E191" s="5" t="n"/>
      <c r="F191" s="11" t="n"/>
    </row>
    <row r="192">
      <c r="A192" s="2" t="n"/>
      <c r="B192" s="5" t="n"/>
      <c r="E192" s="5" t="n"/>
      <c r="F192" s="11" t="n"/>
    </row>
    <row r="193">
      <c r="A193" s="2" t="n"/>
      <c r="B193" s="5" t="n"/>
      <c r="E193" s="5" t="n"/>
      <c r="F193" s="11" t="n"/>
    </row>
    <row r="194">
      <c r="A194" s="2" t="n"/>
      <c r="B194" s="5" t="n"/>
      <c r="E194" s="5" t="n"/>
      <c r="F194" s="11" t="n"/>
    </row>
    <row r="195">
      <c r="A195" s="2" t="n"/>
      <c r="B195" s="5" t="n"/>
      <c r="E195" s="5" t="n"/>
      <c r="F195" s="11" t="n"/>
    </row>
    <row r="196">
      <c r="A196" s="2" t="n"/>
      <c r="B196" s="5" t="n"/>
      <c r="E196" s="5" t="n"/>
      <c r="F196" s="11" t="n"/>
    </row>
    <row r="197">
      <c r="A197" s="2" t="n"/>
      <c r="B197" s="5" t="n"/>
      <c r="E197" s="5" t="n"/>
      <c r="F197" s="11" t="n"/>
    </row>
    <row r="198">
      <c r="A198" s="2" t="n"/>
      <c r="B198" s="5" t="n"/>
      <c r="E198" s="5" t="n"/>
      <c r="F198" s="11" t="n"/>
    </row>
    <row r="199">
      <c r="A199" s="2" t="n"/>
      <c r="B199" s="5" t="n"/>
      <c r="E199" s="5" t="n"/>
      <c r="F199" s="11" t="n"/>
    </row>
    <row r="200">
      <c r="A200" s="2" t="n"/>
      <c r="B200" s="5" t="n"/>
      <c r="E200" s="5" t="n"/>
      <c r="F200" s="11" t="n"/>
    </row>
    <row r="201">
      <c r="A201" s="3" t="n"/>
      <c r="E201" s="5" t="n"/>
      <c r="F201" s="7" t="n"/>
    </row>
    <row r="202">
      <c r="A202" s="3" t="n"/>
      <c r="E202" s="5" t="n"/>
      <c r="F202" s="7" t="n"/>
    </row>
    <row r="203">
      <c r="A203" s="3" t="n"/>
      <c r="E203" s="5" t="n"/>
      <c r="F203" s="7" t="n"/>
    </row>
    <row r="204">
      <c r="A204" s="3" t="n"/>
      <c r="E204" s="5" t="n"/>
      <c r="F204" s="7" t="n"/>
    </row>
    <row r="205">
      <c r="A205" s="3" t="n"/>
      <c r="E205" s="5" t="n"/>
      <c r="F205" s="7" t="n"/>
    </row>
    <row r="206">
      <c r="A206" s="3" t="n"/>
      <c r="E206" s="5" t="n"/>
      <c r="F206" s="7" t="n"/>
    </row>
    <row r="207">
      <c r="A207" s="3" t="n"/>
      <c r="E207" s="5" t="n"/>
      <c r="F207" s="7" t="n"/>
    </row>
    <row r="208">
      <c r="A208" s="3" t="n"/>
      <c r="E208" s="5" t="n"/>
      <c r="F208" s="7" t="n"/>
    </row>
    <row r="209">
      <c r="A209" s="3" t="n"/>
      <c r="E209" s="5" t="n"/>
      <c r="F209" s="7" t="n"/>
    </row>
    <row r="210">
      <c r="A210" s="3" t="n"/>
      <c r="E210" s="5" t="n"/>
      <c r="F210" s="7" t="n"/>
    </row>
    <row r="211">
      <c r="A211" s="3" t="n"/>
      <c r="E211" s="5" t="n"/>
      <c r="F211" s="7" t="n"/>
    </row>
    <row r="212">
      <c r="A212" s="3" t="n"/>
      <c r="E212" s="5" t="n"/>
      <c r="F212" s="7" t="n"/>
    </row>
    <row r="213">
      <c r="A213" s="3" t="n"/>
      <c r="E213" s="5" t="n"/>
      <c r="F213" s="7" t="n"/>
    </row>
    <row r="214">
      <c r="A214" s="3" t="n"/>
      <c r="E214" s="5" t="n"/>
      <c r="F214" s="7" t="n"/>
    </row>
    <row r="215">
      <c r="A215" s="3" t="n"/>
      <c r="E215" s="5" t="n"/>
      <c r="F215" s="7" t="n"/>
    </row>
    <row r="216">
      <c r="A216" s="3" t="n"/>
      <c r="E216" s="5" t="n"/>
      <c r="F216" s="7" t="n"/>
    </row>
    <row r="217">
      <c r="A217" s="3" t="n"/>
      <c r="E217" s="5" t="n"/>
      <c r="F217" s="7" t="n"/>
    </row>
    <row r="218">
      <c r="A218" s="3" t="n"/>
      <c r="E218" s="5" t="n"/>
      <c r="F218" s="7" t="n"/>
    </row>
    <row r="219">
      <c r="A219" s="3" t="n"/>
      <c r="E219" s="5" t="n"/>
      <c r="F219" s="7" t="n"/>
    </row>
    <row r="220">
      <c r="A220" s="3" t="n"/>
      <c r="E220" s="5" t="n"/>
      <c r="F220" s="7" t="n"/>
    </row>
    <row r="221">
      <c r="A221" s="3" t="n"/>
      <c r="E221" s="5" t="n"/>
      <c r="F221" s="7" t="n"/>
    </row>
    <row r="222">
      <c r="A222" s="3" t="n"/>
      <c r="E222" s="5" t="n"/>
      <c r="F222" s="7" t="n"/>
    </row>
  </sheetData>
  <mergeCells count="2">
    <mergeCell ref="A1:K1"/>
    <mergeCell ref="A3:K3"/>
  </mergeCells>
  <conditionalFormatting sqref="F6:F16">
    <cfRule type="cellIs" priority="1" operator="greaterThan" dxfId="4">
      <formula>14</formula>
    </cfRule>
    <cfRule type="cellIs" priority="2" operator="between" dxfId="1">
      <formula>7</formula>
      <formula>14</formula>
    </cfRule>
    <cfRule type="cellIs" priority="3" operator="lessThan" dxfId="0">
      <formula>7</formula>
    </cfRule>
  </conditionalFormatting>
  <conditionalFormatting sqref="H6:H16">
    <cfRule type="cellIs" priority="4" operator="greaterThan" dxfId="4">
      <formula>14</formula>
    </cfRule>
    <cfRule type="cellIs" priority="5" operator="between" dxfId="1">
      <formula>7</formula>
      <formula>14</formula>
    </cfRule>
    <cfRule type="cellIs" priority="6" operator="lessThan" dxfId="0">
      <formula>7</formula>
    </cfRule>
  </conditionalFormatting>
  <conditionalFormatting sqref="K6:K16">
    <cfRule type="containsText" priority="7" operator="containsText" dxfId="4" text="&gt;14d">
      <formula>NOT(ISERROR(SEARCH("&gt;14d",K6)))</formula>
    </cfRule>
    <cfRule type="containsText" priority="8" operator="containsText" dxfId="1" text="&gt;7d">
      <formula>NOT(ISERROR(SEARCH("&gt;7d",K6)))</formula>
    </cfRule>
    <cfRule type="containsText" priority="9" operator="containsText" dxfId="0" text="OK">
      <formula>NOT(ISERROR(SEARCH("OK",K6)))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6AD55"/>
    <outlinePr summaryBelow="1" summaryRight="1"/>
    <pageSetUpPr/>
  </sheetPr>
  <dimension ref="A1:J51"/>
  <sheetViews>
    <sheetView zoomScale="42" workbookViewId="0">
      <pane ySplit="3" topLeftCell="A20" activePane="bottomLeft" state="frozen"/>
      <selection pane="bottomLeft" activeCell="K48" sqref="K48"/>
    </sheetView>
  </sheetViews>
  <sheetFormatPr baseColWidth="8" defaultRowHeight="15"/>
  <cols>
    <col width="22.85546875" customWidth="1" min="1" max="1"/>
    <col width="11.7109375" bestFit="1" customWidth="1" min="2" max="2"/>
    <col width="7.140625" bestFit="1" customWidth="1" min="3" max="3"/>
    <col width="17.85546875" bestFit="1" customWidth="1" min="4" max="4"/>
    <col width="38.140625" customWidth="1" min="5" max="5"/>
    <col width="6.140625" bestFit="1" customWidth="1" min="6" max="6"/>
    <col width="45.42578125" bestFit="1" customWidth="1" min="7" max="7"/>
    <col width="6.140625" bestFit="1" customWidth="1" min="8" max="8"/>
    <col width="8.42578125" bestFit="1" customWidth="1" min="9" max="9"/>
    <col width="10.85546875" bestFit="1" customWidth="1" min="10" max="10"/>
  </cols>
  <sheetData>
    <row r="1" ht="42" customHeight="1">
      <c r="A1" s="594" t="inlineStr">
        <is>
          <t>📋  CARGA PLANEADA vs REAL  |  Modelo de Periodização  |  Belenenses</t>
        </is>
      </c>
      <c r="B1" s="599" t="n"/>
      <c r="C1" s="599" t="n"/>
      <c r="D1" s="599" t="n"/>
      <c r="E1" s="599" t="n"/>
      <c r="F1" s="599" t="n"/>
      <c r="G1" s="599" t="n"/>
      <c r="H1" s="599" t="n"/>
      <c r="I1" s="599" t="n"/>
      <c r="J1" s="599" t="n"/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3" ht="27.95" customHeight="1">
      <c r="A3" s="596" t="inlineStr">
        <is>
          <t>A — CARGA ESPERADA POR DIA DE MICROCICLO (Referência Histórica)</t>
        </is>
      </c>
      <c r="B3" s="601" t="n"/>
      <c r="C3" s="601" t="n"/>
      <c r="D3" s="601" t="n"/>
      <c r="E3" s="601" t="n"/>
      <c r="F3" s="601" t="n"/>
      <c r="G3" s="601" t="n"/>
      <c r="H3" s="601" t="n"/>
      <c r="I3" s="601" t="n"/>
      <c r="J3" s="601" t="n"/>
    </row>
    <row r="4" ht="36" customHeight="1">
      <c r="A4" s="191" t="inlineStr">
        <is>
          <t>Dia MD</t>
        </is>
      </c>
      <c r="B4" s="191" t="inlineStr">
        <is>
          <t>Duração
(min)</t>
        </is>
      </c>
      <c r="C4" s="191" t="inlineStr">
        <is>
          <t>Dist Total
(m)</t>
        </is>
      </c>
      <c r="D4" s="191" t="inlineStr">
        <is>
          <t>HSR
(m)</t>
        </is>
      </c>
      <c r="E4" s="191" t="inlineStr">
        <is>
          <t>Sprint
(m)</t>
        </is>
      </c>
      <c r="F4" s="191" t="inlineStr">
        <is>
          <t>Acc
(n)</t>
        </is>
      </c>
      <c r="G4" s="191" t="inlineStr">
        <is>
          <t>Dcc
(n)</t>
        </is>
      </c>
      <c r="H4" s="191" t="inlineStr">
        <is>
          <t>PSE</t>
        </is>
      </c>
      <c r="I4" s="191" t="inlineStr">
        <is>
          <t>CI
(PSE×min)</t>
        </is>
      </c>
      <c r="J4" s="191" t="inlineStr">
        <is>
          <t>CI Target
(Planeada)</t>
        </is>
      </c>
    </row>
    <row r="5" ht="24" customHeight="1">
      <c r="A5" s="397" t="inlineStr">
        <is>
          <t>MD-5</t>
        </is>
      </c>
      <c r="B5" s="357">
        <f>IFERROR(AVERAGEIFS(tblCarga[Duração (min)],tblCarga[Dia MD],A5,tblCarga[Tipo],"Treino"),"—")</f>
        <v/>
      </c>
      <c r="C5" s="358">
        <f>IFERROR(AVERAGEIFS(tblCarga[Distância Total (m)],tblCarga[Dia MD],A5,tblCarga[Tipo],"Treino"),"—")</f>
        <v/>
      </c>
      <c r="D5" s="357">
        <f>IFERROR(AVERAGEIFS(tblCarga[HSR (m)],tblCarga[Dia MD],A5,tblCarga[Tipo],"Treino"),"—")</f>
        <v/>
      </c>
      <c r="E5" s="357">
        <f>IFERROR(AVERAGEIFS(tblCarga[Sprint (m)],tblCarga[Dia MD],A5,tblCarga[Tipo],"Treino"),"—")</f>
        <v/>
      </c>
      <c r="F5" s="357">
        <f>IFERROR(AVERAGEIFS(tblCarga[Acc (n)],tblCarga[Dia MD],A5,tblCarga[Tipo],"Treino"),"—")</f>
        <v/>
      </c>
      <c r="G5" s="357">
        <f>IFERROR(AVERAGEIFS(tblCarga[Dcc (n)],tblCarga[Dia MD],A5,tblCarga[Tipo],"Treino"),"—")</f>
        <v/>
      </c>
      <c r="H5" s="398">
        <f>IFERROR(AVERAGEIFS(tblCarga[PSE Sessão],tblCarga[Dia MD],A5,tblCarga[Tipo],"Treino"),"—")</f>
        <v/>
      </c>
      <c r="I5" s="358">
        <f>IFERROR(B5*H5,"—")</f>
        <v/>
      </c>
      <c r="J5" s="400" t="n"/>
    </row>
    <row r="6" ht="24" customHeight="1">
      <c r="A6" s="401" t="inlineStr">
        <is>
          <t>MD-4</t>
        </is>
      </c>
      <c r="B6" s="402">
        <f>IFERROR(AVERAGEIFS(tblCarga[Duração (min)],tblCarga[Dia MD],A6,tblCarga[Tipo],"Treino"),"—")</f>
        <v/>
      </c>
      <c r="C6" s="403">
        <f>IFERROR(AVERAGEIFS(tblCarga[Distância Total (m)],tblCarga[Dia MD],A6,tblCarga[Tipo],"Treino"),"—")</f>
        <v/>
      </c>
      <c r="D6" s="402">
        <f>IFERROR(AVERAGEIFS(tblCarga[HSR (m)],tblCarga[Dia MD],A6,tblCarga[Tipo],"Treino"),"—")</f>
        <v/>
      </c>
      <c r="E6" s="402">
        <f>IFERROR(AVERAGEIFS(tblCarga[Sprint (m)],tblCarga[Dia MD],A6,tblCarga[Tipo],"Treino"),"—")</f>
        <v/>
      </c>
      <c r="F6" s="402">
        <f>IFERROR(AVERAGEIFS(tblCarga[Acc (n)],tblCarga[Dia MD],A6,tblCarga[Tipo],"Treino"),"—")</f>
        <v/>
      </c>
      <c r="G6" s="402">
        <f>IFERROR(AVERAGEIFS(tblCarga[Dcc (n)],tblCarga[Dia MD],A6,tblCarga[Tipo],"Treino"),"—")</f>
        <v/>
      </c>
      <c r="H6" s="404">
        <f>IFERROR(AVERAGEIFS(tblCarga[PSE Sessão],tblCarga[Dia MD],A6,tblCarga[Tipo],"Treino"),"—")</f>
        <v/>
      </c>
      <c r="I6" s="403">
        <f>IFERROR(B6*H6,"—")</f>
        <v/>
      </c>
      <c r="J6" s="405" t="n"/>
    </row>
    <row r="7" ht="24" customHeight="1">
      <c r="A7" s="411" t="inlineStr">
        <is>
          <t>MD-3</t>
        </is>
      </c>
      <c r="B7" s="412">
        <f>IFERROR(AVERAGEIFS(tblCarga[Duração (min)],tblCarga[Dia MD],A7,tblCarga[Tipo],"Treino"),"—")</f>
        <v/>
      </c>
      <c r="C7" s="413">
        <f>IFERROR(AVERAGEIFS(tblCarga[Distância Total (m)],tblCarga[Dia MD],A7,tblCarga[Tipo],"Treino"),"—")</f>
        <v/>
      </c>
      <c r="D7" s="412">
        <f>IFERROR(AVERAGEIFS(tblCarga[HSR (m)],tblCarga[Dia MD],A7,tblCarga[Tipo],"Treino"),"—")</f>
        <v/>
      </c>
      <c r="E7" s="412">
        <f>IFERROR(AVERAGEIFS(tblCarga[Sprint (m)],tblCarga[Dia MD],A7,tblCarga[Tipo],"Treino"),"—")</f>
        <v/>
      </c>
      <c r="F7" s="412">
        <f>IFERROR(AVERAGEIFS(tblCarga[Acc (n)],tblCarga[Dia MD],A7,tblCarga[Tipo],"Treino"),"—")</f>
        <v/>
      </c>
      <c r="G7" s="412">
        <f>IFERROR(AVERAGEIFS(tblCarga[Dcc (n)],tblCarga[Dia MD],A7,tblCarga[Tipo],"Treino"),"—")</f>
        <v/>
      </c>
      <c r="H7" s="414">
        <f>IFERROR(AVERAGEIFS(tblCarga[PSE Sessão],tblCarga[Dia MD],A7,tblCarga[Tipo],"Treino"),"—")</f>
        <v/>
      </c>
      <c r="I7" s="413">
        <f>IFERROR(B7*H7,"—")</f>
        <v/>
      </c>
      <c r="J7" s="415" t="n"/>
    </row>
    <row r="8" ht="24" customHeight="1">
      <c r="A8" s="401" t="inlineStr">
        <is>
          <t>MD-2</t>
        </is>
      </c>
      <c r="B8" s="402">
        <f>IFERROR(AVERAGEIFS(tblCarga[Duração (min)],tblCarga[Dia MD],A8,tblCarga[Tipo],"Treino"),"—")</f>
        <v/>
      </c>
      <c r="C8" s="403">
        <f>IFERROR(AVERAGEIFS(tblCarga[Distância Total (m)],tblCarga[Dia MD],A8,tblCarga[Tipo],"Treino"),"—")</f>
        <v/>
      </c>
      <c r="D8" s="402">
        <f>IFERROR(AVERAGEIFS(tblCarga[HSR (m)],tblCarga[Dia MD],A8,tblCarga[Tipo],"Treino"),"—")</f>
        <v/>
      </c>
      <c r="E8" s="402">
        <f>IFERROR(AVERAGEIFS(tblCarga[Sprint (m)],tblCarga[Dia MD],A8,tblCarga[Tipo],"Treino"),"—")</f>
        <v/>
      </c>
      <c r="F8" s="402">
        <f>IFERROR(AVERAGEIFS(tblCarga[Acc (n)],tblCarga[Dia MD],A8,tblCarga[Tipo],"Treino"),"—")</f>
        <v/>
      </c>
      <c r="G8" s="402">
        <f>IFERROR(AVERAGEIFS(tblCarga[Dcc (n)],tblCarga[Dia MD],A8,tblCarga[Tipo],"Treino"),"—")</f>
        <v/>
      </c>
      <c r="H8" s="404">
        <f>IFERROR(AVERAGEIFS(tblCarga[PSE Sessão],tblCarga[Dia MD],A8,tblCarga[Tipo],"Treino"),"—")</f>
        <v/>
      </c>
      <c r="I8" s="403">
        <f>IFERROR(B8*H8,"—")</f>
        <v/>
      </c>
      <c r="J8" s="405" t="n"/>
    </row>
    <row r="9" ht="24" customHeight="1">
      <c r="A9" s="411" t="inlineStr">
        <is>
          <t>MD-1</t>
        </is>
      </c>
      <c r="B9" s="412">
        <f>IFERROR(AVERAGEIFS(tblCarga[Duração (min)],tblCarga[Dia MD],A9,tblCarga[Tipo],"Treino"),"—")</f>
        <v/>
      </c>
      <c r="C9" s="413">
        <f>IFERROR(AVERAGEIFS(tblCarga[Distância Total (m)],tblCarga[Dia MD],A9,tblCarga[Tipo],"Treino"),"—")</f>
        <v/>
      </c>
      <c r="D9" s="412">
        <f>IFERROR(AVERAGEIFS(tblCarga[HSR (m)],tblCarga[Dia MD],A9,tblCarga[Tipo],"Treino"),"—")</f>
        <v/>
      </c>
      <c r="E9" s="412">
        <f>IFERROR(AVERAGEIFS(tblCarga[Sprint (m)],tblCarga[Dia MD],A9,tblCarga[Tipo],"Treino"),"—")</f>
        <v/>
      </c>
      <c r="F9" s="412">
        <f>IFERROR(AVERAGEIFS(tblCarga[Acc (n)],tblCarga[Dia MD],A9,tblCarga[Tipo],"Treino"),"—")</f>
        <v/>
      </c>
      <c r="G9" s="412">
        <f>IFERROR(AVERAGEIFS(tblCarga[Dcc (n)],tblCarga[Dia MD],A9,tblCarga[Tipo],"Treino"),"—")</f>
        <v/>
      </c>
      <c r="H9" s="414">
        <f>IFERROR(AVERAGEIFS(tblCarga[PSE Sessão],tblCarga[Dia MD],A9,tblCarga[Tipo],"Treino"),"—")</f>
        <v/>
      </c>
      <c r="I9" s="413">
        <f>IFERROR(B9*H9,"—")</f>
        <v/>
      </c>
      <c r="J9" s="415" t="n"/>
    </row>
    <row r="10" ht="24" customHeight="1">
      <c r="A10" s="401" t="inlineStr">
        <is>
          <t>MD</t>
        </is>
      </c>
      <c r="B10" s="402">
        <f>IFERROR(AVERAGEIFS(tblCarga[Duração (min)],tblCarga[Dia MD],A10,tblCarga[Tipo],"Jogo"),"—")</f>
        <v/>
      </c>
      <c r="C10" s="403">
        <f>IFERROR(AVERAGEIFS(tblCarga[Distância Total (m)],tblCarga[Dia MD],A10,tblCarga[Tipo],"Jogo"),"—")</f>
        <v/>
      </c>
      <c r="D10" s="402">
        <f>IFERROR(AVERAGEIFS(tblCarga[HSR (m)],tblCarga[Dia MD],A10,tblCarga[Tipo],"Jogo"),"—")</f>
        <v/>
      </c>
      <c r="E10" s="402">
        <f>IFERROR(AVERAGEIFS(tblCarga[Sprint (m)],tblCarga[Dia MD],A10,tblCarga[Tipo],"Jogo"),"—")</f>
        <v/>
      </c>
      <c r="F10" s="402">
        <f>IFERROR(AVERAGEIFS(tblCarga[Acc (n)],tblCarga[Dia MD],A10,tblCarga[Tipo],"Jogo"),"—")</f>
        <v/>
      </c>
      <c r="G10" s="402">
        <f>IFERROR(AVERAGEIFS(tblCarga[Dcc (n)],tblCarga[Dia MD],A10,tblCarga[Tipo],"Jogo"),"—")</f>
        <v/>
      </c>
      <c r="H10" s="404">
        <f>IFERROR(AVERAGEIFS(tblCarga[PSE Sessão],tblCarga[Dia MD],A10,tblCarga[Tipo],"Jogo"),"—")</f>
        <v/>
      </c>
      <c r="I10" s="403">
        <f>IFERROR(B10*H10,"—")</f>
        <v/>
      </c>
      <c r="J10" s="405" t="n"/>
    </row>
    <row r="11" ht="24" customHeight="1">
      <c r="A11" s="406" t="inlineStr">
        <is>
          <t>MD+1</t>
        </is>
      </c>
      <c r="B11" s="407">
        <f>IFERROR(AVERAGEIFS(tblCarga[Duração (min)],tblCarga[Dia MD],A11,tblCarga[Tipo],"Treino"),"—")</f>
        <v/>
      </c>
      <c r="C11" s="408">
        <f>IFERROR(AVERAGEIFS(tblCarga[Distância Total (m)],tblCarga[Dia MD],A11,tblCarga[Tipo],"Treino"),"—")</f>
        <v/>
      </c>
      <c r="D11" s="407">
        <f>IFERROR(AVERAGEIFS(tblCarga[HSR (m)],tblCarga[Dia MD],A11,tblCarga[Tipo],"Treino"),"—")</f>
        <v/>
      </c>
      <c r="E11" s="407">
        <f>IFERROR(AVERAGEIFS(tblCarga[Sprint (m)],tblCarga[Dia MD],A11,tblCarga[Tipo],"Treino"),"—")</f>
        <v/>
      </c>
      <c r="F11" s="407">
        <f>IFERROR(AVERAGEIFS(tblCarga[Acc (n)],tblCarga[Dia MD],A11,tblCarga[Tipo],"Treino"),"—")</f>
        <v/>
      </c>
      <c r="G11" s="407">
        <f>IFERROR(AVERAGEIFS(tblCarga[Dcc (n)],tblCarga[Dia MD],A11,tblCarga[Tipo],"Treino"),"—")</f>
        <v/>
      </c>
      <c r="H11" s="409">
        <f>IFERROR(AVERAGEIFS(tblCarga[PSE Sessão],tblCarga[Dia MD],A11,tblCarga[Tipo],"Treino"),"—")</f>
        <v/>
      </c>
      <c r="I11" s="408">
        <f>IFERROR(B11*H11,"—")</f>
        <v/>
      </c>
      <c r="J11" s="410" t="n"/>
    </row>
    <row r="12" ht="27.95" customHeight="1">
      <c r="A12" s="416" t="inlineStr">
        <is>
          <t>B — DESVIO REAL vs PLANEADO POR JOGADOR</t>
        </is>
      </c>
      <c r="B12" s="601" t="n"/>
      <c r="C12" s="601" t="n"/>
      <c r="D12" s="601" t="n"/>
      <c r="E12" s="601" t="n"/>
      <c r="F12" s="601" t="n"/>
      <c r="G12" s="601" t="n"/>
      <c r="H12" s="601" t="n"/>
      <c r="I12" s="601" t="n"/>
      <c r="J12" s="601" t="n"/>
    </row>
    <row r="13" ht="26.1" customHeight="1">
      <c r="A13" s="396" t="inlineStr">
        <is>
          <t>Microciclo:</t>
        </is>
      </c>
      <c r="B13" s="64" t="n">
        <v>10</v>
      </c>
      <c r="C13" s="134" t="n"/>
      <c r="D13" s="133" t="inlineStr">
        <is>
          <t>Dia MD:</t>
        </is>
      </c>
      <c r="E13" s="64" t="inlineStr">
        <is>
          <t>MD-4</t>
        </is>
      </c>
      <c r="F13" s="134" t="n"/>
      <c r="G13" s="417" t="inlineStr">
        <is>
          <t>ℹ️ Desvio = (Real − Target) / Target. Se CI Target vazio, usa média histórica</t>
        </is>
      </c>
      <c r="H13" s="134" t="n"/>
      <c r="I13" s="134" t="n"/>
      <c r="J13" s="134" t="n"/>
    </row>
    <row r="15" ht="36" customHeight="1">
      <c r="A15" s="191" t="inlineStr">
        <is>
          <t>Jogador</t>
        </is>
      </c>
      <c r="B15" s="191" t="inlineStr">
        <is>
          <t>Duração
(Δ%)</t>
        </is>
      </c>
      <c r="C15" s="191" t="inlineStr">
        <is>
          <t>Dist Total
(Δ%)</t>
        </is>
      </c>
      <c r="D15" s="191" t="inlineStr">
        <is>
          <t>HSR
(Δ%)</t>
        </is>
      </c>
      <c r="E15" s="191" t="inlineStr">
        <is>
          <t>Sprint
(Δ%)</t>
        </is>
      </c>
      <c r="F15" s="191" t="inlineStr">
        <is>
          <t>Acc
(Δ%)</t>
        </is>
      </c>
      <c r="G15" s="191" t="inlineStr">
        <is>
          <t>Dcc
(Δ%)</t>
        </is>
      </c>
      <c r="H15" s="191" t="inlineStr">
        <is>
          <t>PSE
(Δ%)</t>
        </is>
      </c>
      <c r="I15" s="191" t="inlineStr">
        <is>
          <t>CI
(Δ vs Target)</t>
        </is>
      </c>
      <c r="J15" s="191" t="inlineStr">
        <is>
          <t>Alerta</t>
        </is>
      </c>
    </row>
    <row r="16" ht="24" customHeight="1">
      <c r="A16" s="136">
        <f t="array" ref="A16">IFERROR(INDEX(_xlfn._xlws.SORT(_xlfn.UNIQUE(_xlfn._xlws.FILTER(tblCarga[Jogador],(tblCarga[Microciclo (Nr)]=$B$13)*(tblCarga[Dia MD]=$E$13)))),ROW()-15),"")</f>
        <v/>
      </c>
      <c r="B16" s="418">
        <f>IF(A16="","",IFERROR((AVERAGEIFS(tblCarga[Duração (min)],tblCarga[Jogador],A16,tblCarga[Microciclo (Nr)],$B$13,tblCarga[Dia MD],$E$13)-VLOOKUP($E$13,$A$5:$I$11,2,FALSE))/VLOOKUP($E$13,$A$5:$I$11,2,FALSE),"—"))</f>
        <v/>
      </c>
      <c r="C16" s="418">
        <f>IF(A16="","",IFERROR((AVERAGEIFS(tblCarga[Distância Total (m)],tblCarga[Jogador],A16,tblCarga[Microciclo (Nr)],$B$13,tblCarga[Dia MD],$E$13)-VLOOKUP($E$13,$A$5:$I$11,3,FALSE))/VLOOKUP($E$13,$A$5:$I$11,3,FALSE),"—"))</f>
        <v/>
      </c>
      <c r="D16" s="418">
        <f>IF(A16="","",IFERROR((AVERAGEIFS(tblCarga[HSR (m)],tblCarga[Jogador],A16,tblCarga[Microciclo (Nr)],$B$13,tblCarga[Dia MD],$E$13)-VLOOKUP($E$13,$A$5:$I$11,4,FALSE))/VLOOKUP($E$13,$A$5:$I$11,4,FALSE),"—"))</f>
        <v/>
      </c>
      <c r="E16" s="418">
        <f>IF(A16="","",IFERROR((AVERAGEIFS(tblCarga[Sprint (m)],tblCarga[Jogador],A16,tblCarga[Microciclo (Nr)],$B$13,tblCarga[Dia MD],$E$13)-VLOOKUP($E$13,$A$5:$I$11,5,FALSE))/VLOOKUP($E$13,$A$5:$I$11,5,FALSE),"—"))</f>
        <v/>
      </c>
      <c r="F16" s="418">
        <f>IF(A16="","",IFERROR((AVERAGEIFS(tblCarga[Acc (n)],tblCarga[Jogador],A16,tblCarga[Microciclo (Nr)],$B$13,tblCarga[Dia MD],$E$13)-VLOOKUP($E$13,$A$5:$I$11,6,FALSE))/VLOOKUP($E$13,$A$5:$I$11,6,FALSE),"—"))</f>
        <v/>
      </c>
      <c r="G16" s="418">
        <f>IF(A16="","",IFERROR((AVERAGEIFS(tblCarga[Dcc (n)],tblCarga[Jogador],A16,tblCarga[Microciclo (Nr)],$B$13,tblCarga[Dia MD],$E$13)-VLOOKUP($E$13,$A$5:$I$11,7,FALSE))/VLOOKUP($E$13,$A$5:$I$11,7,FALSE),"—"))</f>
        <v/>
      </c>
      <c r="H16" s="418">
        <f>IF(A16="","",IFERROR((AVERAGEIFS(tblCarga[PSE Sessão],tblCarga[Jogador],A16,tblCarga[Microciclo (Nr)],$B$13,tblCarga[Dia MD],$E$13)-VLOOKUP($E$13,$A$5:$I$11,8,FALSE))/VLOOKUP($E$13,$A$5:$I$11,8,FALSE),"—"))</f>
        <v/>
      </c>
      <c r="I16" s="418">
        <f>IF(A16="","",IFERROR(_xlfn.LET(_xlpm.real,AVERAGEIFS(tblCarga[Duração (min)],tblCarga[Jogador],A16,tblCarga[Microciclo (Nr)],$B$13,tblCarga[Dia MD],$E$13)*AVERAGEIFS(tblCarga[PSE Sessão],tblCarga[Jogador],A16,tblCarga[Microciclo (Nr)],$B$13,tblCarga[Dia MD],$E$13),_xlpm.tgt,IF(VLOOKUP($E$13,$A$5:$J$11,10,FALSE)&gt;0,VLOOKUP($E$13,$A$5:$J$11,10,FALSE),VLOOKUP($E$13,$A$5:$I$11,9,FALSE)),(_xlpm.real-_xlpm.tgt)/_xlpm.tgt),"—"))</f>
        <v/>
      </c>
      <c r="J16" s="137">
        <f>IF(A16="","",IF(OR(ABS(B16)&gt;0.25,ABS(C16)&gt;0.25,ABS(I16)&gt;0.25),"🟡 DESVIO","✅ OK"))</f>
        <v/>
      </c>
    </row>
    <row r="17" ht="24" customHeight="1">
      <c r="A17" s="421">
        <f t="array" ref="A17">IFERROR(INDEX(_xlfn._xlws.SORT(_xlfn.UNIQUE(_xlfn._xlws.FILTER(tblCarga[Jogador],(tblCarga[Microciclo (Nr)]=$B$13)*(tblCarga[Dia MD]=$E$13)))),ROW()-15),"")</f>
        <v/>
      </c>
      <c r="B17" s="422">
        <f>IF(A17="","",IFERROR((AVERAGEIFS(tblCarga[Duração (min)],tblCarga[Jogador],A17,tblCarga[Microciclo (Nr)],$B$13,tblCarga[Dia MD],$E$13)-VLOOKUP($E$13,$A$5:$I$11,2,FALSE))/VLOOKUP($E$13,$A$5:$I$11,2,FALSE),"—"))</f>
        <v/>
      </c>
      <c r="C17" s="422">
        <f>IF(A17="","",IFERROR((AVERAGEIFS(tblCarga[Distância Total (m)],tblCarga[Jogador],A17,tblCarga[Microciclo (Nr)],$B$13,tblCarga[Dia MD],$E$13)-VLOOKUP($E$13,$A$5:$I$11,3,FALSE))/VLOOKUP($E$13,$A$5:$I$11,3,FALSE),"—"))</f>
        <v/>
      </c>
      <c r="D17" s="422">
        <f>IF(A17="","",IFERROR((AVERAGEIFS(tblCarga[HSR (m)],tblCarga[Jogador],A17,tblCarga[Microciclo (Nr)],$B$13,tblCarga[Dia MD],$E$13)-VLOOKUP($E$13,$A$5:$I$11,4,FALSE))/VLOOKUP($E$13,$A$5:$I$11,4,FALSE),"—"))</f>
        <v/>
      </c>
      <c r="E17" s="422">
        <f>IF(A17="","",IFERROR((AVERAGEIFS(tblCarga[Sprint (m)],tblCarga[Jogador],A17,tblCarga[Microciclo (Nr)],$B$13,tblCarga[Dia MD],$E$13)-VLOOKUP($E$13,$A$5:$I$11,5,FALSE))/VLOOKUP($E$13,$A$5:$I$11,5,FALSE),"—"))</f>
        <v/>
      </c>
      <c r="F17" s="422">
        <f>IF(A17="","",IFERROR((AVERAGEIFS(tblCarga[Acc (n)],tblCarga[Jogador],A17,tblCarga[Microciclo (Nr)],$B$13,tblCarga[Dia MD],$E$13)-VLOOKUP($E$13,$A$5:$I$11,6,FALSE))/VLOOKUP($E$13,$A$5:$I$11,6,FALSE),"—"))</f>
        <v/>
      </c>
      <c r="G17" s="422">
        <f>IF(A17="","",IFERROR((AVERAGEIFS(tblCarga[Dcc (n)],tblCarga[Jogador],A17,tblCarga[Microciclo (Nr)],$B$13,tblCarga[Dia MD],$E$13)-VLOOKUP($E$13,$A$5:$I$11,7,FALSE))/VLOOKUP($E$13,$A$5:$I$11,7,FALSE),"—"))</f>
        <v/>
      </c>
      <c r="H17" s="422">
        <f>IF(A17="","",IFERROR((AVERAGEIFS(tblCarga[PSE Sessão],tblCarga[Jogador],A17,tblCarga[Microciclo (Nr)],$B$13,tblCarga[Dia MD],$E$13)-VLOOKUP($E$13,$A$5:$I$11,8,FALSE))/VLOOKUP($E$13,$A$5:$I$11,8,FALSE),"—"))</f>
        <v/>
      </c>
      <c r="I17" s="422">
        <f>IF(A17="","",IFERROR(_xlfn.LET(_xlpm.real,AVERAGEIFS(tblCarga[Duração (min)],tblCarga[Jogador],A17,tblCarga[Microciclo (Nr)],$B$13,tblCarga[Dia MD],$E$13)*AVERAGEIFS(tblCarga[PSE Sessão],tblCarga[Jogador],A17,tblCarga[Microciclo (Nr)],$B$13,tblCarga[Dia MD],$E$13),_xlpm.tgt,IF(VLOOKUP($E$13,$A$5:$J$11,10,FALSE)&gt;0,VLOOKUP($E$13,$A$5:$J$11,10,FALSE),VLOOKUP($E$13,$A$5:$I$11,9,FALSE)),(_xlpm.real-_xlpm.tgt)/_xlpm.tgt),"—"))</f>
        <v/>
      </c>
      <c r="J17" s="364">
        <f>IF(A17="","",IF(OR(ABS(B17)&gt;0.25,ABS(C17)&gt;0.25,ABS(I17)&gt;0.25),"🟡 DESVIO","✅ OK"))</f>
        <v/>
      </c>
    </row>
    <row r="18" ht="24" customHeight="1">
      <c r="A18" s="424">
        <f t="array" ref="A18">IFERROR(INDEX(_xlfn._xlws.SORT(_xlfn.UNIQUE(_xlfn._xlws.FILTER(tblCarga[Jogador],(tblCarga[Microciclo (Nr)]=$B$13)*(tblCarga[Dia MD]=$E$13)))),ROW()-15),"")</f>
        <v/>
      </c>
      <c r="B18" s="425">
        <f>IF(A18="","",IFERROR((AVERAGEIFS(tblCarga[Duração (min)],tblCarga[Jogador],A18,tblCarga[Microciclo (Nr)],$B$13,tblCarga[Dia MD],$E$13)-VLOOKUP($E$13,$A$5:$I$11,2,FALSE))/VLOOKUP($E$13,$A$5:$I$11,2,FALSE),"—"))</f>
        <v/>
      </c>
      <c r="C18" s="425">
        <f>IF(A18="","",IFERROR((AVERAGEIFS(tblCarga[Distância Total (m)],tblCarga[Jogador],A18,tblCarga[Microciclo (Nr)],$B$13,tblCarga[Dia MD],$E$13)-VLOOKUP($E$13,$A$5:$I$11,3,FALSE))/VLOOKUP($E$13,$A$5:$I$11,3,FALSE),"—"))</f>
        <v/>
      </c>
      <c r="D18" s="425">
        <f>IF(A18="","",IFERROR((AVERAGEIFS(tblCarga[HSR (m)],tblCarga[Jogador],A18,tblCarga[Microciclo (Nr)],$B$13,tblCarga[Dia MD],$E$13)-VLOOKUP($E$13,$A$5:$I$11,4,FALSE))/VLOOKUP($E$13,$A$5:$I$11,4,FALSE),"—"))</f>
        <v/>
      </c>
      <c r="E18" s="425">
        <f>IF(A18="","",IFERROR((AVERAGEIFS(tblCarga[Sprint (m)],tblCarga[Jogador],A18,tblCarga[Microciclo (Nr)],$B$13,tblCarga[Dia MD],$E$13)-VLOOKUP($E$13,$A$5:$I$11,5,FALSE))/VLOOKUP($E$13,$A$5:$I$11,5,FALSE),"—"))</f>
        <v/>
      </c>
      <c r="F18" s="425">
        <f>IF(A18="","",IFERROR((AVERAGEIFS(tblCarga[Acc (n)],tblCarga[Jogador],A18,tblCarga[Microciclo (Nr)],$B$13,tblCarga[Dia MD],$E$13)-VLOOKUP($E$13,$A$5:$I$11,6,FALSE))/VLOOKUP($E$13,$A$5:$I$11,6,FALSE),"—"))</f>
        <v/>
      </c>
      <c r="G18" s="425">
        <f>IF(A18="","",IFERROR((AVERAGEIFS(tblCarga[Dcc (n)],tblCarga[Jogador],A18,tblCarga[Microciclo (Nr)],$B$13,tblCarga[Dia MD],$E$13)-VLOOKUP($E$13,$A$5:$I$11,7,FALSE))/VLOOKUP($E$13,$A$5:$I$11,7,FALSE),"—"))</f>
        <v/>
      </c>
      <c r="H18" s="425">
        <f>IF(A18="","",IFERROR((AVERAGEIFS(tblCarga[PSE Sessão],tblCarga[Jogador],A18,tblCarga[Microciclo (Nr)],$B$13,tblCarga[Dia MD],$E$13)-VLOOKUP($E$13,$A$5:$I$11,8,FALSE))/VLOOKUP($E$13,$A$5:$I$11,8,FALSE),"—"))</f>
        <v/>
      </c>
      <c r="I18" s="425">
        <f>IF(A18="","",IFERROR(_xlfn.LET(_xlpm.real,AVERAGEIFS(tblCarga[Duração (min)],tblCarga[Jogador],A18,tblCarga[Microciclo (Nr)],$B$13,tblCarga[Dia MD],$E$13)*AVERAGEIFS(tblCarga[PSE Sessão],tblCarga[Jogador],A18,tblCarga[Microciclo (Nr)],$B$13,tblCarga[Dia MD],$E$13),_xlpm.tgt,IF(VLOOKUP($E$13,$A$5:$J$11,10,FALSE)&gt;0,VLOOKUP($E$13,$A$5:$J$11,10,FALSE),VLOOKUP($E$13,$A$5:$I$11,9,FALSE)),(_xlpm.real-_xlpm.tgt)/_xlpm.tgt),"—"))</f>
        <v/>
      </c>
      <c r="J18" s="370">
        <f>IF(A18="","",IF(OR(ABS(B18)&gt;0.25,ABS(C18)&gt;0.25,ABS(I18)&gt;0.25),"🟡 DESVIO","✅ OK"))</f>
        <v/>
      </c>
    </row>
    <row r="19" ht="24" customHeight="1">
      <c r="A19" s="421">
        <f t="array" ref="A19">IFERROR(INDEX(_xlfn._xlws.SORT(_xlfn.UNIQUE(_xlfn._xlws.FILTER(tblCarga[Jogador],(tblCarga[Microciclo (Nr)]=$B$13)*(tblCarga[Dia MD]=$E$13)))),ROW()-15),"")</f>
        <v/>
      </c>
      <c r="B19" s="422">
        <f>IF(A19="","",IFERROR((AVERAGEIFS(tblCarga[Duração (min)],tblCarga[Jogador],A19,tblCarga[Microciclo (Nr)],$B$13,tblCarga[Dia MD],$E$13)-VLOOKUP($E$13,$A$5:$I$11,2,FALSE))/VLOOKUP($E$13,$A$5:$I$11,2,FALSE),"—"))</f>
        <v/>
      </c>
      <c r="C19" s="422">
        <f>IF(A19="","",IFERROR((AVERAGEIFS(tblCarga[Distância Total (m)],tblCarga[Jogador],A19,tblCarga[Microciclo (Nr)],$B$13,tblCarga[Dia MD],$E$13)-VLOOKUP($E$13,$A$5:$I$11,3,FALSE))/VLOOKUP($E$13,$A$5:$I$11,3,FALSE),"—"))</f>
        <v/>
      </c>
      <c r="D19" s="422">
        <f>IF(A19="","",IFERROR((AVERAGEIFS(tblCarga[HSR (m)],tblCarga[Jogador],A19,tblCarga[Microciclo (Nr)],$B$13,tblCarga[Dia MD],$E$13)-VLOOKUP($E$13,$A$5:$I$11,4,FALSE))/VLOOKUP($E$13,$A$5:$I$11,4,FALSE),"—"))</f>
        <v/>
      </c>
      <c r="E19" s="422">
        <f>IF(A19="","",IFERROR((AVERAGEIFS(tblCarga[Sprint (m)],tblCarga[Jogador],A19,tblCarga[Microciclo (Nr)],$B$13,tblCarga[Dia MD],$E$13)-VLOOKUP($E$13,$A$5:$I$11,5,FALSE))/VLOOKUP($E$13,$A$5:$I$11,5,FALSE),"—"))</f>
        <v/>
      </c>
      <c r="F19" s="422">
        <f>IF(A19="","",IFERROR((AVERAGEIFS(tblCarga[Acc (n)],tblCarga[Jogador],A19,tblCarga[Microciclo (Nr)],$B$13,tblCarga[Dia MD],$E$13)-VLOOKUP($E$13,$A$5:$I$11,6,FALSE))/VLOOKUP($E$13,$A$5:$I$11,6,FALSE),"—"))</f>
        <v/>
      </c>
      <c r="G19" s="422">
        <f>IF(A19="","",IFERROR((AVERAGEIFS(tblCarga[Dcc (n)],tblCarga[Jogador],A19,tblCarga[Microciclo (Nr)],$B$13,tblCarga[Dia MD],$E$13)-VLOOKUP($E$13,$A$5:$I$11,7,FALSE))/VLOOKUP($E$13,$A$5:$I$11,7,FALSE),"—"))</f>
        <v/>
      </c>
      <c r="H19" s="422">
        <f>IF(A19="","",IFERROR((AVERAGEIFS(tblCarga[PSE Sessão],tblCarga[Jogador],A19,tblCarga[Microciclo (Nr)],$B$13,tblCarga[Dia MD],$E$13)-VLOOKUP($E$13,$A$5:$I$11,8,FALSE))/VLOOKUP($E$13,$A$5:$I$11,8,FALSE),"—"))</f>
        <v/>
      </c>
      <c r="I19" s="422">
        <f>IF(A19="","",IFERROR(_xlfn.LET(_xlpm.real,AVERAGEIFS(tblCarga[Duração (min)],tblCarga[Jogador],A19,tblCarga[Microciclo (Nr)],$B$13,tblCarga[Dia MD],$E$13)*AVERAGEIFS(tblCarga[PSE Sessão],tblCarga[Jogador],A19,tblCarga[Microciclo (Nr)],$B$13,tblCarga[Dia MD],$E$13),_xlpm.tgt,IF(VLOOKUP($E$13,$A$5:$J$11,10,FALSE)&gt;0,VLOOKUP($E$13,$A$5:$J$11,10,FALSE),VLOOKUP($E$13,$A$5:$I$11,9,FALSE)),(_xlpm.real-_xlpm.tgt)/_xlpm.tgt),"—"))</f>
        <v/>
      </c>
      <c r="J19" s="364">
        <f>IF(A19="","",IF(OR(ABS(B19)&gt;0.25,ABS(C19)&gt;0.25,ABS(I19)&gt;0.25),"🟡 DESVIO","✅ OK"))</f>
        <v/>
      </c>
    </row>
    <row r="20" ht="24" customHeight="1">
      <c r="A20" s="424">
        <f t="array" ref="A20">IFERROR(INDEX(_xlfn._xlws.SORT(_xlfn.UNIQUE(_xlfn._xlws.FILTER(tblCarga[Jogador],(tblCarga[Microciclo (Nr)]=$B$13)*(tblCarga[Dia MD]=$E$13)))),ROW()-15),"")</f>
        <v/>
      </c>
      <c r="B20" s="425">
        <f>IF(A20="","",IFERROR((AVERAGEIFS(tblCarga[Duração (min)],tblCarga[Jogador],A20,tblCarga[Microciclo (Nr)],$B$13,tblCarga[Dia MD],$E$13)-VLOOKUP($E$13,$A$5:$I$11,2,FALSE))/VLOOKUP($E$13,$A$5:$I$11,2,FALSE),"—"))</f>
        <v/>
      </c>
      <c r="C20" s="425">
        <f>IF(A20="","",IFERROR((AVERAGEIFS(tblCarga[Distância Total (m)],tblCarga[Jogador],A20,tblCarga[Microciclo (Nr)],$B$13,tblCarga[Dia MD],$E$13)-VLOOKUP($E$13,$A$5:$I$11,3,FALSE))/VLOOKUP($E$13,$A$5:$I$11,3,FALSE),"—"))</f>
        <v/>
      </c>
      <c r="D20" s="425">
        <f>IF(A20="","",IFERROR((AVERAGEIFS(tblCarga[HSR (m)],tblCarga[Jogador],A20,tblCarga[Microciclo (Nr)],$B$13,tblCarga[Dia MD],$E$13)-VLOOKUP($E$13,$A$5:$I$11,4,FALSE))/VLOOKUP($E$13,$A$5:$I$11,4,FALSE),"—"))</f>
        <v/>
      </c>
      <c r="E20" s="425">
        <f>IF(A20="","",IFERROR((AVERAGEIFS(tblCarga[Sprint (m)],tblCarga[Jogador],A20,tblCarga[Microciclo (Nr)],$B$13,tblCarga[Dia MD],$E$13)-VLOOKUP($E$13,$A$5:$I$11,5,FALSE))/VLOOKUP($E$13,$A$5:$I$11,5,FALSE),"—"))</f>
        <v/>
      </c>
      <c r="F20" s="425">
        <f>IF(A20="","",IFERROR((AVERAGEIFS(tblCarga[Acc (n)],tblCarga[Jogador],A20,tblCarga[Microciclo (Nr)],$B$13,tblCarga[Dia MD],$E$13)-VLOOKUP($E$13,$A$5:$I$11,6,FALSE))/VLOOKUP($E$13,$A$5:$I$11,6,FALSE),"—"))</f>
        <v/>
      </c>
      <c r="G20" s="425">
        <f>IF(A20="","",IFERROR((AVERAGEIFS(tblCarga[Dcc (n)],tblCarga[Jogador],A20,tblCarga[Microciclo (Nr)],$B$13,tblCarga[Dia MD],$E$13)-VLOOKUP($E$13,$A$5:$I$11,7,FALSE))/VLOOKUP($E$13,$A$5:$I$11,7,FALSE),"—"))</f>
        <v/>
      </c>
      <c r="H20" s="425">
        <f>IF(A20="","",IFERROR((AVERAGEIFS(tblCarga[PSE Sessão],tblCarga[Jogador],A20,tblCarga[Microciclo (Nr)],$B$13,tblCarga[Dia MD],$E$13)-VLOOKUP($E$13,$A$5:$I$11,8,FALSE))/VLOOKUP($E$13,$A$5:$I$11,8,FALSE),"—"))</f>
        <v/>
      </c>
      <c r="I20" s="425">
        <f>IF(A20="","",IFERROR(_xlfn.LET(_xlpm.real,AVERAGEIFS(tblCarga[Duração (min)],tblCarga[Jogador],A20,tblCarga[Microciclo (Nr)],$B$13,tblCarga[Dia MD],$E$13)*AVERAGEIFS(tblCarga[PSE Sessão],tblCarga[Jogador],A20,tblCarga[Microciclo (Nr)],$B$13,tblCarga[Dia MD],$E$13),_xlpm.tgt,IF(VLOOKUP($E$13,$A$5:$J$11,10,FALSE)&gt;0,VLOOKUP($E$13,$A$5:$J$11,10,FALSE),VLOOKUP($E$13,$A$5:$I$11,9,FALSE)),(_xlpm.real-_xlpm.tgt)/_xlpm.tgt),"—"))</f>
        <v/>
      </c>
      <c r="J20" s="370">
        <f>IF(A20="","",IF(OR(ABS(B20)&gt;0.25,ABS(C20)&gt;0.25,ABS(I20)&gt;0.25),"🟡 DESVIO","✅ OK"))</f>
        <v/>
      </c>
    </row>
    <row r="21" ht="24" customHeight="1">
      <c r="A21" s="421">
        <f t="array" ref="A21">IFERROR(INDEX(_xlfn._xlws.SORT(_xlfn.UNIQUE(_xlfn._xlws.FILTER(tblCarga[Jogador],(tblCarga[Microciclo (Nr)]=$B$13)*(tblCarga[Dia MD]=$E$13)))),ROW()-15),"")</f>
        <v/>
      </c>
      <c r="B21" s="422">
        <f>IF(A21="","",IFERROR((AVERAGEIFS(tblCarga[Duração (min)],tblCarga[Jogador],A21,tblCarga[Microciclo (Nr)],$B$13,tblCarga[Dia MD],$E$13)-VLOOKUP($E$13,$A$5:$I$11,2,FALSE))/VLOOKUP($E$13,$A$5:$I$11,2,FALSE),"—"))</f>
        <v/>
      </c>
      <c r="C21" s="422">
        <f>IF(A21="","",IFERROR((AVERAGEIFS(tblCarga[Distância Total (m)],tblCarga[Jogador],A21,tblCarga[Microciclo (Nr)],$B$13,tblCarga[Dia MD],$E$13)-VLOOKUP($E$13,$A$5:$I$11,3,FALSE))/VLOOKUP($E$13,$A$5:$I$11,3,FALSE),"—"))</f>
        <v/>
      </c>
      <c r="D21" s="422">
        <f>IF(A21="","",IFERROR((AVERAGEIFS(tblCarga[HSR (m)],tblCarga[Jogador],A21,tblCarga[Microciclo (Nr)],$B$13,tblCarga[Dia MD],$E$13)-VLOOKUP($E$13,$A$5:$I$11,4,FALSE))/VLOOKUP($E$13,$A$5:$I$11,4,FALSE),"—"))</f>
        <v/>
      </c>
      <c r="E21" s="422">
        <f>IF(A21="","",IFERROR((AVERAGEIFS(tblCarga[Sprint (m)],tblCarga[Jogador],A21,tblCarga[Microciclo (Nr)],$B$13,tblCarga[Dia MD],$E$13)-VLOOKUP($E$13,$A$5:$I$11,5,FALSE))/VLOOKUP($E$13,$A$5:$I$11,5,FALSE),"—"))</f>
        <v/>
      </c>
      <c r="F21" s="422">
        <f>IF(A21="","",IFERROR((AVERAGEIFS(tblCarga[Acc (n)],tblCarga[Jogador],A21,tblCarga[Microciclo (Nr)],$B$13,tblCarga[Dia MD],$E$13)-VLOOKUP($E$13,$A$5:$I$11,6,FALSE))/VLOOKUP($E$13,$A$5:$I$11,6,FALSE),"—"))</f>
        <v/>
      </c>
      <c r="G21" s="422">
        <f>IF(A21="","",IFERROR((AVERAGEIFS(tblCarga[Dcc (n)],tblCarga[Jogador],A21,tblCarga[Microciclo (Nr)],$B$13,tblCarga[Dia MD],$E$13)-VLOOKUP($E$13,$A$5:$I$11,7,FALSE))/VLOOKUP($E$13,$A$5:$I$11,7,FALSE),"—"))</f>
        <v/>
      </c>
      <c r="H21" s="422">
        <f>IF(A21="","",IFERROR((AVERAGEIFS(tblCarga[PSE Sessão],tblCarga[Jogador],A21,tblCarga[Microciclo (Nr)],$B$13,tblCarga[Dia MD],$E$13)-VLOOKUP($E$13,$A$5:$I$11,8,FALSE))/VLOOKUP($E$13,$A$5:$I$11,8,FALSE),"—"))</f>
        <v/>
      </c>
      <c r="I21" s="422">
        <f>IF(A21="","",IFERROR(_xlfn.LET(_xlpm.real,AVERAGEIFS(tblCarga[Duração (min)],tblCarga[Jogador],A21,tblCarga[Microciclo (Nr)],$B$13,tblCarga[Dia MD],$E$13)*AVERAGEIFS(tblCarga[PSE Sessão],tblCarga[Jogador],A21,tblCarga[Microciclo (Nr)],$B$13,tblCarga[Dia MD],$E$13),_xlpm.tgt,IF(VLOOKUP($E$13,$A$5:$J$11,10,FALSE)&gt;0,VLOOKUP($E$13,$A$5:$J$11,10,FALSE),VLOOKUP($E$13,$A$5:$I$11,9,FALSE)),(_xlpm.real-_xlpm.tgt)/_xlpm.tgt),"—"))</f>
        <v/>
      </c>
      <c r="J21" s="364">
        <f>IF(A21="","",IF(OR(ABS(B21)&gt;0.25,ABS(C21)&gt;0.25,ABS(I21)&gt;0.25),"🟡 DESVIO","✅ OK"))</f>
        <v/>
      </c>
    </row>
    <row r="22" ht="24" customHeight="1">
      <c r="A22" s="424">
        <f t="array" ref="A22">IFERROR(INDEX(_xlfn._xlws.SORT(_xlfn.UNIQUE(_xlfn._xlws.FILTER(tblCarga[Jogador],(tblCarga[Microciclo (Nr)]=$B$13)*(tblCarga[Dia MD]=$E$13)))),ROW()-15),"")</f>
        <v/>
      </c>
      <c r="B22" s="425">
        <f>IF(A22="","",IFERROR((AVERAGEIFS(tblCarga[Duração (min)],tblCarga[Jogador],A22,tblCarga[Microciclo (Nr)],$B$13,tblCarga[Dia MD],$E$13)-VLOOKUP($E$13,$A$5:$I$11,2,FALSE))/VLOOKUP($E$13,$A$5:$I$11,2,FALSE),"—"))</f>
        <v/>
      </c>
      <c r="C22" s="425">
        <f>IF(A22="","",IFERROR((AVERAGEIFS(tblCarga[Distância Total (m)],tblCarga[Jogador],A22,tblCarga[Microciclo (Nr)],$B$13,tblCarga[Dia MD],$E$13)-VLOOKUP($E$13,$A$5:$I$11,3,FALSE))/VLOOKUP($E$13,$A$5:$I$11,3,FALSE),"—"))</f>
        <v/>
      </c>
      <c r="D22" s="425">
        <f>IF(A22="","",IFERROR((AVERAGEIFS(tblCarga[HSR (m)],tblCarga[Jogador],A22,tblCarga[Microciclo (Nr)],$B$13,tblCarga[Dia MD],$E$13)-VLOOKUP($E$13,$A$5:$I$11,4,FALSE))/VLOOKUP($E$13,$A$5:$I$11,4,FALSE),"—"))</f>
        <v/>
      </c>
      <c r="E22" s="425">
        <f>IF(A22="","",IFERROR((AVERAGEIFS(tblCarga[Sprint (m)],tblCarga[Jogador],A22,tblCarga[Microciclo (Nr)],$B$13,tblCarga[Dia MD],$E$13)-VLOOKUP($E$13,$A$5:$I$11,5,FALSE))/VLOOKUP($E$13,$A$5:$I$11,5,FALSE),"—"))</f>
        <v/>
      </c>
      <c r="F22" s="425">
        <f>IF(A22="","",IFERROR((AVERAGEIFS(tblCarga[Acc (n)],tblCarga[Jogador],A22,tblCarga[Microciclo (Nr)],$B$13,tblCarga[Dia MD],$E$13)-VLOOKUP($E$13,$A$5:$I$11,6,FALSE))/VLOOKUP($E$13,$A$5:$I$11,6,FALSE),"—"))</f>
        <v/>
      </c>
      <c r="G22" s="425">
        <f>IF(A22="","",IFERROR((AVERAGEIFS(tblCarga[Dcc (n)],tblCarga[Jogador],A22,tblCarga[Microciclo (Nr)],$B$13,tblCarga[Dia MD],$E$13)-VLOOKUP($E$13,$A$5:$I$11,7,FALSE))/VLOOKUP($E$13,$A$5:$I$11,7,FALSE),"—"))</f>
        <v/>
      </c>
      <c r="H22" s="425">
        <f>IF(A22="","",IFERROR((AVERAGEIFS(tblCarga[PSE Sessão],tblCarga[Jogador],A22,tblCarga[Microciclo (Nr)],$B$13,tblCarga[Dia MD],$E$13)-VLOOKUP($E$13,$A$5:$I$11,8,FALSE))/VLOOKUP($E$13,$A$5:$I$11,8,FALSE),"—"))</f>
        <v/>
      </c>
      <c r="I22" s="425">
        <f>IF(A22="","",IFERROR(_xlfn.LET(_xlpm.real,AVERAGEIFS(tblCarga[Duração (min)],tblCarga[Jogador],A22,tblCarga[Microciclo (Nr)],$B$13,tblCarga[Dia MD],$E$13)*AVERAGEIFS(tblCarga[PSE Sessão],tblCarga[Jogador],A22,tblCarga[Microciclo (Nr)],$B$13,tblCarga[Dia MD],$E$13),_xlpm.tgt,IF(VLOOKUP($E$13,$A$5:$J$11,10,FALSE)&gt;0,VLOOKUP($E$13,$A$5:$J$11,10,FALSE),VLOOKUP($E$13,$A$5:$I$11,9,FALSE)),(_xlpm.real-_xlpm.tgt)/_xlpm.tgt),"—"))</f>
        <v/>
      </c>
      <c r="J22" s="370">
        <f>IF(A22="","",IF(OR(ABS(B22)&gt;0.25,ABS(C22)&gt;0.25,ABS(I22)&gt;0.25),"🟡 DESVIO","✅ OK"))</f>
        <v/>
      </c>
    </row>
    <row r="23" ht="24" customHeight="1">
      <c r="A23" s="421">
        <f t="array" ref="A23">IFERROR(INDEX(_xlfn._xlws.SORT(_xlfn.UNIQUE(_xlfn._xlws.FILTER(tblCarga[Jogador],(tblCarga[Microciclo (Nr)]=$B$13)*(tblCarga[Dia MD]=$E$13)))),ROW()-15),"")</f>
        <v/>
      </c>
      <c r="B23" s="422">
        <f>IF(A23="","",IFERROR((AVERAGEIFS(tblCarga[Duração (min)],tblCarga[Jogador],A23,tblCarga[Microciclo (Nr)],$B$13,tblCarga[Dia MD],$E$13)-VLOOKUP($E$13,$A$5:$I$11,2,FALSE))/VLOOKUP($E$13,$A$5:$I$11,2,FALSE),"—"))</f>
        <v/>
      </c>
      <c r="C23" s="422">
        <f>IF(A23="","",IFERROR((AVERAGEIFS(tblCarga[Distância Total (m)],tblCarga[Jogador],A23,tblCarga[Microciclo (Nr)],$B$13,tblCarga[Dia MD],$E$13)-VLOOKUP($E$13,$A$5:$I$11,3,FALSE))/VLOOKUP($E$13,$A$5:$I$11,3,FALSE),"—"))</f>
        <v/>
      </c>
      <c r="D23" s="422">
        <f>IF(A23="","",IFERROR((AVERAGEIFS(tblCarga[HSR (m)],tblCarga[Jogador],A23,tblCarga[Microciclo (Nr)],$B$13,tblCarga[Dia MD],$E$13)-VLOOKUP($E$13,$A$5:$I$11,4,FALSE))/VLOOKUP($E$13,$A$5:$I$11,4,FALSE),"—"))</f>
        <v/>
      </c>
      <c r="E23" s="422">
        <f>IF(A23="","",IFERROR((AVERAGEIFS(tblCarga[Sprint (m)],tblCarga[Jogador],A23,tblCarga[Microciclo (Nr)],$B$13,tblCarga[Dia MD],$E$13)-VLOOKUP($E$13,$A$5:$I$11,5,FALSE))/VLOOKUP($E$13,$A$5:$I$11,5,FALSE),"—"))</f>
        <v/>
      </c>
      <c r="F23" s="422">
        <f>IF(A23="","",IFERROR((AVERAGEIFS(tblCarga[Acc (n)],tblCarga[Jogador],A23,tblCarga[Microciclo (Nr)],$B$13,tblCarga[Dia MD],$E$13)-VLOOKUP($E$13,$A$5:$I$11,6,FALSE))/VLOOKUP($E$13,$A$5:$I$11,6,FALSE),"—"))</f>
        <v/>
      </c>
      <c r="G23" s="422">
        <f>IF(A23="","",IFERROR((AVERAGEIFS(tblCarga[Dcc (n)],tblCarga[Jogador],A23,tblCarga[Microciclo (Nr)],$B$13,tblCarga[Dia MD],$E$13)-VLOOKUP($E$13,$A$5:$I$11,7,FALSE))/VLOOKUP($E$13,$A$5:$I$11,7,FALSE),"—"))</f>
        <v/>
      </c>
      <c r="H23" s="422">
        <f>IF(A23="","",IFERROR((AVERAGEIFS(tblCarga[PSE Sessão],tblCarga[Jogador],A23,tblCarga[Microciclo (Nr)],$B$13,tblCarga[Dia MD],$E$13)-VLOOKUP($E$13,$A$5:$I$11,8,FALSE))/VLOOKUP($E$13,$A$5:$I$11,8,FALSE),"—"))</f>
        <v/>
      </c>
      <c r="I23" s="422">
        <f>IF(A23="","",IFERROR(_xlfn.LET(_xlpm.real,AVERAGEIFS(tblCarga[Duração (min)],tblCarga[Jogador],A23,tblCarga[Microciclo (Nr)],$B$13,tblCarga[Dia MD],$E$13)*AVERAGEIFS(tblCarga[PSE Sessão],tblCarga[Jogador],A23,tblCarga[Microciclo (Nr)],$B$13,tblCarga[Dia MD],$E$13),_xlpm.tgt,IF(VLOOKUP($E$13,$A$5:$J$11,10,FALSE)&gt;0,VLOOKUP($E$13,$A$5:$J$11,10,FALSE),VLOOKUP($E$13,$A$5:$I$11,9,FALSE)),(_xlpm.real-_xlpm.tgt)/_xlpm.tgt),"—"))</f>
        <v/>
      </c>
      <c r="J23" s="364">
        <f>IF(A23="","",IF(OR(ABS(B23)&gt;0.25,ABS(C23)&gt;0.25,ABS(I23)&gt;0.25),"🟡 DESVIO","✅ OK"))</f>
        <v/>
      </c>
    </row>
    <row r="24" ht="24" customHeight="1">
      <c r="A24" s="222">
        <f t="array" ref="A24">IFERROR(INDEX(_xlfn._xlws.SORT(_xlfn.UNIQUE(_xlfn._xlws.FILTER(tblCarga[Jogador],(tblCarga[Microciclo (Nr)]=$B$13)*(tblCarga[Dia MD]=$E$13)))),ROW()-15),"")</f>
        <v/>
      </c>
      <c r="B24" s="423">
        <f>IF(A24="","",IFERROR((AVERAGEIFS(tblCarga[Duração (min)],tblCarga[Jogador],A24,tblCarga[Microciclo (Nr)],$B$13,tblCarga[Dia MD],$E$13)-VLOOKUP($E$13,$A$5:$I$11,2,FALSE))/VLOOKUP($E$13,$A$5:$I$11,2,FALSE),"—"))</f>
        <v/>
      </c>
      <c r="C24" s="423">
        <f>IF(A24="","",IFERROR((AVERAGEIFS(tblCarga[Distância Total (m)],tblCarga[Jogador],A24,tblCarga[Microciclo (Nr)],$B$13,tblCarga[Dia MD],$E$13)-VLOOKUP($E$13,$A$5:$I$11,3,FALSE))/VLOOKUP($E$13,$A$5:$I$11,3,FALSE),"—"))</f>
        <v/>
      </c>
      <c r="D24" s="423">
        <f>IF(A24="","",IFERROR((AVERAGEIFS(tblCarga[HSR (m)],tblCarga[Jogador],A24,tblCarga[Microciclo (Nr)],$B$13,tblCarga[Dia MD],$E$13)-VLOOKUP($E$13,$A$5:$I$11,4,FALSE))/VLOOKUP($E$13,$A$5:$I$11,4,FALSE),"—"))</f>
        <v/>
      </c>
      <c r="E24" s="423">
        <f>IF(A24="","",IFERROR((AVERAGEIFS(tblCarga[Sprint (m)],tblCarga[Jogador],A24,tblCarga[Microciclo (Nr)],$B$13,tblCarga[Dia MD],$E$13)-VLOOKUP($E$13,$A$5:$I$11,5,FALSE))/VLOOKUP($E$13,$A$5:$I$11,5,FALSE),"—"))</f>
        <v/>
      </c>
      <c r="F24" s="423">
        <f>IF(A24="","",IFERROR((AVERAGEIFS(tblCarga[Acc (n)],tblCarga[Jogador],A24,tblCarga[Microciclo (Nr)],$B$13,tblCarga[Dia MD],$E$13)-VLOOKUP($E$13,$A$5:$I$11,6,FALSE))/VLOOKUP($E$13,$A$5:$I$11,6,FALSE),"—"))</f>
        <v/>
      </c>
      <c r="G24" s="423">
        <f>IF(A24="","",IFERROR((AVERAGEIFS(tblCarga[Dcc (n)],tblCarga[Jogador],A24,tblCarga[Microciclo (Nr)],$B$13,tblCarga[Dia MD],$E$13)-VLOOKUP($E$13,$A$5:$I$11,7,FALSE))/VLOOKUP($E$13,$A$5:$I$11,7,FALSE),"—"))</f>
        <v/>
      </c>
      <c r="H24" s="423">
        <f>IF(A24="","",IFERROR((AVERAGEIFS(tblCarga[PSE Sessão],tblCarga[Jogador],A24,tblCarga[Microciclo (Nr)],$B$13,tblCarga[Dia MD],$E$13)-VLOOKUP($E$13,$A$5:$I$11,8,FALSE))/VLOOKUP($E$13,$A$5:$I$11,8,FALSE),"—"))</f>
        <v/>
      </c>
      <c r="I24" s="423">
        <f>IF(A24="","",IFERROR(_xlfn.LET(_xlpm.real,AVERAGEIFS(tblCarga[Duração (min)],tblCarga[Jogador],A24,tblCarga[Microciclo (Nr)],$B$13,tblCarga[Dia MD],$E$13)*AVERAGEIFS(tblCarga[PSE Sessão],tblCarga[Jogador],A24,tblCarga[Microciclo (Nr)],$B$13,tblCarga[Dia MD],$E$13),_xlpm.tgt,IF(VLOOKUP($E$13,$A$5:$J$11,10,FALSE)&gt;0,VLOOKUP($E$13,$A$5:$J$11,10,FALSE),VLOOKUP($E$13,$A$5:$I$11,9,FALSE)),(_xlpm.real-_xlpm.tgt)/_xlpm.tgt),"—"))</f>
        <v/>
      </c>
      <c r="J24" s="366">
        <f>IF(A24="","",IF(OR(ABS(B24)&gt;0.25,ABS(C24)&gt;0.25,ABS(I24)&gt;0.25),"🟡 DESVIO","✅ OK"))</f>
        <v/>
      </c>
    </row>
    <row r="25" ht="6" customHeight="1">
      <c r="A25" s="14">
        <f t="array" ref="A25">IFERROR(INDEX(_xlfn._xlws.SORT(_xlfn.UNIQUE(_xlfn._xlws.FILTER(tblCarga[Jogador],(tblCarga[Microciclo (Nr)]=$B$13)*(tblCarga[Dia MD]=$E$13)))),ROW()-15),"")</f>
        <v/>
      </c>
      <c r="B25" s="419">
        <f>IF(A25="","",IFERROR((AVERAGEIFS(tblCarga[Duração (min)],tblCarga[Jogador],A25,tblCarga[Microciclo (Nr)],$B$13,tblCarga[Dia MD],$E$13)-VLOOKUP($E$13,$A$5:$I$10,2,FALSE))/VLOOKUP($E$13,$A$5:$I$10,2,FALSE),"—"))</f>
        <v/>
      </c>
      <c r="C25" s="419">
        <f>IF(A25="","",IFERROR((AVERAGEIFS(tblCarga[Distância Total (m)],tblCarga[Jogador],A25,tblCarga[Microciclo (Nr)],$B$13,tblCarga[Dia MD],$E$13)-VLOOKUP($E$13,$A$5:$I$10,3,FALSE))/VLOOKUP($E$13,$A$5:$I$10,3,FALSE),"—"))</f>
        <v/>
      </c>
      <c r="D25" s="419">
        <f>IF(A25="","",IFERROR((AVERAGEIFS(tblCarga[HSR (m)],tblCarga[Jogador],A25,tblCarga[Microciclo (Nr)],$B$13,tblCarga[Dia MD],$E$13)-VLOOKUP($E$13,$A$5:$I$10,4,FALSE))/VLOOKUP($E$13,$A$5:$I$10,4,FALSE),"—"))</f>
        <v/>
      </c>
      <c r="E25" s="419">
        <f>IF(A25="","",IFERROR((AVERAGEIFS(tblCarga[Sprint (m)],tblCarga[Jogador],A25,tblCarga[Microciclo (Nr)],$B$13,tblCarga[Dia MD],$E$13)-VLOOKUP($E$13,$A$5:$I$10,5,FALSE))/VLOOKUP($E$13,$A$5:$I$10,5,FALSE),"—"))</f>
        <v/>
      </c>
      <c r="F25" s="419">
        <f>IF(A25="","",IFERROR((AVERAGEIFS(tblCarga[Acc (n)],tblCarga[Jogador],A25,tblCarga[Microciclo (Nr)],$B$13,tblCarga[Dia MD],$E$13)-VLOOKUP($E$13,$A$5:$I$10,6,FALSE))/VLOOKUP($E$13,$A$5:$I$10,6,FALSE),"—"))</f>
        <v/>
      </c>
      <c r="G25" s="419">
        <f>IF(A25="","",IFERROR((AVERAGEIFS(tblCarga[Dcc (n)],tblCarga[Jogador],A25,tblCarga[Microciclo (Nr)],$B$13,tblCarga[Dia MD],$E$13)-VLOOKUP($E$13,$A$5:$I$10,7,FALSE))/VLOOKUP($E$13,$A$5:$I$10,7,FALSE),"—"))</f>
        <v/>
      </c>
      <c r="H25" s="419">
        <f>IF(A25="","",IFERROR((AVERAGEIFS(tblCarga[PSE Sessão],tblCarga[Jogador],A25,tblCarga[Microciclo (Nr)],$B$13,tblCarga[Dia MD],$E$13)-VLOOKUP($E$13,$A$5:$I$10,8,FALSE))/VLOOKUP($E$13,$A$5:$I$10,8,FALSE),"—"))</f>
        <v/>
      </c>
      <c r="I25" s="419">
        <f>IF(A25="","",IFERROR(_xlfn.LET(_xlpm.real,AVERAGEIFS(tblCarga[Duração (min)],tblCarga[Jogador],A25,tblCarga[Microciclo (Nr)],$B$13,tblCarga[Dia MD],$E$13)*AVERAGEIFS(tblCarga[PSE Sessão],tblCarga[Jogador],A25,tblCarga[Microciclo (Nr)],$B$13,tblCarga[Dia MD],$E$13),_xlpm.tgt,IF(VLOOKUP($E$13,$A$5:$J$11,10,FALSE)&gt;0,VLOOKUP($E$13,$A$5:$J$11,10,FALSE),VLOOKUP($E$13,$A$5:$I$11,9,FALSE)),(_xlpm.real-_xlpm.tgt)/_xlpm.tgt),"—"))</f>
        <v/>
      </c>
      <c r="J25" s="90">
        <f>IF(A25="","",IF(OR(ABS(B25)&gt;0.25,ABS(C25)&gt;0.25,ABS(I25)&gt;0.25),"🟡 DESVIO","✅ OK"))</f>
        <v/>
      </c>
    </row>
    <row r="26">
      <c r="A26" s="1">
        <f t="array" ref="A26">IFERROR(INDEX(_xlfn._xlws.SORT(_xlfn.UNIQUE(_xlfn._xlws.FILTER(tblCarga[Jogador],(tblCarga[Microciclo (Nr)]=$B$13)*(tblCarga[Dia MD]=$E$13)))),ROW()-15),"")</f>
        <v/>
      </c>
      <c r="B26" s="60">
        <f>IF(A26="","",IFERROR((AVERAGEIFS(tblCarga[Duração (min)],tblCarga[Jogador],A26,tblCarga[Microciclo (Nr)],$B$13,tblCarga[Dia MD],$E$13)-VLOOKUP($E$13,$A$5:$I$10,2,FALSE))/VLOOKUP($E$13,$A$5:$I$10,2,FALSE),"—"))</f>
        <v/>
      </c>
      <c r="C26" s="60">
        <f>IF(A26="","",IFERROR((AVERAGEIFS(tblCarga[Distância Total (m)],tblCarga[Jogador],A26,tblCarga[Microciclo (Nr)],$B$13,tblCarga[Dia MD],$E$13)-VLOOKUP($E$13,$A$5:$I$10,3,FALSE))/VLOOKUP($E$13,$A$5:$I$10,3,FALSE),"—"))</f>
        <v/>
      </c>
      <c r="D26" s="60">
        <f>IF(A26="","",IFERROR((AVERAGEIFS(tblCarga[HSR (m)],tblCarga[Jogador],A26,tblCarga[Microciclo (Nr)],$B$13,tblCarga[Dia MD],$E$13)-VLOOKUP($E$13,$A$5:$I$10,4,FALSE))/VLOOKUP($E$13,$A$5:$I$10,4,FALSE),"—"))</f>
        <v/>
      </c>
      <c r="E26" s="60">
        <f>IF(A26="","",IFERROR((AVERAGEIFS(tblCarga[Sprint (m)],tblCarga[Jogador],A26,tblCarga[Microciclo (Nr)],$B$13,tblCarga[Dia MD],$E$13)-VLOOKUP($E$13,$A$5:$I$10,5,FALSE))/VLOOKUP($E$13,$A$5:$I$10,5,FALSE),"—"))</f>
        <v/>
      </c>
      <c r="F26" s="60">
        <f>IF(A26="","",IFERROR((AVERAGEIFS(tblCarga[Acc (n)],tblCarga[Jogador],A26,tblCarga[Microciclo (Nr)],$B$13,tblCarga[Dia MD],$E$13)-VLOOKUP($E$13,$A$5:$I$10,6,FALSE))/VLOOKUP($E$13,$A$5:$I$10,6,FALSE),"—"))</f>
        <v/>
      </c>
      <c r="G26" s="60">
        <f>IF(A26="","",IFERROR((AVERAGEIFS(tblCarga[Dcc (n)],tblCarga[Jogador],A26,tblCarga[Microciclo (Nr)],$B$13,tblCarga[Dia MD],$E$13)-VLOOKUP($E$13,$A$5:$I$10,7,FALSE))/VLOOKUP($E$13,$A$5:$I$10,7,FALSE),"—"))</f>
        <v/>
      </c>
      <c r="H26" s="60">
        <f>IF(A26="","",IFERROR((AVERAGEIFS(tblCarga[PSE Sessão],tblCarga[Jogador],A26,tblCarga[Microciclo (Nr)],$B$13,tblCarga[Dia MD],$E$13)-VLOOKUP($E$13,$A$5:$I$10,8,FALSE))/VLOOKUP($E$13,$A$5:$I$10,8,FALSE),"—"))</f>
        <v/>
      </c>
      <c r="I26" s="60">
        <f>IF(A26="","",IFERROR(_xlfn.LET(_xlpm.real,AVERAGEIFS(tblCarga[Duração (min)],tblCarga[Jogador],A26,tblCarga[Microciclo (Nr)],$B$13,tblCarga[Dia MD],$E$13)*AVERAGEIFS(tblCarga[PSE Sessão],tblCarga[Jogador],A26,tblCarga[Microciclo (Nr)],$B$13,tblCarga[Dia MD],$E$13),_xlpm.tgt,IF(VLOOKUP($E$13,$A$5:$J$11,10,FALSE)&gt;0,VLOOKUP($E$13,$A$5:$J$11,10,FALSE),VLOOKUP($E$13,$A$5:$I$11,9,FALSE)),(_xlpm.real-_xlpm.tgt)/_xlpm.tgt),"—"))</f>
        <v/>
      </c>
      <c r="J26" s="50">
        <f>IF(A26="","",IF(OR(ABS(B26)&gt;0.25,ABS(C26)&gt;0.25,ABS(I26)&gt;0.25),"🟡 DESVIO","✅ OK"))</f>
        <v/>
      </c>
    </row>
    <row r="27">
      <c r="A27" s="1">
        <f t="array" ref="A27">IFERROR(INDEX(_xlfn._xlws.SORT(_xlfn.UNIQUE(_xlfn._xlws.FILTER(tblCarga[Jogador],(tblCarga[Microciclo (Nr)]=$B$13)*(tblCarga[Dia MD]=$E$13)))),ROW()-15),"")</f>
        <v/>
      </c>
      <c r="B27" s="60">
        <f>IF(A27="","",IFERROR((AVERAGEIFS(tblCarga[Duração (min)],tblCarga[Jogador],A27,tblCarga[Microciclo (Nr)],$B$13,tblCarga[Dia MD],$E$13)-VLOOKUP($E$13,$A$5:$I$11,2,FALSE))/VLOOKUP($E$13,$A$5:$I$11,2,FALSE),"—"))</f>
        <v/>
      </c>
      <c r="C27" s="60">
        <f>IF(A27="","",IFERROR((AVERAGEIFS(tblCarga[Distância Total (m)],tblCarga[Jogador],A27,tblCarga[Microciclo (Nr)],$B$13,tblCarga[Dia MD],$E$13)-VLOOKUP($E$13,$A$5:$I$11,3,FALSE))/VLOOKUP($E$13,$A$5:$I$11,3,FALSE),"—"))</f>
        <v/>
      </c>
      <c r="D27" s="60">
        <f>IF(A27="","",IFERROR((AVERAGEIFS(tblCarga[HSR (m)],tblCarga[Jogador],A27,tblCarga[Microciclo (Nr)],$B$13,tblCarga[Dia MD],$E$13)-VLOOKUP($E$13,$A$5:$I$11,4,FALSE))/VLOOKUP($E$13,$A$5:$I$11,4,FALSE),"—"))</f>
        <v/>
      </c>
      <c r="E27" s="60">
        <f>IF(A27="","",IFERROR((AVERAGEIFS(tblCarga[Sprint (m)],tblCarga[Jogador],A27,tblCarga[Microciclo (Nr)],$B$13,tblCarga[Dia MD],$E$13)-VLOOKUP($E$13,$A$5:$I$11,5,FALSE))/VLOOKUP($E$13,$A$5:$I$11,5,FALSE),"—"))</f>
        <v/>
      </c>
      <c r="F27" s="60">
        <f>IF(A27="","",IFERROR((AVERAGEIFS(tblCarga[Acc (n)],tblCarga[Jogador],A27,tblCarga[Microciclo (Nr)],$B$13,tblCarga[Dia MD],$E$13)-VLOOKUP($E$13,$A$5:$I$11,6,FALSE))/VLOOKUP($E$13,$A$5:$I$11,6,FALSE),"—"))</f>
        <v/>
      </c>
      <c r="G27" s="60">
        <f>IF(A27="","",IFERROR((AVERAGEIFS(tblCarga[Dcc (n)],tblCarga[Jogador],A27,tblCarga[Microciclo (Nr)],$B$13,tblCarga[Dia MD],$E$13)-VLOOKUP($E$13,$A$5:$I$11,7,FALSE))/VLOOKUP($E$13,$A$5:$I$11,7,FALSE),"—"))</f>
        <v/>
      </c>
      <c r="H27" s="60">
        <f>IF(A27="","",IFERROR((AVERAGEIFS(tblCarga[PSE Sessão],tblCarga[Jogador],A27,tblCarga[Microciclo (Nr)],$B$13,tblCarga[Dia MD],$E$13)-VLOOKUP($E$13,$A$5:$I$11,8,FALSE))/VLOOKUP($E$13,$A$5:$I$11,8,FALSE),"—"))</f>
        <v/>
      </c>
      <c r="I27" s="60">
        <f>IF(A27="","",IFERROR(_xlfn.LET(_xlpm.real,AVERAGEIFS(tblCarga[Duração (min)],tblCarga[Jogador],A27,tblCarga[Microciclo (Nr)],$B$13,tblCarga[Dia MD],$E$13)*AVERAGEIFS(tblCarga[PSE Sessão],tblCarga[Jogador],A27,tblCarga[Microciclo (Nr)],$B$13,tblCarga[Dia MD],$E$13),_xlpm.tgt,IF(VLOOKUP($E$13,$A$5:$J$11,10,FALSE)&gt;0,VLOOKUP($E$13,$A$5:$J$11,10,FALSE),VLOOKUP($E$13,$A$5:$I$11,9,FALSE)),(_xlpm.real-_xlpm.tgt)/_xlpm.tgt),"—"))</f>
        <v/>
      </c>
      <c r="J27" s="50">
        <f>IF(A27="","",IF(OR(ABS(B27)&gt;0.25,ABS(C27)&gt;0.25,ABS(I27)&gt;0.25),"🟡 DESVIO","✅ OK"))</f>
        <v/>
      </c>
    </row>
    <row r="28">
      <c r="A28" s="1">
        <f t="array" ref="A28">IFERROR(INDEX(_xlfn._xlws.SORT(_xlfn.UNIQUE(_xlfn._xlws.FILTER(tblCarga[Jogador],(tblCarga[Microciclo (Nr)]=$B$13)*(tblCarga[Dia MD]=$E$13)))),ROW()-15),"")</f>
        <v/>
      </c>
      <c r="B28" s="60">
        <f>IF(A28="","",IFERROR((AVERAGEIFS(tblCarga[Duração (min)],tblCarga[Jogador],A28,tblCarga[Microciclo (Nr)],$B$13,tblCarga[Dia MD],$E$13)-VLOOKUP($E$13,$A$5:$I$11,2,FALSE))/VLOOKUP($E$13,$A$5:$I$11,2,FALSE),"—"))</f>
        <v/>
      </c>
      <c r="C28" s="60">
        <f>IF(A28="","",IFERROR((AVERAGEIFS(tblCarga[Distância Total (m)],tblCarga[Jogador],A28,tblCarga[Microciclo (Nr)],$B$13,tblCarga[Dia MD],$E$13)-VLOOKUP($E$13,$A$5:$I$11,3,FALSE))/VLOOKUP($E$13,$A$5:$I$11,3,FALSE),"—"))</f>
        <v/>
      </c>
      <c r="D28" s="60">
        <f>IF(A28="","",IFERROR((AVERAGEIFS(tblCarga[HSR (m)],tblCarga[Jogador],A28,tblCarga[Microciclo (Nr)],$B$13,tblCarga[Dia MD],$E$13)-VLOOKUP($E$13,$A$5:$I$11,4,FALSE))/VLOOKUP($E$13,$A$5:$I$11,4,FALSE),"—"))</f>
        <v/>
      </c>
      <c r="E28" s="60">
        <f>IF(A28="","",IFERROR((AVERAGEIFS(tblCarga[Sprint (m)],tblCarga[Jogador],A28,tblCarga[Microciclo (Nr)],$B$13,tblCarga[Dia MD],$E$13)-VLOOKUP($E$13,$A$5:$I$11,5,FALSE))/VLOOKUP($E$13,$A$5:$I$11,5,FALSE),"—"))</f>
        <v/>
      </c>
      <c r="F28" s="60">
        <f>IF(A28="","",IFERROR((AVERAGEIFS(tblCarga[Acc (n)],tblCarga[Jogador],A28,tblCarga[Microciclo (Nr)],$B$13,tblCarga[Dia MD],$E$13)-VLOOKUP($E$13,$A$5:$I$11,6,FALSE))/VLOOKUP($E$13,$A$5:$I$11,6,FALSE),"—"))</f>
        <v/>
      </c>
      <c r="G28" s="60">
        <f>IF(A28="","",IFERROR((AVERAGEIFS(tblCarga[Dcc (n)],tblCarga[Jogador],A28,tblCarga[Microciclo (Nr)],$B$13,tblCarga[Dia MD],$E$13)-VLOOKUP($E$13,$A$5:$I$11,7,FALSE))/VLOOKUP($E$13,$A$5:$I$11,7,FALSE),"—"))</f>
        <v/>
      </c>
      <c r="H28" s="60">
        <f>IF(A28="","",IFERROR((AVERAGEIFS(tblCarga[PSE Sessão],tblCarga[Jogador],A28,tblCarga[Microciclo (Nr)],$B$13,tblCarga[Dia MD],$E$13)-VLOOKUP($E$13,$A$5:$I$11,8,FALSE))/VLOOKUP($E$13,$A$5:$I$11,8,FALSE),"—"))</f>
        <v/>
      </c>
      <c r="I28" s="60">
        <f>IF(A28="","",IFERROR(_xlfn.LET(_xlpm.real,AVERAGEIFS(tblCarga[Duração (min)],tblCarga[Jogador],A28,tblCarga[Microciclo (Nr)],$B$13,tblCarga[Dia MD],$E$13)*AVERAGEIFS(tblCarga[PSE Sessão],tblCarga[Jogador],A28,tblCarga[Microciclo (Nr)],$B$13,tblCarga[Dia MD],$E$13),_xlpm.tgt,IF(VLOOKUP($E$13,$A$5:$J$11,10,FALSE)&gt;0,VLOOKUP($E$13,$A$5:$J$11,10,FALSE),VLOOKUP($E$13,$A$5:$I$11,9,FALSE)),(_xlpm.real-_xlpm.tgt)/_xlpm.tgt),"—"))</f>
        <v/>
      </c>
      <c r="J28" s="50">
        <f>IF(A28="","",IF(OR(ABS(B28)&gt;0.25,ABS(C28)&gt;0.25,ABS(I28)&gt;0.25),"🟡 DESVIO","✅ OK"))</f>
        <v/>
      </c>
    </row>
    <row r="29">
      <c r="A29" s="1">
        <f t="array" ref="A29">IFERROR(INDEX(_xlfn._xlws.SORT(_xlfn.UNIQUE(_xlfn._xlws.FILTER(tblCarga[Jogador],(tblCarga[Microciclo (Nr)]=$B$13)*(tblCarga[Dia MD]=$E$13)))),ROW()-15),"")</f>
        <v/>
      </c>
      <c r="B29" s="60">
        <f>IF(A29="","",IFERROR((AVERAGEIFS(tblCarga[Duração (min)],tblCarga[Jogador],A29,tblCarga[Microciclo (Nr)],$B$13,tblCarga[Dia MD],$E$13)-VLOOKUP($E$13,$A$5:$I$11,2,FALSE))/VLOOKUP($E$13,$A$5:$I$11,2,FALSE),"—"))</f>
        <v/>
      </c>
      <c r="C29" s="60">
        <f>IF(A29="","",IFERROR((AVERAGEIFS(tblCarga[Distância Total (m)],tblCarga[Jogador],A29,tblCarga[Microciclo (Nr)],$B$13,tblCarga[Dia MD],$E$13)-VLOOKUP($E$13,$A$5:$I$11,3,FALSE))/VLOOKUP($E$13,$A$5:$I$11,3,FALSE),"—"))</f>
        <v/>
      </c>
      <c r="D29" s="60">
        <f>IF(A29="","",IFERROR((AVERAGEIFS(tblCarga[HSR (m)],tblCarga[Jogador],A29,tblCarga[Microciclo (Nr)],$B$13,tblCarga[Dia MD],$E$13)-VLOOKUP($E$13,$A$5:$I$11,4,FALSE))/VLOOKUP($E$13,$A$5:$I$11,4,FALSE),"—"))</f>
        <v/>
      </c>
      <c r="E29" s="60">
        <f>IF(A29="","",IFERROR((AVERAGEIFS(tblCarga[Sprint (m)],tblCarga[Jogador],A29,tblCarga[Microciclo (Nr)],$B$13,tblCarga[Dia MD],$E$13)-VLOOKUP($E$13,$A$5:$I$11,5,FALSE))/VLOOKUP($E$13,$A$5:$I$11,5,FALSE),"—"))</f>
        <v/>
      </c>
      <c r="F29" s="60">
        <f>IF(A29="","",IFERROR((AVERAGEIFS(tblCarga[Acc (n)],tblCarga[Jogador],A29,tblCarga[Microciclo (Nr)],$B$13,tblCarga[Dia MD],$E$13)-VLOOKUP($E$13,$A$5:$I$11,6,FALSE))/VLOOKUP($E$13,$A$5:$I$11,6,FALSE),"—"))</f>
        <v/>
      </c>
      <c r="G29" s="60">
        <f>IF(A29="","",IFERROR((AVERAGEIFS(tblCarga[Dcc (n)],tblCarga[Jogador],A29,tblCarga[Microciclo (Nr)],$B$13,tblCarga[Dia MD],$E$13)-VLOOKUP($E$13,$A$5:$I$11,7,FALSE))/VLOOKUP($E$13,$A$5:$I$11,7,FALSE),"—"))</f>
        <v/>
      </c>
      <c r="H29" s="60">
        <f>IF(A29="","",IFERROR((AVERAGEIFS(tblCarga[PSE Sessão],tblCarga[Jogador],A29,tblCarga[Microciclo (Nr)],$B$13,tblCarga[Dia MD],$E$13)-VLOOKUP($E$13,$A$5:$I$11,8,FALSE))/VLOOKUP($E$13,$A$5:$I$11,8,FALSE),"—"))</f>
        <v/>
      </c>
      <c r="I29" s="60">
        <f>IF(A29="","",IFERROR(_xlfn.LET(_xlpm.real,AVERAGEIFS(tblCarga[Duração (min)],tblCarga[Jogador],A29,tblCarga[Microciclo (Nr)],$B$13,tblCarga[Dia MD],$E$13)*AVERAGEIFS(tblCarga[PSE Sessão],tblCarga[Jogador],A29,tblCarga[Microciclo (Nr)],$B$13,tblCarga[Dia MD],$E$13),_xlpm.tgt,IF(VLOOKUP($E$13,$A$5:$J$11,10,FALSE)&gt;0,VLOOKUP($E$13,$A$5:$J$11,10,FALSE),VLOOKUP($E$13,$A$5:$I$11,9,FALSE)),(_xlpm.real-_xlpm.tgt)/_xlpm.tgt),"—"))</f>
        <v/>
      </c>
      <c r="J29" s="50">
        <f>IF(A29="","",IF(OR(ABS(B29)&gt;0.25,ABS(C29)&gt;0.25,ABS(I29)&gt;0.25),"🟡 DESVIO","✅ OK"))</f>
        <v/>
      </c>
    </row>
    <row r="30">
      <c r="A30" s="1">
        <f t="array" ref="A30">IFERROR(INDEX(_xlfn._xlws.SORT(_xlfn.UNIQUE(_xlfn._xlws.FILTER(tblCarga[Jogador],(tblCarga[Microciclo (Nr)]=$B$13)*(tblCarga[Dia MD]=$E$13)))),ROW()-15),"")</f>
        <v/>
      </c>
      <c r="B30" s="60">
        <f>IF(A30="","",IFERROR((AVERAGEIFS(tblCarga[Duração (min)],tblCarga[Jogador],A30,tblCarga[Microciclo (Nr)],$B$13,tblCarga[Dia MD],$E$13)-VLOOKUP($E$13,$A$5:$I$11,2,FALSE))/VLOOKUP($E$13,$A$5:$I$11,2,FALSE),"—"))</f>
        <v/>
      </c>
      <c r="C30" s="60">
        <f>IF(A30="","",IFERROR((AVERAGEIFS(tblCarga[Distância Total (m)],tblCarga[Jogador],A30,tblCarga[Microciclo (Nr)],$B$13,tblCarga[Dia MD],$E$13)-VLOOKUP($E$13,$A$5:$I$11,3,FALSE))/VLOOKUP($E$13,$A$5:$I$11,3,FALSE),"—"))</f>
        <v/>
      </c>
      <c r="D30" s="60">
        <f>IF(A30="","",IFERROR((AVERAGEIFS(tblCarga[HSR (m)],tblCarga[Jogador],A30,tblCarga[Microciclo (Nr)],$B$13,tblCarga[Dia MD],$E$13)-VLOOKUP($E$13,$A$5:$I$11,4,FALSE))/VLOOKUP($E$13,$A$5:$I$11,4,FALSE),"—"))</f>
        <v/>
      </c>
      <c r="E30" s="60">
        <f>IF(A30="","",IFERROR((AVERAGEIFS(tblCarga[Sprint (m)],tblCarga[Jogador],A30,tblCarga[Microciclo (Nr)],$B$13,tblCarga[Dia MD],$E$13)-VLOOKUP($E$13,$A$5:$I$11,5,FALSE))/VLOOKUP($E$13,$A$5:$I$11,5,FALSE),"—"))</f>
        <v/>
      </c>
      <c r="F30" s="60">
        <f>IF(A30="","",IFERROR((AVERAGEIFS(tblCarga[Acc (n)],tblCarga[Jogador],A30,tblCarga[Microciclo (Nr)],$B$13,tblCarga[Dia MD],$E$13)-VLOOKUP($E$13,$A$5:$I$11,6,FALSE))/VLOOKUP($E$13,$A$5:$I$11,6,FALSE),"—"))</f>
        <v/>
      </c>
      <c r="G30" s="60">
        <f>IF(A30="","",IFERROR((AVERAGEIFS(tblCarga[Dcc (n)],tblCarga[Jogador],A30,tblCarga[Microciclo (Nr)],$B$13,tblCarga[Dia MD],$E$13)-VLOOKUP($E$13,$A$5:$I$11,7,FALSE))/VLOOKUP($E$13,$A$5:$I$11,7,FALSE),"—"))</f>
        <v/>
      </c>
      <c r="H30" s="60">
        <f>IF(A30="","",IFERROR((AVERAGEIFS(tblCarga[PSE Sessão],tblCarga[Jogador],A30,tblCarga[Microciclo (Nr)],$B$13,tblCarga[Dia MD],$E$13)-VLOOKUP($E$13,$A$5:$I$11,8,FALSE))/VLOOKUP($E$13,$A$5:$I$11,8,FALSE),"—"))</f>
        <v/>
      </c>
      <c r="I30" s="60">
        <f>IF(A30="","",IFERROR(_xlfn.LET(_xlpm.real,AVERAGEIFS(tblCarga[Duração (min)],tblCarga[Jogador],A30,tblCarga[Microciclo (Nr)],$B$13,tblCarga[Dia MD],$E$13)*AVERAGEIFS(tblCarga[PSE Sessão],tblCarga[Jogador],A30,tblCarga[Microciclo (Nr)],$B$13,tblCarga[Dia MD],$E$13),_xlpm.tgt,IF(VLOOKUP($E$13,$A$5:$J$11,10,FALSE)&gt;0,VLOOKUP($E$13,$A$5:$J$11,10,FALSE),VLOOKUP($E$13,$A$5:$I$11,9,FALSE)),(_xlpm.real-_xlpm.tgt)/_xlpm.tgt),"—"))</f>
        <v/>
      </c>
      <c r="J30" s="50">
        <f>IF(A30="","",IF(OR(ABS(B30)&gt;0.25,ABS(C30)&gt;0.25,ABS(I30)&gt;0.25),"🟡 DESVIO","✅ OK"))</f>
        <v/>
      </c>
    </row>
    <row r="31">
      <c r="A31" s="1">
        <f t="array" ref="A31">IFERROR(INDEX(_xlfn._xlws.SORT(_xlfn.UNIQUE(_xlfn._xlws.FILTER(tblCarga[Jogador],(tblCarga[Microciclo (Nr)]=$B$13)*(tblCarga[Dia MD]=$E$13)))),ROW()-15),"")</f>
        <v/>
      </c>
      <c r="B31" s="60">
        <f>IF(A31="","",IFERROR((AVERAGEIFS(tblCarga[Duração (min)],tblCarga[Jogador],A31,tblCarga[Microciclo (Nr)],$B$13,tblCarga[Dia MD],$E$13)-VLOOKUP($E$13,$A$5:$I$11,2,FALSE))/VLOOKUP($E$13,$A$5:$I$11,2,FALSE),"—"))</f>
        <v/>
      </c>
      <c r="C31" s="60">
        <f>IF(A31="","",IFERROR((AVERAGEIFS(tblCarga[Distância Total (m)],tblCarga[Jogador],A31,tblCarga[Microciclo (Nr)],$B$13,tblCarga[Dia MD],$E$13)-VLOOKUP($E$13,$A$5:$I$11,3,FALSE))/VLOOKUP($E$13,$A$5:$I$11,3,FALSE),"—"))</f>
        <v/>
      </c>
      <c r="D31" s="60">
        <f>IF(A31="","",IFERROR((AVERAGEIFS(tblCarga[HSR (m)],tblCarga[Jogador],A31,tblCarga[Microciclo (Nr)],$B$13,tblCarga[Dia MD],$E$13)-VLOOKUP($E$13,$A$5:$I$11,4,FALSE))/VLOOKUP($E$13,$A$5:$I$11,4,FALSE),"—"))</f>
        <v/>
      </c>
      <c r="E31" s="60">
        <f>IF(A31="","",IFERROR((AVERAGEIFS(tblCarga[Sprint (m)],tblCarga[Jogador],A31,tblCarga[Microciclo (Nr)],$B$13,tblCarga[Dia MD],$E$13)-VLOOKUP($E$13,$A$5:$I$11,5,FALSE))/VLOOKUP($E$13,$A$5:$I$11,5,FALSE),"—"))</f>
        <v/>
      </c>
      <c r="F31" s="60">
        <f>IF(A31="","",IFERROR((AVERAGEIFS(tblCarga[Acc (n)],tblCarga[Jogador],A31,tblCarga[Microciclo (Nr)],$B$13,tblCarga[Dia MD],$E$13)-VLOOKUP($E$13,$A$5:$I$11,6,FALSE))/VLOOKUP($E$13,$A$5:$I$11,6,FALSE),"—"))</f>
        <v/>
      </c>
      <c r="G31" s="60">
        <f>IF(A31="","",IFERROR((AVERAGEIFS(tblCarga[Dcc (n)],tblCarga[Jogador],A31,tblCarga[Microciclo (Nr)],$B$13,tblCarga[Dia MD],$E$13)-VLOOKUP($E$13,$A$5:$I$11,7,FALSE))/VLOOKUP($E$13,$A$5:$I$11,7,FALSE),"—"))</f>
        <v/>
      </c>
      <c r="H31" s="60">
        <f>IF(A31="","",IFERROR((AVERAGEIFS(tblCarga[PSE Sessão],tblCarga[Jogador],A31,tblCarga[Microciclo (Nr)],$B$13,tblCarga[Dia MD],$E$13)-VLOOKUP($E$13,$A$5:$I$11,8,FALSE))/VLOOKUP($E$13,$A$5:$I$11,8,FALSE),"—"))</f>
        <v/>
      </c>
      <c r="I31" s="60">
        <f>IF(A31="","",IFERROR(_xlfn.LET(_xlpm.real,AVERAGEIFS(tblCarga[Duração (min)],tblCarga[Jogador],A31,tblCarga[Microciclo (Nr)],$B$13,tblCarga[Dia MD],$E$13)*AVERAGEIFS(tblCarga[PSE Sessão],tblCarga[Jogador],A31,tblCarga[Microciclo (Nr)],$B$13,tblCarga[Dia MD],$E$13),_xlpm.tgt,IF(VLOOKUP($E$13,$A$5:$J$11,10,FALSE)&gt;0,VLOOKUP($E$13,$A$5:$J$11,10,FALSE),VLOOKUP($E$13,$A$5:$I$11,9,FALSE)),(_xlpm.real-_xlpm.tgt)/_xlpm.tgt),"—"))</f>
        <v/>
      </c>
      <c r="J31" s="50">
        <f>IF(A31="","",IF(OR(ABS(B31)&gt;0.25,ABS(C31)&gt;0.25,ABS(I31)&gt;0.25),"🟡 DESVIO","✅ OK"))</f>
        <v/>
      </c>
    </row>
    <row r="32">
      <c r="A32" s="1">
        <f t="array" ref="A32">IFERROR(INDEX(_xlfn._xlws.SORT(_xlfn.UNIQUE(_xlfn._xlws.FILTER(tblCarga[Jogador],(tblCarga[Microciclo (Nr)]=$B$13)*(tblCarga[Dia MD]=$E$13)))),ROW()-15),"")</f>
        <v/>
      </c>
      <c r="B32" s="60">
        <f>IF(A32="","",IFERROR((AVERAGEIFS(tblCarga[Duração (min)],tblCarga[Jogador],A32,tblCarga[Microciclo (Nr)],$B$13,tblCarga[Dia MD],$E$13)-VLOOKUP($E$13,$A$5:$I$11,2,FALSE))/VLOOKUP($E$13,$A$5:$I$11,2,FALSE),"—"))</f>
        <v/>
      </c>
      <c r="C32" s="60">
        <f>IF(A32="","",IFERROR((AVERAGEIFS(tblCarga[Distância Total (m)],tblCarga[Jogador],A32,tblCarga[Microciclo (Nr)],$B$13,tblCarga[Dia MD],$E$13)-VLOOKUP($E$13,$A$5:$I$11,3,FALSE))/VLOOKUP($E$13,$A$5:$I$11,3,FALSE),"—"))</f>
        <v/>
      </c>
      <c r="D32" s="60">
        <f>IF(A32="","",IFERROR((AVERAGEIFS(tblCarga[HSR (m)],tblCarga[Jogador],A32,tblCarga[Microciclo (Nr)],$B$13,tblCarga[Dia MD],$E$13)-VLOOKUP($E$13,$A$5:$I$11,4,FALSE))/VLOOKUP($E$13,$A$5:$I$11,4,FALSE),"—"))</f>
        <v/>
      </c>
      <c r="E32" s="60">
        <f>IF(A32="","",IFERROR((AVERAGEIFS(tblCarga[Sprint (m)],tblCarga[Jogador],A32,tblCarga[Microciclo (Nr)],$B$13,tblCarga[Dia MD],$E$13)-VLOOKUP($E$13,$A$5:$I$11,5,FALSE))/VLOOKUP($E$13,$A$5:$I$11,5,FALSE),"—"))</f>
        <v/>
      </c>
      <c r="F32" s="60">
        <f>IF(A32="","",IFERROR((AVERAGEIFS(tblCarga[Acc (n)],tblCarga[Jogador],A32,tblCarga[Microciclo (Nr)],$B$13,tblCarga[Dia MD],$E$13)-VLOOKUP($E$13,$A$5:$I$11,6,FALSE))/VLOOKUP($E$13,$A$5:$I$11,6,FALSE),"—"))</f>
        <v/>
      </c>
      <c r="G32" s="60">
        <f>IF(A32="","",IFERROR((AVERAGEIFS(tblCarga[Dcc (n)],tblCarga[Jogador],A32,tblCarga[Microciclo (Nr)],$B$13,tblCarga[Dia MD],$E$13)-VLOOKUP($E$13,$A$5:$I$11,7,FALSE))/VLOOKUP($E$13,$A$5:$I$11,7,FALSE),"—"))</f>
        <v/>
      </c>
      <c r="H32" s="60">
        <f>IF(A32="","",IFERROR((AVERAGEIFS(tblCarga[PSE Sessão],tblCarga[Jogador],A32,tblCarga[Microciclo (Nr)],$B$13,tblCarga[Dia MD],$E$13)-VLOOKUP($E$13,$A$5:$I$11,8,FALSE))/VLOOKUP($E$13,$A$5:$I$11,8,FALSE),"—"))</f>
        <v/>
      </c>
      <c r="I32" s="60">
        <f>IF(A32="","",IFERROR(_xlfn.LET(_xlpm.real,AVERAGEIFS(tblCarga[Duração (min)],tblCarga[Jogador],A32,tblCarga[Microciclo (Nr)],$B$13,tblCarga[Dia MD],$E$13)*AVERAGEIFS(tblCarga[PSE Sessão],tblCarga[Jogador],A32,tblCarga[Microciclo (Nr)],$B$13,tblCarga[Dia MD],$E$13),_xlpm.tgt,IF(VLOOKUP($E$13,$A$5:$J$11,10,FALSE)&gt;0,VLOOKUP($E$13,$A$5:$J$11,10,FALSE),VLOOKUP($E$13,$A$5:$I$11,9,FALSE)),(_xlpm.real-_xlpm.tgt)/_xlpm.tgt),"—"))</f>
        <v/>
      </c>
      <c r="J32" s="50">
        <f>IF(A32="","",IF(OR(ABS(B32)&gt;0.25,ABS(C32)&gt;0.25,ABS(I32)&gt;0.25),"🟡 DESVIO","✅ OK"))</f>
        <v/>
      </c>
    </row>
    <row r="33">
      <c r="A33" s="1">
        <f t="array" ref="A33">IFERROR(INDEX(_xlfn._xlws.SORT(_xlfn.UNIQUE(_xlfn._xlws.FILTER(tblCarga[Jogador],(tblCarga[Microciclo (Nr)]=$B$13)*(tblCarga[Dia MD]=$E$13)))),ROW()-15),"")</f>
        <v/>
      </c>
      <c r="B33" s="60">
        <f>IF(A33="","",IFERROR((AVERAGEIFS(tblCarga[Duração (min)],tblCarga[Jogador],A33,tblCarga[Microciclo (Nr)],$B$13,tblCarga[Dia MD],$E$13)-VLOOKUP($E$13,$A$5:$I$10,2,FALSE))/VLOOKUP($E$13,$A$5:$I$10,2,FALSE),"—"))</f>
        <v/>
      </c>
      <c r="C33" s="60">
        <f>IF(A33="","",IFERROR((AVERAGEIFS(tblCarga[Distância Total (m)],tblCarga[Jogador],A33,tblCarga[Microciclo (Nr)],$B$13,tblCarga[Dia MD],$E$13)-VLOOKUP($E$13,$A$5:$I$10,3,FALSE))/VLOOKUP($E$13,$A$5:$I$10,3,FALSE),"—"))</f>
        <v/>
      </c>
      <c r="D33" s="60">
        <f>IF(A33="","",IFERROR((AVERAGEIFS(tblCarga[HSR (m)],tblCarga[Jogador],A33,tblCarga[Microciclo (Nr)],$B$13,tblCarga[Dia MD],$E$13)-VLOOKUP($E$13,$A$5:$I$10,4,FALSE))/VLOOKUP($E$13,$A$5:$I$10,4,FALSE),"—"))</f>
        <v/>
      </c>
      <c r="E33" s="60">
        <f>IF(A33="","",IFERROR((AVERAGEIFS(tblCarga[Sprint (m)],tblCarga[Jogador],A33,tblCarga[Microciclo (Nr)],$B$13,tblCarga[Dia MD],$E$13)-VLOOKUP($E$13,$A$5:$I$10,5,FALSE))/VLOOKUP($E$13,$A$5:$I$10,5,FALSE),"—"))</f>
        <v/>
      </c>
      <c r="F33" s="60">
        <f>IF(A33="","",IFERROR((AVERAGEIFS(tblCarga[Acc (n)],tblCarga[Jogador],A33,tblCarga[Microciclo (Nr)],$B$13,tblCarga[Dia MD],$E$13)-VLOOKUP($E$13,$A$5:$I$10,6,FALSE))/VLOOKUP($E$13,$A$5:$I$10,6,FALSE),"—"))</f>
        <v/>
      </c>
      <c r="G33" s="60">
        <f>IF(A33="","",IFERROR((AVERAGEIFS(tblCarga[Dcc (n)],tblCarga[Jogador],A33,tblCarga[Microciclo (Nr)],$B$13,tblCarga[Dia MD],$E$13)-VLOOKUP($E$13,$A$5:$I$10,7,FALSE))/VLOOKUP($E$13,$A$5:$I$10,7,FALSE),"—"))</f>
        <v/>
      </c>
      <c r="H33" s="60">
        <f>IF(A33="","",IFERROR((AVERAGEIFS(tblCarga[PSE Sessão],tblCarga[Jogador],A33,tblCarga[Microciclo (Nr)],$B$13,tblCarga[Dia MD],$E$13)-VLOOKUP($E$13,$A$5:$I$10,8,FALSE))/VLOOKUP($E$13,$A$5:$I$10,8,FALSE),"—"))</f>
        <v/>
      </c>
      <c r="I33" s="60">
        <f>IF(A33="","",IFERROR(_xlfn.LET(_xlpm.real,AVERAGEIFS(tblCarga[Duração (min)],tblCarga[Jogador],A33,tblCarga[Microciclo (Nr)],$B$13,tblCarga[Dia MD],$E$13)*AVERAGEIFS(tblCarga[PSE Sessão],tblCarga[Jogador],A33,tblCarga[Microciclo (Nr)],$B$13,tblCarga[Dia MD],$E$13),_xlpm.tgt,IF(VLOOKUP($E$13,$A$5:$J$11,10,FALSE)&gt;0,VLOOKUP($E$13,$A$5:$J$11,10,FALSE),VLOOKUP($E$13,$A$5:$I$11,9,FALSE)),(_xlpm.real-_xlpm.tgt)/_xlpm.tgt),"—"))</f>
        <v/>
      </c>
      <c r="J33" s="50">
        <f>IF(A33="","",IF(OR(ABS(B33)&gt;0.25,ABS(C33)&gt;0.25,ABS(I33)&gt;0.25),"🟡 DESVIO","✅ OK"))</f>
        <v/>
      </c>
    </row>
    <row r="34">
      <c r="A34" s="1">
        <f t="array" ref="A34">IFERROR(INDEX(_xlfn._xlws.SORT(_xlfn.UNIQUE(_xlfn._xlws.FILTER(tblCarga[Jogador],(tblCarga[Microciclo (Nr)]=$B$13)*(tblCarga[Dia MD]=$E$13)))),ROW()-15),"")</f>
        <v/>
      </c>
      <c r="B34" s="60">
        <f>IF(A34="","",IFERROR((AVERAGEIFS(tblCarga[Duração (min)],tblCarga[Jogador],A34,tblCarga[Microciclo (Nr)],$B$13,tblCarga[Dia MD],$E$13)-VLOOKUP($E$13,$A$5:$I$10,2,FALSE))/VLOOKUP($E$13,$A$5:$I$10,2,FALSE),"—"))</f>
        <v/>
      </c>
      <c r="C34" s="60">
        <f>IF(A34="","",IFERROR((AVERAGEIFS(tblCarga[Distância Total (m)],tblCarga[Jogador],A34,tblCarga[Microciclo (Nr)],$B$13,tblCarga[Dia MD],$E$13)-VLOOKUP($E$13,$A$5:$I$10,3,FALSE))/VLOOKUP($E$13,$A$5:$I$10,3,FALSE),"—"))</f>
        <v/>
      </c>
      <c r="D34" s="60">
        <f>IF(A34="","",IFERROR((AVERAGEIFS(tblCarga[HSR (m)],tblCarga[Jogador],A34,tblCarga[Microciclo (Nr)],$B$13,tblCarga[Dia MD],$E$13)-VLOOKUP($E$13,$A$5:$I$10,4,FALSE))/VLOOKUP($E$13,$A$5:$I$10,4,FALSE),"—"))</f>
        <v/>
      </c>
      <c r="E34" s="60">
        <f>IF(A34="","",IFERROR((AVERAGEIFS(tblCarga[Sprint (m)],tblCarga[Jogador],A34,tblCarga[Microciclo (Nr)],$B$13,tblCarga[Dia MD],$E$13)-VLOOKUP($E$13,$A$5:$I$10,5,FALSE))/VLOOKUP($E$13,$A$5:$I$10,5,FALSE),"—"))</f>
        <v/>
      </c>
      <c r="F34" s="60">
        <f>IF(A34="","",IFERROR((AVERAGEIFS(tblCarga[Acc (n)],tblCarga[Jogador],A34,tblCarga[Microciclo (Nr)],$B$13,tblCarga[Dia MD],$E$13)-VLOOKUP($E$13,$A$5:$I$10,6,FALSE))/VLOOKUP($E$13,$A$5:$I$10,6,FALSE),"—"))</f>
        <v/>
      </c>
      <c r="G34" s="60">
        <f>IF(A34="","",IFERROR((AVERAGEIFS(tblCarga[Dcc (n)],tblCarga[Jogador],A34,tblCarga[Microciclo (Nr)],$B$13,tblCarga[Dia MD],$E$13)-VLOOKUP($E$13,$A$5:$I$10,7,FALSE))/VLOOKUP($E$13,$A$5:$I$10,7,FALSE),"—"))</f>
        <v/>
      </c>
      <c r="H34" s="60">
        <f>IF(A34="","",IFERROR((AVERAGEIFS(tblCarga[PSE Sessão],tblCarga[Jogador],A34,tblCarga[Microciclo (Nr)],$B$13,tblCarga[Dia MD],$E$13)-VLOOKUP($E$13,$A$5:$I$10,8,FALSE))/VLOOKUP($E$13,$A$5:$I$10,8,FALSE),"—"))</f>
        <v/>
      </c>
      <c r="I34" s="60">
        <f>IF(A34="","",IFERROR(_xlfn.LET(_xlpm.real,AVERAGEIFS(tblCarga[Duração (min)],tblCarga[Jogador],A34,tblCarga[Microciclo (Nr)],$B$13,tblCarga[Dia MD],$E$13)*AVERAGEIFS(tblCarga[PSE Sessão],tblCarga[Jogador],A34,tblCarga[Microciclo (Nr)],$B$13,tblCarga[Dia MD],$E$13),_xlpm.tgt,IF(VLOOKUP($E$13,$A$5:$J$11,10,FALSE)&gt;0,VLOOKUP($E$13,$A$5:$J$11,10,FALSE),VLOOKUP($E$13,$A$5:$I$11,9,FALSE)),(_xlpm.real-_xlpm.tgt)/_xlpm.tgt),"—"))</f>
        <v/>
      </c>
      <c r="J34" s="50">
        <f>IF(A34="","",IF(OR(ABS(B34)&gt;0.25,ABS(C34)&gt;0.25,ABS(I34)&gt;0.25),"🟡 DESVIO","✅ OK"))</f>
        <v/>
      </c>
    </row>
    <row r="35" ht="27.95" customHeight="1">
      <c r="A35" s="596">
        <f t="array" ref="A35">IFERROR(INDEX(_xlfn._xlws.SORT(_xlfn.UNIQUE(_xlfn._xlws.FILTER(tblCarga[Jogador],(tblCarga[Microciclo (Nr)]=$B$13)*(tblCarga[Dia MD]=$E$13)))),ROW()-15),"")</f>
        <v/>
      </c>
      <c r="B35" s="426">
        <f>IF(A35="","",IFERROR((AVERAGEIFS(tblCarga[Duração (min)],tblCarga[Jogador],A35,tblCarga[Microciclo (Nr)],$B$13,tblCarga[Dia MD],$E$13)-VLOOKUP($E$13,$A$5:$I$10,2,FALSE))/VLOOKUP($E$13,$A$5:$I$10,2,FALSE),"—"))</f>
        <v/>
      </c>
      <c r="C35" s="426">
        <f>IF(A35="","",IFERROR((AVERAGEIFS(tblCarga[Distância Total (m)],tblCarga[Jogador],A35,tblCarga[Microciclo (Nr)],$B$13,tblCarga[Dia MD],$E$13)-VLOOKUP($E$13,$A$5:$I$10,3,FALSE))/VLOOKUP($E$13,$A$5:$I$10,3,FALSE),"—"))</f>
        <v/>
      </c>
      <c r="D35" s="426">
        <f>IF(A35="","",IFERROR((AVERAGEIFS(tblCarga[HSR (m)],tblCarga[Jogador],A35,tblCarga[Microciclo (Nr)],$B$13,tblCarga[Dia MD],$E$13)-VLOOKUP($E$13,$A$5:$I$10,4,FALSE))/VLOOKUP($E$13,$A$5:$I$10,4,FALSE),"—"))</f>
        <v/>
      </c>
      <c r="E35" s="426">
        <f>IF(A35="","",IFERROR((AVERAGEIFS(tblCarga[Sprint (m)],tblCarga[Jogador],A35,tblCarga[Microciclo (Nr)],$B$13,tblCarga[Dia MD],$E$13)-VLOOKUP($E$13,$A$5:$I$10,5,FALSE))/VLOOKUP($E$13,$A$5:$I$10,5,FALSE),"—"))</f>
        <v/>
      </c>
      <c r="F35" s="426">
        <f>IF(A35="","",IFERROR((AVERAGEIFS(tblCarga[Acc (n)],tblCarga[Jogador],A35,tblCarga[Microciclo (Nr)],$B$13,tblCarga[Dia MD],$E$13)-VLOOKUP($E$13,$A$5:$I$10,6,FALSE))/VLOOKUP($E$13,$A$5:$I$10,6,FALSE),"—"))</f>
        <v/>
      </c>
      <c r="G35" s="426">
        <f>IF(A35="","",IFERROR((AVERAGEIFS(tblCarga[Dcc (n)],tblCarga[Jogador],A35,tblCarga[Microciclo (Nr)],$B$13,tblCarga[Dia MD],$E$13)-VLOOKUP($E$13,$A$5:$I$10,7,FALSE))/VLOOKUP($E$13,$A$5:$I$10,7,FALSE),"—"))</f>
        <v/>
      </c>
      <c r="H35" s="426">
        <f>IF(A35="","",IFERROR((AVERAGEIFS(tblCarga[PSE Sessão],tblCarga[Jogador],A35,tblCarga[Microciclo (Nr)],$B$13,tblCarga[Dia MD],$E$13)-VLOOKUP($E$13,$A$5:$I$10,8,FALSE))/VLOOKUP($E$13,$A$5:$I$10,8,FALSE),"—"))</f>
        <v/>
      </c>
      <c r="I35" s="426">
        <f>IF(A35="","",IFERROR(_xlfn.LET(_xlpm.real,AVERAGEIFS(tblCarga[Duração (min)],tblCarga[Jogador],A35,tblCarga[Microciclo (Nr)],$B$13,tblCarga[Dia MD],$E$13)*AVERAGEIFS(tblCarga[PSE Sessão],tblCarga[Jogador],A35,tblCarga[Microciclo (Nr)],$B$13,tblCarga[Dia MD],$E$13),_xlpm.tgt,IF(VLOOKUP($E$13,$A$5:$J$11,10,FALSE)&gt;0,VLOOKUP($E$13,$A$5:$J$11,10,FALSE),VLOOKUP($E$13,$A$5:$I$11,9,FALSE)),(_xlpm.real-_xlpm.tgt)/_xlpm.tgt),"—"))</f>
        <v/>
      </c>
      <c r="J35" s="349">
        <f>IF(A35="","",IF(OR(ABS(B35)&gt;0.25,ABS(C35)&gt;0.25,ABS(I35)&gt;0.25),"🟡 DESVIO","✅ OK"))</f>
        <v/>
      </c>
    </row>
    <row r="36" ht="36" customHeight="1">
      <c r="A36" s="191">
        <f t="array" ref="A36">IFERROR(INDEX(_xlfn._xlws.SORT(_xlfn.UNIQUE(_xlfn._xlws.FILTER(tblCarga[Jogador],(tblCarga[Microciclo (Nr)]=$B$13)*(tblCarga[Dia MD]=$E$13)))),ROW()-15),"")</f>
        <v/>
      </c>
      <c r="B36" s="427">
        <f>IF(A36="","",IFERROR((AVERAGEIFS(tblCarga[Duração (min)],tblCarga[Jogador],A36,tblCarga[Microciclo (Nr)],$B$13,tblCarga[Dia MD],$E$13)-VLOOKUP($E$13,$A$5:$I$10,2,FALSE))/VLOOKUP($E$13,$A$5:$I$10,2,FALSE),"—"))</f>
        <v/>
      </c>
      <c r="C36" s="427">
        <f>IF(A36="","",IFERROR((AVERAGEIFS(tblCarga[Distância Total (m)],tblCarga[Jogador],A36,tblCarga[Microciclo (Nr)],$B$13,tblCarga[Dia MD],$E$13)-VLOOKUP($E$13,$A$5:$I$10,3,FALSE))/VLOOKUP($E$13,$A$5:$I$10,3,FALSE),"—"))</f>
        <v/>
      </c>
      <c r="D36" s="427">
        <f>IF(A36="","",IFERROR((AVERAGEIFS(tblCarga[HSR (m)],tblCarga[Jogador],A36,tblCarga[Microciclo (Nr)],$B$13,tblCarga[Dia MD],$E$13)-VLOOKUP($E$13,$A$5:$I$10,4,FALSE))/VLOOKUP($E$13,$A$5:$I$10,4,FALSE),"—"))</f>
        <v/>
      </c>
      <c r="E36" s="427">
        <f>IF(A36="","",IFERROR((AVERAGEIFS(tblCarga[Sprint (m)],tblCarga[Jogador],A36,tblCarga[Microciclo (Nr)],$B$13,tblCarga[Dia MD],$E$13)-VLOOKUP($E$13,$A$5:$I$10,5,FALSE))/VLOOKUP($E$13,$A$5:$I$10,5,FALSE),"—"))</f>
        <v/>
      </c>
      <c r="F36" s="427">
        <f>IF(A36="","",IFERROR((AVERAGEIFS(tblCarga[Acc (n)],tblCarga[Jogador],A36,tblCarga[Microciclo (Nr)],$B$13,tblCarga[Dia MD],$E$13)-VLOOKUP($E$13,$A$5:$I$10,6,FALSE))/VLOOKUP($E$13,$A$5:$I$10,6,FALSE),"—"))</f>
        <v/>
      </c>
      <c r="G36" s="427">
        <f>IF(A36="","",IFERROR((AVERAGEIFS(tblCarga[Dcc (n)],tblCarga[Jogador],A36,tblCarga[Microciclo (Nr)],$B$13,tblCarga[Dia MD],$E$13)-VLOOKUP($E$13,$A$5:$I$10,7,FALSE))/VLOOKUP($E$13,$A$5:$I$10,7,FALSE),"—"))</f>
        <v/>
      </c>
      <c r="H36" s="427">
        <f>IF(A36="","",IFERROR((AVERAGEIFS(tblCarga[PSE Sessão],tblCarga[Jogador],A36,tblCarga[Microciclo (Nr)],$B$13,tblCarga[Dia MD],$E$13)-VLOOKUP($E$13,$A$5:$I$10,8,FALSE))/VLOOKUP($E$13,$A$5:$I$10,8,FALSE),"—"))</f>
        <v/>
      </c>
      <c r="I36" s="427">
        <f>IF(A36="","",IFERROR(_xlfn.LET(_xlpm.real,AVERAGEIFS(tblCarga[Duração (min)],tblCarga[Jogador],A36,tblCarga[Microciclo (Nr)],$B$13,tblCarga[Dia MD],$E$13)*AVERAGEIFS(tblCarga[PSE Sessão],tblCarga[Jogador],A36,tblCarga[Microciclo (Nr)],$B$13,tblCarga[Dia MD],$E$13),_xlpm.tgt,IF(VLOOKUP($E$13,$A$5:$J$11,10,FALSE)&gt;0,VLOOKUP($E$13,$A$5:$J$11,10,FALSE),VLOOKUP($E$13,$A$5:$I$11,9,FALSE)),(_xlpm.real-_xlpm.tgt)/_xlpm.tgt),"—"))</f>
        <v/>
      </c>
      <c r="J36" s="191">
        <f>IF(A36="","",IF(OR(ABS(B36)&gt;0.25,ABS(C36)&gt;0.25,ABS(I36)&gt;0.25),"🟡 DESVIO","✅ OK"))</f>
        <v/>
      </c>
    </row>
    <row r="37" ht="24" customHeight="1">
      <c r="A37" s="136">
        <f t="array" ref="A37">IFERROR(INDEX(_xlfn._xlws.SORT(_xlfn.UNIQUE(_xlfn._xlws.FILTER(tblCarga[Jogador],(tblCarga[Microciclo (Nr)]=$B$13)*(tblCarga[Dia MD]=$E$13)))),ROW()-15),"")</f>
        <v/>
      </c>
      <c r="B37" s="418">
        <f>IF(A37="","",IFERROR((AVERAGEIFS(tblCarga[Duração (min)],tblCarga[Jogador],A37,tblCarga[Microciclo (Nr)],$B$13,tblCarga[Dia MD],$E$13)-VLOOKUP($E$13,$A$5:$I$10,2,FALSE))/VLOOKUP($E$13,$A$5:$I$10,2,FALSE),"—"))</f>
        <v/>
      </c>
      <c r="C37" s="418">
        <f>IF(A37="","",IFERROR((AVERAGEIFS(tblCarga[Distância Total (m)],tblCarga[Jogador],A37,tblCarga[Microciclo (Nr)],$B$13,tblCarga[Dia MD],$E$13)-VLOOKUP($E$13,$A$5:$I$10,3,FALSE))/VLOOKUP($E$13,$A$5:$I$10,3,FALSE),"—"))</f>
        <v/>
      </c>
      <c r="D37" s="418">
        <f>IF(A37="","",IFERROR((AVERAGEIFS(tblCarga[HSR (m)],tblCarga[Jogador],A37,tblCarga[Microciclo (Nr)],$B$13,tblCarga[Dia MD],$E$13)-VLOOKUP($E$13,$A$5:$I$10,4,FALSE))/VLOOKUP($E$13,$A$5:$I$10,4,FALSE),"—"))</f>
        <v/>
      </c>
      <c r="E37" s="418">
        <f>IF(A37="","",IFERROR((AVERAGEIFS(tblCarga[Sprint (m)],tblCarga[Jogador],A37,tblCarga[Microciclo (Nr)],$B$13,tblCarga[Dia MD],$E$13)-VLOOKUP($E$13,$A$5:$I$10,5,FALSE))/VLOOKUP($E$13,$A$5:$I$10,5,FALSE),"—"))</f>
        <v/>
      </c>
      <c r="F37" s="418">
        <f>IF(A37="","",IFERROR((AVERAGEIFS(tblCarga[Acc (n)],tblCarga[Jogador],A37,tblCarga[Microciclo (Nr)],$B$13,tblCarga[Dia MD],$E$13)-VLOOKUP($E$13,$A$5:$I$10,6,FALSE))/VLOOKUP($E$13,$A$5:$I$10,6,FALSE),"—"))</f>
        <v/>
      </c>
      <c r="G37" s="418">
        <f>IF(A37="","",IFERROR((AVERAGEIFS(tblCarga[Dcc (n)],tblCarga[Jogador],A37,tblCarga[Microciclo (Nr)],$B$13,tblCarga[Dia MD],$E$13)-VLOOKUP($E$13,$A$5:$I$10,7,FALSE))/VLOOKUP($E$13,$A$5:$I$10,7,FALSE),"—"))</f>
        <v/>
      </c>
      <c r="H37" s="418">
        <f>IF(A37="","",IFERROR((AVERAGEIFS(tblCarga[PSE Sessão],tblCarga[Jogador],A37,tblCarga[Microciclo (Nr)],$B$13,tblCarga[Dia MD],$E$13)-VLOOKUP($E$13,$A$5:$I$10,8,FALSE))/VLOOKUP($E$13,$A$5:$I$10,8,FALSE),"—"))</f>
        <v/>
      </c>
      <c r="I37" s="418">
        <f>IF(A37="","",IFERROR(_xlfn.LET(_xlpm.real,AVERAGEIFS(tblCarga[Duração (min)],tblCarga[Jogador],A37,tblCarga[Microciclo (Nr)],$B$13,tblCarga[Dia MD],$E$13)*AVERAGEIFS(tblCarga[PSE Sessão],tblCarga[Jogador],A37,tblCarga[Microciclo (Nr)],$B$13,tblCarga[Dia MD],$E$13),_xlpm.tgt,IF(VLOOKUP($E$13,$A$5:$J$11,10,FALSE)&gt;0,VLOOKUP($E$13,$A$5:$J$11,10,FALSE),VLOOKUP($E$13,$A$5:$I$11,9,FALSE)),(_xlpm.real-_xlpm.tgt)/_xlpm.tgt),"—"))</f>
        <v/>
      </c>
      <c r="J37" s="137">
        <f>IF(A37="","",IF(OR(ABS(B37)&gt;0.25,ABS(C37)&gt;0.25,ABS(I37)&gt;0.25),"🟡 DESVIO","✅ OK"))</f>
        <v/>
      </c>
    </row>
    <row r="38" ht="24" customHeight="1">
      <c r="A38" s="85">
        <f t="array" ref="A38">IFERROR(INDEX(_xlfn._xlws.SORT(_xlfn.UNIQUE(_xlfn._xlws.FILTER(tblCarga[Jogador],(tblCarga[Microciclo (Nr)]=$B$13)*(tblCarga[Dia MD]=$E$13)))),ROW()-15),"")</f>
        <v/>
      </c>
      <c r="B38" s="420">
        <f>IF(A38="","",IFERROR((AVERAGEIFS(tblCarga[Duração (min)],tblCarga[Jogador],A38,tblCarga[Microciclo (Nr)],$B$13,tblCarga[Dia MD],$E$13)-VLOOKUP($E$13,$A$5:$I$10,2,FALSE))/VLOOKUP($E$13,$A$5:$I$10,2,FALSE),"—"))</f>
        <v/>
      </c>
      <c r="C38" s="420">
        <f>IF(A38="","",IFERROR((AVERAGEIFS(tblCarga[Distância Total (m)],tblCarga[Jogador],A38,tblCarga[Microciclo (Nr)],$B$13,tblCarga[Dia MD],$E$13)-VLOOKUP($E$13,$A$5:$I$10,3,FALSE))/VLOOKUP($E$13,$A$5:$I$10,3,FALSE),"—"))</f>
        <v/>
      </c>
      <c r="D38" s="420">
        <f>IF(A38="","",IFERROR((AVERAGEIFS(tblCarga[HSR (m)],tblCarga[Jogador],A38,tblCarga[Microciclo (Nr)],$B$13,tblCarga[Dia MD],$E$13)-VLOOKUP($E$13,$A$5:$I$10,4,FALSE))/VLOOKUP($E$13,$A$5:$I$10,4,FALSE),"—"))</f>
        <v/>
      </c>
      <c r="E38" s="420">
        <f>IF(A38="","",IFERROR((AVERAGEIFS(tblCarga[Sprint (m)],tblCarga[Jogador],A38,tblCarga[Microciclo (Nr)],$B$13,tblCarga[Dia MD],$E$13)-VLOOKUP($E$13,$A$5:$I$10,5,FALSE))/VLOOKUP($E$13,$A$5:$I$10,5,FALSE),"—"))</f>
        <v/>
      </c>
      <c r="F38" s="420">
        <f>IF(A38="","",IFERROR((AVERAGEIFS(tblCarga[Acc (n)],tblCarga[Jogador],A38,tblCarga[Microciclo (Nr)],$B$13,tblCarga[Dia MD],$E$13)-VLOOKUP($E$13,$A$5:$I$10,6,FALSE))/VLOOKUP($E$13,$A$5:$I$10,6,FALSE),"—"))</f>
        <v/>
      </c>
      <c r="G38" s="420">
        <f>IF(A38="","",IFERROR((AVERAGEIFS(tblCarga[Dcc (n)],tblCarga[Jogador],A38,tblCarga[Microciclo (Nr)],$B$13,tblCarga[Dia MD],$E$13)-VLOOKUP($E$13,$A$5:$I$10,7,FALSE))/VLOOKUP($E$13,$A$5:$I$10,7,FALSE),"—"))</f>
        <v/>
      </c>
      <c r="H38" s="420">
        <f>IF(A38="","",IFERROR((AVERAGEIFS(tblCarga[PSE Sessão],tblCarga[Jogador],A38,tblCarga[Microciclo (Nr)],$B$13,tblCarga[Dia MD],$E$13)-VLOOKUP($E$13,$A$5:$I$10,8,FALSE))/VLOOKUP($E$13,$A$5:$I$10,8,FALSE),"—"))</f>
        <v/>
      </c>
      <c r="I38" s="420">
        <f>IF(A38="","",IFERROR(_xlfn.LET(_xlpm.real,AVERAGEIFS(tblCarga[Duração (min)],tblCarga[Jogador],A38,tblCarga[Microciclo (Nr)],$B$13,tblCarga[Dia MD],$E$13)*AVERAGEIFS(tblCarga[PSE Sessão],tblCarga[Jogador],A38,tblCarga[Microciclo (Nr)],$B$13,tblCarga[Dia MD],$E$13),_xlpm.tgt,IF(VLOOKUP($E$13,$A$5:$J$11,10,FALSE)&gt;0,VLOOKUP($E$13,$A$5:$J$11,10,FALSE),VLOOKUP($E$13,$A$5:$I$11,9,FALSE)),(_xlpm.real-_xlpm.tgt)/_xlpm.tgt),"—"))</f>
        <v/>
      </c>
      <c r="J38" s="125">
        <f>IF(A38="","",IF(OR(ABS(B38)&gt;0.25,ABS(C38)&gt;0.25,ABS(I38)&gt;0.25),"🟡 DESVIO","✅ OK"))</f>
        <v/>
      </c>
    </row>
    <row r="39" ht="24" customHeight="1">
      <c r="A39" s="136">
        <f t="array" ref="A39">IFERROR(INDEX(_xlfn._xlws.SORT(_xlfn.UNIQUE(_xlfn._xlws.FILTER(tblCarga[Jogador],(tblCarga[Microciclo (Nr)]=$B$13)*(tblCarga[Dia MD]=$E$13)))),ROW()-15),"")</f>
        <v/>
      </c>
      <c r="B39" s="418">
        <f>IF(A39="","",IFERROR((AVERAGEIFS(tblCarga[Duração (min)],tblCarga[Jogador],A39,tblCarga[Microciclo (Nr)],$B$13,tblCarga[Dia MD],$E$13)-VLOOKUP($E$13,$A$5:$I$10,2,FALSE))/VLOOKUP($E$13,$A$5:$I$10,2,FALSE),"—"))</f>
        <v/>
      </c>
      <c r="C39" s="418">
        <f>IF(A39="","",IFERROR((AVERAGEIFS(tblCarga[Distância Total (m)],tblCarga[Jogador],A39,tblCarga[Microciclo (Nr)],$B$13,tblCarga[Dia MD],$E$13)-VLOOKUP($E$13,$A$5:$I$10,3,FALSE))/VLOOKUP($E$13,$A$5:$I$10,3,FALSE),"—"))</f>
        <v/>
      </c>
      <c r="D39" s="418">
        <f>IF(A39="","",IFERROR((AVERAGEIFS(tblCarga[HSR (m)],tblCarga[Jogador],A39,tblCarga[Microciclo (Nr)],$B$13,tblCarga[Dia MD],$E$13)-VLOOKUP($E$13,$A$5:$I$10,4,FALSE))/VLOOKUP($E$13,$A$5:$I$10,4,FALSE),"—"))</f>
        <v/>
      </c>
      <c r="E39" s="418">
        <f>IF(A39="","",IFERROR((AVERAGEIFS(tblCarga[Sprint (m)],tblCarga[Jogador],A39,tblCarga[Microciclo (Nr)],$B$13,tblCarga[Dia MD],$E$13)-VLOOKUP($E$13,$A$5:$I$10,5,FALSE))/VLOOKUP($E$13,$A$5:$I$10,5,FALSE),"—"))</f>
        <v/>
      </c>
      <c r="F39" s="418">
        <f>IF(A39="","",IFERROR((AVERAGEIFS(tblCarga[Acc (n)],tblCarga[Jogador],A39,tblCarga[Microciclo (Nr)],$B$13,tblCarga[Dia MD],$E$13)-VLOOKUP($E$13,$A$5:$I$10,6,FALSE))/VLOOKUP($E$13,$A$5:$I$10,6,FALSE),"—"))</f>
        <v/>
      </c>
      <c r="G39" s="418">
        <f>IF(A39="","",IFERROR((AVERAGEIFS(tblCarga[Dcc (n)],tblCarga[Jogador],A39,tblCarga[Microciclo (Nr)],$B$13,tblCarga[Dia MD],$E$13)-VLOOKUP($E$13,$A$5:$I$10,7,FALSE))/VLOOKUP($E$13,$A$5:$I$10,7,FALSE),"—"))</f>
        <v/>
      </c>
      <c r="H39" s="418">
        <f>IF(A39="","",IFERROR((AVERAGEIFS(tblCarga[PSE Sessão],tblCarga[Jogador],A39,tblCarga[Microciclo (Nr)],$B$13,tblCarga[Dia MD],$E$13)-VLOOKUP($E$13,$A$5:$I$10,8,FALSE))/VLOOKUP($E$13,$A$5:$I$10,8,FALSE),"—"))</f>
        <v/>
      </c>
      <c r="I39" s="418">
        <f>IF(A39="","",IFERROR(_xlfn.LET(_xlpm.real,AVERAGEIFS(tblCarga[Duração (min)],tblCarga[Jogador],A39,tblCarga[Microciclo (Nr)],$B$13,tblCarga[Dia MD],$E$13)*AVERAGEIFS(tblCarga[PSE Sessão],tblCarga[Jogador],A39,tblCarga[Microciclo (Nr)],$B$13,tblCarga[Dia MD],$E$13),_xlpm.tgt,IF(VLOOKUP($E$13,$A$5:$J$11,10,FALSE)&gt;0,VLOOKUP($E$13,$A$5:$J$11,10,FALSE),VLOOKUP($E$13,$A$5:$I$11,9,FALSE)),(_xlpm.real-_xlpm.tgt)/_xlpm.tgt),"—"))</f>
        <v/>
      </c>
      <c r="J39" s="137">
        <f>IF(A39="","",IF(OR(ABS(B39)&gt;0.25,ABS(C39)&gt;0.25,ABS(I39)&gt;0.25),"🟡 DESVIO","✅ OK"))</f>
        <v/>
      </c>
    </row>
    <row r="40" ht="24" customHeight="1">
      <c r="A40" s="85">
        <f t="array" ref="A40">IFERROR(INDEX(_xlfn._xlws.SORT(_xlfn.UNIQUE(_xlfn._xlws.FILTER(tblCarga[Jogador],(tblCarga[Microciclo (Nr)]=$B$13)*(tblCarga[Dia MD]=$E$13)))),ROW()-15),"")</f>
        <v/>
      </c>
      <c r="B40" s="420">
        <f>IF(A40="","",IFERROR((AVERAGEIFS(tblCarga[Duração (min)],tblCarga[Jogador],A40,tblCarga[Microciclo (Nr)],$B$13,tblCarga[Dia MD],$E$13)-VLOOKUP($E$13,$A$5:$I$10,2,FALSE))/VLOOKUP($E$13,$A$5:$I$10,2,FALSE),"—"))</f>
        <v/>
      </c>
      <c r="C40" s="420">
        <f>IF(A40="","",IFERROR((AVERAGEIFS(tblCarga[Distância Total (m)],tblCarga[Jogador],A40,tblCarga[Microciclo (Nr)],$B$13,tblCarga[Dia MD],$E$13)-VLOOKUP($E$13,$A$5:$I$10,3,FALSE))/VLOOKUP($E$13,$A$5:$I$10,3,FALSE),"—"))</f>
        <v/>
      </c>
      <c r="D40" s="420">
        <f>IF(A40="","",IFERROR((AVERAGEIFS(tblCarga[HSR (m)],tblCarga[Jogador],A40,tblCarga[Microciclo (Nr)],$B$13,tblCarga[Dia MD],$E$13)-VLOOKUP($E$13,$A$5:$I$10,4,FALSE))/VLOOKUP($E$13,$A$5:$I$10,4,FALSE),"—"))</f>
        <v/>
      </c>
      <c r="E40" s="420">
        <f>IF(A40="","",IFERROR((AVERAGEIFS(tblCarga[Sprint (m)],tblCarga[Jogador],A40,tblCarga[Microciclo (Nr)],$B$13,tblCarga[Dia MD],$E$13)-VLOOKUP($E$13,$A$5:$I$10,5,FALSE))/VLOOKUP($E$13,$A$5:$I$10,5,FALSE),"—"))</f>
        <v/>
      </c>
      <c r="F40" s="420">
        <f>IF(A40="","",IFERROR((AVERAGEIFS(tblCarga[Acc (n)],tblCarga[Jogador],A40,tblCarga[Microciclo (Nr)],$B$13,tblCarga[Dia MD],$E$13)-VLOOKUP($E$13,$A$5:$I$10,6,FALSE))/VLOOKUP($E$13,$A$5:$I$10,6,FALSE),"—"))</f>
        <v/>
      </c>
      <c r="G40" s="420">
        <f>IF(A40="","",IFERROR((AVERAGEIFS(tblCarga[Dcc (n)],tblCarga[Jogador],A40,tblCarga[Microciclo (Nr)],$B$13,tblCarga[Dia MD],$E$13)-VLOOKUP($E$13,$A$5:$I$10,7,FALSE))/VLOOKUP($E$13,$A$5:$I$10,7,FALSE),"—"))</f>
        <v/>
      </c>
      <c r="H40" s="420">
        <f>IF(A40="","",IFERROR((AVERAGEIFS(tblCarga[PSE Sessão],tblCarga[Jogador],A40,tblCarga[Microciclo (Nr)],$B$13,tblCarga[Dia MD],$E$13)-VLOOKUP($E$13,$A$5:$I$10,8,FALSE))/VLOOKUP($E$13,$A$5:$I$10,8,FALSE),"—"))</f>
        <v/>
      </c>
      <c r="I40" s="420">
        <f>IF(A40="","",IFERROR(_xlfn.LET(_xlpm.real,AVERAGEIFS(tblCarga[Duração (min)],tblCarga[Jogador],A40,tblCarga[Microciclo (Nr)],$B$13,tblCarga[Dia MD],$E$13)*AVERAGEIFS(tblCarga[PSE Sessão],tblCarga[Jogador],A40,tblCarga[Microciclo (Nr)],$B$13,tblCarga[Dia MD],$E$13),_xlpm.tgt,IF(VLOOKUP($E$13,$A$5:$J$11,10,FALSE)&gt;0,VLOOKUP($E$13,$A$5:$J$11,10,FALSE),VLOOKUP($E$13,$A$5:$I$11,9,FALSE)),(_xlpm.real-_xlpm.tgt)/_xlpm.tgt),"—"))</f>
        <v/>
      </c>
      <c r="J40" s="125">
        <f>IF(A40="","",IF(OR(ABS(B40)&gt;0.25,ABS(C40)&gt;0.25,ABS(I40)&gt;0.25),"🟡 DESVIO","✅ OK"))</f>
        <v/>
      </c>
    </row>
    <row r="41" ht="24" customHeight="1">
      <c r="A41" s="136" t="n"/>
      <c r="B41" s="138" t="n"/>
      <c r="C41" s="138" t="n"/>
      <c r="D41" s="138" t="n"/>
      <c r="E41" s="138" t="n"/>
      <c r="F41" s="138" t="n"/>
      <c r="G41" s="138" t="n"/>
      <c r="H41" s="138" t="n"/>
      <c r="I41" s="418">
        <f>IF(A41="","",IFERROR(_xlfn.LET(_xlpm.real,AVERAGEIFS(tblCarga[Duração (min)],tblCarga[Jogador],A41,tblCarga[Microciclo (Nr)],$B$13,tblCarga[Dia MD],$E$13)*AVERAGEIFS(tblCarga[PSE Sessão],tblCarga[Jogador],A41,tblCarga[Microciclo (Nr)],$B$13,tblCarga[Dia MD],$E$13),_xlpm.tgt,IF(VLOOKUP($E$13,$A$5:$J$11,10,FALSE)&gt;0,VLOOKUP($E$13,$A$5:$J$11,10,FALSE),VLOOKUP($E$13,$A$5:$I$11,9,FALSE)),(_xlpm.real-_xlpm.tgt)/_xlpm.tgt),"—"))</f>
        <v/>
      </c>
      <c r="J41" s="138" t="n"/>
    </row>
    <row r="42" ht="24" customHeight="1">
      <c r="A42" s="428" t="inlineStr">
        <is>
          <t>C — DISTRIBUIÇÃO DE CARGA SEMANAL (%CI por Dia MD)</t>
        </is>
      </c>
      <c r="B42" s="114" t="n"/>
      <c r="C42" s="114" t="n"/>
      <c r="D42" s="114" t="n"/>
      <c r="E42" s="114" t="n"/>
      <c r="F42" s="114" t="n"/>
      <c r="G42" s="114" t="n"/>
      <c r="H42" s="114" t="n"/>
      <c r="I42" s="420">
        <f>IF(A42="","",IFERROR(_xlfn.LET(_xlpm.real,AVERAGEIFS(tblCarga[Duração (min)],tblCarga[Jogador],A42,tblCarga[Microciclo (Nr)],$B$13,tblCarga[Dia MD],$E$13)*AVERAGEIFS(tblCarga[PSE Sessão],tblCarga[Jogador],A42,tblCarga[Microciclo (Nr)],$B$13,tblCarga[Dia MD],$E$13),_xlpm.tgt,IF(VLOOKUP($E$13,$A$5:$J$11,10,FALSE)&gt;0,VLOOKUP($E$13,$A$5:$J$11,10,FALSE),VLOOKUP($E$13,$A$5:$I$11,9,FALSE)),(_xlpm.real-_xlpm.tgt)/_xlpm.tgt),"—"))</f>
        <v/>
      </c>
      <c r="J42" s="114" t="n"/>
    </row>
    <row r="43" ht="24" customHeight="1">
      <c r="A43" s="123" t="inlineStr">
        <is>
          <t>Dia MD</t>
        </is>
      </c>
      <c r="B43" s="123" t="inlineStr">
        <is>
          <t>CI Esperada</t>
        </is>
      </c>
      <c r="C43" s="429" t="inlineStr">
        <is>
          <t>% do Total
Semanal</t>
        </is>
      </c>
      <c r="D43" s="429" t="inlineStr">
        <is>
          <t>Intensidade
Relativa</t>
        </is>
      </c>
      <c r="E43" s="429" t="inlineStr">
        <is>
          <t>Objetivo
Periodização</t>
        </is>
      </c>
      <c r="F43" s="138" t="n"/>
      <c r="G43" s="138" t="n"/>
      <c r="H43" s="138" t="n"/>
      <c r="I43" s="418">
        <f>IF(A43="","",IFERROR(_xlfn.LET(_xlpm.real,AVERAGEIFS(tblCarga[Duração (min)],tblCarga[Jogador],A43,tblCarga[Microciclo (Nr)],$B$13,tblCarga[Dia MD],$E$13)*AVERAGEIFS(tblCarga[PSE Sessão],tblCarga[Jogador],A43,tblCarga[Microciclo (Nr)],$B$13,tblCarga[Dia MD],$E$13),_xlpm.tgt,IF(VLOOKUP($E$13,$A$5:$J$11,10,FALSE)&gt;0,VLOOKUP($E$13,$A$5:$J$11,10,FALSE),VLOOKUP($E$13,$A$5:$I$11,9,FALSE)),(_xlpm.real-_xlpm.tgt)/_xlpm.tgt),"—"))</f>
        <v/>
      </c>
      <c r="J43" s="138" t="n"/>
    </row>
    <row r="44" ht="24" customHeight="1">
      <c r="A44" s="112" t="inlineStr">
        <is>
          <t>MD-5</t>
        </is>
      </c>
      <c r="B44" s="324">
        <f>I5</f>
        <v/>
      </c>
      <c r="C44" s="420">
        <f>IFERROR(B44/$B$51,"")</f>
        <v/>
      </c>
      <c r="D44" s="430" t="inlineStr">
        <is>
          <t>⬆️⬆️ Alta</t>
        </is>
      </c>
      <c r="E44" s="431" t="inlineStr">
        <is>
          <t>Desenvolvimento físico, volume</t>
        </is>
      </c>
      <c r="F44" s="114" t="n"/>
      <c r="G44" s="114" t="n"/>
      <c r="H44" s="114" t="n"/>
      <c r="I44" s="420">
        <f>IF(A44="","",IFERROR(_xlfn.LET(_xlpm.real,AVERAGEIFS(tblCarga[Duração (min)],tblCarga[Jogador],A44,tblCarga[Microciclo (Nr)],$B$13,tblCarga[Dia MD],$E$13)*AVERAGEIFS(tblCarga[PSE Sessão],tblCarga[Jogador],A44,tblCarga[Microciclo (Nr)],$B$13,tblCarga[Dia MD],$E$13),_xlpm.tgt,IF(VLOOKUP($E$13,$A$5:$J$11,10,FALSE)&gt;0,VLOOKUP($E$13,$A$5:$J$11,10,FALSE),VLOOKUP($E$13,$A$5:$I$11,9,FALSE)),(_xlpm.real-_xlpm.tgt)/_xlpm.tgt),"—"))</f>
        <v/>
      </c>
      <c r="J44" s="114" t="n"/>
    </row>
    <row r="45">
      <c r="A45" s="58" t="inlineStr">
        <is>
          <t>MD-4</t>
        </is>
      </c>
      <c r="B45" s="47">
        <f>I6</f>
        <v/>
      </c>
      <c r="C45" s="60">
        <f>IFERROR(B45/$B$51,"")</f>
        <v/>
      </c>
      <c r="D45" s="61" t="inlineStr">
        <is>
          <t>⬆️⬆️ Alta</t>
        </is>
      </c>
      <c r="E45" s="59" t="inlineStr">
        <is>
          <t>Intensidade alta, veloc. jogo</t>
        </is>
      </c>
      <c r="I45" s="60">
        <f>IF(A45="","",IFERROR(_xlfn.LET(_xlpm.real,AVERAGEIFS(tblCarga[Duração (min)],tblCarga[Jogador],A45,tblCarga[Microciclo (Nr)],$B$13,tblCarga[Dia MD],$E$13)*AVERAGEIFS(tblCarga[PSE Sessão],tblCarga[Jogador],A45,tblCarga[Microciclo (Nr)],$B$13,tblCarga[Dia MD],$E$13),_xlpm.tgt,IF(VLOOKUP($E$13,$A$5:$J$11,10,FALSE)&gt;0,VLOOKUP($E$13,$A$5:$J$11,10,FALSE),VLOOKUP($E$13,$A$5:$I$11,9,FALSE)),(_xlpm.real-_xlpm.tgt)/_xlpm.tgt),"—"))</f>
        <v/>
      </c>
    </row>
    <row r="46">
      <c r="A46" s="58" t="inlineStr">
        <is>
          <t>MD-3</t>
        </is>
      </c>
      <c r="B46" s="47">
        <f>I7</f>
        <v/>
      </c>
      <c r="C46" s="60">
        <f>IFERROR(B46/$B$51,"")</f>
        <v/>
      </c>
      <c r="D46" s="62" t="inlineStr">
        <is>
          <t>⬆️ Moderada-Alta</t>
        </is>
      </c>
      <c r="E46" s="59" t="inlineStr">
        <is>
          <t>Tático-técnico, bolas paradas</t>
        </is>
      </c>
    </row>
    <row r="47">
      <c r="A47" s="58" t="inlineStr">
        <is>
          <t>MD-2</t>
        </is>
      </c>
      <c r="B47" s="47">
        <f>I8</f>
        <v/>
      </c>
      <c r="C47" s="60">
        <f>IFERROR(B47/$B$51,"")</f>
        <v/>
      </c>
      <c r="D47" s="63" t="inlineStr">
        <is>
          <t>⬇️ Baixa</t>
        </is>
      </c>
      <c r="E47" s="59" t="inlineStr">
        <is>
          <t>Ativação, recuperação</t>
        </is>
      </c>
    </row>
    <row r="48">
      <c r="A48" s="58" t="inlineStr">
        <is>
          <t>MD-1</t>
        </is>
      </c>
      <c r="B48" s="47">
        <f>I9</f>
        <v/>
      </c>
      <c r="C48" s="60">
        <f>IFERROR(B48/$B$51,"")</f>
        <v/>
      </c>
      <c r="D48" s="63" t="inlineStr">
        <is>
          <t>⬇️ Baixa</t>
        </is>
      </c>
      <c r="E48" s="59" t="inlineStr">
        <is>
          <t>Estratégia, ativação pré-jogo</t>
        </is>
      </c>
    </row>
    <row r="49">
      <c r="A49" s="69" t="inlineStr">
        <is>
          <t>MD</t>
        </is>
      </c>
      <c r="B49" s="71">
        <f>I10</f>
        <v/>
      </c>
      <c r="C49" s="72">
        <f>IFERROR(B49/$B$51,"")</f>
        <v/>
      </c>
      <c r="D49" s="73" t="inlineStr">
        <is>
          <t>🏟️ Jogo</t>
        </is>
      </c>
      <c r="E49" s="74" t="inlineStr">
        <is>
          <t>Competição oficial</t>
        </is>
      </c>
    </row>
    <row r="50">
      <c r="A50" s="108" t="inlineStr">
        <is>
          <t>MD+1</t>
        </is>
      </c>
      <c r="B50" s="109">
        <f>I11</f>
        <v/>
      </c>
      <c r="C50" s="110">
        <f>IFERROR(B50/$B$51,"")</f>
        <v/>
      </c>
      <c r="D50" s="73" t="inlineStr">
        <is>
          <t>⬇️⬇️ Muito Baixa</t>
        </is>
      </c>
      <c r="E50" s="74" t="inlineStr">
        <is>
          <t>Recuperação ativa, regeneração</t>
        </is>
      </c>
    </row>
    <row r="51">
      <c r="A51" s="69" t="inlineStr">
        <is>
          <t>TOTAL</t>
        </is>
      </c>
      <c r="B51" s="19">
        <f>SUMIFS(B44:B50,B44:B50,"&gt;0")</f>
        <v/>
      </c>
      <c r="C51" s="111">
        <f>IFERROR(SUM(C44:C50),"")</f>
        <v/>
      </c>
      <c r="D51" s="19" t="n"/>
      <c r="E51" s="19" t="n"/>
    </row>
  </sheetData>
  <conditionalFormatting sqref="B16:I24">
    <cfRule type="cellIs" priority="7" operator="lessThan" dxfId="4">
      <formula>-0.25</formula>
    </cfRule>
    <cfRule type="cellIs" priority="8" operator="between" dxfId="1">
      <formula>0.1</formula>
      <formula>0.25</formula>
    </cfRule>
    <cfRule type="cellIs" priority="9" operator="between" dxfId="1">
      <formula>-0.25</formula>
      <formula>-0.1</formula>
    </cfRule>
    <cfRule type="cellIs" priority="10" operator="between" dxfId="0">
      <formula>-0.1</formula>
      <formula>0.1</formula>
    </cfRule>
  </conditionalFormatting>
  <conditionalFormatting sqref="B16:I40 I41:I45">
    <cfRule type="cellIs" priority="1" operator="greaterThan" dxfId="4">
      <formula>0.25</formula>
    </cfRule>
    <cfRule type="cellIs" priority="2" operator="lessThan" dxfId="3">
      <formula>-0.25</formula>
    </cfRule>
    <cfRule type="cellIs" priority="3" operator="between" dxfId="1">
      <formula>0.1</formula>
      <formula>0.25</formula>
    </cfRule>
    <cfRule type="cellIs" priority="4" operator="between" dxfId="1">
      <formula>-0.25</formula>
      <formula>-0.1</formula>
    </cfRule>
    <cfRule type="cellIs" priority="5" operator="between" dxfId="0">
      <formula>-0.1</formula>
      <formula>0.1</formula>
    </cfRule>
  </conditionalFormatting>
  <dataValidations count="2">
    <dataValidation sqref="B13" showDropDown="0" showInputMessage="1" showErrorMessage="1" allowBlank="1" type="list">
      <formula1>"4,5,6,7,8,9,10,11,12,13,14,15"</formula1>
    </dataValidation>
    <dataValidation sqref="E13" showDropDown="0" showInputMessage="1" showErrorMessage="1" allowBlank="1" type="list">
      <formula1>"MD-5,MD-4,MD-3,MD-2,MD-1,MD,MD+1"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52C41A"/>
    <outlinePr summaryBelow="1" summaryRight="1"/>
    <pageSetUpPr/>
  </sheetPr>
  <dimension ref="A1:M64"/>
  <sheetViews>
    <sheetView zoomScale="7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K2" sqref="K2"/>
    </sheetView>
  </sheetViews>
  <sheetFormatPr baseColWidth="8" defaultRowHeight="15" outlineLevelRow="1"/>
  <cols>
    <col width="11.28515625" bestFit="1" customWidth="1" min="1" max="1"/>
    <col width="8.7109375" bestFit="1" customWidth="1" min="2" max="2"/>
    <col width="12.42578125" bestFit="1" customWidth="1" min="3" max="3"/>
    <col width="14.42578125" bestFit="1" customWidth="1" min="4" max="4"/>
    <col width="7.140625" bestFit="1" customWidth="1" min="5" max="5"/>
    <col width="12.140625" bestFit="1" customWidth="1" min="6" max="6"/>
    <col width="14.140625" bestFit="1" customWidth="1" min="7" max="7"/>
    <col width="13" bestFit="1" customWidth="1" min="8" max="8"/>
    <col width="9.28515625" bestFit="1" customWidth="1" min="9" max="9"/>
    <col width="12.7109375" bestFit="1" customWidth="1" min="10" max="10"/>
    <col width="10.28515625" bestFit="1" customWidth="1" min="11" max="11"/>
    <col width="12.140625" bestFit="1" customWidth="1" min="12" max="12"/>
    <col width="11.5703125" bestFit="1" customWidth="1" min="13" max="13"/>
  </cols>
  <sheetData>
    <row r="1" ht="45" customHeight="1">
      <c r="A1" s="598" t="inlineStr">
        <is>
          <t>🏟️  RESUMO EXECUTIVO  |  Carga de Treino, Readiness &amp; Alertas — Belenenses</t>
        </is>
      </c>
    </row>
    <row r="2" ht="24.75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553" t="inlineStr">
        <is>
          <t>Microciclo:</t>
        </is>
      </c>
      <c r="K2" s="625" t="n">
        <v>10</v>
      </c>
      <c r="L2" s="9" t="n"/>
      <c r="M2" s="9" t="n"/>
    </row>
    <row r="3" ht="27.95" customHeight="1">
      <c r="A3" s="600">
        <f>"A — RESUMO DO MICROCICLO  (MC "&amp;$K$2&amp;")"</f>
        <v/>
      </c>
    </row>
    <row r="4" ht="36" customHeight="1">
      <c r="A4" s="191" t="inlineStr">
        <is>
          <t>Nº Sessões
Treino</t>
        </is>
      </c>
      <c r="B4" s="191" t="inlineStr">
        <is>
          <t>Nº Jogos</t>
        </is>
      </c>
      <c r="C4" s="191" t="inlineStr">
        <is>
          <t>Méd Distância
Treino (m)</t>
        </is>
      </c>
      <c r="D4" s="191" t="inlineStr">
        <is>
          <t>Méd HSR
Treino (m)</t>
        </is>
      </c>
      <c r="E4" s="191" t="inlineStr">
        <is>
          <t>Méd Sprint
Treino (m)</t>
        </is>
      </c>
      <c r="F4" s="191" t="inlineStr">
        <is>
          <t>Méd PSE
Treino</t>
        </is>
      </c>
      <c r="G4" s="191" t="inlineStr">
        <is>
          <t>Méd Vmáx
Treino (km/h)</t>
        </is>
      </c>
      <c r="H4" s="191" t="inlineStr">
        <is>
          <t>Jogador com
maior carga</t>
        </is>
      </c>
      <c r="I4" s="191" t="inlineStr">
        <is>
          <t>Jogador com
menor carga</t>
        </is>
      </c>
    </row>
    <row r="5" ht="32.1" customHeight="1">
      <c r="A5" s="432">
        <f>COUNTIFS(tblCarga[Microciclo (Nr)],$K$2,tblCarga[Tipo],"Treino")</f>
        <v/>
      </c>
      <c r="B5" s="432">
        <f>COUNTIFS(tblCarga[Microciclo (Nr)],$K$2,tblCarga[Tipo],"Jogo")</f>
        <v/>
      </c>
      <c r="C5" s="433">
        <f>AVERAGEIFS(tblCarga[Distância Total (m)],tblCarga[Microciclo (Nr)],$K$2,tblCarga[Tipo],"Treino")</f>
        <v/>
      </c>
      <c r="D5" s="433">
        <f>AVERAGEIFS(tblCarga[HSR (m)],tblCarga[Microciclo (Nr)],$K$2,tblCarga[Tipo],"Treino")</f>
        <v/>
      </c>
      <c r="E5" s="433">
        <f>AVERAGEIFS(tblCarga[Sprint (m)],tblCarga[Microciclo (Nr)],$K$2,tblCarga[Tipo],"Treino")</f>
        <v/>
      </c>
      <c r="F5" s="434">
        <f>AVERAGEIFS(tblCarga[PSE Sessão],tblCarga[Microciclo (Nr)],$K$2,tblCarga[Tipo],"Treino")</f>
        <v/>
      </c>
      <c r="G5" s="434">
        <f>AVERAGEIFS(tblCarga[Vel. Máx (km/h)],tblCarga[Microciclo (Nr)],$K$2,tblCarga[Tipo],"Treino")</f>
        <v/>
      </c>
      <c r="H5" s="432">
        <f t="array" ref="H5">_xlfn.LET(_xlpm.mc,$K$2,_xlpm.jogs,_xlfn.UNIQUE(_xlfn._xlws.FILTER(tblCarga[Jogador],(tblCarga[Microciclo (Nr)]=_xlpm.mc)*(tblCarga[Tipo]="Treino"))),_xlpm.n,ROWS(_xlpm.jogs),_xlpm.idx,_xlfn.SEQUENCE(_xlpm.n),_xlpm.cargas,_xlfn.MAP(_xlpm.jogs,_xlfn.LAMBDA(_xlpm.j,SUMPRODUCT((tblCarga[Jogador]=_xlpm.j)*(tblCarga[Microciclo (Nr)]=_xlpm.mc)*(tblCarga[Tipo]="Treino")*tblCarga[PSE Sessão]*tblCarga[Duração (min)]))),IFERROR(INDEX(_xlpm.jogs,MATCH(MAX(_xlpm.cargas),_xlpm.cargas,0)),"—"))</f>
        <v/>
      </c>
      <c r="I5" s="432">
        <f t="array" ref="I5">_xlfn.LET(_xlpm.mc,$K$2,_xlpm.jogs,_xlfn.UNIQUE(_xlfn._xlws.FILTER(tblCarga[Jogador],(tblCarga[Microciclo (Nr)]=_xlpm.mc)*(tblCarga[Tipo]="Treino"))),_xlpm.n,ROWS(_xlpm.jogs),_xlpm.idx,_xlfn.SEQUENCE(_xlpm.n),_xlpm.cargas,_xlfn.MAP(_xlpm.jogs,_xlfn.LAMBDA(_xlpm.j,SUMPRODUCT((tblCarga[Jogador]=_xlpm.j)*(tblCarga[Microciclo (Nr)]=_xlpm.mc)*(tblCarga[Tipo]="Treino")*tblCarga[PSE Sessão]*tblCarga[Duração (min)]))),IFERROR(INDEX(_xlpm.jogs,MATCH(MIN(_xlpm.cargas),_xlpm.cargas,0)),"—"))</f>
        <v/>
      </c>
    </row>
    <row r="6" ht="6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6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27.95" customHeight="1">
      <c r="A8" s="600">
        <f>"B — PAINEL DE ALERTAS DO MC "&amp;$K$2&amp;"  |  Carga vs Referência + Vmáx"</f>
        <v/>
      </c>
    </row>
    <row r="9" ht="36" customHeight="1">
      <c r="A9" s="191" t="inlineStr">
        <is>
          <t>Jogador</t>
        </is>
      </c>
      <c r="B9" s="191" t="inlineStr">
        <is>
          <t>Posição</t>
        </is>
      </c>
      <c r="C9" s="191" t="inlineStr">
        <is>
          <t>Méd Dist MC</t>
        </is>
      </c>
      <c r="D9" s="191" t="inlineStr">
        <is>
          <t>Méd Dist Geral</t>
        </is>
      </c>
      <c r="E9" s="427" t="inlineStr">
        <is>
          <t>Δ Dist</t>
        </is>
      </c>
      <c r="F9" s="191" t="inlineStr">
        <is>
          <t>Méd PSE MC</t>
        </is>
      </c>
      <c r="G9" s="191" t="inlineStr">
        <is>
          <t>Méd PSE Geral</t>
        </is>
      </c>
      <c r="H9" s="427" t="inlineStr">
        <is>
          <t>Δ PSE</t>
        </is>
      </c>
      <c r="I9" s="191" t="inlineStr">
        <is>
          <t>Vmáx MC</t>
        </is>
      </c>
      <c r="J9" s="191" t="inlineStr">
        <is>
          <t>Vmáx Record</t>
        </is>
      </c>
      <c r="K9" s="427" t="inlineStr">
        <is>
          <t>% Record</t>
        </is>
      </c>
      <c r="L9" s="191" t="inlineStr">
        <is>
          <t>Dias s/ ≥90%</t>
        </is>
      </c>
      <c r="M9" s="191" t="inlineStr">
        <is>
          <t>Alerta</t>
        </is>
      </c>
    </row>
    <row r="10" ht="26.1" customHeight="1">
      <c r="A10" s="136">
        <f t="array" ref="A10">IFERROR(INDEX(_xlfn._xlws.SORT(_xlfn.UNIQUE(_xlfn._xlws.FILTER(tblCarga[Jogador],(tblCarga[Tipo]="Treino")))),1),"")</f>
        <v/>
      </c>
      <c r="B10" s="138">
        <f>IF(A10="","",_xlfn.XLOOKUP(A10,tblCarga[Jogador],tblCarga[Posição]))</f>
        <v/>
      </c>
      <c r="C10" s="435">
        <f>IF(A10="","",AVERAGEIFS(tblCarga[Distância Total (m)],tblCarga[Jogador],A10,tblCarga[Microciclo (Nr)],$K$2,tblCarga[Tipo],"Treino"))</f>
        <v/>
      </c>
      <c r="D10" s="435">
        <f>IF(A10="","",AVERAGEIFS(tblCarga[Distância Total (m)],tblCarga[Jogador],A10,tblCarga[Tipo],"Treino"))</f>
        <v/>
      </c>
      <c r="E10" s="436">
        <f>IF(A10="","",IFERROR(C10/D10-1,"—"))</f>
        <v/>
      </c>
      <c r="F10" s="437">
        <f>IF(A10="","",AVERAGEIFS(tblCarga[PSE Sessão],tblCarga[Jogador],A10,tblCarga[Microciclo (Nr)],$K$2,tblCarga[Tipo],"Treino"))</f>
        <v/>
      </c>
      <c r="G10" s="437">
        <f>IF(A10="","",AVERAGEIFS(tblCarga[PSE Sessão],tblCarga[Jogador],A10,tblCarga[Tipo],"Treino"))</f>
        <v/>
      </c>
      <c r="H10" s="436">
        <f>IF(A10="","",IFERROR(F10/G10-1,"—"))</f>
        <v/>
      </c>
      <c r="I10" s="437">
        <f>IF(A10="","",_xlfn.MAXIFS(tblCarga[Vel. Máx (km/h)],tblCarga[Jogador],A10,tblCarga[Microciclo (Nr)],$K$2))</f>
        <v/>
      </c>
      <c r="J10" s="437">
        <f>IF(A10="","",_xlfn.MAXIFS(tblCarga[Vel. Máx (km/h)],tblCarga[Jogador],A10))</f>
        <v/>
      </c>
      <c r="K10" s="436">
        <f>IF(A10="","",IFERROR(I10/J10,"—"))</f>
        <v/>
      </c>
      <c r="L10" s="438">
        <f>IF(A10="","",IFERROR(TODAY()-_xlfn.MAXIFS(tblCarga[Data],tblCarga[Jogador],A10,tblCarga[Nº ≥90% Vmáx],"&gt;0",tblCarga[Microciclo (Nr)],"&lt;="&amp;$K$2),"—"))</f>
        <v/>
      </c>
      <c r="M10" s="138">
        <f>IF(A10="","",IF(OR(L10&gt;14,ABS(E10)&gt;0.2,K10&lt;0.85),"⚠️ Atenção","✅ OK"))</f>
        <v/>
      </c>
    </row>
    <row r="11" ht="26.1" customHeight="1">
      <c r="A11" s="421">
        <f t="array" ref="A11">IFERROR(INDEX(_xlfn._xlws.SORT(_xlfn.UNIQUE(_xlfn._xlws.FILTER(tblCarga[Jogador],(tblCarga[Tipo]="Treino")))),2),"")</f>
        <v/>
      </c>
      <c r="B11" s="363">
        <f>IF(A11="","",_xlfn.XLOOKUP(A11,tblCarga[Jogador],tblCarga[Posição]))</f>
        <v/>
      </c>
      <c r="C11" s="378">
        <f>IF(A11="","",AVERAGEIFS(tblCarga[Distância Total (m)],tblCarga[Jogador],A11,tblCarga[Microciclo (Nr)],$K$2,tblCarga[Tipo],"Treino"))</f>
        <v/>
      </c>
      <c r="D11" s="378">
        <f>IF(A11="","",AVERAGEIFS(tblCarga[Distância Total (m)],tblCarga[Jogador],A11,tblCarga[Tipo],"Treino"))</f>
        <v/>
      </c>
      <c r="E11" s="439">
        <f>IF(A11="","",IFERROR(C11/D11-1,"—"))</f>
        <v/>
      </c>
      <c r="F11" s="440">
        <f>IF(A11="","",AVERAGEIFS(tblCarga[PSE Sessão],tblCarga[Jogador],A11,tblCarga[Microciclo (Nr)],$K$2,tblCarga[Tipo],"Treino"))</f>
        <v/>
      </c>
      <c r="G11" s="440">
        <f>IF(A11="","",AVERAGEIFS(tblCarga[PSE Sessão],tblCarga[Jogador],A11,tblCarga[Tipo],"Treino"))</f>
        <v/>
      </c>
      <c r="H11" s="439">
        <f>IF(A11="","",IFERROR(F11/G11-1,"—"))</f>
        <v/>
      </c>
      <c r="I11" s="440">
        <f>IF(A11="","",_xlfn.MAXIFS(tblCarga[Vel. Máx (km/h)],tblCarga[Jogador],A11,tblCarga[Microciclo (Nr)],$K$2))</f>
        <v/>
      </c>
      <c r="J11" s="440">
        <f>IF(A11="","",_xlfn.MAXIFS(tblCarga[Vel. Máx (km/h)],tblCarga[Jogador],A11))</f>
        <v/>
      </c>
      <c r="K11" s="439">
        <f>IF(A11="","",IFERROR(I11/J11,"—"))</f>
        <v/>
      </c>
      <c r="L11" s="441">
        <f>IF(A11="","",IFERROR(TODAY()-_xlfn.MAXIFS(tblCarga[Data],tblCarga[Jogador],A11,tblCarga[Nº ≥90% Vmáx],"&gt;0"),"—"))</f>
        <v/>
      </c>
      <c r="M11" s="363">
        <f>IF(A11="","",IF(OR(L11&gt;14,ABS(E11)&gt;0.2,K11&lt;0.85),"⚠️ Atenção","✅ OK"))</f>
        <v/>
      </c>
    </row>
    <row r="12" ht="26.1" customHeight="1">
      <c r="A12" s="424">
        <f t="array" ref="A12">IFERROR(INDEX(_xlfn._xlws.SORT(_xlfn.UNIQUE(_xlfn._xlws.FILTER(tblCarga[Jogador],(tblCarga[Tipo]="Treino")))),3),"")</f>
        <v/>
      </c>
      <c r="B12" s="369">
        <f>IF(A12="","",_xlfn.XLOOKUP(A12,tblCarga[Jogador],tblCarga[Posição]))</f>
        <v/>
      </c>
      <c r="C12" s="374">
        <f>IF(A12="","",AVERAGEIFS(tblCarga[Distância Total (m)],tblCarga[Jogador],A12,tblCarga[Microciclo (Nr)],$K$2,tblCarga[Tipo],"Treino"))</f>
        <v/>
      </c>
      <c r="D12" s="374">
        <f>IF(A12="","",AVERAGEIFS(tblCarga[Distância Total (m)],tblCarga[Jogador],A12,tblCarga[Tipo],"Treino"))</f>
        <v/>
      </c>
      <c r="E12" s="445">
        <f>IF(A12="","",IFERROR(C12/D12-1,"—"))</f>
        <v/>
      </c>
      <c r="F12" s="446">
        <f>IF(A12="","",AVERAGEIFS(tblCarga[PSE Sessão],tblCarga[Jogador],A12,tblCarga[Microciclo (Nr)],$K$2,tblCarga[Tipo],"Treino"))</f>
        <v/>
      </c>
      <c r="G12" s="446">
        <f>IF(A12="","",AVERAGEIFS(tblCarga[PSE Sessão],tblCarga[Jogador],A12,tblCarga[Tipo],"Treino"))</f>
        <v/>
      </c>
      <c r="H12" s="445">
        <f>IF(A12="","",IFERROR(F12/G12-1,"—"))</f>
        <v/>
      </c>
      <c r="I12" s="446">
        <f>IF(A12="","",_xlfn.MAXIFS(tblCarga[Vel. Máx (km/h)],tblCarga[Jogador],A12,tblCarga[Microciclo (Nr)],$K$2))</f>
        <v/>
      </c>
      <c r="J12" s="446">
        <f>IF(A12="","",_xlfn.MAXIFS(tblCarga[Vel. Máx (km/h)],tblCarga[Jogador],A12))</f>
        <v/>
      </c>
      <c r="K12" s="445">
        <f>IF(A12="","",IFERROR(I12/J12,"—"))</f>
        <v/>
      </c>
      <c r="L12" s="447">
        <f>IF(A12="","",IFERROR(TODAY()-_xlfn.MAXIFS(tblCarga[Data],tblCarga[Jogador],A12,tblCarga[Nº ≥90% Vmáx],"&gt;0"),"—"))</f>
        <v/>
      </c>
      <c r="M12" s="369">
        <f>IF(A12="","",IF(OR(L12&gt;14,ABS(E12)&gt;0.2,K12&lt;0.85),"⚠️ Atenção","✅ OK"))</f>
        <v/>
      </c>
    </row>
    <row r="13" ht="26.1" customHeight="1">
      <c r="A13" s="421">
        <f t="array" ref="A13">IFERROR(INDEX(_xlfn._xlws.SORT(_xlfn.UNIQUE(_xlfn._xlws.FILTER(tblCarga[Jogador],(tblCarga[Tipo]="Treino")))),4),"")</f>
        <v/>
      </c>
      <c r="B13" s="363">
        <f>IF(A13="","",_xlfn.XLOOKUP(A13,tblCarga[Jogador],tblCarga[Posição]))</f>
        <v/>
      </c>
      <c r="C13" s="378">
        <f>IF(A13="","",AVERAGEIFS(tblCarga[Distância Total (m)],tblCarga[Jogador],A13,tblCarga[Microciclo (Nr)],$K$2,tblCarga[Tipo],"Treino"))</f>
        <v/>
      </c>
      <c r="D13" s="378">
        <f>IF(A13="","",AVERAGEIFS(tblCarga[Distância Total (m)],tblCarga[Jogador],A13,tblCarga[Tipo],"Treino"))</f>
        <v/>
      </c>
      <c r="E13" s="439">
        <f>IF(A13="","",IFERROR(C13/D13-1,"—"))</f>
        <v/>
      </c>
      <c r="F13" s="440">
        <f>IF(A13="","",AVERAGEIFS(tblCarga[PSE Sessão],tblCarga[Jogador],A13,tblCarga[Microciclo (Nr)],$K$2,tblCarga[Tipo],"Treino"))</f>
        <v/>
      </c>
      <c r="G13" s="440">
        <f>IF(A13="","",AVERAGEIFS(tblCarga[PSE Sessão],tblCarga[Jogador],A13,tblCarga[Tipo],"Treino"))</f>
        <v/>
      </c>
      <c r="H13" s="439">
        <f>IF(A13="","",IFERROR(F13/G13-1,"—"))</f>
        <v/>
      </c>
      <c r="I13" s="440">
        <f>IF(A13="","",_xlfn.MAXIFS(tblCarga[Vel. Máx (km/h)],tblCarga[Jogador],A13,tblCarga[Microciclo (Nr)],$K$2))</f>
        <v/>
      </c>
      <c r="J13" s="440">
        <f>IF(A13="","",_xlfn.MAXIFS(tblCarga[Vel. Máx (km/h)],tblCarga[Jogador],A13))</f>
        <v/>
      </c>
      <c r="K13" s="439">
        <f>IF(A13="","",IFERROR(I13/J13,"—"))</f>
        <v/>
      </c>
      <c r="L13" s="441">
        <f>IF(A13="","",IFERROR(TODAY()-_xlfn.MAXIFS(tblCarga[Data],tblCarga[Jogador],A13,tblCarga[Nº ≥90% Vmáx],"&gt;0"),"—"))</f>
        <v/>
      </c>
      <c r="M13" s="363">
        <f>IF(A13="","",IF(OR(L13&gt;14,ABS(E13)&gt;0.2,K13&lt;0.85),"⚠️ Atenção","✅ OK"))</f>
        <v/>
      </c>
    </row>
    <row r="14" ht="26.1" customHeight="1">
      <c r="A14" s="424">
        <f t="array" ref="A14">IFERROR(INDEX(_xlfn._xlws.SORT(_xlfn.UNIQUE(_xlfn._xlws.FILTER(tblCarga[Jogador],(tblCarga[Tipo]="Treino")))),5),"")</f>
        <v/>
      </c>
      <c r="B14" s="369">
        <f>IF(A14="","",_xlfn.XLOOKUP(A14,tblCarga[Jogador],tblCarga[Posição]))</f>
        <v/>
      </c>
      <c r="C14" s="374">
        <f>IF(A14="","",AVERAGEIFS(tblCarga[Distância Total (m)],tblCarga[Jogador],A14,tblCarga[Microciclo (Nr)],$K$2,tblCarga[Tipo],"Treino"))</f>
        <v/>
      </c>
      <c r="D14" s="374">
        <f>IF(A14="","",AVERAGEIFS(tblCarga[Distância Total (m)],tblCarga[Jogador],A14,tblCarga[Tipo],"Treino"))</f>
        <v/>
      </c>
      <c r="E14" s="445">
        <f>IF(A14="","",IFERROR(C14/D14-1,"—"))</f>
        <v/>
      </c>
      <c r="F14" s="446">
        <f>IF(A14="","",AVERAGEIFS(tblCarga[PSE Sessão],tblCarga[Jogador],A14,tblCarga[Microciclo (Nr)],$K$2,tblCarga[Tipo],"Treino"))</f>
        <v/>
      </c>
      <c r="G14" s="446">
        <f>IF(A14="","",AVERAGEIFS(tblCarga[PSE Sessão],tblCarga[Jogador],A14,tblCarga[Tipo],"Treino"))</f>
        <v/>
      </c>
      <c r="H14" s="445">
        <f>IF(A14="","",IFERROR(F14/G14-1,"—"))</f>
        <v/>
      </c>
      <c r="I14" s="446">
        <f>IF(A14="","",_xlfn.MAXIFS(tblCarga[Vel. Máx (km/h)],tblCarga[Jogador],A14,tblCarga[Microciclo (Nr)],$K$2))</f>
        <v/>
      </c>
      <c r="J14" s="446">
        <f>IF(A14="","",_xlfn.MAXIFS(tblCarga[Vel. Máx (km/h)],tblCarga[Jogador],A14))</f>
        <v/>
      </c>
      <c r="K14" s="445">
        <f>IF(A14="","",IFERROR(I14/J14,"—"))</f>
        <v/>
      </c>
      <c r="L14" s="447">
        <f>IF(A14="","",IFERROR(TODAY()-_xlfn.MAXIFS(tblCarga[Data],tblCarga[Jogador],A14,tblCarga[Nº ≥90% Vmáx],"&gt;0"),"—"))</f>
        <v/>
      </c>
      <c r="M14" s="369">
        <f>IF(A14="","",IF(OR(L14&gt;14,ABS(E14)&gt;0.2,K14&lt;0.85),"⚠️ Atenção","✅ OK"))</f>
        <v/>
      </c>
    </row>
    <row r="15" ht="26.1" customHeight="1">
      <c r="A15" s="421">
        <f t="array" ref="A15">IFERROR(INDEX(_xlfn._xlws.SORT(_xlfn.UNIQUE(_xlfn._xlws.FILTER(tblCarga[Jogador],(tblCarga[Tipo]="Treino")))),6),"")</f>
        <v/>
      </c>
      <c r="B15" s="363">
        <f>IF(A15="","",_xlfn.XLOOKUP(A15,tblCarga[Jogador],tblCarga[Posição]))</f>
        <v/>
      </c>
      <c r="C15" s="378">
        <f>IF(A15="","",AVERAGEIFS(tblCarga[Distância Total (m)],tblCarga[Jogador],A15,tblCarga[Microciclo (Nr)],$K$2,tblCarga[Tipo],"Treino"))</f>
        <v/>
      </c>
      <c r="D15" s="378">
        <f>IF(A15="","",AVERAGEIFS(tblCarga[Distância Total (m)],tblCarga[Jogador],A15,tblCarga[Tipo],"Treino"))</f>
        <v/>
      </c>
      <c r="E15" s="439">
        <f>IF(A15="","",IFERROR(C15/D15-1,"—"))</f>
        <v/>
      </c>
      <c r="F15" s="440">
        <f>IF(A15="","",AVERAGEIFS(tblCarga[PSE Sessão],tblCarga[Jogador],A15,tblCarga[Microciclo (Nr)],$K$2,tblCarga[Tipo],"Treino"))</f>
        <v/>
      </c>
      <c r="G15" s="440">
        <f>IF(A15="","",AVERAGEIFS(tblCarga[PSE Sessão],tblCarga[Jogador],A15,tblCarga[Tipo],"Treino"))</f>
        <v/>
      </c>
      <c r="H15" s="439">
        <f>IF(A15="","",IFERROR(F15/G15-1,"—"))</f>
        <v/>
      </c>
      <c r="I15" s="440">
        <f>IF(A15="","",_xlfn.MAXIFS(tblCarga[Vel. Máx (km/h)],tblCarga[Jogador],A15,tblCarga[Microciclo (Nr)],$K$2))</f>
        <v/>
      </c>
      <c r="J15" s="440">
        <f>IF(A15="","",_xlfn.MAXIFS(tblCarga[Vel. Máx (km/h)],tblCarga[Jogador],A15))</f>
        <v/>
      </c>
      <c r="K15" s="439">
        <f>IF(A15="","",IFERROR(I15/J15,"—"))</f>
        <v/>
      </c>
      <c r="L15" s="441">
        <f>IF(A15="","",IFERROR(TODAY()-_xlfn.MAXIFS(tblCarga[Data],tblCarga[Jogador],A15,tblCarga[Nº ≥90% Vmáx],"&gt;0"),"—"))</f>
        <v/>
      </c>
      <c r="M15" s="363">
        <f>IF(A15="","",IF(OR(L15&gt;14,ABS(E15)&gt;0.2,K15&lt;0.85),"⚠️ Atenção","✅ OK"))</f>
        <v/>
      </c>
    </row>
    <row r="16" ht="26.1" customHeight="1">
      <c r="A16" s="424">
        <f t="array" ref="A16">IFERROR(INDEX(_xlfn._xlws.SORT(_xlfn.UNIQUE(_xlfn._xlws.FILTER(tblCarga[Jogador],(tblCarga[Tipo]="Treino")))),7),"")</f>
        <v/>
      </c>
      <c r="B16" s="369">
        <f>IF(A16="","",_xlfn.XLOOKUP(A16,tblCarga[Jogador],tblCarga[Posição]))</f>
        <v/>
      </c>
      <c r="C16" s="374">
        <f>IF(A16="","",AVERAGEIFS(tblCarga[Distância Total (m)],tblCarga[Jogador],A16,tblCarga[Microciclo (Nr)],$K$2,tblCarga[Tipo],"Treino"))</f>
        <v/>
      </c>
      <c r="D16" s="374">
        <f>IF(A16="","",AVERAGEIFS(tblCarga[Distância Total (m)],tblCarga[Jogador],A16,tblCarga[Tipo],"Treino"))</f>
        <v/>
      </c>
      <c r="E16" s="445">
        <f>IF(A16="","",IFERROR(C16/D16-1,"—"))</f>
        <v/>
      </c>
      <c r="F16" s="446">
        <f>IF(A16="","",AVERAGEIFS(tblCarga[PSE Sessão],tblCarga[Jogador],A16,tblCarga[Microciclo (Nr)],$K$2,tblCarga[Tipo],"Treino"))</f>
        <v/>
      </c>
      <c r="G16" s="446">
        <f>IF(A16="","",AVERAGEIFS(tblCarga[PSE Sessão],tblCarga[Jogador],A16,tblCarga[Tipo],"Treino"))</f>
        <v/>
      </c>
      <c r="H16" s="445">
        <f>IF(A16="","",IFERROR(F16/G16-1,"—"))</f>
        <v/>
      </c>
      <c r="I16" s="446">
        <f>IF(A16="","",_xlfn.MAXIFS(tblCarga[Vel. Máx (km/h)],tblCarga[Jogador],A16,tblCarga[Microciclo (Nr)],$K$2))</f>
        <v/>
      </c>
      <c r="J16" s="446">
        <f>IF(A16="","",_xlfn.MAXIFS(tblCarga[Vel. Máx (km/h)],tblCarga[Jogador],A16))</f>
        <v/>
      </c>
      <c r="K16" s="445">
        <f>IF(A16="","",IFERROR(I16/J16,"—"))</f>
        <v/>
      </c>
      <c r="L16" s="447">
        <f>IF(A16="","",IFERROR(TODAY()-_xlfn.MAXIFS(tblCarga[Data],tblCarga[Jogador],A16,tblCarga[Nº ≥90% Vmáx],"&gt;0"),"—"))</f>
        <v/>
      </c>
      <c r="M16" s="369">
        <f>IF(A16="","",IF(OR(L16&gt;14,ABS(E16)&gt;0.2,K16&lt;0.85),"⚠️ Atenção","✅ OK"))</f>
        <v/>
      </c>
    </row>
    <row r="17" ht="26.1" customHeight="1">
      <c r="A17" s="421">
        <f t="array" ref="A17">IFERROR(INDEX(_xlfn._xlws.SORT(_xlfn.UNIQUE(_xlfn._xlws.FILTER(tblCarga[Jogador],(tblCarga[Tipo]="Treino")))),8),"")</f>
        <v/>
      </c>
      <c r="B17" s="363">
        <f>IF(A17="","",_xlfn.XLOOKUP(A17,tblCarga[Jogador],tblCarga[Posição]))</f>
        <v/>
      </c>
      <c r="C17" s="378">
        <f>IF(A17="","",AVERAGEIFS(tblCarga[Distância Total (m)],tblCarga[Jogador],A17,tblCarga[Microciclo (Nr)],$K$2,tblCarga[Tipo],"Treino"))</f>
        <v/>
      </c>
      <c r="D17" s="378">
        <f>IF(A17="","",AVERAGEIFS(tblCarga[Distância Total (m)],tblCarga[Jogador],A17,tblCarga[Tipo],"Treino"))</f>
        <v/>
      </c>
      <c r="E17" s="439">
        <f>IF(A17="","",IFERROR(C17/D17-1,"—"))</f>
        <v/>
      </c>
      <c r="F17" s="440">
        <f>IF(A17="","",AVERAGEIFS(tblCarga[PSE Sessão],tblCarga[Jogador],A17,tblCarga[Microciclo (Nr)],$K$2,tblCarga[Tipo],"Treino"))</f>
        <v/>
      </c>
      <c r="G17" s="440">
        <f>IF(A17="","",AVERAGEIFS(tblCarga[PSE Sessão],tblCarga[Jogador],A17,tblCarga[Tipo],"Treino"))</f>
        <v/>
      </c>
      <c r="H17" s="439">
        <f>IF(A17="","",IFERROR(F17/G17-1,"—"))</f>
        <v/>
      </c>
      <c r="I17" s="440">
        <f>IF(A17="","",_xlfn.MAXIFS(tblCarga[Vel. Máx (km/h)],tblCarga[Jogador],A17,tblCarga[Microciclo (Nr)],$K$2))</f>
        <v/>
      </c>
      <c r="J17" s="440">
        <f>IF(A17="","",_xlfn.MAXIFS(tblCarga[Vel. Máx (km/h)],tblCarga[Jogador],A17))</f>
        <v/>
      </c>
      <c r="K17" s="439">
        <f>IF(A17="","",IFERROR(I17/J17,"—"))</f>
        <v/>
      </c>
      <c r="L17" s="441">
        <f>IF(A17="","",IFERROR(TODAY()-_xlfn.MAXIFS(tblCarga[Data],tblCarga[Jogador],A17,tblCarga[Nº ≥90% Vmáx],"&gt;0"),"—"))</f>
        <v/>
      </c>
      <c r="M17" s="363">
        <f>IF(A17="","",IF(OR(L17&gt;14,ABS(E17)&gt;0.2,K17&lt;0.85),"⚠️ Atenção","✅ OK"))</f>
        <v/>
      </c>
    </row>
    <row r="18" ht="26.1" customHeight="1">
      <c r="A18" s="222">
        <f t="array" ref="A18">IFERROR(INDEX(_xlfn._xlws.SORT(_xlfn.UNIQUE(_xlfn._xlws.FILTER(tblCarga[Jogador],(tblCarga[Tipo]="Treino")))),9),"")</f>
        <v/>
      </c>
      <c r="B18" s="365">
        <f>IF(A18="","",_xlfn.XLOOKUP(A18,tblCarga[Jogador],tblCarga[Posição]))</f>
        <v/>
      </c>
      <c r="C18" s="372">
        <f>IF(A18="","",AVERAGEIFS(tblCarga[Distância Total (m)],tblCarga[Jogador],A18,tblCarga[Microciclo (Nr)],$K$2,tblCarga[Tipo],"Treino"))</f>
        <v/>
      </c>
      <c r="D18" s="372">
        <f>IF(A18="","",AVERAGEIFS(tblCarga[Distância Total (m)],tblCarga[Jogador],A18,tblCarga[Tipo],"Treino"))</f>
        <v/>
      </c>
      <c r="E18" s="442">
        <f>IF(A18="","",IFERROR(C18/D18-1,"—"))</f>
        <v/>
      </c>
      <c r="F18" s="443">
        <f>IF(A18="","",AVERAGEIFS(tblCarga[PSE Sessão],tblCarga[Jogador],A18,tblCarga[Microciclo (Nr)],$K$2,tblCarga[Tipo],"Treino"))</f>
        <v/>
      </c>
      <c r="G18" s="443">
        <f>IF(A18="","",AVERAGEIFS(tblCarga[PSE Sessão],tblCarga[Jogador],A18,tblCarga[Tipo],"Treino"))</f>
        <v/>
      </c>
      <c r="H18" s="442">
        <f>IF(A18="","",IFERROR(F18/G18-1,"—"))</f>
        <v/>
      </c>
      <c r="I18" s="443">
        <f>IF(A18="","",_xlfn.MAXIFS(tblCarga[Vel. Máx (km/h)],tblCarga[Jogador],A18,tblCarga[Microciclo (Nr)],$K$2))</f>
        <v/>
      </c>
      <c r="J18" s="443">
        <f>IF(A18="","",_xlfn.MAXIFS(tblCarga[Vel. Máx (km/h)],tblCarga[Jogador],A18))</f>
        <v/>
      </c>
      <c r="K18" s="442">
        <f>IF(A18="","",IFERROR(I18/J18,"—"))</f>
        <v/>
      </c>
      <c r="L18" s="444">
        <f>IF(A18="","",IFERROR(TODAY()-_xlfn.MAXIFS(tblCarga[Data],tblCarga[Jogador],A18,tblCarga[Nº ≥90% Vmáx],"&gt;0"),"—"))</f>
        <v/>
      </c>
      <c r="M18" s="365">
        <f>IF(A18="","",IF(OR(L18&gt;14,ABS(E18)&gt;0.2,K18&lt;0.85),"⚠️ Atenção","✅ OK"))</f>
        <v/>
      </c>
    </row>
    <row r="19">
      <c r="A19" s="14">
        <f t="array" ref="A19">IFERROR(INDEX(_xlfn._xlws.SORT(_xlfn.UNIQUE(_xlfn._xlws.FILTER(tblCarga[Jogador],(tblCarga[Tipo]="Treino")))),10),"")</f>
        <v/>
      </c>
      <c r="B19" s="9">
        <f>IF(A19="","",_xlfn.XLOOKUP(A19,tblCarga[Jogador],tblCarga[Posição]))</f>
        <v/>
      </c>
      <c r="C19" s="15">
        <f>IF(A19="","",AVERAGEIFS(tblCarga[Distância Total (m)],tblCarga[Jogador],A19,tblCarga[Microciclo (Nr)],$K$2,tblCarga[Tipo],"Treino"))</f>
        <v/>
      </c>
      <c r="D19" s="15">
        <f>IF(A19="","",AVERAGEIFS(tblCarga[Distância Total (m)],tblCarga[Jogador],A19,tblCarga[Tipo],"Treino"))</f>
        <v/>
      </c>
      <c r="E19" s="17">
        <f>IF(A19="","",IFERROR(C19/D19-1,"—"))</f>
        <v/>
      </c>
      <c r="F19" s="10">
        <f>IF(A19="","",AVERAGEIFS(tblCarga[PSE Sessão],tblCarga[Jogador],A19,tblCarga[Microciclo (Nr)],$K$2,tblCarga[Tipo],"Treino"))</f>
        <v/>
      </c>
      <c r="G19" s="10">
        <f>IF(A19="","",AVERAGEIFS(tblCarga[PSE Sessão],tblCarga[Jogador],A19,tblCarga[Tipo],"Treino"))</f>
        <v/>
      </c>
      <c r="H19" s="17">
        <f>IF(A19="","",IFERROR(F19/G19-1,"—"))</f>
        <v/>
      </c>
      <c r="I19" s="10">
        <f>IF(A19="","",_xlfn.MAXIFS(tblCarga[Vel. Máx (km/h)],tblCarga[Jogador],A19,tblCarga[Microciclo (Nr)],$K$2))</f>
        <v/>
      </c>
      <c r="J19" s="10">
        <f>IF(A19="","",_xlfn.MAXIFS(tblCarga[Vel. Máx (km/h)],tblCarga[Jogador],A19))</f>
        <v/>
      </c>
      <c r="K19" s="13">
        <f>IF(A19="","",IFERROR(I19/J19,"—"))</f>
        <v/>
      </c>
      <c r="L19" s="16">
        <f>IF(A19="","",IFERROR(TODAY()-_xlfn.MAXIFS(tblCarga[Data],tblCarga[Jogador],A19,tblCarga[Nº ≥90% Vmáx],"&gt;0"),"—"))</f>
        <v/>
      </c>
      <c r="M19" s="9">
        <f>IF(A19="","",IF(OR(L19&gt;14,ABS(E19)&gt;0.2,K19&lt;0.85),"⚠️ Atenção","✅ OK"))</f>
        <v/>
      </c>
    </row>
    <row r="20" hidden="1" outlineLevel="1">
      <c r="A20" s="42">
        <f t="array" ref="A20">IFERROR(INDEX(_xlfn._xlws.SORT(_xlfn.UNIQUE(_xlfn._xlws.FILTER(tblCarga[Jogador],(tblCarga[Tipo]="Treino")))),11),"")</f>
        <v/>
      </c>
      <c r="B20" s="603">
        <f>IF(A20="","",_xlfn.XLOOKUP(A20,tblCarga[Jogador],tblCarga[Posição]))</f>
        <v/>
      </c>
      <c r="C20" s="604">
        <f>IF(A20="","",AVERAGEIFS(tblCarga[Distância Total (m)],tblCarga[Jogador],A20,tblCarga[Microciclo (Nr)],$K$2,tblCarga[Tipo],"Treino"))</f>
        <v/>
      </c>
      <c r="D20" s="604">
        <f>IF(A20="","",AVERAGEIFS(tblCarga[Distância Total (m)],tblCarga[Jogador],A20,tblCarga[Tipo],"Treino"))</f>
        <v/>
      </c>
      <c r="E20" s="605">
        <f>IF(A20="","",IFERROR(C20/D20-1,"—"))</f>
        <v/>
      </c>
      <c r="F20" s="606">
        <f>IF(A20="","",AVERAGEIFS(tblCarga[PSE Sessão],tblCarga[Jogador],A20,tblCarga[Microciclo (Nr)],$K$2,tblCarga[Tipo],"Treino"))</f>
        <v/>
      </c>
      <c r="G20" s="606">
        <f>IF(A20="","",AVERAGEIFS(tblCarga[PSE Sessão],tblCarga[Jogador],A20,tblCarga[Tipo],"Treino"))</f>
        <v/>
      </c>
      <c r="H20" s="605">
        <f>IF(A20="","",IFERROR(F20/G20-1,"—"))</f>
        <v/>
      </c>
      <c r="I20" s="606">
        <f>IF(A20="","",_xlfn.MAXIFS(tblCarga[Vel. Máx (km/h)],tblCarga[Jogador],A20,tblCarga[Microciclo (Nr)],$K$2))</f>
        <v/>
      </c>
      <c r="J20" s="606">
        <f>IF(A20="","",_xlfn.MAXIFS(tblCarga[Vel. Máx (km/h)],tblCarga[Jogador],A20))</f>
        <v/>
      </c>
      <c r="K20" s="605">
        <f>IF(A20="","",IFERROR(I20/J20,"—"))</f>
        <v/>
      </c>
      <c r="L20" s="16">
        <f>IF(A20="","",IFERROR(TODAY()-_xlfn.MAXIFS(tblCarga[Data],tblCarga[Jogador],A20,tblCarga[Nº ≥90% Vmáx],"&gt;0"),"—"))</f>
        <v/>
      </c>
      <c r="M20" s="9">
        <f>IF(A20="","",IF(OR(L20&gt;14,ABS(E20)&gt;0.2,K20&lt;0.85),"⚠️ Atenção","✅ OK"))</f>
        <v/>
      </c>
    </row>
    <row r="21" hidden="1" outlineLevel="1">
      <c r="A21" s="602">
        <f t="array" ref="A21">IFERROR(INDEX(_xlfn._xlws.SORT(_xlfn.UNIQUE(_xlfn._xlws.FILTER(tblCarga[Jogador],(tblCarga[Tipo]="Treino")))),12),"")</f>
        <v/>
      </c>
      <c r="L21" s="16">
        <f>IF(A21="","",IFERROR(TODAY()-_xlfn.MAXIFS(tblCarga[Data],tblCarga[Jogador],A21,tblCarga[Nº ≥90% Vmáx],"&gt;0"),"—"))</f>
        <v/>
      </c>
      <c r="M21" s="9">
        <f>IF(A21="","",IF(OR(L21&gt;14,ABS(E21)&gt;0.2,K21&lt;0.85),"⚠️ Atenção","✅ OK"))</f>
        <v/>
      </c>
    </row>
    <row r="22" hidden="1" outlineLevel="1">
      <c r="A22" s="35">
        <f t="array" ref="A22">IFERROR(INDEX(_xlfn._xlws.SORT(_xlfn.UNIQUE(_xlfn._xlws.FILTER(tblCarga[Jogador],(tblCarga[Tipo]="Treino")))),13),"")</f>
        <v/>
      </c>
      <c r="B22" s="35">
        <f>IF(A22="","",_xlfn.XLOOKUP(A22,tblCarga[Jogador],tblCarga[Posição]))</f>
        <v/>
      </c>
      <c r="C22" s="36">
        <f>IF(A22="","",AVERAGEIFS(tblCarga[Distância Total (m)],tblCarga[Jogador],A22,tblCarga[Microciclo (Nr)],$K$2,tblCarga[Tipo],"Treino"))</f>
        <v/>
      </c>
      <c r="D22" s="36">
        <f>IF(A22="","",AVERAGEIFS(tblCarga[Distância Total (m)],tblCarga[Jogador],A22,tblCarga[Tipo],"Treino"))</f>
        <v/>
      </c>
      <c r="E22" s="448">
        <f>IF(A22="","",IFERROR(C22/D22-1,"—"))</f>
        <v/>
      </c>
      <c r="F22" s="38">
        <f>IF(A22="","",AVERAGEIFS(tblCarga[PSE Sessão],tblCarga[Jogador],A22,tblCarga[Microciclo (Nr)],$K$2,tblCarga[Tipo],"Treino"))</f>
        <v/>
      </c>
      <c r="G22" s="38">
        <f>IF(A22="","",AVERAGEIFS(tblCarga[PSE Sessão],tblCarga[Jogador],A22,tblCarga[Tipo],"Treino"))</f>
        <v/>
      </c>
      <c r="H22" s="448">
        <f>IF(A22="","",IFERROR(F22/G22-1,"—"))</f>
        <v/>
      </c>
      <c r="I22" s="38">
        <f>IF(A22="","",_xlfn.MAXIFS(tblCarga[Vel. Máx (km/h)],tblCarga[Jogador],A22,tblCarga[Microciclo (Nr)],$K$2))</f>
        <v/>
      </c>
      <c r="J22" s="38">
        <f>IF(A22="","",_xlfn.MAXIFS(tblCarga[Vel. Máx (km/h)],tblCarga[Jogador],A22))</f>
        <v/>
      </c>
      <c r="K22" s="448">
        <f>IF(A22="","",IFERROR(I22/J22,"—"))</f>
        <v/>
      </c>
      <c r="L22" s="16">
        <f>IF(A22="","",IFERROR(TODAY()-_xlfn.MAXIFS(tblCarga[Data],tblCarga[Jogador],A22,tblCarga[Nº ≥90% Vmáx],"&gt;0"),"—"))</f>
        <v/>
      </c>
      <c r="M22" s="9">
        <f>IF(A22="","",IF(OR(L22&gt;14,ABS(E22)&gt;0.2,K22&lt;0.85),"⚠️ Atenção","✅ OK"))</f>
        <v/>
      </c>
    </row>
    <row r="23" hidden="1" outlineLevel="1">
      <c r="A23" s="42">
        <f t="array" ref="A23">IFERROR(INDEX(_xlfn._xlws.SORT(_xlfn.UNIQUE(_xlfn._xlws.FILTER(tblCarga[Jogador],(tblCarga[Tipo]="Treino")))),14),"")</f>
        <v/>
      </c>
      <c r="B23" s="604">
        <f>IF(A23="","",_xlfn.XLOOKUP(A23,tblCarga[Jogador],tblCarga[Posição]))</f>
        <v/>
      </c>
      <c r="C23" s="604">
        <f>IF(A23="","",AVERAGEIFS(tblCarga[Distância Total (m)],tblCarga[Jogador],A23,tblCarga[Microciclo (Nr)],$K$2,tblCarga[Tipo],"Treino"))</f>
        <v/>
      </c>
      <c r="D23" s="604">
        <f>IF(A23="","",AVERAGEIFS(tblCarga[Distância Total (m)],tblCarga[Jogador],A23,tblCarga[Tipo],"Treino"))</f>
        <v/>
      </c>
      <c r="E23" s="605">
        <f>IF(A23="","",IFERROR(C23/D23-1,"—"))</f>
        <v/>
      </c>
      <c r="F23" s="606">
        <f>IF(A23="","",AVERAGEIFS(tblCarga[PSE Sessão],tblCarga[Jogador],A23,tblCarga[Microciclo (Nr)],$K$2,tblCarga[Tipo],"Treino"))</f>
        <v/>
      </c>
      <c r="G23" s="606">
        <f>IF(A23="","",AVERAGEIFS(tblCarga[PSE Sessão],tblCarga[Jogador],A23,tblCarga[Tipo],"Treino"))</f>
        <v/>
      </c>
      <c r="H23" s="605">
        <f>IF(A23="","",IFERROR(F23/G23-1,"—"))</f>
        <v/>
      </c>
      <c r="I23" s="105">
        <f>IF(A23="","",_xlfn.MAXIFS(tblCarga[Vel. Máx (km/h)],tblCarga[Jogador],A23,tblCarga[Microciclo (Nr)],$K$2))</f>
        <v/>
      </c>
      <c r="J23" s="606">
        <f>IF(A23="","",_xlfn.MAXIFS(tblCarga[Vel. Máx (km/h)],tblCarga[Jogador],A23))</f>
        <v/>
      </c>
      <c r="K23" s="605">
        <f>IF(A23="","",IFERROR(I23/J23,"—"))</f>
        <v/>
      </c>
      <c r="L23" s="16">
        <f>IF(A23="","",IFERROR(TODAY()-_xlfn.MAXIFS(tblCarga[Data],tblCarga[Jogador],A23,tblCarga[Nº ≥90% Vmáx],"&gt;0"),"—"))</f>
        <v/>
      </c>
      <c r="M23" s="9">
        <f>IF(A23="","",IF(OR(L23&gt;14,ABS(E23)&gt;0.2,K23&lt;0.85),"⚠️ Atenção","✅ OK"))</f>
        <v/>
      </c>
    </row>
    <row r="24" hidden="1" outlineLevel="1">
      <c r="A24" s="42">
        <f t="array" ref="A24">IFERROR(INDEX(_xlfn._xlws.SORT(_xlfn.UNIQUE(_xlfn._xlws.FILTER(tblCarga[Jogador],(tblCarga[Tipo]="Treino")))),15),"")</f>
        <v/>
      </c>
      <c r="B24" s="604">
        <f>IF(A24="","",_xlfn.XLOOKUP(A24,tblCarga[Jogador],tblCarga[Posição]))</f>
        <v/>
      </c>
      <c r="C24" s="604">
        <f>IF(A24="","",AVERAGEIFS(tblCarga[Distância Total (m)],tblCarga[Jogador],A24,tblCarga[Microciclo (Nr)],$K$2,tblCarga[Tipo],"Treino"))</f>
        <v/>
      </c>
      <c r="D24" s="604">
        <f>IF(A24="","",AVERAGEIFS(tblCarga[Distância Total (m)],tblCarga[Jogador],A24,tblCarga[Tipo],"Treino"))</f>
        <v/>
      </c>
      <c r="E24" s="605">
        <f>IF(A24="","",IFERROR(C24/D24-1,"—"))</f>
        <v/>
      </c>
      <c r="F24" s="606">
        <f>IF(A24="","",AVERAGEIFS(tblCarga[PSE Sessão],tblCarga[Jogador],A24,tblCarga[Microciclo (Nr)],$K$2,tblCarga[Tipo],"Treino"))</f>
        <v/>
      </c>
      <c r="G24" s="606">
        <f>IF(A24="","",AVERAGEIFS(tblCarga[PSE Sessão],tblCarga[Jogador],A24,tblCarga[Tipo],"Treino"))</f>
        <v/>
      </c>
      <c r="H24" s="605">
        <f>IF(A24="","",IFERROR(F24/G24-1,"—"))</f>
        <v/>
      </c>
      <c r="I24" s="105">
        <f>IF(A24="","",_xlfn.MAXIFS(tblCarga[Vel. Máx (km/h)],tblCarga[Jogador],A24,tblCarga[Microciclo (Nr)],$K$2))</f>
        <v/>
      </c>
      <c r="J24" s="606">
        <f>IF(A24="","",_xlfn.MAXIFS(tblCarga[Vel. Máx (km/h)],tblCarga[Jogador],A24))</f>
        <v/>
      </c>
      <c r="K24" s="605">
        <f>IF(A24="","",IFERROR(I24/J24,"—"))</f>
        <v/>
      </c>
      <c r="L24" s="16">
        <f>IF(A24="","",IFERROR(TODAY()-_xlfn.MAXIFS(tblCarga[Data],tblCarga[Jogador],A24,tblCarga[Nº ≥90% Vmáx],"&gt;0"),"—"))</f>
        <v/>
      </c>
      <c r="M24" s="9">
        <f>IF(A24="","",IF(OR(L24&gt;14,ABS(E24)&gt;0.2,K24&lt;0.85),"⚠️ Atenção","✅ OK"))</f>
        <v/>
      </c>
    </row>
    <row r="25" hidden="1" outlineLevel="1">
      <c r="A25" s="42">
        <f t="array" ref="A25">IFERROR(INDEX(_xlfn._xlws.SORT(_xlfn.UNIQUE(_xlfn._xlws.FILTER(tblCarga[Jogador],(tblCarga[Tipo]="Treino")))),16),"")</f>
        <v/>
      </c>
      <c r="B25" s="604">
        <f>IF(A25="","",_xlfn.XLOOKUP(A25,tblCarga[Jogador],tblCarga[Posição]))</f>
        <v/>
      </c>
      <c r="C25" s="604">
        <f>IF(A25="","",AVERAGEIFS(tblCarga[Distância Total (m)],tblCarga[Jogador],A25,tblCarga[Microciclo (Nr)],$K$2,tblCarga[Tipo],"Treino"))</f>
        <v/>
      </c>
      <c r="D25" s="604">
        <f>IF(A25="","",AVERAGEIFS(tblCarga[Distância Total (m)],tblCarga[Jogador],A25,tblCarga[Tipo],"Treino"))</f>
        <v/>
      </c>
      <c r="E25" s="605">
        <f>IF(A25="","",IFERROR(C25/D25-1,"—"))</f>
        <v/>
      </c>
      <c r="F25" s="606">
        <f>IF(A25="","",AVERAGEIFS(tblCarga[PSE Sessão],tblCarga[Jogador],A25,tblCarga[Microciclo (Nr)],$K$2,tblCarga[Tipo],"Treino"))</f>
        <v/>
      </c>
      <c r="G25" s="606">
        <f>IF(A25="","",AVERAGEIFS(tblCarga[PSE Sessão],tblCarga[Jogador],A25,tblCarga[Tipo],"Treino"))</f>
        <v/>
      </c>
      <c r="H25" s="605">
        <f>IF(A25="","",IFERROR(F25/G25-1,"—"))</f>
        <v/>
      </c>
      <c r="I25" s="105">
        <f>IF(A25="","",_xlfn.MAXIFS(tblCarga[Vel. Máx (km/h)],tblCarga[Jogador],A25,tblCarga[Microciclo (Nr)],$K$2))</f>
        <v/>
      </c>
      <c r="J25" s="606">
        <f>IF(A25="","",_xlfn.MAXIFS(tblCarga[Vel. Máx (km/h)],tblCarga[Jogador],A25))</f>
        <v/>
      </c>
      <c r="K25" s="605">
        <f>IF(A25="","",IFERROR(I25/J25,"—"))</f>
        <v/>
      </c>
      <c r="L25" s="16">
        <f>IF(A25="","",IFERROR(TODAY()-_xlfn.MAXIFS(tblCarga[Data],tblCarga[Jogador],A25,tblCarga[Nº ≥90% Vmáx],"&gt;0"),"—"))</f>
        <v/>
      </c>
      <c r="M25" s="9">
        <f>IF(A25="","",IF(OR(L25&gt;14,ABS(E25)&gt;0.2,K25&lt;0.85),"⚠️ Atenção","✅ OK"))</f>
        <v/>
      </c>
    </row>
    <row r="26" hidden="1" outlineLevel="1">
      <c r="A26" s="42">
        <f t="array" ref="A26">IFERROR(INDEX(_xlfn._xlws.SORT(_xlfn.UNIQUE(_xlfn._xlws.FILTER(tblCarga[Jogador],(tblCarga[Tipo]="Treino")))),17),"")</f>
        <v/>
      </c>
      <c r="B26" s="604">
        <f>IF(A26="","",_xlfn.XLOOKUP(A26,tblCarga[Jogador],tblCarga[Posição]))</f>
        <v/>
      </c>
      <c r="C26" s="604">
        <f>IF(A26="","",AVERAGEIFS(tblCarga[Distância Total (m)],tblCarga[Jogador],A26,tblCarga[Microciclo (Nr)],$K$2,tblCarga[Tipo],"Treino"))</f>
        <v/>
      </c>
      <c r="D26" s="604">
        <f>IF(A26="","",AVERAGEIFS(tblCarga[Distância Total (m)],tblCarga[Jogador],A26,tblCarga[Tipo],"Treino"))</f>
        <v/>
      </c>
      <c r="E26" s="605">
        <f>IF(A26="","",IFERROR(C26/D26-1,"—"))</f>
        <v/>
      </c>
      <c r="F26" s="606">
        <f>IF(A26="","",AVERAGEIFS(tblCarga[PSE Sessão],tblCarga[Jogador],A26,tblCarga[Microciclo (Nr)],$K$2,tblCarga[Tipo],"Treino"))</f>
        <v/>
      </c>
      <c r="G26" s="606">
        <f>IF(A26="","",AVERAGEIFS(tblCarga[PSE Sessão],tblCarga[Jogador],A26,tblCarga[Tipo],"Treino"))</f>
        <v/>
      </c>
      <c r="H26" s="605">
        <f>IF(A26="","",IFERROR(F26/G26-1,"—"))</f>
        <v/>
      </c>
      <c r="I26" s="105">
        <f>IF(A26="","",_xlfn.MAXIFS(tblCarga[Vel. Máx (km/h)],tblCarga[Jogador],A26,tblCarga[Microciclo (Nr)],$K$2))</f>
        <v/>
      </c>
      <c r="J26" s="606">
        <f>IF(A26="","",_xlfn.MAXIFS(tblCarga[Vel. Máx (km/h)],tblCarga[Jogador],A26))</f>
        <v/>
      </c>
      <c r="K26" s="605">
        <f>IF(A26="","",IFERROR(I26/J26,"—"))</f>
        <v/>
      </c>
      <c r="L26" s="16">
        <f>IF(A26="","",IFERROR(TODAY()-_xlfn.MAXIFS(tblCarga[Data],tblCarga[Jogador],A26,tblCarga[Nº ≥90% Vmáx],"&gt;0"),"—"))</f>
        <v/>
      </c>
      <c r="M26" s="9">
        <f>IF(A26="","",IF(OR(L26&gt;14,ABS(E26)&gt;0.2,K26&lt;0.85),"⚠️ Atenção","✅ OK"))</f>
        <v/>
      </c>
    </row>
    <row r="27" hidden="1" outlineLevel="1">
      <c r="A27" s="42">
        <f t="array" ref="A27">IFERROR(INDEX(_xlfn._xlws.SORT(_xlfn.UNIQUE(_xlfn._xlws.FILTER(tblCarga[Jogador],(tblCarga[Tipo]="Treino")))),18),"")</f>
        <v/>
      </c>
      <c r="B27" s="604">
        <f>IF(A27="","",_xlfn.XLOOKUP(A27,tblCarga[Jogador],tblCarga[Posição]))</f>
        <v/>
      </c>
      <c r="C27" s="604">
        <f>IF(A27="","",AVERAGEIFS(tblCarga[Distância Total (m)],tblCarga[Jogador],A27,tblCarga[Microciclo (Nr)],$K$2,tblCarga[Tipo],"Treino"))</f>
        <v/>
      </c>
      <c r="D27" s="604">
        <f>IF(A27="","",AVERAGEIFS(tblCarga[Distância Total (m)],tblCarga[Jogador],A27,tblCarga[Tipo],"Treino"))</f>
        <v/>
      </c>
      <c r="E27" s="605">
        <f>IF(A27="","",IFERROR(C27/D27-1,"—"))</f>
        <v/>
      </c>
      <c r="F27" s="606">
        <f>IF(A27="","",AVERAGEIFS(tblCarga[PSE Sessão],tblCarga[Jogador],A27,tblCarga[Microciclo (Nr)],$K$2,tblCarga[Tipo],"Treino"))</f>
        <v/>
      </c>
      <c r="G27" s="606">
        <f>IF(A27="","",AVERAGEIFS(tblCarga[PSE Sessão],tblCarga[Jogador],A27,tblCarga[Tipo],"Treino"))</f>
        <v/>
      </c>
      <c r="H27" s="605">
        <f>IF(A27="","",IFERROR(F27/G27-1,"—"))</f>
        <v/>
      </c>
      <c r="I27" s="105">
        <f>IF(A27="","",_xlfn.MAXIFS(tblCarga[Vel. Máx (km/h)],tblCarga[Jogador],A27,tblCarga[Microciclo (Nr)],$K$2))</f>
        <v/>
      </c>
      <c r="J27" s="606">
        <f>IF(A27="","",_xlfn.MAXIFS(tblCarga[Vel. Máx (km/h)],tblCarga[Jogador],A27))</f>
        <v/>
      </c>
      <c r="K27" s="605">
        <f>IF(A27="","",IFERROR(I27/J27,"—"))</f>
        <v/>
      </c>
      <c r="L27" s="16">
        <f>IF(A27="","",IFERROR(TODAY()-_xlfn.MAXIFS(tblCarga[Data],tblCarga[Jogador],A27,tblCarga[Nº ≥90% Vmáx],"&gt;0"),"—"))</f>
        <v/>
      </c>
      <c r="M27" s="9">
        <f>IF(A27="","",IF(OR(L27&gt;14,ABS(E27)&gt;0.2,K27&lt;0.85),"⚠️ Atenção","✅ OK"))</f>
        <v/>
      </c>
    </row>
    <row r="28" hidden="1" outlineLevel="1">
      <c r="A28" s="42">
        <f t="array" ref="A28">IFERROR(INDEX(_xlfn._xlws.SORT(_xlfn.UNIQUE(_xlfn._xlws.FILTER(tblCarga[Jogador],(tblCarga[Tipo]="Treino")))),19),"")</f>
        <v/>
      </c>
      <c r="B28" s="604">
        <f>IF(A28="","",_xlfn.XLOOKUP(A28,tblCarga[Jogador],tblCarga[Posição]))</f>
        <v/>
      </c>
      <c r="C28" s="604">
        <f>IF(A28="","",AVERAGEIFS(tblCarga[Distância Total (m)],tblCarga[Jogador],A28,tblCarga[Microciclo (Nr)],$K$2,tblCarga[Tipo],"Treino"))</f>
        <v/>
      </c>
      <c r="D28" s="604">
        <f>IF(A28="","",AVERAGEIFS(tblCarga[Distância Total (m)],tblCarga[Jogador],A28,tblCarga[Tipo],"Treino"))</f>
        <v/>
      </c>
      <c r="E28" s="605">
        <f>IF(A28="","",IFERROR(C28/D28-1,"—"))</f>
        <v/>
      </c>
      <c r="F28" s="606">
        <f>IF(A28="","",AVERAGEIFS(tblCarga[PSE Sessão],tblCarga[Jogador],A28,tblCarga[Microciclo (Nr)],$K$2,tblCarga[Tipo],"Treino"))</f>
        <v/>
      </c>
      <c r="G28" s="606">
        <f>IF(A28="","",AVERAGEIFS(tblCarga[PSE Sessão],tblCarga[Jogador],A28,tblCarga[Tipo],"Treino"))</f>
        <v/>
      </c>
      <c r="H28" s="605">
        <f>IF(A28="","",IFERROR(F28/G28-1,"—"))</f>
        <v/>
      </c>
      <c r="I28" s="105">
        <f>IF(A28="","",_xlfn.MAXIFS(tblCarga[Vel. Máx (km/h)],tblCarga[Jogador],A28,tblCarga[Microciclo (Nr)],$K$2))</f>
        <v/>
      </c>
      <c r="J28" s="606">
        <f>IF(A28="","",_xlfn.MAXIFS(tblCarga[Vel. Máx (km/h)],tblCarga[Jogador],A28))</f>
        <v/>
      </c>
      <c r="K28" s="605">
        <f>IF(A28="","",IFERROR(I28/J28,"—"))</f>
        <v/>
      </c>
      <c r="L28" s="16">
        <f>IF(A28="","",IFERROR(TODAY()-_xlfn.MAXIFS(tblCarga[Data],tblCarga[Jogador],A28,tblCarga[Nº ≥90% Vmáx],"&gt;0"),"—"))</f>
        <v/>
      </c>
      <c r="M28" s="9">
        <f>IF(A28="","",IF(OR(L28&gt;14,ABS(E28)&gt;0.2,K28&lt;0.85),"⚠️ Atenção","✅ OK"))</f>
        <v/>
      </c>
    </row>
    <row r="29" hidden="1" outlineLevel="1">
      <c r="A29" s="42">
        <f t="array" ref="A29">IFERROR(INDEX(_xlfn._xlws.SORT(_xlfn.UNIQUE(_xlfn._xlws.FILTER(tblCarga[Jogador],(tblCarga[Tipo]="Treino")))),20),"")</f>
        <v/>
      </c>
      <c r="B29" s="604">
        <f>IF(A29="","",_xlfn.XLOOKUP(A29,tblCarga[Jogador],tblCarga[Posição]))</f>
        <v/>
      </c>
      <c r="C29" s="604">
        <f>IF(A29="","",AVERAGEIFS(tblCarga[Distância Total (m)],tblCarga[Jogador],A29,tblCarga[Microciclo (Nr)],$K$2,tblCarga[Tipo],"Treino"))</f>
        <v/>
      </c>
      <c r="D29" s="604">
        <f>IF(A29="","",AVERAGEIFS(tblCarga[Distância Total (m)],tblCarga[Jogador],A29,tblCarga[Tipo],"Treino"))</f>
        <v/>
      </c>
      <c r="E29" s="605">
        <f>IF(A29="","",IFERROR(C29/D29-1,"—"))</f>
        <v/>
      </c>
      <c r="F29" s="606">
        <f>IF(A29="","",AVERAGEIFS(tblCarga[PSE Sessão],tblCarga[Jogador],A29,tblCarga[Microciclo (Nr)],$K$2,tblCarga[Tipo],"Treino"))</f>
        <v/>
      </c>
      <c r="G29" s="606">
        <f>IF(A29="","",AVERAGEIFS(tblCarga[PSE Sessão],tblCarga[Jogador],A29,tblCarga[Tipo],"Treino"))</f>
        <v/>
      </c>
      <c r="H29" s="605">
        <f>IF(A29="","",IFERROR(F29/G29-1,"—"))</f>
        <v/>
      </c>
      <c r="I29" s="105">
        <f>IF(A29="","",_xlfn.MAXIFS(tblCarga[Vel. Máx (km/h)],tblCarga[Jogador],A29,tblCarga[Microciclo (Nr)],$K$2))</f>
        <v/>
      </c>
      <c r="J29" s="606">
        <f>IF(A29="","",_xlfn.MAXIFS(tblCarga[Vel. Máx (km/h)],tblCarga[Jogador],A29))</f>
        <v/>
      </c>
      <c r="K29" s="605">
        <f>IF(A29="","",IFERROR(I29/J29,"—"))</f>
        <v/>
      </c>
      <c r="L29" s="16">
        <f>IF(A29="","",IFERROR(TODAY()-_xlfn.MAXIFS(tblCarga[Data],tblCarga[Jogador],A29,tblCarga[Nº ≥90% Vmáx],"&gt;0"),"—"))</f>
        <v/>
      </c>
      <c r="M29" s="9">
        <f>IF(A29="","",IF(OR(L29&gt;14,ABS(E29)&gt;0.2,K29&lt;0.85),"⚠️ Atenção","✅ OK"))</f>
        <v/>
      </c>
    </row>
    <row r="30" hidden="1" outlineLevel="1">
      <c r="A30" s="42">
        <f t="array" ref="A30">IFERROR(INDEX(_xlfn._xlws.SORT(_xlfn.UNIQUE(_xlfn._xlws.FILTER(tblCarga[Jogador],(tblCarga[Tipo]="Treino")))),21),"")</f>
        <v/>
      </c>
      <c r="B30" s="604">
        <f>IF(A30="","",_xlfn.XLOOKUP(A30,tblCarga[Jogador],tblCarga[Posição]))</f>
        <v/>
      </c>
      <c r="C30" s="604">
        <f>IF(A30="","",AVERAGEIFS(tblCarga[Distância Total (m)],tblCarga[Jogador],A30,tblCarga[Microciclo (Nr)],$K$2,tblCarga[Tipo],"Treino"))</f>
        <v/>
      </c>
      <c r="D30" s="604">
        <f>IF(A30="","",AVERAGEIFS(tblCarga[Distância Total (m)],tblCarga[Jogador],A30,tblCarga[Tipo],"Treino"))</f>
        <v/>
      </c>
      <c r="E30" s="605">
        <f>IF(A30="","",IFERROR(C30/D30-1,"—"))</f>
        <v/>
      </c>
      <c r="F30" s="606">
        <f>IF(A30="","",AVERAGEIFS(tblCarga[PSE Sessão],tblCarga[Jogador],A30,tblCarga[Microciclo (Nr)],$K$2,tblCarga[Tipo],"Treino"))</f>
        <v/>
      </c>
      <c r="G30" s="606">
        <f>IF(A30="","",AVERAGEIFS(tblCarga[PSE Sessão],tblCarga[Jogador],A30,tblCarga[Tipo],"Treino"))</f>
        <v/>
      </c>
      <c r="H30" s="605">
        <f>IF(A30="","",IFERROR(F30/G30-1,"—"))</f>
        <v/>
      </c>
      <c r="I30" s="105">
        <f>IF(A30="","",_xlfn.MAXIFS(tblCarga[Vel. Máx (km/h)],tblCarga[Jogador],A30,tblCarga[Microciclo (Nr)],$K$2))</f>
        <v/>
      </c>
      <c r="J30" s="606">
        <f>IF(A30="","",_xlfn.MAXIFS(tblCarga[Vel. Máx (km/h)],tblCarga[Jogador],A30))</f>
        <v/>
      </c>
      <c r="K30" s="605">
        <f>IF(A30="","",IFERROR(I30/J30,"—"))</f>
        <v/>
      </c>
      <c r="L30" s="16">
        <f>IF(A30="","",IFERROR(TODAY()-_xlfn.MAXIFS(tblCarga[Data],tblCarga[Jogador],A30,tblCarga[Nº ≥90% Vmáx],"&gt;0"),"—"))</f>
        <v/>
      </c>
      <c r="M30" s="9">
        <f>IF(A30="","",IF(OR(L30&gt;14,ABS(E30)&gt;0.2,K30&lt;0.85),"⚠️ Atenção","✅ OK"))</f>
        <v/>
      </c>
    </row>
    <row r="31" hidden="1" outlineLevel="1">
      <c r="A31" s="42">
        <f t="array" ref="A31">IFERROR(INDEX(_xlfn._xlws.SORT(_xlfn.UNIQUE(_xlfn._xlws.FILTER(tblCarga[Jogador],(tblCarga[Tipo]="Treino")))),22),"")</f>
        <v/>
      </c>
      <c r="B31" s="604">
        <f>IF(A31="","",_xlfn.XLOOKUP(A31,tblCarga[Jogador],tblCarga[Posição]))</f>
        <v/>
      </c>
      <c r="C31" s="604">
        <f>IF(A31="","",AVERAGEIFS(tblCarga[Distância Total (m)],tblCarga[Jogador],A31,tblCarga[Microciclo (Nr)],$K$2,tblCarga[Tipo],"Treino"))</f>
        <v/>
      </c>
      <c r="D31" s="604">
        <f>IF(A31="","",AVERAGEIFS(tblCarga[Distância Total (m)],tblCarga[Jogador],A31,tblCarga[Tipo],"Treino"))</f>
        <v/>
      </c>
      <c r="E31" s="605">
        <f>IF(A31="","",IFERROR(C31/D31-1,"—"))</f>
        <v/>
      </c>
      <c r="F31" s="606">
        <f>IF(A31="","",AVERAGEIFS(tblCarga[PSE Sessão],tblCarga[Jogador],A31,tblCarga[Microciclo (Nr)],$K$2,tblCarga[Tipo],"Treino"))</f>
        <v/>
      </c>
      <c r="G31" s="606">
        <f>IF(A31="","",AVERAGEIFS(tblCarga[PSE Sessão],tblCarga[Jogador],A31,tblCarga[Tipo],"Treino"))</f>
        <v/>
      </c>
      <c r="H31" s="605">
        <f>IF(A31="","",IFERROR(F31/G31-1,"—"))</f>
        <v/>
      </c>
      <c r="I31" s="105">
        <f>IF(A31="","",_xlfn.MAXIFS(tblCarga[Vel. Máx (km/h)],tblCarga[Jogador],A31,tblCarga[Microciclo (Nr)],$K$2))</f>
        <v/>
      </c>
      <c r="J31" s="606">
        <f>IF(A31="","",_xlfn.MAXIFS(tblCarga[Vel. Máx (km/h)],tblCarga[Jogador],A31))</f>
        <v/>
      </c>
      <c r="K31" s="605">
        <f>IF(A31="","",IFERROR(I31/J31,"—"))</f>
        <v/>
      </c>
      <c r="L31" s="16">
        <f>IF(A31="","",IFERROR(TODAY()-_xlfn.MAXIFS(tblCarga[Data],tblCarga[Jogador],A31,tblCarga[Nº ≥90% Vmáx],"&gt;0"),"—"))</f>
        <v/>
      </c>
      <c r="M31" s="9">
        <f>IF(A31="","",IF(OR(L31&gt;14,ABS(E31)&gt;0.2,K31&lt;0.85),"⚠️ Atenção","✅ OK"))</f>
        <v/>
      </c>
    </row>
    <row r="32" hidden="1" outlineLevel="1">
      <c r="A32" s="35">
        <f t="array" ref="A32">IFERROR(INDEX(_xlfn._xlws.SORT(_xlfn.UNIQUE(_xlfn._xlws.FILTER(tblCarga[Jogador],(tblCarga[Tipo]="Treino")))),23),"")</f>
        <v/>
      </c>
      <c r="B32" s="35">
        <f>IF(A32="","",_xlfn.XLOOKUP(A32,tblCarga[Jogador],tblCarga[Posição]))</f>
        <v/>
      </c>
      <c r="C32" s="36">
        <f>IF(A32="","",AVERAGEIFS(tblCarga[Distância Total (m)],tblCarga[Jogador],A32,tblCarga[Microciclo (Nr)],$K$2,tblCarga[Tipo],"Treino"))</f>
        <v/>
      </c>
      <c r="D32" s="36">
        <f>IF(A32="","",AVERAGEIFS(tblCarga[Distância Total (m)],tblCarga[Jogador],A32,tblCarga[Tipo],"Treino"))</f>
        <v/>
      </c>
      <c r="E32" s="448">
        <f>IF(A32="","",IFERROR(C32/D32-1,"—"))</f>
        <v/>
      </c>
      <c r="F32" s="38">
        <f>IF(A32="","",AVERAGEIFS(tblCarga[PSE Sessão],tblCarga[Jogador],A32,tblCarga[Microciclo (Nr)],$K$2,tblCarga[Tipo],"Treino"))</f>
        <v/>
      </c>
      <c r="G32" s="38">
        <f>IF(A32="","",AVERAGEIFS(tblCarga[PSE Sessão],tblCarga[Jogador],A32,tblCarga[Tipo],"Treino"))</f>
        <v/>
      </c>
      <c r="H32" s="448">
        <f>IF(A32="","",IFERROR(F32/G32-1,"—"))</f>
        <v/>
      </c>
      <c r="I32" s="38">
        <f>IF(A32="","",_xlfn.MAXIFS(tblCarga[Vel. Máx (km/h)],tblCarga[Jogador],A32,tblCarga[Microciclo (Nr)],$K$2))</f>
        <v/>
      </c>
      <c r="J32" s="38">
        <f>IF(A32="","",_xlfn.MAXIFS(tblCarga[Vel. Máx (km/h)],tblCarga[Jogador],A32))</f>
        <v/>
      </c>
      <c r="K32" s="448">
        <f>IF(A32="","",IFERROR(I32/J32,"—"))</f>
        <v/>
      </c>
      <c r="L32" s="16">
        <f>IF(A32="","",IFERROR(TODAY()-_xlfn.MAXIFS(tblCarga[Data],tblCarga[Jogador],A32,tblCarga[Nº ≥90% Vmáx],"&gt;0"),"—"))</f>
        <v/>
      </c>
      <c r="M32" s="9">
        <f>IF(A32="","",IF(OR(L32&gt;14,ABS(E32)&gt;0.2,K32&lt;0.85),"⚠️ Atenção","✅ OK"))</f>
        <v/>
      </c>
    </row>
    <row r="33" hidden="1" outlineLevel="1">
      <c r="A33" s="42">
        <f t="array" ref="A33">IFERROR(INDEX(_xlfn._xlws.SORT(_xlfn.UNIQUE(_xlfn._xlws.FILTER(tblCarga[Jogador],(tblCarga[Tipo]="Treino")))),24),"")</f>
        <v/>
      </c>
      <c r="B33" s="603">
        <f>IF(A33="","",_xlfn.XLOOKUP(A33,tblCarga[Jogador],tblCarga[Posição]))</f>
        <v/>
      </c>
      <c r="C33" s="604">
        <f>IF(A33="","",AVERAGEIFS(tblCarga[Distância Total (m)],tblCarga[Jogador],A33,tblCarga[Microciclo (Nr)],$K$2,tblCarga[Tipo],"Treino"))</f>
        <v/>
      </c>
      <c r="D33" s="604">
        <f>IF(A33="","",AVERAGEIFS(tblCarga[Distância Total (m)],tblCarga[Jogador],A33,tblCarga[Tipo],"Treino"))</f>
        <v/>
      </c>
      <c r="E33" s="605">
        <f>IF(A33="","",IFERROR(C33/D33-1,"—"))</f>
        <v/>
      </c>
      <c r="F33" s="606">
        <f>IF(A33="","",AVERAGEIFS(tblCarga[PSE Sessão],tblCarga[Jogador],A33,tblCarga[Microciclo (Nr)],$K$2,tblCarga[Tipo],"Treino"))</f>
        <v/>
      </c>
      <c r="G33" s="606">
        <f>IF(A33="","",AVERAGEIFS(tblCarga[PSE Sessão],tblCarga[Jogador],A33,tblCarga[Tipo],"Treino"))</f>
        <v/>
      </c>
      <c r="H33" s="605">
        <f>IF(A33="","",IFERROR(F33/G33-1,"—"))</f>
        <v/>
      </c>
      <c r="I33" s="606">
        <f>IF(A33="","",_xlfn.MAXIFS(tblCarga[Vel. Máx (km/h)],tblCarga[Jogador],A33,tblCarga[Microciclo (Nr)],$K$2))</f>
        <v/>
      </c>
      <c r="J33" s="606">
        <f>IF(A33="","",_xlfn.MAXIFS(tblCarga[Vel. Máx (km/h)],tblCarga[Jogador],A33))</f>
        <v/>
      </c>
      <c r="K33" s="605">
        <f>IF(A33="","",IFERROR(I33/J33,"—"))</f>
        <v/>
      </c>
      <c r="L33" s="16">
        <f>IF(A33="","",IFERROR(TODAY()-_xlfn.MAXIFS(tblCarga[Data],tblCarga[Jogador],A33,tblCarga[Nº ≥90% Vmáx],"&gt;0"),"—"))</f>
        <v/>
      </c>
      <c r="M33" s="9">
        <f>IF(A33="","",IF(OR(L33&gt;14,ABS(E33)&gt;0.2,K33&lt;0.85),"⚠️ Atenção","✅ OK"))</f>
        <v/>
      </c>
    </row>
    <row r="34" hidden="1" outlineLevel="1">
      <c r="A34" s="42">
        <f t="array" ref="A34">IFERROR(INDEX(_xlfn._xlws.SORT(_xlfn.UNIQUE(_xlfn._xlws.FILTER(tblCarga[Jogador],(tblCarga[Tipo]="Treino")))),25),"")</f>
        <v/>
      </c>
      <c r="B34" s="603">
        <f>IF(A34="","",_xlfn.XLOOKUP(A34,tblCarga[Jogador],tblCarga[Posição]))</f>
        <v/>
      </c>
      <c r="C34" s="604">
        <f>IF(A34="","",AVERAGEIFS(tblCarga[Distância Total (m)],tblCarga[Jogador],A34,tblCarga[Microciclo (Nr)],$K$2,tblCarga[Tipo],"Treino"))</f>
        <v/>
      </c>
      <c r="D34" s="604">
        <f>IF(A34="","",AVERAGEIFS(tblCarga[Distância Total (m)],tblCarga[Jogador],A34,tblCarga[Tipo],"Treino"))</f>
        <v/>
      </c>
      <c r="E34" s="605">
        <f>IF(A34="","",IFERROR(C34/D34-1,"—"))</f>
        <v/>
      </c>
      <c r="F34" s="606">
        <f>IF(A34="","",AVERAGEIFS(tblCarga[PSE Sessão],tblCarga[Jogador],A34,tblCarga[Microciclo (Nr)],$K$2,tblCarga[Tipo],"Treino"))</f>
        <v/>
      </c>
      <c r="G34" s="606">
        <f>IF(A34="","",AVERAGEIFS(tblCarga[PSE Sessão],tblCarga[Jogador],A34,tblCarga[Tipo],"Treino"))</f>
        <v/>
      </c>
      <c r="H34" s="605">
        <f>IF(A34="","",IFERROR(F34/G34-1,"—"))</f>
        <v/>
      </c>
      <c r="I34" s="606">
        <f>IF(A34="","",_xlfn.MAXIFS(tblCarga[Vel. Máx (km/h)],tblCarga[Jogador],A34,tblCarga[Microciclo (Nr)],$K$2))</f>
        <v/>
      </c>
      <c r="J34" s="606">
        <f>IF(A34="","",_xlfn.MAXIFS(tblCarga[Vel. Máx (km/h)],tblCarga[Jogador],A34))</f>
        <v/>
      </c>
      <c r="K34" s="605">
        <f>IF(A34="","",IFERROR(I34/J34,"—"))</f>
        <v/>
      </c>
      <c r="L34" s="16">
        <f>IF(A34="","",IFERROR(TODAY()-_xlfn.MAXIFS(tblCarga[Data],tblCarga[Jogador],A34,tblCarga[Nº ≥90% Vmáx],"&gt;0"),"—"))</f>
        <v/>
      </c>
      <c r="M34" s="9">
        <f>IF(A34="","",IF(OR(L34&gt;14,ABS(E34)&gt;0.2,K34&lt;0.85),"⚠️ Atenção","✅ OK"))</f>
        <v/>
      </c>
    </row>
    <row r="35" hidden="1" outlineLevel="1">
      <c r="A35" s="603">
        <f t="array" ref="A35">IFERROR(INDEX(_xlfn._xlws.SORT(_xlfn.UNIQUE(_xlfn._xlws.FILTER(tblCarga[Jogador],(tblCarga[Tipo]="Treino")))),26),"")</f>
        <v/>
      </c>
      <c r="B35" s="603">
        <f>IF(A35="","",_xlfn.XLOOKUP(A35,tblCarga[Jogador],tblCarga[Posição]))</f>
        <v/>
      </c>
      <c r="C35" s="603">
        <f>IF(A35="","",AVERAGEIFS(tblCarga[Distância Total (m)],tblCarga[Jogador],A35,tblCarga[Microciclo (Nr)],$K$2,tblCarga[Tipo],"Treino"))</f>
        <v/>
      </c>
      <c r="D35" s="603">
        <f>IF(A35="","",AVERAGEIFS(tblCarga[Distância Total (m)],tblCarga[Jogador],A35,tblCarga[Tipo],"Treino"))</f>
        <v/>
      </c>
      <c r="E35" s="605">
        <f>IF(A35="","",IFERROR(C35/D35-1,"—"))</f>
        <v/>
      </c>
      <c r="F35" s="603">
        <f>IF(A35="","",AVERAGEIFS(tblCarga[PSE Sessão],tblCarga[Jogador],A35,tblCarga[Microciclo (Nr)],$K$2,tblCarga[Tipo],"Treino"))</f>
        <v/>
      </c>
      <c r="G35" s="603">
        <f>IF(A35="","",AVERAGEIFS(tblCarga[PSE Sessão],tblCarga[Jogador],A35,tblCarga[Tipo],"Treino"))</f>
        <v/>
      </c>
      <c r="H35" s="605">
        <f>IF(A35="","",IFERROR(F35/G35-1,"—"))</f>
        <v/>
      </c>
      <c r="I35" s="603">
        <f>IF(A35="","",_xlfn.MAXIFS(tblCarga[Vel. Máx (km/h)],tblCarga[Jogador],A35,tblCarga[Microciclo (Nr)],$K$2))</f>
        <v/>
      </c>
      <c r="J35" s="603">
        <f>IF(A35="","",_xlfn.MAXIFS(tblCarga[Vel. Máx (km/h)],tblCarga[Jogador],A35))</f>
        <v/>
      </c>
      <c r="K35" s="605">
        <f>IF(A35="","",IFERROR(I35/J35,"—"))</f>
        <v/>
      </c>
      <c r="L35" s="9" t="n"/>
      <c r="M35" s="9" t="n"/>
    </row>
    <row r="36" collapsed="1">
      <c r="A36" s="602">
        <f t="array" ref="A36">IFERROR(INDEX(_xlfn._xlws.SORT(_xlfn.UNIQUE(_xlfn._xlws.FILTER(tblCarga[Jogador],(tblCarga[Tipo]="Treino")))),27),"")</f>
        <v/>
      </c>
      <c r="L36" s="9" t="n"/>
      <c r="M36" s="9" t="n"/>
    </row>
    <row r="37">
      <c r="A37" s="106">
        <f t="array" ref="A37">IFERROR(INDEX(_xlfn._xlws.SORT(_xlfn.UNIQUE(_xlfn._xlws.FILTER(tblCarga[Jogador],(tblCarga[Tipo]="Treino")))),28),"")</f>
        <v/>
      </c>
      <c r="B37" s="106">
        <f>IF(A37="","",_xlfn.XLOOKUP(A37,tblCarga[Jogador],tblCarga[Posição]))</f>
        <v/>
      </c>
      <c r="C37" s="106">
        <f>IF(A37="","",AVERAGEIFS(tblCarga[Distância Total (m)],tblCarga[Jogador],A37,tblCarga[Microciclo (Nr)],$K$2,tblCarga[Tipo],"Treino"))</f>
        <v/>
      </c>
      <c r="D37" s="106">
        <f>IF(A37="","",AVERAGEIFS(tblCarga[Distância Total (m)],tblCarga[Jogador],A37,tblCarga[Tipo],"Treino"))</f>
        <v/>
      </c>
      <c r="E37" s="107">
        <f>IF(A37="","",IFERROR(C37/D37-1,"—"))</f>
        <v/>
      </c>
      <c r="F37" s="106">
        <f>IF(A37="","",AVERAGEIFS(tblCarga[PSE Sessão],tblCarga[Jogador],A37,tblCarga[Microciclo (Nr)],$K$2,tblCarga[Tipo],"Treino"))</f>
        <v/>
      </c>
      <c r="G37" s="106">
        <f>IF(A37="","",AVERAGEIFS(tblCarga[PSE Sessão],tblCarga[Jogador],A37,tblCarga[Tipo],"Treino"))</f>
        <v/>
      </c>
      <c r="H37" s="107">
        <f>IF(A37="","",IFERROR(F37/G37-1,"—"))</f>
        <v/>
      </c>
      <c r="I37" s="106">
        <f>IF(A37="","",_xlfn.MAXIFS(tblCarga[Vel. Máx (km/h)],tblCarga[Jogador],A37,tblCarga[Microciclo (Nr)],$K$2))</f>
        <v/>
      </c>
      <c r="J37" s="106">
        <f>IF(A37="","",_xlfn.MAXIFS(tblCarga[Vel. Máx (km/h)],tblCarga[Jogador],A37))</f>
        <v/>
      </c>
      <c r="K37" s="107">
        <f>IF(A37="","",IFERROR(I37/J37,"—"))</f>
        <v/>
      </c>
      <c r="L37" s="9" t="n"/>
      <c r="M37" s="9" t="n"/>
    </row>
    <row r="38">
      <c r="A38" s="42">
        <f t="array" ref="A38">IFERROR(INDEX(_xlfn._xlws.SORT(_xlfn.UNIQUE(_xlfn._xlws.FILTER(tblCarga[Jogador],(tblCarga[Tipo]="Treino")))),29),"")</f>
        <v/>
      </c>
      <c r="B38" s="604">
        <f>IF(A38="","",_xlfn.XLOOKUP(A38,tblCarga[Jogador],tblCarga[Posição]))</f>
        <v/>
      </c>
      <c r="C38" s="604">
        <f>IF(A38="","",AVERAGEIFS(tblCarga[Distância Total (m)],tblCarga[Jogador],A38,tblCarga[Microciclo (Nr)],$K$2,tblCarga[Tipo],"Treino"))</f>
        <v/>
      </c>
      <c r="D38" s="604">
        <f>IF(A38="","",AVERAGEIFS(tblCarga[Distância Total (m)],tblCarga[Jogador],A38,tblCarga[Tipo],"Treino"))</f>
        <v/>
      </c>
      <c r="E38" s="605">
        <f>IF(A38="","",IFERROR(C38/D38-1,"—"))</f>
        <v/>
      </c>
      <c r="F38" s="604">
        <f>IF(A38="","",AVERAGEIFS(tblCarga[PSE Sessão],tblCarga[Jogador],A38,tblCarga[Microciclo (Nr)],$K$2,tblCarga[Tipo],"Treino"))</f>
        <v/>
      </c>
      <c r="G38" s="604">
        <f>IF(A38="","",AVERAGEIFS(tblCarga[PSE Sessão],tblCarga[Jogador],A38,tblCarga[Tipo],"Treino"))</f>
        <v/>
      </c>
      <c r="H38" s="605">
        <f>IF(A38="","",IFERROR(F38/G38-1,"—"))</f>
        <v/>
      </c>
      <c r="I38" s="43">
        <f>IF(A38="","",_xlfn.MAXIFS(tblCarga[Vel. Máx (km/h)],tblCarga[Jogador],A38,tblCarga[Microciclo (Nr)],$K$2))</f>
        <v/>
      </c>
      <c r="J38" s="604">
        <f>IF(A38="","",_xlfn.MAXIFS(tblCarga[Vel. Máx (km/h)],tblCarga[Jogador],A38))</f>
        <v/>
      </c>
      <c r="K38" s="605">
        <f>IF(A38="","",IFERROR(I38/J38,"—"))</f>
        <v/>
      </c>
      <c r="L38" s="9" t="n"/>
      <c r="M38" s="9" t="n"/>
    </row>
    <row r="39">
      <c r="A39" s="42">
        <f t="array" ref="A39">IFERROR(INDEX(_xlfn._xlws.SORT(_xlfn.UNIQUE(_xlfn._xlws.FILTER(tblCarga[Jogador],(tblCarga[Tipo]="Treino")))),30),"")</f>
        <v/>
      </c>
      <c r="B39" s="604">
        <f>IF(A39="","",_xlfn.XLOOKUP(A39,tblCarga[Jogador],tblCarga[Posição]))</f>
        <v/>
      </c>
      <c r="C39" s="604">
        <f>IF(A39="","",AVERAGEIFS(tblCarga[Distância Total (m)],tblCarga[Jogador],A39,tblCarga[Microciclo (Nr)],$K$2,tblCarga[Tipo],"Treino"))</f>
        <v/>
      </c>
      <c r="D39" s="604">
        <f>IF(A39="","",AVERAGEIFS(tblCarga[Distância Total (m)],tblCarga[Jogador],A39,tblCarga[Tipo],"Treino"))</f>
        <v/>
      </c>
      <c r="E39" s="605">
        <f>IF(A39="","",IFERROR(C39/D39-1,"—"))</f>
        <v/>
      </c>
      <c r="F39" s="604">
        <f>IF(A39="","",AVERAGEIFS(tblCarga[PSE Sessão],tblCarga[Jogador],A39,tblCarga[Microciclo (Nr)],$K$2,tblCarga[Tipo],"Treino"))</f>
        <v/>
      </c>
      <c r="G39" s="604">
        <f>IF(A39="","",AVERAGEIFS(tblCarga[PSE Sessão],tblCarga[Jogador],A39,tblCarga[Tipo],"Treino"))</f>
        <v/>
      </c>
      <c r="H39" s="605">
        <f>IF(A39="","",IFERROR(F39/G39-1,"—"))</f>
        <v/>
      </c>
      <c r="I39" s="43">
        <f>IF(A39="","",_xlfn.MAXIFS(tblCarga[Vel. Máx (km/h)],tblCarga[Jogador],A39,tblCarga[Microciclo (Nr)],$K$2))</f>
        <v/>
      </c>
      <c r="J39" s="604">
        <f>IF(A39="","",_xlfn.MAXIFS(tblCarga[Vel. Máx (km/h)],tblCarga[Jogador],A39))</f>
        <v/>
      </c>
      <c r="K39" s="605">
        <f>IF(A39="","",IFERROR(I39/J39,"—"))</f>
        <v/>
      </c>
      <c r="L39" s="9" t="n"/>
      <c r="M39" s="9" t="n"/>
    </row>
    <row r="40">
      <c r="A40" s="115" t="inlineStr">
        <is>
          <t>C — EVOLUÇÃO CI POR MICROCICLO  |  Carga Interna Semanal (PSE × Duração)</t>
        </is>
      </c>
      <c r="B40" s="449">
        <f>"MC "&amp;$K$2-6</f>
        <v/>
      </c>
      <c r="C40" s="449">
        <f>"MC "&amp;$K$2-5</f>
        <v/>
      </c>
      <c r="D40" s="449">
        <f>"MC "&amp;$K$2-4</f>
        <v/>
      </c>
      <c r="E40" s="450">
        <f>"MC "&amp;$K$2-3</f>
        <v/>
      </c>
      <c r="F40" s="449">
        <f>"MC "&amp;$K$2-2</f>
        <v/>
      </c>
      <c r="G40" s="449">
        <f>"MC "&amp;$K$2-1</f>
        <v/>
      </c>
      <c r="H40" s="450">
        <f>"MC "&amp;$K$2</f>
        <v/>
      </c>
      <c r="I40" s="449" t="inlineStr">
        <is>
          <t>CI Total</t>
        </is>
      </c>
      <c r="J40" s="449" t="inlineStr">
        <is>
          <t>CI Média</t>
        </is>
      </c>
      <c r="K40" s="450" t="inlineStr">
        <is>
          <t>Tendência</t>
        </is>
      </c>
      <c r="L40" s="9" t="n"/>
      <c r="M40" s="9" t="n"/>
    </row>
    <row r="41" ht="27.95" customHeight="1">
      <c r="A41" s="600">
        <f t="array" ref="A41">IFERROR(INDEX(_xlfn._xlws.SORT(_xlfn.UNIQUE(_xlfn._xlws.FILTER(tblCarga[Jogador],(tblCarga[Tipo]="Treino")))),3),"")</f>
        <v/>
      </c>
      <c r="B41" s="451">
        <f t="array" ref="B41">IF(A41="","",SUMPRODUCT((tblCarga[Jogador]=A41)*(tblCarga[Microciclo (Nr)]=$K$2-6)*(tblCarga[Tipo]="Treino")*tblCarga[PSE Sessão]*tblCarga[Duração (min)]))</f>
        <v/>
      </c>
      <c r="C41" s="451">
        <f t="array" ref="C41">IF(A41="","",SUMPRODUCT((tblCarga[Jogador]=A41)*(tblCarga[Microciclo (Nr)]=$K$2-5)*(tblCarga[Tipo]="Treino")*tblCarga[PSE Sessão]*tblCarga[Duração (min)]))</f>
        <v/>
      </c>
      <c r="D41" s="451">
        <f t="array" ref="D41">IF(A41="","",SUMPRODUCT((tblCarga[Jogador]=A41)*(tblCarga[Microciclo (Nr)]=$K$2-4)*(tblCarga[Tipo]="Treino")*tblCarga[PSE Sessão]*tblCarga[Duração (min)]))</f>
        <v/>
      </c>
      <c r="E41" s="451">
        <f t="array" ref="E41">IF(A41="","",SUMPRODUCT((tblCarga[Jogador]=A41)*(tblCarga[Microciclo (Nr)]=$K$2-3)*(tblCarga[Tipo]="Treino")*tblCarga[PSE Sessão]*tblCarga[Duração (min)]))</f>
        <v/>
      </c>
      <c r="F41" s="451">
        <f t="array" ref="F41">IF(A41="","",SUMPRODUCT((tblCarga[Jogador]=A41)*(tblCarga[Microciclo (Nr)]=$K$2-2)*(tblCarga[Tipo]="Treino")*tblCarga[PSE Sessão]*tblCarga[Duração (min)]))</f>
        <v/>
      </c>
      <c r="G41" s="451">
        <f t="array" ref="G41">IF(A41="","",SUMPRODUCT((tblCarga[Jogador]=A41)*(tblCarga[Microciclo (Nr)]=$K$2-1)*(tblCarga[Tipo]="Treino")*tblCarga[PSE Sessão]*tblCarga[Duração (min)]))</f>
        <v/>
      </c>
      <c r="H41" s="451">
        <f t="array" ref="H41">IF(A41="","",SUMPRODUCT((tblCarga[Jogador]=A41)*(tblCarga[Microciclo (Nr)]=$K$2-0)*(tblCarga[Tipo]="Treino")*tblCarga[PSE Sessão]*tblCarga[Duração (min)]))</f>
        <v/>
      </c>
      <c r="I41" s="452">
        <f>IF(A41="","",SUM(B41:H41))</f>
        <v/>
      </c>
      <c r="J41" s="451">
        <f>IF(A41="","",AVERAGE(B41:H41))</f>
        <v/>
      </c>
      <c r="K41" s="612">
        <f>IF(A41="","",IFERROR(IF(AVERAGE(F41:H41)&gt;AVERAGE(B41:D41),"📈 ↑","📉 ↓"),"—"))</f>
        <v/>
      </c>
      <c r="L41" s="601" t="n"/>
      <c r="M41" s="601" t="n"/>
    </row>
    <row r="42" ht="27.95" customHeight="1">
      <c r="A42" s="193">
        <f t="array" ref="A42">IFERROR(INDEX(_xlfn._xlws.SORT(_xlfn.UNIQUE(_xlfn._xlws.FILTER(tblCarga[Jogador],(tblCarga[Tipo]="Treino")))),4),"")</f>
        <v/>
      </c>
      <c r="B42" s="351">
        <f t="array" ref="B42">IF(A42="","",SUMPRODUCT((tblCarga[Jogador]=A42)*(tblCarga[Microciclo (Nr)]=$K$2-6)*(tblCarga[Tipo]="Treino")*tblCarga[PSE Sessão]*tblCarga[Duração (min)]))</f>
        <v/>
      </c>
      <c r="C42" s="351">
        <f t="array" ref="C42">IF(A42="","",SUMPRODUCT((tblCarga[Jogador]=A42)*(tblCarga[Microciclo (Nr)]=$K$2-5)*(tblCarga[Tipo]="Treino")*tblCarga[PSE Sessão]*tblCarga[Duração (min)]))</f>
        <v/>
      </c>
      <c r="D42" s="351">
        <f t="array" ref="D42">IF(A42="","",SUMPRODUCT((tblCarga[Jogador]=A42)*(tblCarga[Microciclo (Nr)]=$K$2-4)*(tblCarga[Tipo]="Treino")*tblCarga[PSE Sessão]*tblCarga[Duração (min)]))</f>
        <v/>
      </c>
      <c r="E42" s="351">
        <f t="array" ref="E42">IF(A42="","",SUMPRODUCT((tblCarga[Jogador]=A42)*(tblCarga[Microciclo (Nr)]=$K$2-3)*(tblCarga[Tipo]="Treino")*tblCarga[PSE Sessão]*tblCarga[Duração (min)]))</f>
        <v/>
      </c>
      <c r="F42" s="351">
        <f t="array" ref="F42">IF(A42="","",SUMPRODUCT((tblCarga[Jogador]=A42)*(tblCarga[Microciclo (Nr)]=$K$2-2)*(tblCarga[Tipo]="Treino")*tblCarga[PSE Sessão]*tblCarga[Duração (min)]))</f>
        <v/>
      </c>
      <c r="G42" s="351">
        <f t="array" ref="G42">IF(A42="","",SUMPRODUCT((tblCarga[Jogador]=A42)*(tblCarga[Microciclo (Nr)]=$K$2-1)*(tblCarga[Tipo]="Treino")*tblCarga[PSE Sessão]*tblCarga[Duração (min)]))</f>
        <v/>
      </c>
      <c r="H42" s="351">
        <f t="array" ref="H42">IF(A42="","",SUMPRODUCT((tblCarga[Jogador]=A42)*(tblCarga[Microciclo (Nr)]=$K$2-0)*(tblCarga[Tipo]="Treino")*tblCarga[PSE Sessão]*tblCarga[Duração (min)]))</f>
        <v/>
      </c>
      <c r="I42" s="351">
        <f>IF(A42="","",SUM(B42:H42))</f>
        <v/>
      </c>
      <c r="J42" s="351">
        <f>IF(A42="","",AVERAGE(B42:H42))</f>
        <v/>
      </c>
      <c r="K42" s="193">
        <f>IF(A42="","",IFERROR(IF(AVERAGE(F42:H42)&gt;AVERAGE(B42:D42),"📈 ↑","📉 ↓"),"—"))</f>
        <v/>
      </c>
      <c r="L42" s="193" t="n"/>
      <c r="M42" s="193" t="n"/>
    </row>
    <row r="43" ht="24" customHeight="1">
      <c r="A43" s="136">
        <f t="array" ref="A43">IFERROR(INDEX(_xlfn._xlws.SORT(_xlfn.UNIQUE(_xlfn._xlws.FILTER(tblCarga[Jogador],(tblCarga[Tipo]="Treino")))),5),"")</f>
        <v/>
      </c>
      <c r="B43" s="435">
        <f t="array" ref="B43">IF(A43="","",SUMPRODUCT((tblCarga[Jogador]=A43)*(tblCarga[Microciclo (Nr)]=$K$2-6)*(tblCarga[Tipo]="Treino")*tblCarga[PSE Sessão]*tblCarga[Duração (min)]))</f>
        <v/>
      </c>
      <c r="C43" s="435">
        <f t="array" ref="C43">IF(A43="","",SUMPRODUCT((tblCarga[Jogador]=A43)*(tblCarga[Microciclo (Nr)]=$K$2-5)*(tblCarga[Tipo]="Treino")*tblCarga[PSE Sessão]*tblCarga[Duração (min)]))</f>
        <v/>
      </c>
      <c r="D43" s="435">
        <f t="array" ref="D43">IF(A43="","",SUMPRODUCT((tblCarga[Jogador]=A43)*(tblCarga[Microciclo (Nr)]=$K$2-4)*(tblCarga[Tipo]="Treino")*tblCarga[PSE Sessão]*tblCarga[Duração (min)]))</f>
        <v/>
      </c>
      <c r="E43" s="435">
        <f t="array" ref="E43">IF(A43="","",SUMPRODUCT((tblCarga[Jogador]=A43)*(tblCarga[Microciclo (Nr)]=$K$2-3)*(tblCarga[Tipo]="Treino")*tblCarga[PSE Sessão]*tblCarga[Duração (min)]))</f>
        <v/>
      </c>
      <c r="F43" s="435">
        <f t="array" ref="F43">IF(A43="","",SUMPRODUCT((tblCarga[Jogador]=A43)*(tblCarga[Microciclo (Nr)]=$K$2-2)*(tblCarga[Tipo]="Treino")*tblCarga[PSE Sessão]*tblCarga[Duração (min)]))</f>
        <v/>
      </c>
      <c r="G43" s="435">
        <f t="array" ref="G43">IF(A43="","",SUMPRODUCT((tblCarga[Jogador]=A43)*(tblCarga[Microciclo (Nr)]=$K$2-1)*(tblCarga[Tipo]="Treino")*tblCarga[PSE Sessão]*tblCarga[Duração (min)]))</f>
        <v/>
      </c>
      <c r="H43" s="435">
        <f t="array" ref="H43">IF(A43="","",SUMPRODUCT((tblCarga[Jogador]=A43)*(tblCarga[Microciclo (Nr)]=$K$2-0)*(tblCarga[Tipo]="Treino")*tblCarga[PSE Sessão]*tblCarga[Duração (min)]))</f>
        <v/>
      </c>
      <c r="I43" s="453">
        <f>IF(A43="","",SUM(B43:H43))</f>
        <v/>
      </c>
      <c r="J43" s="435">
        <f>IF(A43="","",AVERAGE(B43:H43))</f>
        <v/>
      </c>
      <c r="K43" s="138">
        <f>IF(A43="","",IFERROR(IF(AVERAGE(F43:H43)&gt;AVERAGE(B43:D43),"📈 ↑","📉 ↓"),"—"))</f>
        <v/>
      </c>
      <c r="L43" s="138" t="n"/>
      <c r="M43" s="138" t="n"/>
    </row>
    <row r="44" ht="24" customHeight="1">
      <c r="A44" s="421">
        <f t="array" ref="A44">IFERROR(INDEX(_xlfn._xlws.SORT(_xlfn.UNIQUE(_xlfn._xlws.FILTER(tblCarga[Jogador],(tblCarga[Tipo]="Treino")))),6),"")</f>
        <v/>
      </c>
      <c r="B44" s="378">
        <f t="array" ref="B44">IF(A44="","",SUMPRODUCT((tblCarga[Jogador]=A44)*(tblCarga[Microciclo (Nr)]=$K$2-6)*(tblCarga[Tipo]="Treino")*tblCarga[PSE Sessão]*tblCarga[Duração (min)]))</f>
        <v/>
      </c>
      <c r="C44" s="378">
        <f t="array" ref="C44">IF(A44="","",SUMPRODUCT((tblCarga[Jogador]=A44)*(tblCarga[Microciclo (Nr)]=$K$2-5)*(tblCarga[Tipo]="Treino")*tblCarga[PSE Sessão]*tblCarga[Duração (min)]))</f>
        <v/>
      </c>
      <c r="D44" s="378">
        <f t="array" ref="D44">IF(A44="","",SUMPRODUCT((tblCarga[Jogador]=A44)*(tblCarga[Microciclo (Nr)]=$K$2-4)*(tblCarga[Tipo]="Treino")*tblCarga[PSE Sessão]*tblCarga[Duração (min)]))</f>
        <v/>
      </c>
      <c r="E44" s="378">
        <f t="array" ref="E44">IF(A44="","",SUMPRODUCT((tblCarga[Jogador]=A44)*(tblCarga[Microciclo (Nr)]=$K$2-3)*(tblCarga[Tipo]="Treino")*tblCarga[PSE Sessão]*tblCarga[Duração (min)]))</f>
        <v/>
      </c>
      <c r="F44" s="378">
        <f t="array" ref="F44">IF(A44="","",SUMPRODUCT((tblCarga[Jogador]=A44)*(tblCarga[Microciclo (Nr)]=$K$2-2)*(tblCarga[Tipo]="Treino")*tblCarga[PSE Sessão]*tblCarga[Duração (min)]))</f>
        <v/>
      </c>
      <c r="G44" s="378">
        <f t="array" ref="G44">IF(A44="","",SUMPRODUCT((tblCarga[Jogador]=A44)*(tblCarga[Microciclo (Nr)]=$K$2-1)*(tblCarga[Tipo]="Treino")*tblCarga[PSE Sessão]*tblCarga[Duração (min)]))</f>
        <v/>
      </c>
      <c r="H44" s="378">
        <f t="array" ref="H44">IF(A44="","",SUMPRODUCT((tblCarga[Jogador]=A44)*(tblCarga[Microciclo (Nr)]=$K$2-0)*(tblCarga[Tipo]="Treino")*tblCarga[PSE Sessão]*tblCarga[Duração (min)]))</f>
        <v/>
      </c>
      <c r="I44" s="455">
        <f>IF(A44="","",SUM(B44:H44))</f>
        <v/>
      </c>
      <c r="J44" s="378">
        <f>IF(A44="","",AVERAGE(B44:H44))</f>
        <v/>
      </c>
      <c r="K44" s="363">
        <f>IF(A44="","",IFERROR(IF(AVERAGE(F44:H44)&gt;AVERAGE(B44:D44),"📈 ↑","📉 ↓"),"—"))</f>
        <v/>
      </c>
      <c r="L44" s="363" t="n"/>
      <c r="M44" s="363" t="n"/>
    </row>
    <row r="45" ht="24" customHeight="1">
      <c r="A45" s="424">
        <f t="array" ref="A45">IFERROR(INDEX(_xlfn._xlws.SORT(_xlfn.UNIQUE(_xlfn._xlws.FILTER(tblCarga[Jogador],(tblCarga[Tipo]="Treino")))),7),"")</f>
        <v/>
      </c>
      <c r="B45" s="374">
        <f t="array" ref="B45">IF(A45="","",SUMPRODUCT((tblCarga[Jogador]=A45)*(tblCarga[Microciclo (Nr)]=$K$2-6)*(tblCarga[Tipo]="Treino")*tblCarga[PSE Sessão]*tblCarga[Duração (min)]))</f>
        <v/>
      </c>
      <c r="C45" s="374">
        <f t="array" ref="C45">IF(A45="","",SUMPRODUCT((tblCarga[Jogador]=A45)*(tblCarga[Microciclo (Nr)]=$K$2-5)*(tblCarga[Tipo]="Treino")*tblCarga[PSE Sessão]*tblCarga[Duração (min)]))</f>
        <v/>
      </c>
      <c r="D45" s="374">
        <f t="array" ref="D45">IF(A45="","",SUMPRODUCT((tblCarga[Jogador]=A45)*(tblCarga[Microciclo (Nr)]=$K$2-4)*(tblCarga[Tipo]="Treino")*tblCarga[PSE Sessão]*tblCarga[Duração (min)]))</f>
        <v/>
      </c>
      <c r="E45" s="374">
        <f t="array" ref="E45">IF(A45="","",SUMPRODUCT((tblCarga[Jogador]=A45)*(tblCarga[Microciclo (Nr)]=$K$2-3)*(tblCarga[Tipo]="Treino")*tblCarga[PSE Sessão]*tblCarga[Duração (min)]))</f>
        <v/>
      </c>
      <c r="F45" s="374">
        <f t="array" ref="F45">IF(A45="","",SUMPRODUCT((tblCarga[Jogador]=A45)*(tblCarga[Microciclo (Nr)]=$K$2-2)*(tblCarga[Tipo]="Treino")*tblCarga[PSE Sessão]*tblCarga[Duração (min)]))</f>
        <v/>
      </c>
      <c r="G45" s="374">
        <f t="array" ref="G45">IF(A45="","",SUMPRODUCT((tblCarga[Jogador]=A45)*(tblCarga[Microciclo (Nr)]=$K$2-1)*(tblCarga[Tipo]="Treino")*tblCarga[PSE Sessão]*tblCarga[Duração (min)]))</f>
        <v/>
      </c>
      <c r="H45" s="374">
        <f t="array" ref="H45">IF(A45="","",SUMPRODUCT((tblCarga[Jogador]=A45)*(tblCarga[Microciclo (Nr)]=$K$2-0)*(tblCarga[Tipo]="Treino")*tblCarga[PSE Sessão]*tblCarga[Duração (min)]))</f>
        <v/>
      </c>
      <c r="I45" s="456">
        <f>IF(A45="","",SUM(B45:H45))</f>
        <v/>
      </c>
      <c r="J45" s="374">
        <f>IF(A45="","",AVERAGE(B45:H45))</f>
        <v/>
      </c>
      <c r="K45" s="369">
        <f>IF(A45="","",IFERROR(IF(AVERAGE(F45:H45)&gt;AVERAGE(B45:D45),"📈 ↑","📉 ↓"),"—"))</f>
        <v/>
      </c>
      <c r="L45" s="369" t="n"/>
      <c r="M45" s="369" t="n"/>
    </row>
    <row r="46" ht="24" customHeight="1">
      <c r="A46" s="421">
        <f t="array" ref="A46">IFERROR(INDEX(_xlfn._xlws.SORT(_xlfn.UNIQUE(_xlfn._xlws.FILTER(tblCarga[Jogador],(tblCarga[Tipo]="Treino")))),8),"")</f>
        <v/>
      </c>
      <c r="B46" s="378">
        <f t="array" ref="B46">IF(A46="","",SUMPRODUCT((tblCarga[Jogador]=A46)*(tblCarga[Microciclo (Nr)]=$K$2-6)*(tblCarga[Tipo]="Treino")*tblCarga[PSE Sessão]*tblCarga[Duração (min)]))</f>
        <v/>
      </c>
      <c r="C46" s="378">
        <f t="array" ref="C46">IF(A46="","",SUMPRODUCT((tblCarga[Jogador]=A46)*(tblCarga[Microciclo (Nr)]=$K$2-5)*(tblCarga[Tipo]="Treino")*tblCarga[PSE Sessão]*tblCarga[Duração (min)]))</f>
        <v/>
      </c>
      <c r="D46" s="378">
        <f t="array" ref="D46">IF(A46="","",SUMPRODUCT((tblCarga[Jogador]=A46)*(tblCarga[Microciclo (Nr)]=$K$2-4)*(tblCarga[Tipo]="Treino")*tblCarga[PSE Sessão]*tblCarga[Duração (min)]))</f>
        <v/>
      </c>
      <c r="E46" s="378">
        <f t="array" ref="E46">IF(A46="","",SUMPRODUCT((tblCarga[Jogador]=A46)*(tblCarga[Microciclo (Nr)]=$K$2-3)*(tblCarga[Tipo]="Treino")*tblCarga[PSE Sessão]*tblCarga[Duração (min)]))</f>
        <v/>
      </c>
      <c r="F46" s="378">
        <f t="array" ref="F46">IF(A46="","",SUMPRODUCT((tblCarga[Jogador]=A46)*(tblCarga[Microciclo (Nr)]=$K$2-2)*(tblCarga[Tipo]="Treino")*tblCarga[PSE Sessão]*tblCarga[Duração (min)]))</f>
        <v/>
      </c>
      <c r="G46" s="378">
        <f t="array" ref="G46">IF(A46="","",SUMPRODUCT((tblCarga[Jogador]=A46)*(tblCarga[Microciclo (Nr)]=$K$2-1)*(tblCarga[Tipo]="Treino")*tblCarga[PSE Sessão]*tblCarga[Duração (min)]))</f>
        <v/>
      </c>
      <c r="H46" s="378">
        <f t="array" ref="H46">IF(A46="","",SUMPRODUCT((tblCarga[Jogador]=A46)*(tblCarga[Microciclo (Nr)]=$K$2-0)*(tblCarga[Tipo]="Treino")*tblCarga[PSE Sessão]*tblCarga[Duração (min)]))</f>
        <v/>
      </c>
      <c r="I46" s="455">
        <f>IF(A46="","",SUM(B46:H46))</f>
        <v/>
      </c>
      <c r="J46" s="378">
        <f>IF(A46="","",AVERAGE(B46:H46))</f>
        <v/>
      </c>
      <c r="K46" s="363">
        <f>IF(A46="","",IFERROR(IF(AVERAGE(F46:H46)&gt;AVERAGE(B46:D46),"📈 ↑","📉 ↓"),"—"))</f>
        <v/>
      </c>
      <c r="L46" s="363" t="n"/>
      <c r="M46" s="363" t="n"/>
    </row>
    <row r="47" ht="24" customHeight="1">
      <c r="A47" s="424">
        <f t="array" ref="A47">IFERROR(INDEX(_xlfn._xlws.SORT(_xlfn.UNIQUE(_xlfn._xlws.FILTER(tblCarga[Jogador],(tblCarga[Tipo]="Treino")))),9),"")</f>
        <v/>
      </c>
      <c r="B47" s="374">
        <f t="array" ref="B47">IF(A47="","",SUMPRODUCT((tblCarga[Jogador]=A47)*(tblCarga[Microciclo (Nr)]=$K$2-6)*(tblCarga[Tipo]="Treino")*tblCarga[PSE Sessão]*tblCarga[Duração (min)]))</f>
        <v/>
      </c>
      <c r="C47" s="374">
        <f t="array" ref="C47">IF(A47="","",SUMPRODUCT((tblCarga[Jogador]=A47)*(tblCarga[Microciclo (Nr)]=$K$2-5)*(tblCarga[Tipo]="Treino")*tblCarga[PSE Sessão]*tblCarga[Duração (min)]))</f>
        <v/>
      </c>
      <c r="D47" s="374">
        <f t="array" ref="D47">IF(A47="","",SUMPRODUCT((tblCarga[Jogador]=A47)*(tblCarga[Microciclo (Nr)]=$K$2-4)*(tblCarga[Tipo]="Treino")*tblCarga[PSE Sessão]*tblCarga[Duração (min)]))</f>
        <v/>
      </c>
      <c r="E47" s="374">
        <f t="array" ref="E47">IF(A47="","",SUMPRODUCT((tblCarga[Jogador]=A47)*(tblCarga[Microciclo (Nr)]=$K$2-3)*(tblCarga[Tipo]="Treino")*tblCarga[PSE Sessão]*tblCarga[Duração (min)]))</f>
        <v/>
      </c>
      <c r="F47" s="374">
        <f t="array" ref="F47">IF(A47="","",SUMPRODUCT((tblCarga[Jogador]=A47)*(tblCarga[Microciclo (Nr)]=$K$2-2)*(tblCarga[Tipo]="Treino")*tblCarga[PSE Sessão]*tblCarga[Duração (min)]))</f>
        <v/>
      </c>
      <c r="G47" s="374">
        <f t="array" ref="G47">IF(A47="","",SUMPRODUCT((tblCarga[Jogador]=A47)*(tblCarga[Microciclo (Nr)]=$K$2-1)*(tblCarga[Tipo]="Treino")*tblCarga[PSE Sessão]*tblCarga[Duração (min)]))</f>
        <v/>
      </c>
      <c r="H47" s="374">
        <f t="array" ref="H47">IF(A47="","",SUMPRODUCT((tblCarga[Jogador]=A47)*(tblCarga[Microciclo (Nr)]=$K$2-0)*(tblCarga[Tipo]="Treino")*tblCarga[PSE Sessão]*tblCarga[Duração (min)]))</f>
        <v/>
      </c>
      <c r="I47" s="456">
        <f>IF(A47="","",SUM(B47:H47))</f>
        <v/>
      </c>
      <c r="J47" s="374">
        <f>IF(A47="","",AVERAGE(B47:H47))</f>
        <v/>
      </c>
      <c r="K47" s="369">
        <f>IF(A47="","",IFERROR(IF(AVERAGE(F47:H47)&gt;AVERAGE(B47:D47),"📈 ↑","📉 ↓"),"—"))</f>
        <v/>
      </c>
      <c r="L47" s="369" t="n"/>
      <c r="M47" s="369" t="n"/>
    </row>
    <row r="48" ht="24" customHeight="1">
      <c r="A48" s="421">
        <f t="array" ref="A48">IFERROR(INDEX(_xlfn._xlws.SORT(_xlfn.UNIQUE(_xlfn._xlws.FILTER(tblCarga[Jogador],(tblCarga[Tipo]="Treino")))),10),"")</f>
        <v/>
      </c>
      <c r="B48" s="378">
        <f t="array" ref="B48">IF(A48="","",SUMPRODUCT((tblCarga[Jogador]=A48)*(tblCarga[Microciclo (Nr)]=$K$2-6)*(tblCarga[Tipo]="Treino")*tblCarga[PSE Sessão]*tblCarga[Duração (min)]))</f>
        <v/>
      </c>
      <c r="C48" s="378">
        <f t="array" ref="C48">IF(A48="","",SUMPRODUCT((tblCarga[Jogador]=A48)*(tblCarga[Microciclo (Nr)]=$K$2-5)*(tblCarga[Tipo]="Treino")*tblCarga[PSE Sessão]*tblCarga[Duração (min)]))</f>
        <v/>
      </c>
      <c r="D48" s="378">
        <f t="array" ref="D48">IF(A48="","",SUMPRODUCT((tblCarga[Jogador]=A48)*(tblCarga[Microciclo (Nr)]=$K$2-4)*(tblCarga[Tipo]="Treino")*tblCarga[PSE Sessão]*tblCarga[Duração (min)]))</f>
        <v/>
      </c>
      <c r="E48" s="378">
        <f t="array" ref="E48">IF(A48="","",SUMPRODUCT((tblCarga[Jogador]=A48)*(tblCarga[Microciclo (Nr)]=$K$2-3)*(tblCarga[Tipo]="Treino")*tblCarga[PSE Sessão]*tblCarga[Duração (min)]))</f>
        <v/>
      </c>
      <c r="F48" s="378">
        <f t="array" ref="F48">IF(A48="","",SUMPRODUCT((tblCarga[Jogador]=A48)*(tblCarga[Microciclo (Nr)]=$K$2-2)*(tblCarga[Tipo]="Treino")*tblCarga[PSE Sessão]*tblCarga[Duração (min)]))</f>
        <v/>
      </c>
      <c r="G48" s="378">
        <f t="array" ref="G48">IF(A48="","",SUMPRODUCT((tblCarga[Jogador]=A48)*(tblCarga[Microciclo (Nr)]=$K$2-1)*(tblCarga[Tipo]="Treino")*tblCarga[PSE Sessão]*tblCarga[Duração (min)]))</f>
        <v/>
      </c>
      <c r="H48" s="378">
        <f t="array" ref="H48">IF(A48="","",SUMPRODUCT((tblCarga[Jogador]=A48)*(tblCarga[Microciclo (Nr)]=$K$2-0)*(tblCarga[Tipo]="Treino")*tblCarga[PSE Sessão]*tblCarga[Duração (min)]))</f>
        <v/>
      </c>
      <c r="I48" s="455">
        <f>IF(A48="","",SUM(B48:H48))</f>
        <v/>
      </c>
      <c r="J48" s="378">
        <f>IF(A48="","",AVERAGE(B48:H48))</f>
        <v/>
      </c>
      <c r="K48" s="363">
        <f>IF(A48="","",IFERROR(IF(AVERAGE(F48:H48)&gt;AVERAGE(B48:D48),"📈 ↑","📉 ↓"),"—"))</f>
        <v/>
      </c>
      <c r="L48" s="363" t="n"/>
      <c r="M48" s="363" t="n"/>
    </row>
    <row r="49" outlineLevel="1" ht="24" customHeight="1">
      <c r="A49" s="424">
        <f t="array" ref="A49">IFERROR(INDEX(_xlfn._xlws.SORT(_xlfn.UNIQUE(_xlfn._xlws.FILTER(tblCarga[Jogador],(tblCarga[Tipo]="Treino")))),11),"")</f>
        <v/>
      </c>
      <c r="B49" s="374">
        <f t="array" ref="B49">IF(A49="","",SUMPRODUCT((tblCarga[Jogador]=A49)*(tblCarga[Microciclo (Nr)]=$K$2-6)*(tblCarga[Tipo]="Treino")*tblCarga[PSE Sessão]*tblCarga[Duração (min)]))</f>
        <v/>
      </c>
      <c r="C49" s="374">
        <f t="array" ref="C49">IF(A49="","",SUMPRODUCT((tblCarga[Jogador]=A49)*(tblCarga[Microciclo (Nr)]=$K$2-5)*(tblCarga[Tipo]="Treino")*tblCarga[PSE Sessão]*tblCarga[Duração (min)]))</f>
        <v/>
      </c>
      <c r="D49" s="374">
        <f t="array" ref="D49">IF(A49="","",SUMPRODUCT((tblCarga[Jogador]=A49)*(tblCarga[Microciclo (Nr)]=$K$2-4)*(tblCarga[Tipo]="Treino")*tblCarga[PSE Sessão]*tblCarga[Duração (min)]))</f>
        <v/>
      </c>
      <c r="E49" s="374">
        <f t="array" ref="E49">IF(A49="","",SUMPRODUCT((tblCarga[Jogador]=A49)*(tblCarga[Microciclo (Nr)]=$K$2-3)*(tblCarga[Tipo]="Treino")*tblCarga[PSE Sessão]*tblCarga[Duração (min)]))</f>
        <v/>
      </c>
      <c r="F49" s="374">
        <f t="array" ref="F49">IF(A49="","",SUMPRODUCT((tblCarga[Jogador]=A49)*(tblCarga[Microciclo (Nr)]=$K$2-2)*(tblCarga[Tipo]="Treino")*tblCarga[PSE Sessão]*tblCarga[Duração (min)]))</f>
        <v/>
      </c>
      <c r="G49" s="374">
        <f t="array" ref="G49">IF(A49="","",SUMPRODUCT((tblCarga[Jogador]=A49)*(tblCarga[Microciclo (Nr)]=$K$2-1)*(tblCarga[Tipo]="Treino")*tblCarga[PSE Sessão]*tblCarga[Duração (min)]))</f>
        <v/>
      </c>
      <c r="H49" s="374">
        <f t="array" ref="H49">IF(A49="","",SUMPRODUCT((tblCarga[Jogador]=A49)*(tblCarga[Microciclo (Nr)]=$K$2-0)*(tblCarga[Tipo]="Treino")*tblCarga[PSE Sessão]*tblCarga[Duração (min)]))</f>
        <v/>
      </c>
      <c r="I49" s="456">
        <f>IF(A49="","",SUM(B49:H49))</f>
        <v/>
      </c>
      <c r="J49" s="374">
        <f>IF(A49="","",AVERAGE(B49:H49))</f>
        <v/>
      </c>
      <c r="K49" s="369">
        <f>IF(A49="","",IFERROR(IF(AVERAGE(F49:H49)&gt;AVERAGE(B49:D49),"📈 ↑","📉 ↓"),"—"))</f>
        <v/>
      </c>
      <c r="L49" s="369" t="n"/>
      <c r="M49" s="369" t="n"/>
    </row>
    <row r="50" outlineLevel="1" ht="24" customHeight="1">
      <c r="A50" s="421">
        <f t="array" ref="A50">IFERROR(INDEX(_xlfn._xlws.SORT(_xlfn.UNIQUE(_xlfn._xlws.FILTER(tblCarga[Jogador],(tblCarga[Tipo]="Treino")))),12),"")</f>
        <v/>
      </c>
      <c r="B50" s="378">
        <f t="array" ref="B50">IF(A50="","",SUMPRODUCT((tblCarga[Jogador]=A50)*(tblCarga[Microciclo (Nr)]=$K$2-6)*(tblCarga[Tipo]="Treino")*tblCarga[PSE Sessão]*tblCarga[Duração (min)]))</f>
        <v/>
      </c>
      <c r="C50" s="378">
        <f t="array" ref="C50">IF(A50="","",SUMPRODUCT((tblCarga[Jogador]=A50)*(tblCarga[Microciclo (Nr)]=$K$2-5)*(tblCarga[Tipo]="Treino")*tblCarga[PSE Sessão]*tblCarga[Duração (min)]))</f>
        <v/>
      </c>
      <c r="D50" s="378">
        <f t="array" ref="D50">IF(A50="","",SUMPRODUCT((tblCarga[Jogador]=A50)*(tblCarga[Microciclo (Nr)]=$K$2-4)*(tblCarga[Tipo]="Treino")*tblCarga[PSE Sessão]*tblCarga[Duração (min)]))</f>
        <v/>
      </c>
      <c r="E50" s="378">
        <f t="array" ref="E50">IF(A50="","",SUMPRODUCT((tblCarga[Jogador]=A50)*(tblCarga[Microciclo (Nr)]=$K$2-3)*(tblCarga[Tipo]="Treino")*tblCarga[PSE Sessão]*tblCarga[Duração (min)]))</f>
        <v/>
      </c>
      <c r="F50" s="378">
        <f t="array" ref="F50">IF(A50="","",SUMPRODUCT((tblCarga[Jogador]=A50)*(tblCarga[Microciclo (Nr)]=$K$2-2)*(tblCarga[Tipo]="Treino")*tblCarga[PSE Sessão]*tblCarga[Duração (min)]))</f>
        <v/>
      </c>
      <c r="G50" s="378">
        <f t="array" ref="G50">IF(A50="","",SUMPRODUCT((tblCarga[Jogador]=A50)*(tblCarga[Microciclo (Nr)]=$K$2-1)*(tblCarga[Tipo]="Treino")*tblCarga[PSE Sessão]*tblCarga[Duração (min)]))</f>
        <v/>
      </c>
      <c r="H50" s="378">
        <f t="array" ref="H50">IF(A50="","",SUMPRODUCT((tblCarga[Jogador]=A50)*(tblCarga[Microciclo (Nr)]=$K$2-0)*(tblCarga[Tipo]="Treino")*tblCarga[PSE Sessão]*tblCarga[Duração (min)]))</f>
        <v/>
      </c>
      <c r="I50" s="455">
        <f>IF(A50="","",SUM(B50:H50))</f>
        <v/>
      </c>
      <c r="J50" s="378">
        <f>IF(A50="","",AVERAGE(B50:H50))</f>
        <v/>
      </c>
      <c r="K50" s="363">
        <f>IF(A50="","",IFERROR(IF(AVERAGE(F50:H50)&gt;AVERAGE(B50:D50),"📈 ↑","📉 ↓"),"—"))</f>
        <v/>
      </c>
      <c r="L50" s="363" t="n"/>
      <c r="M50" s="363" t="n"/>
    </row>
    <row r="51" outlineLevel="1" ht="24" customHeight="1">
      <c r="A51" s="424">
        <f t="array" ref="A51">IFERROR(INDEX(_xlfn._xlws.SORT(_xlfn.UNIQUE(_xlfn._xlws.FILTER(tblCarga[Jogador],(tblCarga[Tipo]="Treino")))),13),"")</f>
        <v/>
      </c>
      <c r="B51" s="374">
        <f t="array" ref="B51">IF(A51="","",SUMPRODUCT((tblCarga[Jogador]=A51)*(tblCarga[Microciclo (Nr)]=$K$2-6)*(tblCarga[Tipo]="Treino")*tblCarga[PSE Sessão]*tblCarga[Duração (min)]))</f>
        <v/>
      </c>
      <c r="C51" s="374">
        <f t="array" ref="C51">IF(A51="","",SUMPRODUCT((tblCarga[Jogador]=A51)*(tblCarga[Microciclo (Nr)]=$K$2-5)*(tblCarga[Tipo]="Treino")*tblCarga[PSE Sessão]*tblCarga[Duração (min)]))</f>
        <v/>
      </c>
      <c r="D51" s="374">
        <f t="array" ref="D51">IF(A51="","",SUMPRODUCT((tblCarga[Jogador]=A51)*(tblCarga[Microciclo (Nr)]=$K$2-4)*(tblCarga[Tipo]="Treino")*tblCarga[PSE Sessão]*tblCarga[Duração (min)]))</f>
        <v/>
      </c>
      <c r="E51" s="374">
        <f t="array" ref="E51">IF(A51="","",SUMPRODUCT((tblCarga[Jogador]=A51)*(tblCarga[Microciclo (Nr)]=$K$2-3)*(tblCarga[Tipo]="Treino")*tblCarga[PSE Sessão]*tblCarga[Duração (min)]))</f>
        <v/>
      </c>
      <c r="F51" s="374">
        <f t="array" ref="F51">IF(A51="","",SUMPRODUCT((tblCarga[Jogador]=A51)*(tblCarga[Microciclo (Nr)]=$K$2-2)*(tblCarga[Tipo]="Treino")*tblCarga[PSE Sessão]*tblCarga[Duração (min)]))</f>
        <v/>
      </c>
      <c r="G51" s="374">
        <f t="array" ref="G51">IF(A51="","",SUMPRODUCT((tblCarga[Jogador]=A51)*(tblCarga[Microciclo (Nr)]=$K$2-1)*(tblCarga[Tipo]="Treino")*tblCarga[PSE Sessão]*tblCarga[Duração (min)]))</f>
        <v/>
      </c>
      <c r="H51" s="374">
        <f t="array" ref="H51">IF(A51="","",SUMPRODUCT((tblCarga[Jogador]=A51)*(tblCarga[Microciclo (Nr)]=$K$2-0)*(tblCarga[Tipo]="Treino")*tblCarga[PSE Sessão]*tblCarga[Duração (min)]))</f>
        <v/>
      </c>
      <c r="I51" s="456">
        <f>IF(A51="","",SUM(B51:H51))</f>
        <v/>
      </c>
      <c r="J51" s="374">
        <f>IF(A51="","",AVERAGE(B51:H51))</f>
        <v/>
      </c>
      <c r="K51" s="369">
        <f>IF(A51="","",IFERROR(IF(AVERAGE(F51:H51)&gt;AVERAGE(B51:D51),"📈 ↑","📉 ↓"),"—"))</f>
        <v/>
      </c>
      <c r="L51" s="369" t="n"/>
      <c r="M51" s="369" t="n"/>
    </row>
    <row r="52" outlineLevel="1" ht="24" customHeight="1">
      <c r="A52" s="208">
        <f t="array" ref="A52">IFERROR(INDEX(_xlfn._xlws.SORT(_xlfn.UNIQUE(_xlfn._xlws.FILTER(tblCarga[Jogador],(tblCarga[Tipo]="Treino")))),14),"")</f>
        <v/>
      </c>
      <c r="B52" s="376">
        <f t="array" ref="B52">IF(A52="","",SUMPRODUCT((tblCarga[Jogador]=A52)*(tblCarga[Microciclo (Nr)]=$K$2-6)*(tblCarga[Tipo]="Treino")*tblCarga[PSE Sessão]*tblCarga[Duração (min)]))</f>
        <v/>
      </c>
      <c r="C52" s="376">
        <f t="array" ref="C52">IF(A52="","",SUMPRODUCT((tblCarga[Jogador]=A52)*(tblCarga[Microciclo (Nr)]=$K$2-5)*(tblCarga[Tipo]="Treino")*tblCarga[PSE Sessão]*tblCarga[Duração (min)]))</f>
        <v/>
      </c>
      <c r="D52" s="376">
        <f t="array" ref="D52">IF(A52="","",SUMPRODUCT((tblCarga[Jogador]=A52)*(tblCarga[Microciclo (Nr)]=$K$2-4)*(tblCarga[Tipo]="Treino")*tblCarga[PSE Sessão]*tblCarga[Duração (min)]))</f>
        <v/>
      </c>
      <c r="E52" s="376">
        <f t="array" ref="E52">IF(A52="","",SUMPRODUCT((tblCarga[Jogador]=A52)*(tblCarga[Microciclo (Nr)]=$K$2-3)*(tblCarga[Tipo]="Treino")*tblCarga[PSE Sessão]*tblCarga[Duração (min)]))</f>
        <v/>
      </c>
      <c r="F52" s="376">
        <f t="array" ref="F52">IF(A52="","",SUMPRODUCT((tblCarga[Jogador]=A52)*(tblCarga[Microciclo (Nr)]=$K$2-2)*(tblCarga[Tipo]="Treino")*tblCarga[PSE Sessão]*tblCarga[Duração (min)]))</f>
        <v/>
      </c>
      <c r="G52" s="376">
        <f t="array" ref="G52">IF(A52="","",SUMPRODUCT((tblCarga[Jogador]=A52)*(tblCarga[Microciclo (Nr)]=$K$2-1)*(tblCarga[Tipo]="Treino")*tblCarga[PSE Sessão]*tblCarga[Duração (min)]))</f>
        <v/>
      </c>
      <c r="H52" s="376">
        <f t="array" ref="H52">IF(A52="","",SUMPRODUCT((tblCarga[Jogador]=A52)*(tblCarga[Microciclo (Nr)]=$K$2-0)*(tblCarga[Tipo]="Treino")*tblCarga[PSE Sessão]*tblCarga[Duração (min)]))</f>
        <v/>
      </c>
      <c r="I52" s="454">
        <f>IF(A52="","",SUM(B52:H52))</f>
        <v/>
      </c>
      <c r="J52" s="376">
        <f>IF(A52="","",AVERAGE(B52:H52))</f>
        <v/>
      </c>
      <c r="K52" s="361">
        <f>IF(A52="","",IFERROR(IF(AVERAGE(F52:H52)&gt;AVERAGE(B52:D52),"📈 ↑","📉 ↓"),"—"))</f>
        <v/>
      </c>
      <c r="L52" s="361" t="n"/>
      <c r="M52" s="361" t="n"/>
    </row>
    <row r="53" hidden="1" outlineLevel="1">
      <c r="A53" s="40">
        <f t="array" ref="A53">IFERROR(INDEX(_xlfn._xlws.SORT(_xlfn.UNIQUE(_xlfn._xlws.FILTER(tblCarga[Jogador],(tblCarga[Tipo]="Treino")))),15),"")</f>
        <v/>
      </c>
      <c r="B53" s="620">
        <f t="array" ref="B53">IF(A53="","",SUMPRODUCT((tblCarga[Jogador]=A53)*(tblCarga[Microciclo (Nr)]=$K$2-6)*(tblCarga[Tipo]="Treino")*tblCarga[PSE Sessão]*tblCarga[Duração (min)]))</f>
        <v/>
      </c>
      <c r="C53" s="620">
        <f t="array" ref="C53">IF(A53="","",SUMPRODUCT((tblCarga[Jogador]=A53)*(tblCarga[Microciclo (Nr)]=$K$2-5)*(tblCarga[Tipo]="Treino")*tblCarga[PSE Sessão]*tblCarga[Duração (min)]))</f>
        <v/>
      </c>
      <c r="D53" s="620">
        <f t="array" ref="D53">IF(A53="","",SUMPRODUCT((tblCarga[Jogador]=A53)*(tblCarga[Microciclo (Nr)]=$K$2-4)*(tblCarga[Tipo]="Treino")*tblCarga[PSE Sessão]*tblCarga[Duração (min)]))</f>
        <v/>
      </c>
      <c r="E53" s="620">
        <f t="array" ref="E53">IF(A53="","",SUMPRODUCT((tblCarga[Jogador]=A53)*(tblCarga[Microciclo (Nr)]=$K$2-3)*(tblCarga[Tipo]="Treino")*tblCarga[PSE Sessão]*tblCarga[Duração (min)]))</f>
        <v/>
      </c>
      <c r="F53" s="620">
        <f t="array" ref="F53">IF(A53="","",SUMPRODUCT((tblCarga[Jogador]=A53)*(tblCarga[Microciclo (Nr)]=$K$2-2)*(tblCarga[Tipo]="Treino")*tblCarga[PSE Sessão]*tblCarga[Duração (min)]))</f>
        <v/>
      </c>
      <c r="G53" s="620">
        <f t="array" ref="G53">IF(A53="","",SUMPRODUCT((tblCarga[Jogador]=A53)*(tblCarga[Microciclo (Nr)]=$K$2-1)*(tblCarga[Tipo]="Treino")*tblCarga[PSE Sessão]*tblCarga[Duração (min)]))</f>
        <v/>
      </c>
      <c r="H53" s="620">
        <f t="array" ref="H53">IF(A53="","",SUMPRODUCT((tblCarga[Jogador]=A53)*(tblCarga[Microciclo (Nr)]=$K$2-0)*(tblCarga[Tipo]="Treino")*tblCarga[PSE Sessão]*tblCarga[Duração (min)]))</f>
        <v/>
      </c>
      <c r="I53" s="41">
        <f>IF(A53="","",SUM(B53:H53))</f>
        <v/>
      </c>
      <c r="J53" s="620">
        <f>IF(A53="","",AVERAGE(B53:H53))</f>
        <v/>
      </c>
      <c r="K53" s="22">
        <f>IF(A53="","",IFERROR(IF(AVERAGE(F53:H53)&gt;AVERAGE(B53:D53),"📈 ↑","📉 ↓"),"—"))</f>
        <v/>
      </c>
    </row>
    <row r="54" hidden="1" outlineLevel="1">
      <c r="A54" s="42">
        <f t="array" ref="A54">IFERROR(INDEX(_xlfn._xlws.SORT(_xlfn.UNIQUE(_xlfn._xlws.FILTER(tblCarga[Jogador],(tblCarga[Tipo]="Treino")))),16),"")</f>
        <v/>
      </c>
      <c r="B54" s="604">
        <f t="array" ref="B54">IF(A54="","",SUMPRODUCT((tblCarga[Jogador]=A54)*(tblCarga[Microciclo (Nr)]=$K$2-6)*(tblCarga[Tipo]="Treino")*tblCarga[PSE Sessão]*tblCarga[Duração (min)]))</f>
        <v/>
      </c>
      <c r="C54" s="604">
        <f t="array" ref="C54">IF(A54="","",SUMPRODUCT((tblCarga[Jogador]=A54)*(tblCarga[Microciclo (Nr)]=$K$2-5)*(tblCarga[Tipo]="Treino")*tblCarga[PSE Sessão]*tblCarga[Duração (min)]))</f>
        <v/>
      </c>
      <c r="D54" s="604">
        <f t="array" ref="D54">IF(A54="","",SUMPRODUCT((tblCarga[Jogador]=A54)*(tblCarga[Microciclo (Nr)]=$K$2-4)*(tblCarga[Tipo]="Treino")*tblCarga[PSE Sessão]*tblCarga[Duração (min)]))</f>
        <v/>
      </c>
      <c r="E54" s="604">
        <f t="array" ref="E54">IF(A54="","",SUMPRODUCT((tblCarga[Jogador]=A54)*(tblCarga[Microciclo (Nr)]=$K$2-3)*(tblCarga[Tipo]="Treino")*tblCarga[PSE Sessão]*tblCarga[Duração (min)]))</f>
        <v/>
      </c>
      <c r="F54" s="604">
        <f t="array" ref="F54">IF(A54="","",SUMPRODUCT((tblCarga[Jogador]=A54)*(tblCarga[Microciclo (Nr)]=$K$2-2)*(tblCarga[Tipo]="Treino")*tblCarga[PSE Sessão]*tblCarga[Duração (min)]))</f>
        <v/>
      </c>
      <c r="G54" s="604">
        <f t="array" ref="G54">IF(A54="","",SUMPRODUCT((tblCarga[Jogador]=A54)*(tblCarga[Microciclo (Nr)]=$K$2-1)*(tblCarga[Tipo]="Treino")*tblCarga[PSE Sessão]*tblCarga[Duração (min)]))</f>
        <v/>
      </c>
      <c r="H54" s="604">
        <f t="array" ref="H54">IF(A54="","",SUMPRODUCT((tblCarga[Jogador]=A54)*(tblCarga[Microciclo (Nr)]=$K$2-0)*(tblCarga[Tipo]="Treino")*tblCarga[PSE Sessão]*tblCarga[Duração (min)]))</f>
        <v/>
      </c>
      <c r="I54" s="43">
        <f>IF(A54="","",SUM(B54:H54))</f>
        <v/>
      </c>
      <c r="J54" s="604">
        <f>IF(A54="","",AVERAGE(B54:H54))</f>
        <v/>
      </c>
      <c r="K54" s="603">
        <f>IF(A54="","",IFERROR(IF(AVERAGE(F54:H54)&gt;AVERAGE(B54:D54),"📈 ↑","📉 ↓"),"—"))</f>
        <v/>
      </c>
    </row>
    <row r="55" hidden="1" outlineLevel="1">
      <c r="A55" s="40">
        <f t="array" ref="A55">IFERROR(INDEX(_xlfn._xlws.SORT(_xlfn.UNIQUE(_xlfn._xlws.FILTER(tblCarga[Jogador],(tblCarga[Tipo]="Treino")))),17),"")</f>
        <v/>
      </c>
      <c r="B55" s="620">
        <f t="array" ref="B55">IF(A55="","",SUMPRODUCT((tblCarga[Jogador]=A55)*(tblCarga[Microciclo (Nr)]=$K$2-6)*(tblCarga[Tipo]="Treino")*tblCarga[PSE Sessão]*tblCarga[Duração (min)]))</f>
        <v/>
      </c>
      <c r="C55" s="620">
        <f t="array" ref="C55">IF(A55="","",SUMPRODUCT((tblCarga[Jogador]=A55)*(tblCarga[Microciclo (Nr)]=$K$2-5)*(tblCarga[Tipo]="Treino")*tblCarga[PSE Sessão]*tblCarga[Duração (min)]))</f>
        <v/>
      </c>
      <c r="D55" s="620">
        <f t="array" ref="D55">IF(A55="","",SUMPRODUCT((tblCarga[Jogador]=A55)*(tblCarga[Microciclo (Nr)]=$K$2-4)*(tblCarga[Tipo]="Treino")*tblCarga[PSE Sessão]*tblCarga[Duração (min)]))</f>
        <v/>
      </c>
      <c r="E55" s="620">
        <f t="array" ref="E55">IF(A55="","",SUMPRODUCT((tblCarga[Jogador]=A55)*(tblCarga[Microciclo (Nr)]=$K$2-3)*(tblCarga[Tipo]="Treino")*tblCarga[PSE Sessão]*tblCarga[Duração (min)]))</f>
        <v/>
      </c>
      <c r="F55" s="620">
        <f t="array" ref="F55">IF(A55="","",SUMPRODUCT((tblCarga[Jogador]=A55)*(tblCarga[Microciclo (Nr)]=$K$2-2)*(tblCarga[Tipo]="Treino")*tblCarga[PSE Sessão]*tblCarga[Duração (min)]))</f>
        <v/>
      </c>
      <c r="G55" s="620">
        <f t="array" ref="G55">IF(A55="","",SUMPRODUCT((tblCarga[Jogador]=A55)*(tblCarga[Microciclo (Nr)]=$K$2-1)*(tblCarga[Tipo]="Treino")*tblCarga[PSE Sessão]*tblCarga[Duração (min)]))</f>
        <v/>
      </c>
      <c r="H55" s="620">
        <f t="array" ref="H55">IF(A55="","",SUMPRODUCT((tblCarga[Jogador]=A55)*(tblCarga[Microciclo (Nr)]=$K$2-0)*(tblCarga[Tipo]="Treino")*tblCarga[PSE Sessão]*tblCarga[Duração (min)]))</f>
        <v/>
      </c>
      <c r="I55" s="41">
        <f>IF(A55="","",SUM(B55:H55))</f>
        <v/>
      </c>
      <c r="J55" s="620">
        <f>IF(A55="","",AVERAGE(B55:H55))</f>
        <v/>
      </c>
      <c r="K55" s="22">
        <f>IF(A55="","",IFERROR(IF(AVERAGE(F55:H55)&gt;AVERAGE(B55:D55),"📈 ↑","📉 ↓"),"—"))</f>
        <v/>
      </c>
    </row>
    <row r="56" hidden="1" outlineLevel="1">
      <c r="A56" s="42">
        <f t="array" ref="A56">IFERROR(INDEX(_xlfn._xlws.SORT(_xlfn.UNIQUE(_xlfn._xlws.FILTER(tblCarga[Jogador],(tblCarga[Tipo]="Treino")))),18),"")</f>
        <v/>
      </c>
      <c r="B56" s="604">
        <f t="array" ref="B56">IF(A56="","",SUMPRODUCT((tblCarga[Jogador]=A56)*(tblCarga[Microciclo (Nr)]=$K$2-6)*(tblCarga[Tipo]="Treino")*tblCarga[PSE Sessão]*tblCarga[Duração (min)]))</f>
        <v/>
      </c>
      <c r="C56" s="604">
        <f t="array" ref="C56">IF(A56="","",SUMPRODUCT((tblCarga[Jogador]=A56)*(tblCarga[Microciclo (Nr)]=$K$2-5)*(tblCarga[Tipo]="Treino")*tblCarga[PSE Sessão]*tblCarga[Duração (min)]))</f>
        <v/>
      </c>
      <c r="D56" s="604">
        <f t="array" ref="D56">IF(A56="","",SUMPRODUCT((tblCarga[Jogador]=A56)*(tblCarga[Microciclo (Nr)]=$K$2-4)*(tblCarga[Tipo]="Treino")*tblCarga[PSE Sessão]*tblCarga[Duração (min)]))</f>
        <v/>
      </c>
      <c r="E56" s="604">
        <f t="array" ref="E56">IF(A56="","",SUMPRODUCT((tblCarga[Jogador]=A56)*(tblCarga[Microciclo (Nr)]=$K$2-3)*(tblCarga[Tipo]="Treino")*tblCarga[PSE Sessão]*tblCarga[Duração (min)]))</f>
        <v/>
      </c>
      <c r="F56" s="604">
        <f t="array" ref="F56">IF(A56="","",SUMPRODUCT((tblCarga[Jogador]=A56)*(tblCarga[Microciclo (Nr)]=$K$2-2)*(tblCarga[Tipo]="Treino")*tblCarga[PSE Sessão]*tblCarga[Duração (min)]))</f>
        <v/>
      </c>
      <c r="G56" s="604">
        <f t="array" ref="G56">IF(A56="","",SUMPRODUCT((tblCarga[Jogador]=A56)*(tblCarga[Microciclo (Nr)]=$K$2-1)*(tblCarga[Tipo]="Treino")*tblCarga[PSE Sessão]*tblCarga[Duração (min)]))</f>
        <v/>
      </c>
      <c r="H56" s="604">
        <f t="array" ref="H56">IF(A56="","",SUMPRODUCT((tblCarga[Jogador]=A56)*(tblCarga[Microciclo (Nr)]=$K$2-0)*(tblCarga[Tipo]="Treino")*tblCarga[PSE Sessão]*tblCarga[Duração (min)]))</f>
        <v/>
      </c>
      <c r="I56" s="43">
        <f>IF(A56="","",SUM(B56:H56))</f>
        <v/>
      </c>
      <c r="J56" s="604">
        <f>IF(A56="","",AVERAGE(B56:H56))</f>
        <v/>
      </c>
      <c r="K56" s="603">
        <f>IF(A56="","",IFERROR(IF(AVERAGE(F56:H56)&gt;AVERAGE(B56:D56),"📈 ↑","📉 ↓"),"—"))</f>
        <v/>
      </c>
    </row>
    <row r="57" hidden="1" outlineLevel="1">
      <c r="A57" s="40">
        <f t="array" ref="A57">IFERROR(INDEX(_xlfn._xlws.SORT(_xlfn.UNIQUE(_xlfn._xlws.FILTER(tblCarga[Jogador],(tblCarga[Tipo]="Treino")))),19),"")</f>
        <v/>
      </c>
      <c r="B57" s="620">
        <f t="array" ref="B57">IF(A57="","",SUMPRODUCT((tblCarga[Jogador]=A57)*(tblCarga[Microciclo (Nr)]=$K$2-6)*(tblCarga[Tipo]="Treino")*tblCarga[PSE Sessão]*tblCarga[Duração (min)]))</f>
        <v/>
      </c>
      <c r="C57" s="620">
        <f t="array" ref="C57">IF(A57="","",SUMPRODUCT((tblCarga[Jogador]=A57)*(tblCarga[Microciclo (Nr)]=$K$2-5)*(tblCarga[Tipo]="Treino")*tblCarga[PSE Sessão]*tblCarga[Duração (min)]))</f>
        <v/>
      </c>
      <c r="D57" s="620">
        <f t="array" ref="D57">IF(A57="","",SUMPRODUCT((tblCarga[Jogador]=A57)*(tblCarga[Microciclo (Nr)]=$K$2-4)*(tblCarga[Tipo]="Treino")*tblCarga[PSE Sessão]*tblCarga[Duração (min)]))</f>
        <v/>
      </c>
      <c r="E57" s="620">
        <f t="array" ref="E57">IF(A57="","",SUMPRODUCT((tblCarga[Jogador]=A57)*(tblCarga[Microciclo (Nr)]=$K$2-3)*(tblCarga[Tipo]="Treino")*tblCarga[PSE Sessão]*tblCarga[Duração (min)]))</f>
        <v/>
      </c>
      <c r="F57" s="620">
        <f t="array" ref="F57">IF(A57="","",SUMPRODUCT((tblCarga[Jogador]=A57)*(tblCarga[Microciclo (Nr)]=$K$2-2)*(tblCarga[Tipo]="Treino")*tblCarga[PSE Sessão]*tblCarga[Duração (min)]))</f>
        <v/>
      </c>
      <c r="G57" s="620">
        <f t="array" ref="G57">IF(A57="","",SUMPRODUCT((tblCarga[Jogador]=A57)*(tblCarga[Microciclo (Nr)]=$K$2-1)*(tblCarga[Tipo]="Treino")*tblCarga[PSE Sessão]*tblCarga[Duração (min)]))</f>
        <v/>
      </c>
      <c r="H57" s="620">
        <f t="array" ref="H57">IF(A57="","",SUMPRODUCT((tblCarga[Jogador]=A57)*(tblCarga[Microciclo (Nr)]=$K$2-0)*(tblCarga[Tipo]="Treino")*tblCarga[PSE Sessão]*tblCarga[Duração (min)]))</f>
        <v/>
      </c>
      <c r="I57" s="41">
        <f>IF(A57="","",SUM(B57:H57))</f>
        <v/>
      </c>
      <c r="J57" s="620">
        <f>IF(A57="","",AVERAGE(B57:H57))</f>
        <v/>
      </c>
      <c r="K57" s="22">
        <f>IF(A57="","",IFERROR(IF(AVERAGE(F57:H57)&gt;AVERAGE(B57:D57),"📈 ↑","📉 ↓"),"—"))</f>
        <v/>
      </c>
    </row>
    <row r="58" hidden="1" outlineLevel="1">
      <c r="A58" s="42">
        <f t="array" ref="A58">IFERROR(INDEX(_xlfn._xlws.SORT(_xlfn.UNIQUE(_xlfn._xlws.FILTER(tblCarga[Jogador],(tblCarga[Tipo]="Treino")))),20),"")</f>
        <v/>
      </c>
      <c r="B58" s="604">
        <f t="array" ref="B58">IF(A58="","",SUMPRODUCT((tblCarga[Jogador]=A58)*(tblCarga[Microciclo (Nr)]=$K$2-6)*(tblCarga[Tipo]="Treino")*tblCarga[PSE Sessão]*tblCarga[Duração (min)]))</f>
        <v/>
      </c>
      <c r="C58" s="604">
        <f t="array" ref="C58">IF(A58="","",SUMPRODUCT((tblCarga[Jogador]=A58)*(tblCarga[Microciclo (Nr)]=$K$2-5)*(tblCarga[Tipo]="Treino")*tblCarga[PSE Sessão]*tblCarga[Duração (min)]))</f>
        <v/>
      </c>
      <c r="D58" s="604">
        <f t="array" ref="D58">IF(A58="","",SUMPRODUCT((tblCarga[Jogador]=A58)*(tblCarga[Microciclo (Nr)]=$K$2-4)*(tblCarga[Tipo]="Treino")*tblCarga[PSE Sessão]*tblCarga[Duração (min)]))</f>
        <v/>
      </c>
      <c r="E58" s="604">
        <f t="array" ref="E58">IF(A58="","",SUMPRODUCT((tblCarga[Jogador]=A58)*(tblCarga[Microciclo (Nr)]=$K$2-3)*(tblCarga[Tipo]="Treino")*tblCarga[PSE Sessão]*tblCarga[Duração (min)]))</f>
        <v/>
      </c>
      <c r="F58" s="604">
        <f t="array" ref="F58">IF(A58="","",SUMPRODUCT((tblCarga[Jogador]=A58)*(tblCarga[Microciclo (Nr)]=$K$2-2)*(tblCarga[Tipo]="Treino")*tblCarga[PSE Sessão]*tblCarga[Duração (min)]))</f>
        <v/>
      </c>
      <c r="G58" s="604">
        <f t="array" ref="G58">IF(A58="","",SUMPRODUCT((tblCarga[Jogador]=A58)*(tblCarga[Microciclo (Nr)]=$K$2-1)*(tblCarga[Tipo]="Treino")*tblCarga[PSE Sessão]*tblCarga[Duração (min)]))</f>
        <v/>
      </c>
      <c r="H58" s="604">
        <f t="array" ref="H58">IF(A58="","",SUMPRODUCT((tblCarga[Jogador]=A58)*(tblCarga[Microciclo (Nr)]=$K$2-0)*(tblCarga[Tipo]="Treino")*tblCarga[PSE Sessão]*tblCarga[Duração (min)]))</f>
        <v/>
      </c>
      <c r="I58" s="43">
        <f>IF(A58="","",SUM(B58:H58))</f>
        <v/>
      </c>
      <c r="J58" s="604">
        <f>IF(A58="","",AVERAGE(B58:H58))</f>
        <v/>
      </c>
      <c r="K58" s="603">
        <f>IF(A58="","",IFERROR(IF(AVERAGE(F58:H58)&gt;AVERAGE(B58:D58),"📈 ↑","📉 ↓"),"—"))</f>
        <v/>
      </c>
    </row>
    <row r="59" hidden="1" outlineLevel="1">
      <c r="A59" s="40">
        <f t="array" ref="A59">IFERROR(INDEX(_xlfn._xlws.SORT(_xlfn.UNIQUE(_xlfn._xlws.FILTER(tblCarga[Jogador],(tblCarga[Tipo]="Treino")))),21),"")</f>
        <v/>
      </c>
      <c r="B59" s="620">
        <f t="array" ref="B59">IF(A59="","",SUMPRODUCT((tblCarga[Jogador]=A59)*(tblCarga[Microciclo (Nr)]=$K$2-6)*(tblCarga[Tipo]="Treino")*tblCarga[PSE Sessão]*tblCarga[Duração (min)]))</f>
        <v/>
      </c>
      <c r="C59" s="620">
        <f t="array" ref="C59">IF(A59="","",SUMPRODUCT((tblCarga[Jogador]=A59)*(tblCarga[Microciclo (Nr)]=$K$2-5)*(tblCarga[Tipo]="Treino")*tblCarga[PSE Sessão]*tblCarga[Duração (min)]))</f>
        <v/>
      </c>
      <c r="D59" s="620">
        <f t="array" ref="D59">IF(A59="","",SUMPRODUCT((tblCarga[Jogador]=A59)*(tblCarga[Microciclo (Nr)]=$K$2-4)*(tblCarga[Tipo]="Treino")*tblCarga[PSE Sessão]*tblCarga[Duração (min)]))</f>
        <v/>
      </c>
      <c r="E59" s="620">
        <f t="array" ref="E59">IF(A59="","",SUMPRODUCT((tblCarga[Jogador]=A59)*(tblCarga[Microciclo (Nr)]=$K$2-3)*(tblCarga[Tipo]="Treino")*tblCarga[PSE Sessão]*tblCarga[Duração (min)]))</f>
        <v/>
      </c>
      <c r="F59" s="620">
        <f t="array" ref="F59">IF(A59="","",SUMPRODUCT((tblCarga[Jogador]=A59)*(tblCarga[Microciclo (Nr)]=$K$2-2)*(tblCarga[Tipo]="Treino")*tblCarga[PSE Sessão]*tblCarga[Duração (min)]))</f>
        <v/>
      </c>
      <c r="G59" s="620">
        <f t="array" ref="G59">IF(A59="","",SUMPRODUCT((tblCarga[Jogador]=A59)*(tblCarga[Microciclo (Nr)]=$K$2-1)*(tblCarga[Tipo]="Treino")*tblCarga[PSE Sessão]*tblCarga[Duração (min)]))</f>
        <v/>
      </c>
      <c r="H59" s="620">
        <f t="array" ref="H59">IF(A59="","",SUMPRODUCT((tblCarga[Jogador]=A59)*(tblCarga[Microciclo (Nr)]=$K$2-0)*(tblCarga[Tipo]="Treino")*tblCarga[PSE Sessão]*tblCarga[Duração (min)]))</f>
        <v/>
      </c>
      <c r="I59" s="41">
        <f>IF(A59="","",SUM(B59:H59))</f>
        <v/>
      </c>
      <c r="J59" s="620">
        <f>IF(A59="","",AVERAGE(B59:H59))</f>
        <v/>
      </c>
      <c r="K59" s="22">
        <f>IF(A59="","",IFERROR(IF(AVERAGE(F59:H59)&gt;AVERAGE(B59:D59),"📈 ↑","📉 ↓"),"—"))</f>
        <v/>
      </c>
    </row>
    <row r="60" hidden="1" outlineLevel="1">
      <c r="A60" s="42">
        <f t="array" ref="A60">IFERROR(INDEX(_xlfn._xlws.SORT(_xlfn.UNIQUE(_xlfn._xlws.FILTER(tblCarga[Jogador],(tblCarga[Tipo]="Treino")))),22),"")</f>
        <v/>
      </c>
      <c r="B60" s="604">
        <f t="array" ref="B60">IF(A60="","",SUMPRODUCT((tblCarga[Jogador]=A60)*(tblCarga[Microciclo (Nr)]=$K$2-6)*(tblCarga[Tipo]="Treino")*tblCarga[PSE Sessão]*tblCarga[Duração (min)]))</f>
        <v/>
      </c>
      <c r="C60" s="604">
        <f t="array" ref="C60">IF(A60="","",SUMPRODUCT((tblCarga[Jogador]=A60)*(tblCarga[Microciclo (Nr)]=$K$2-5)*(tblCarga[Tipo]="Treino")*tblCarga[PSE Sessão]*tblCarga[Duração (min)]))</f>
        <v/>
      </c>
      <c r="D60" s="604">
        <f t="array" ref="D60">IF(A60="","",SUMPRODUCT((tblCarga[Jogador]=A60)*(tblCarga[Microciclo (Nr)]=$K$2-4)*(tblCarga[Tipo]="Treino")*tblCarga[PSE Sessão]*tblCarga[Duração (min)]))</f>
        <v/>
      </c>
      <c r="E60" s="604">
        <f t="array" ref="E60">IF(A60="","",SUMPRODUCT((tblCarga[Jogador]=A60)*(tblCarga[Microciclo (Nr)]=$K$2-3)*(tblCarga[Tipo]="Treino")*tblCarga[PSE Sessão]*tblCarga[Duração (min)]))</f>
        <v/>
      </c>
      <c r="F60" s="604">
        <f t="array" ref="F60">IF(A60="","",SUMPRODUCT((tblCarga[Jogador]=A60)*(tblCarga[Microciclo (Nr)]=$K$2-2)*(tblCarga[Tipo]="Treino")*tblCarga[PSE Sessão]*tblCarga[Duração (min)]))</f>
        <v/>
      </c>
      <c r="G60" s="604">
        <f t="array" ref="G60">IF(A60="","",SUMPRODUCT((tblCarga[Jogador]=A60)*(tblCarga[Microciclo (Nr)]=$K$2-1)*(tblCarga[Tipo]="Treino")*tblCarga[PSE Sessão]*tblCarga[Duração (min)]))</f>
        <v/>
      </c>
      <c r="H60" s="604">
        <f t="array" ref="H60">IF(A60="","",SUMPRODUCT((tblCarga[Jogador]=A60)*(tblCarga[Microciclo (Nr)]=$K$2-0)*(tblCarga[Tipo]="Treino")*tblCarga[PSE Sessão]*tblCarga[Duração (min)]))</f>
        <v/>
      </c>
      <c r="I60" s="43">
        <f>IF(A60="","",SUM(B60:H60))</f>
        <v/>
      </c>
      <c r="J60" s="604">
        <f>IF(A60="","",AVERAGE(B60:H60))</f>
        <v/>
      </c>
      <c r="K60" s="603">
        <f>IF(A60="","",IFERROR(IF(AVERAGE(F60:H60)&gt;AVERAGE(B60:D60),"📈 ↑","📉 ↓"),"—"))</f>
        <v/>
      </c>
    </row>
    <row r="61" hidden="1" outlineLevel="1">
      <c r="A61" s="40">
        <f t="array" ref="A61">IFERROR(INDEX(_xlfn._xlws.SORT(_xlfn.UNIQUE(_xlfn._xlws.FILTER(tblCarga[Jogador],(tblCarga[Tipo]="Treino")))),23),"")</f>
        <v/>
      </c>
      <c r="B61" s="620">
        <f t="array" ref="B61">IF(A61="","",SUMPRODUCT((tblCarga[Jogador]=A61)*(tblCarga[Microciclo (Nr)]=$K$2-6)*(tblCarga[Tipo]="Treino")*tblCarga[PSE Sessão]*tblCarga[Duração (min)]))</f>
        <v/>
      </c>
      <c r="C61" s="620">
        <f t="array" ref="C61">IF(A61="","",SUMPRODUCT((tblCarga[Jogador]=A61)*(tblCarga[Microciclo (Nr)]=$K$2-5)*(tblCarga[Tipo]="Treino")*tblCarga[PSE Sessão]*tblCarga[Duração (min)]))</f>
        <v/>
      </c>
      <c r="D61" s="620">
        <f t="array" ref="D61">IF(A61="","",SUMPRODUCT((tblCarga[Jogador]=A61)*(tblCarga[Microciclo (Nr)]=$K$2-4)*(tblCarga[Tipo]="Treino")*tblCarga[PSE Sessão]*tblCarga[Duração (min)]))</f>
        <v/>
      </c>
      <c r="E61" s="620">
        <f t="array" ref="E61">IF(A61="","",SUMPRODUCT((tblCarga[Jogador]=A61)*(tblCarga[Microciclo (Nr)]=$K$2-3)*(tblCarga[Tipo]="Treino")*tblCarga[PSE Sessão]*tblCarga[Duração (min)]))</f>
        <v/>
      </c>
      <c r="F61" s="620">
        <f t="array" ref="F61">IF(A61="","",SUMPRODUCT((tblCarga[Jogador]=A61)*(tblCarga[Microciclo (Nr)]=$K$2-2)*(tblCarga[Tipo]="Treino")*tblCarga[PSE Sessão]*tblCarga[Duração (min)]))</f>
        <v/>
      </c>
      <c r="G61" s="620">
        <f t="array" ref="G61">IF(A61="","",SUMPRODUCT((tblCarga[Jogador]=A61)*(tblCarga[Microciclo (Nr)]=$K$2-1)*(tblCarga[Tipo]="Treino")*tblCarga[PSE Sessão]*tblCarga[Duração (min)]))</f>
        <v/>
      </c>
      <c r="H61" s="620">
        <f t="array" ref="H61">IF(A61="","",SUMPRODUCT((tblCarga[Jogador]=A61)*(tblCarga[Microciclo (Nr)]=$K$2-0)*(tblCarga[Tipo]="Treino")*tblCarga[PSE Sessão]*tblCarga[Duração (min)]))</f>
        <v/>
      </c>
      <c r="I61" s="41">
        <f>IF(A61="","",SUM(B61:H61))</f>
        <v/>
      </c>
      <c r="J61" s="620">
        <f>IF(A61="","",AVERAGE(B61:H61))</f>
        <v/>
      </c>
      <c r="K61" s="22">
        <f>IF(A61="","",IFERROR(IF(AVERAGE(F61:H61)&gt;AVERAGE(B61:D61),"📈 ↑","📉 ↓"),"—"))</f>
        <v/>
      </c>
    </row>
    <row r="62" hidden="1" outlineLevel="1">
      <c r="A62" s="42">
        <f t="array" ref="A62">IFERROR(INDEX(_xlfn._xlws.SORT(_xlfn.UNIQUE(_xlfn._xlws.FILTER(tblCarga[Jogador],(tblCarga[Tipo]="Treino")))),24),"")</f>
        <v/>
      </c>
      <c r="B62" s="604">
        <f t="array" ref="B62">IF(A62="","",SUMPRODUCT((tblCarga[Jogador]=A62)*(tblCarga[Microciclo (Nr)]=$K$2-6)*(tblCarga[Tipo]="Treino")*tblCarga[PSE Sessão]*tblCarga[Duração (min)]))</f>
        <v/>
      </c>
      <c r="C62" s="604">
        <f t="array" ref="C62">IF(A62="","",SUMPRODUCT((tblCarga[Jogador]=A62)*(tblCarga[Microciclo (Nr)]=$K$2-5)*(tblCarga[Tipo]="Treino")*tblCarga[PSE Sessão]*tblCarga[Duração (min)]))</f>
        <v/>
      </c>
      <c r="D62" s="604">
        <f t="array" ref="D62">IF(A62="","",SUMPRODUCT((tblCarga[Jogador]=A62)*(tblCarga[Microciclo (Nr)]=$K$2-4)*(tblCarga[Tipo]="Treino")*tblCarga[PSE Sessão]*tblCarga[Duração (min)]))</f>
        <v/>
      </c>
      <c r="E62" s="604">
        <f t="array" ref="E62">IF(A62="","",SUMPRODUCT((tblCarga[Jogador]=A62)*(tblCarga[Microciclo (Nr)]=$K$2-3)*(tblCarga[Tipo]="Treino")*tblCarga[PSE Sessão]*tblCarga[Duração (min)]))</f>
        <v/>
      </c>
      <c r="F62" s="604">
        <f t="array" ref="F62">IF(A62="","",SUMPRODUCT((tblCarga[Jogador]=A62)*(tblCarga[Microciclo (Nr)]=$K$2-2)*(tblCarga[Tipo]="Treino")*tblCarga[PSE Sessão]*tblCarga[Duração (min)]))</f>
        <v/>
      </c>
      <c r="G62" s="604">
        <f t="array" ref="G62">IF(A62="","",SUMPRODUCT((tblCarga[Jogador]=A62)*(tblCarga[Microciclo (Nr)]=$K$2-1)*(tblCarga[Tipo]="Treino")*tblCarga[PSE Sessão]*tblCarga[Duração (min)]))</f>
        <v/>
      </c>
      <c r="H62" s="604">
        <f t="array" ref="H62">IF(A62="","",SUMPRODUCT((tblCarga[Jogador]=A62)*(tblCarga[Microciclo (Nr)]=$K$2-0)*(tblCarga[Tipo]="Treino")*tblCarga[PSE Sessão]*tblCarga[Duração (min)]))</f>
        <v/>
      </c>
      <c r="I62" s="43">
        <f>IF(A62="","",SUM(B62:H62))</f>
        <v/>
      </c>
      <c r="J62" s="604">
        <f>IF(A62="","",AVERAGE(B62:H62))</f>
        <v/>
      </c>
      <c r="K62" s="603">
        <f>IF(A62="","",IFERROR(IF(AVERAGE(F62:H62)&gt;AVERAGE(B62:D62),"📈 ↑","📉 ↓"),"—"))</f>
        <v/>
      </c>
    </row>
    <row r="63" hidden="1" outlineLevel="1">
      <c r="A63" s="40">
        <f t="array" ref="A63">IFERROR(INDEX(_xlfn._xlws.SORT(_xlfn.UNIQUE(_xlfn._xlws.FILTER(tblCarga[Jogador],(tblCarga[Tipo]="Treino")))),25),"")</f>
        <v/>
      </c>
      <c r="B63" s="620">
        <f t="array" ref="B63">IF(A63="","",SUMPRODUCT((tblCarga[Jogador]=A63)*(tblCarga[Microciclo (Nr)]=$K$2-6)*(tblCarga[Tipo]="Treino")*tblCarga[PSE Sessão]*tblCarga[Duração (min)]))</f>
        <v/>
      </c>
      <c r="C63" s="620">
        <f t="array" ref="C63">IF(A63="","",SUMPRODUCT((tblCarga[Jogador]=A63)*(tblCarga[Microciclo (Nr)]=$K$2-5)*(tblCarga[Tipo]="Treino")*tblCarga[PSE Sessão]*tblCarga[Duração (min)]))</f>
        <v/>
      </c>
      <c r="D63" s="620">
        <f t="array" ref="D63">IF(A63="","",SUMPRODUCT((tblCarga[Jogador]=A63)*(tblCarga[Microciclo (Nr)]=$K$2-4)*(tblCarga[Tipo]="Treino")*tblCarga[PSE Sessão]*tblCarga[Duração (min)]))</f>
        <v/>
      </c>
      <c r="E63" s="620">
        <f t="array" ref="E63">IF(A63="","",SUMPRODUCT((tblCarga[Jogador]=A63)*(tblCarga[Microciclo (Nr)]=$K$2-3)*(tblCarga[Tipo]="Treino")*tblCarga[PSE Sessão]*tblCarga[Duração (min)]))</f>
        <v/>
      </c>
      <c r="F63" s="620">
        <f t="array" ref="F63">IF(A63="","",SUMPRODUCT((tblCarga[Jogador]=A63)*(tblCarga[Microciclo (Nr)]=$K$2-2)*(tblCarga[Tipo]="Treino")*tblCarga[PSE Sessão]*tblCarga[Duração (min)]))</f>
        <v/>
      </c>
      <c r="G63" s="620">
        <f t="array" ref="G63">IF(A63="","",SUMPRODUCT((tblCarga[Jogador]=A63)*(tblCarga[Microciclo (Nr)]=$K$2-1)*(tblCarga[Tipo]="Treino")*tblCarga[PSE Sessão]*tblCarga[Duração (min)]))</f>
        <v/>
      </c>
      <c r="H63" s="620">
        <f t="array" ref="H63">IF(A63="","",SUMPRODUCT((tblCarga[Jogador]=A63)*(tblCarga[Microciclo (Nr)]=$K$2-0)*(tblCarga[Tipo]="Treino")*tblCarga[PSE Sessão]*tblCarga[Duração (min)]))</f>
        <v/>
      </c>
      <c r="I63" s="41">
        <f>IF(A63="","",SUM(B63:H63))</f>
        <v/>
      </c>
      <c r="J63" s="620">
        <f>IF(A63="","",AVERAGE(B63:H63))</f>
        <v/>
      </c>
      <c r="K63" s="22">
        <f>IF(A63="","",IFERROR(IF(AVERAGE(F63:H63)&gt;AVERAGE(B63:D63),"📈 ↑","📉 ↓"),"—"))</f>
        <v/>
      </c>
    </row>
    <row r="64" ht="27.95" customHeight="1">
      <c r="A64" s="457" t="inlineStr">
        <is>
          <t>EQUIPA</t>
        </is>
      </c>
      <c r="B64" s="458">
        <f>IFERROR(AVERAGE(B41:B63),"")</f>
        <v/>
      </c>
      <c r="C64" s="458">
        <f>IFERROR(AVERAGE(C41:C63),"")</f>
        <v/>
      </c>
      <c r="D64" s="458">
        <f>IFERROR(AVERAGE(D41:D63),"")</f>
        <v/>
      </c>
      <c r="E64" s="458">
        <f>IFERROR(AVERAGE(E41:E63),"")</f>
        <v/>
      </c>
      <c r="F64" s="458">
        <f>IFERROR(AVERAGE(F41:F63),"")</f>
        <v/>
      </c>
      <c r="G64" s="458">
        <f>IFERROR(AVERAGE(G41:G63),"")</f>
        <v/>
      </c>
      <c r="H64" s="458">
        <f>IFERROR(AVERAGE(H41:H63),"")</f>
        <v/>
      </c>
      <c r="I64" s="458">
        <f>IFERROR(AVERAGE(I38:I63),"")</f>
        <v/>
      </c>
      <c r="J64" s="458">
        <f>IFERROR(AVERAGE(J38:J63),"")</f>
        <v/>
      </c>
      <c r="K64" s="457">
        <f>IFERROR(AVERAGE(K38:K63),"")</f>
        <v/>
      </c>
      <c r="L64" s="459" t="n"/>
      <c r="M64" s="459" t="n"/>
    </row>
  </sheetData>
  <mergeCells count="5">
    <mergeCell ref="A1:M1"/>
    <mergeCell ref="A21:K21"/>
    <mergeCell ref="A8:M8"/>
    <mergeCell ref="A3:M3"/>
    <mergeCell ref="A36:K36"/>
  </mergeCells>
  <conditionalFormatting sqref="E10:E20">
    <cfRule type="colorScale" priority="1">
      <colorScale>
        <cfvo type="num" val="-0.2"/>
        <cfvo type="num" val="0"/>
        <cfvo type="num" val="0.2"/>
        <color rgb="FFC00000"/>
        <color rgb="FFFFFFFF"/>
        <color rgb="FF00B050"/>
      </colorScale>
    </cfRule>
  </conditionalFormatting>
  <conditionalFormatting sqref="K10:K20">
    <cfRule type="colorScale" priority="2">
      <colorScale>
        <cfvo type="num" val="0.8"/>
        <cfvo type="num" val="0.9"/>
        <cfvo type="num" val="1"/>
        <color rgb="FFC00000"/>
        <color rgb="FFFFEB84"/>
        <color rgb="FF00B050"/>
      </colorScale>
    </cfRule>
  </conditionalFormatting>
  <dataValidations count="1">
    <dataValidation sqref="K2" showDropDown="0" showInputMessage="1" showErrorMessage="1" allowBlank="1" type="list">
      <formula1>"1,2,3,4,5,6,7,8,9,10,11,12,13,14,15,16,17,18,19,20,21,22,23,24,25,26,27,28,29,30,31,32,33,34,35,36,37,38,39,40,41,42,43,44,45,46,47,48,49,50,51,52"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52C41A"/>
    <outlinePr summaryBelow="1" summaryRight="1"/>
    <pageSetUpPr/>
  </sheetPr>
  <dimension ref="A1:Z83"/>
  <sheetViews>
    <sheetView zoomScale="4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12" sqref="E12"/>
    </sheetView>
  </sheetViews>
  <sheetFormatPr baseColWidth="8" defaultRowHeight="15"/>
  <cols>
    <col width="15" bestFit="1" customWidth="1" min="1" max="1"/>
    <col width="18.140625" bestFit="1" customWidth="1" min="2" max="2"/>
    <col width="8.42578125" bestFit="1" customWidth="1" min="3" max="3"/>
    <col width="10.140625" bestFit="1" customWidth="1" min="4" max="4"/>
    <col width="7.140625" bestFit="1" customWidth="1" min="5" max="5"/>
    <col width="11" customWidth="1" min="6" max="6"/>
    <col width="15" bestFit="1" customWidth="1" min="7" max="7"/>
    <col outlineLevel="1" width="9.140625" customWidth="1" min="9" max="20"/>
  </cols>
  <sheetData>
    <row r="1" ht="45" customHeight="1">
      <c r="A1" s="598" t="inlineStr">
        <is>
          <t>📊  GRÁFICOS DE SESSÃO  |  Análise Visual por Treino — Belenenses</t>
        </is>
      </c>
      <c r="M1" s="608" t="n"/>
      <c r="N1" s="608" t="n"/>
      <c r="O1" s="608" t="n"/>
      <c r="P1" s="608" t="n"/>
      <c r="Q1" s="608" t="n"/>
      <c r="R1" s="608" t="n"/>
      <c r="S1" s="608" t="n"/>
      <c r="T1" s="608" t="n"/>
      <c r="U1" s="608" t="n"/>
      <c r="V1" s="608" t="n"/>
      <c r="W1" s="608" t="n"/>
      <c r="X1" s="608" t="n"/>
      <c r="Y1" s="608" t="n"/>
      <c r="Z1" s="608" t="n"/>
    </row>
    <row r="2" ht="6" customHeight="1">
      <c r="A2" s="603" t="n"/>
      <c r="B2" s="603" t="n"/>
      <c r="C2" s="603" t="n"/>
      <c r="D2" s="603" t="n"/>
      <c r="E2" s="603" t="n"/>
      <c r="F2" s="603" t="n"/>
      <c r="G2" s="603" t="n"/>
      <c r="H2" s="603" t="n"/>
      <c r="I2" s="603" t="n"/>
      <c r="J2" s="603" t="n"/>
      <c r="K2" s="603" t="n"/>
      <c r="L2" s="603" t="n"/>
      <c r="M2" s="608" t="n"/>
      <c r="N2" s="608" t="n"/>
      <c r="O2" s="608" t="n"/>
      <c r="P2" s="608" t="n"/>
      <c r="Q2" s="608" t="n"/>
      <c r="R2" s="608" t="n"/>
      <c r="S2" s="608" t="n"/>
      <c r="T2" s="608" t="n"/>
      <c r="U2" s="608" t="n"/>
      <c r="V2" s="608" t="n"/>
      <c r="W2" s="608" t="n"/>
      <c r="X2" s="608" t="n"/>
      <c r="Y2" s="608" t="n"/>
      <c r="Z2" s="608" t="n"/>
    </row>
    <row r="3" ht="24" customHeight="1">
      <c r="A3" s="600" t="inlineStr">
        <is>
          <t>🔍 FILTROS</t>
        </is>
      </c>
      <c r="M3" s="608" t="n"/>
      <c r="N3" s="608" t="n"/>
      <c r="O3" s="608" t="n"/>
      <c r="P3" s="608" t="n"/>
      <c r="Q3" s="608" t="n"/>
      <c r="R3" s="608" t="n"/>
      <c r="S3" s="608" t="n"/>
      <c r="T3" s="608" t="n"/>
      <c r="U3" s="608" t="n"/>
      <c r="V3" s="608" t="n"/>
      <c r="W3" s="608" t="n"/>
      <c r="X3" s="608" t="n"/>
      <c r="Y3" s="608" t="n"/>
      <c r="Z3" s="608" t="n"/>
    </row>
    <row r="4" ht="27.95" customHeight="1">
      <c r="A4" s="259" t="inlineStr">
        <is>
          <t>Microciclo (Nr):</t>
        </is>
      </c>
      <c r="B4" s="67" t="n">
        <v>9</v>
      </c>
      <c r="C4" s="259" t="inlineStr">
        <is>
          <t>Dia MD:</t>
        </is>
      </c>
      <c r="D4" s="67" t="inlineStr">
        <is>
          <t>MD-5</t>
        </is>
      </c>
      <c r="E4" s="156" t="n"/>
      <c r="F4" s="460" t="inlineStr">
        <is>
          <t>ℹ️ Altera os filtros acima para mudar a sessão. Os gráficos actualizam automaticamente.</t>
        </is>
      </c>
      <c r="G4" s="156" t="n"/>
      <c r="H4" s="156" t="n"/>
      <c r="I4" s="156" t="n"/>
      <c r="J4" s="156" t="n"/>
      <c r="K4" s="156" t="n"/>
      <c r="L4" s="156" t="n"/>
      <c r="M4" s="608" t="n"/>
      <c r="N4" s="608" t="n"/>
      <c r="O4" s="608" t="n"/>
      <c r="P4" s="608" t="n"/>
      <c r="Q4" s="608" t="n"/>
      <c r="R4" s="608" t="n"/>
      <c r="S4" s="608" t="n"/>
      <c r="T4" s="608" t="n"/>
      <c r="U4" s="608" t="n"/>
      <c r="V4" s="608" t="n"/>
      <c r="W4" s="608" t="n"/>
      <c r="X4" s="608" t="n"/>
      <c r="Y4" s="608" t="n"/>
      <c r="Z4" s="608" t="n"/>
    </row>
    <row r="5" ht="6" customHeight="1">
      <c r="A5" s="603" t="n"/>
      <c r="B5" s="603" t="n"/>
      <c r="C5" s="603" t="n"/>
      <c r="D5" s="603" t="n"/>
      <c r="E5" s="603" t="n"/>
      <c r="F5" s="603" t="n"/>
      <c r="G5" s="603" t="n"/>
      <c r="H5" s="603" t="n"/>
      <c r="I5" s="603" t="n"/>
      <c r="J5" s="603" t="n"/>
      <c r="K5" s="603" t="n"/>
      <c r="L5" s="603" t="n"/>
      <c r="M5" s="608" t="n"/>
      <c r="N5" s="608" t="n"/>
      <c r="O5" s="608" t="n"/>
      <c r="P5" s="608" t="n"/>
      <c r="Q5" s="608" t="n"/>
      <c r="R5" s="608" t="n"/>
      <c r="S5" s="608" t="n"/>
      <c r="T5" s="608" t="n"/>
      <c r="U5" s="608" t="n"/>
      <c r="V5" s="608" t="n"/>
      <c r="W5" s="608" t="n"/>
      <c r="X5" s="608" t="n"/>
      <c r="Y5" s="608" t="n"/>
      <c r="Z5" s="608" t="n"/>
    </row>
    <row r="6" ht="27.95" customHeight="1">
      <c r="A6" s="600" t="inlineStr">
        <is>
          <t>DADOS DA SESSÃO SELECIONADA</t>
        </is>
      </c>
      <c r="H6" s="612" t="n"/>
      <c r="I6" s="612" t="n"/>
      <c r="J6" s="612" t="n"/>
      <c r="K6" s="612" t="n"/>
      <c r="L6" s="612" t="n"/>
      <c r="M6" s="608" t="n"/>
      <c r="N6" s="608" t="n"/>
      <c r="O6" s="608" t="n"/>
      <c r="P6" s="608" t="n"/>
      <c r="Q6" s="608" t="n"/>
      <c r="R6" s="608" t="n"/>
      <c r="S6" s="608" t="n"/>
      <c r="T6" s="608" t="n"/>
      <c r="U6" s="608" t="n"/>
      <c r="V6" s="608" t="n"/>
      <c r="W6" s="608" t="n"/>
      <c r="X6" s="608" t="n"/>
      <c r="Y6" s="608" t="n"/>
      <c r="Z6" s="608" t="n"/>
    </row>
    <row r="7" ht="30" customHeight="1">
      <c r="A7" s="122" t="inlineStr">
        <is>
          <t>Jogador</t>
        </is>
      </c>
      <c r="B7" s="122" t="inlineStr">
        <is>
          <t>Distância Total (m)</t>
        </is>
      </c>
      <c r="C7" s="122" t="inlineStr">
        <is>
          <t>HSR (m)</t>
        </is>
      </c>
      <c r="D7" s="122" t="inlineStr">
        <is>
          <t>Sprint (m)</t>
        </is>
      </c>
      <c r="E7" s="122" t="inlineStr">
        <is>
          <t>Acc (n)</t>
        </is>
      </c>
      <c r="F7" s="122" t="inlineStr">
        <is>
          <t>Dcc (n)</t>
        </is>
      </c>
      <c r="G7" s="122" t="inlineStr">
        <is>
          <t>Vel. Máx (km/h)</t>
        </is>
      </c>
      <c r="H7" s="608" t="n"/>
      <c r="I7" s="608" t="n"/>
      <c r="J7" s="608" t="n"/>
      <c r="K7" s="608" t="n"/>
      <c r="L7" s="608" t="n"/>
      <c r="M7" s="608" t="n"/>
      <c r="N7" s="608" t="n"/>
      <c r="O7" s="608" t="n"/>
      <c r="P7" s="608" t="n"/>
      <c r="Q7" s="608" t="n"/>
      <c r="R7" s="608" t="n"/>
      <c r="S7" s="608" t="n"/>
      <c r="T7" s="608" t="n"/>
      <c r="U7" s="608" t="n"/>
      <c r="V7" s="608" t="n"/>
      <c r="W7" s="608" t="n"/>
      <c r="X7" s="608" t="n"/>
      <c r="Y7" s="608" t="n"/>
      <c r="Z7" s="608" t="n"/>
    </row>
    <row r="8" ht="26.1" customHeight="1">
      <c r="A8" s="461">
        <f t="array" ref="A8">IFERROR(INDEX(_xlfn._xlws.SORT(_xlfn.UNIQUE(_xlfn._xlws.FILTER(tblCarga[Jogador],(tblCarga[Microciclo (Nr)]=$B$4)*(tblCarga[Dia MD]=$D$4)))),1),"")</f>
        <v/>
      </c>
      <c r="B8" s="462">
        <f>IF(A8="","",AVERAGEIFS(tblCarga[Distância Total (m)],tblCarga[Jogador],A8,tblCarga[Microciclo (Nr)],$B$4,tblCarga[Dia MD],$D$4))</f>
        <v/>
      </c>
      <c r="C8" s="462">
        <f>IF(A8="","",AVERAGEIFS(tblCarga[HSR (m)],tblCarga[Jogador],A8,tblCarga[Microciclo (Nr)],$B$4,tblCarga[Dia MD],$D$4))</f>
        <v/>
      </c>
      <c r="D8" s="462">
        <f>IF(A8="","",AVERAGEIFS(tblCarga[Sprint (m)],tblCarga[Jogador],A8,tblCarga[Microciclo (Nr)],$B$4,tblCarga[Dia MD],$D$4))</f>
        <v/>
      </c>
      <c r="E8" s="463">
        <f>IF(A8="","",AVERAGEIFS(tblCarga[Acc (n)],tblCarga[Jogador],A8,tblCarga[Microciclo (Nr)],$B$4,tblCarga[Dia MD],$D$4))</f>
        <v/>
      </c>
      <c r="F8" s="463">
        <f>IF(A8="","",AVERAGEIFS(tblCarga[Dcc (n)],tblCarga[Jogador],A8,tblCarga[Microciclo (Nr)],$B$4,tblCarga[Dia MD],$D$4))</f>
        <v/>
      </c>
      <c r="G8" s="464">
        <f>IF(A8="","",AVERAGEIFS(tblCarga[Vel. Máx (km/h)],tblCarga[Jogador],A8,tblCarga[Microciclo (Nr)],$B$4,tblCarga[Dia MD],$D$4))</f>
        <v/>
      </c>
      <c r="H8" s="608" t="n"/>
      <c r="I8" s="608" t="n"/>
      <c r="J8" s="608" t="n"/>
      <c r="K8" s="608" t="n"/>
      <c r="L8" s="608" t="n"/>
      <c r="M8" s="608" t="n"/>
      <c r="N8" s="608" t="n"/>
      <c r="O8" s="608" t="n"/>
      <c r="P8" s="608" t="n"/>
      <c r="Q8" s="608" t="n"/>
      <c r="R8" s="608" t="n"/>
      <c r="S8" s="608" t="n"/>
      <c r="T8" s="608" t="n"/>
      <c r="U8" s="608" t="n"/>
      <c r="V8" s="608" t="n"/>
      <c r="W8" s="608" t="n"/>
      <c r="X8" s="608" t="n"/>
      <c r="Y8" s="608" t="n"/>
      <c r="Z8" s="608" t="n"/>
    </row>
    <row r="9" ht="26.1" customHeight="1">
      <c r="A9" s="466">
        <f t="array" ref="A9">IFERROR(INDEX(_xlfn._xlws.SORT(_xlfn.UNIQUE(_xlfn._xlws.FILTER(tblCarga[Jogador],(tblCarga[Microciclo (Nr)]=$B$4)*(tblCarga[Dia MD]=$D$4)))),2),"")</f>
        <v/>
      </c>
      <c r="B9" s="333">
        <f>IF(A9="","",AVERAGEIFS(tblCarga[Distância Total (m)],tblCarga[Jogador],A9,tblCarga[Microciclo (Nr)],$B$4,tblCarga[Dia MD],$D$4))</f>
        <v/>
      </c>
      <c r="C9" s="333">
        <f>IF(A9="","",AVERAGEIFS(tblCarga[HSR (m)],tblCarga[Jogador],A9,tblCarga[Microciclo (Nr)],$B$4,tblCarga[Dia MD],$D$4))</f>
        <v/>
      </c>
      <c r="D9" s="333">
        <f>IF(A9="","",AVERAGEIFS(tblCarga[Sprint (m)],tblCarga[Jogador],A9,tblCarga[Microciclo (Nr)],$B$4,tblCarga[Dia MD],$D$4))</f>
        <v/>
      </c>
      <c r="E9" s="332">
        <f>IF(A9="","",AVERAGEIFS(tblCarga[Acc (n)],tblCarga[Jogador],A9,tblCarga[Microciclo (Nr)],$B$4,tblCarga[Dia MD],$D$4))</f>
        <v/>
      </c>
      <c r="F9" s="332">
        <f>IF(A9="","",AVERAGEIFS(tblCarga[Dcc (n)],tblCarga[Jogador],A9,tblCarga[Microciclo (Nr)],$B$4,tblCarga[Dia MD],$D$4))</f>
        <v/>
      </c>
      <c r="G9" s="467">
        <f>IF(A9="","",AVERAGEIFS(tblCarga[Vel. Máx (km/h)],tblCarga[Jogador],A9,tblCarga[Microciclo (Nr)],$B$4,tblCarga[Dia MD],$D$4))</f>
        <v/>
      </c>
      <c r="H9" s="608" t="n"/>
      <c r="I9" s="608" t="n"/>
      <c r="J9" s="608" t="n"/>
      <c r="K9" s="608" t="n"/>
      <c r="L9" s="608" t="n"/>
      <c r="M9" s="608" t="n"/>
      <c r="N9" s="608" t="n"/>
      <c r="O9" s="608" t="n"/>
      <c r="P9" s="608" t="n"/>
      <c r="Q9" s="608" t="n"/>
      <c r="R9" s="608" t="n"/>
      <c r="S9" s="608" t="n"/>
      <c r="T9" s="608" t="n"/>
      <c r="U9" s="608" t="n"/>
      <c r="V9" s="608" t="n"/>
      <c r="W9" s="608" t="n"/>
      <c r="X9" s="608" t="n"/>
      <c r="Y9" s="608" t="n"/>
      <c r="Z9" s="608" t="n"/>
    </row>
    <row r="10" ht="26.1" customHeight="1">
      <c r="A10" s="470">
        <f t="array" ref="A10">IFERROR(INDEX(_xlfn._xlws.SORT(_xlfn.UNIQUE(_xlfn._xlws.FILTER(tblCarga[Jogador],(tblCarga[Microciclo (Nr)]=$B$4)*(tblCarga[Dia MD]=$D$4)))),3),"")</f>
        <v/>
      </c>
      <c r="B10" s="341">
        <f>IF(A10="","",AVERAGEIFS(tblCarga[Distância Total (m)],tblCarga[Jogador],A10,tblCarga[Microciclo (Nr)],$B$4,tblCarga[Dia MD],$D$4))</f>
        <v/>
      </c>
      <c r="C10" s="341">
        <f>IF(A10="","",AVERAGEIFS(tblCarga[HSR (m)],tblCarga[Jogador],A10,tblCarga[Microciclo (Nr)],$B$4,tblCarga[Dia MD],$D$4))</f>
        <v/>
      </c>
      <c r="D10" s="341">
        <f>IF(A10="","",AVERAGEIFS(tblCarga[Sprint (m)],tblCarga[Jogador],A10,tblCarga[Microciclo (Nr)],$B$4,tblCarga[Dia MD],$D$4))</f>
        <v/>
      </c>
      <c r="E10" s="340">
        <f>IF(A10="","",AVERAGEIFS(tblCarga[Acc (n)],tblCarga[Jogador],A10,tblCarga[Microciclo (Nr)],$B$4,tblCarga[Dia MD],$D$4))</f>
        <v/>
      </c>
      <c r="F10" s="340">
        <f>IF(A10="","",AVERAGEIFS(tblCarga[Dcc (n)],tblCarga[Jogador],A10,tblCarga[Microciclo (Nr)],$B$4,tblCarga[Dia MD],$D$4))</f>
        <v/>
      </c>
      <c r="G10" s="471">
        <f>IF(A10="","",AVERAGEIFS(tblCarga[Vel. Máx (km/h)],tblCarga[Jogador],A10,tblCarga[Microciclo (Nr)],$B$4,tblCarga[Dia MD],$D$4))</f>
        <v/>
      </c>
      <c r="H10" s="608" t="n"/>
      <c r="I10" s="608" t="n"/>
      <c r="J10" s="608" t="n"/>
      <c r="K10" s="608" t="n"/>
      <c r="L10" s="608" t="n"/>
      <c r="M10" s="608" t="n"/>
      <c r="N10" s="608" t="n"/>
      <c r="O10" s="608" t="n"/>
      <c r="P10" s="608" t="n"/>
      <c r="Q10" s="608" t="n"/>
      <c r="R10" s="608" t="n"/>
      <c r="S10" s="608" t="n"/>
      <c r="T10" s="608" t="n"/>
      <c r="U10" s="608" t="n"/>
      <c r="V10" s="608" t="n"/>
      <c r="W10" s="608" t="n"/>
      <c r="X10" s="608" t="n"/>
      <c r="Y10" s="608" t="n"/>
      <c r="Z10" s="608" t="n"/>
    </row>
    <row r="11" ht="26.1" customHeight="1">
      <c r="A11" s="466">
        <f t="array" ref="A11">IFERROR(INDEX(_xlfn._xlws.SORT(_xlfn.UNIQUE(_xlfn._xlws.FILTER(tblCarga[Jogador],(tblCarga[Microciclo (Nr)]=$B$4)*(tblCarga[Dia MD]=$D$4)))),4),"")</f>
        <v/>
      </c>
      <c r="B11" s="333">
        <f>IF(A11="","",AVERAGEIFS(tblCarga[Distância Total (m)],tblCarga[Jogador],A11,tblCarga[Microciclo (Nr)],$B$4,tblCarga[Dia MD],$D$4))</f>
        <v/>
      </c>
      <c r="C11" s="333">
        <f>IF(A11="","",AVERAGEIFS(tblCarga[HSR (m)],tblCarga[Jogador],A11,tblCarga[Microciclo (Nr)],$B$4,tblCarga[Dia MD],$D$4))</f>
        <v/>
      </c>
      <c r="D11" s="333">
        <f>IF(A11="","",AVERAGEIFS(tblCarga[Sprint (m)],tblCarga[Jogador],A11,tblCarga[Microciclo (Nr)],$B$4,tblCarga[Dia MD],$D$4))</f>
        <v/>
      </c>
      <c r="E11" s="332">
        <f>IF(A11="","",AVERAGEIFS(tblCarga[Acc (n)],tblCarga[Jogador],A11,tblCarga[Microciclo (Nr)],$B$4,tblCarga[Dia MD],$D$4))</f>
        <v/>
      </c>
      <c r="F11" s="332">
        <f>IF(A11="","",AVERAGEIFS(tblCarga[Dcc (n)],tblCarga[Jogador],A11,tblCarga[Microciclo (Nr)],$B$4,tblCarga[Dia MD],$D$4))</f>
        <v/>
      </c>
      <c r="G11" s="467">
        <f>IF(A11="","",AVERAGEIFS(tblCarga[Vel. Máx (km/h)],tblCarga[Jogador],A11,tblCarga[Microciclo (Nr)],$B$4,tblCarga[Dia MD],$D$4))</f>
        <v/>
      </c>
      <c r="H11" s="608" t="n"/>
      <c r="I11" s="608" t="n"/>
      <c r="J11" s="608" t="n"/>
      <c r="K11" s="608" t="n"/>
      <c r="L11" s="608" t="n"/>
      <c r="M11" s="608" t="n"/>
      <c r="N11" s="608" t="n"/>
      <c r="O11" s="608" t="n"/>
      <c r="P11" s="608" t="n"/>
      <c r="Q11" s="608" t="n"/>
      <c r="R11" s="608" t="n"/>
      <c r="S11" s="608" t="n"/>
      <c r="T11" s="608" t="n"/>
      <c r="U11" s="608" t="n"/>
      <c r="V11" s="608" t="n"/>
      <c r="W11" s="608" t="n"/>
      <c r="X11" s="608" t="n"/>
      <c r="Y11" s="608" t="n"/>
      <c r="Z11" s="608" t="n"/>
    </row>
    <row r="12" ht="26.1" customHeight="1">
      <c r="A12" s="470">
        <f t="array" ref="A12">IFERROR(INDEX(_xlfn._xlws.SORT(_xlfn.UNIQUE(_xlfn._xlws.FILTER(tblCarga[Jogador],(tblCarga[Microciclo (Nr)]=$B$4)*(tblCarga[Dia MD]=$D$4)))),5),"")</f>
        <v/>
      </c>
      <c r="B12" s="341">
        <f>IF(A12="","",AVERAGEIFS(tblCarga[Distância Total (m)],tblCarga[Jogador],A12,tblCarga[Microciclo (Nr)],$B$4,tblCarga[Dia MD],$D$4))</f>
        <v/>
      </c>
      <c r="C12" s="341">
        <f>IF(A12="","",AVERAGEIFS(tblCarga[HSR (m)],tblCarga[Jogador],A12,tblCarga[Microciclo (Nr)],$B$4,tblCarga[Dia MD],$D$4))</f>
        <v/>
      </c>
      <c r="D12" s="341">
        <f>IF(A12="","",AVERAGEIFS(tblCarga[Sprint (m)],tblCarga[Jogador],A12,tblCarga[Microciclo (Nr)],$B$4,tblCarga[Dia MD],$D$4))</f>
        <v/>
      </c>
      <c r="E12" s="340">
        <f>IF(A12="","",AVERAGEIFS(tblCarga[Acc (n)],tblCarga[Jogador],A12,tblCarga[Microciclo (Nr)],$B$4,tblCarga[Dia MD],$D$4))</f>
        <v/>
      </c>
      <c r="F12" s="340">
        <f>IF(A12="","",AVERAGEIFS(tblCarga[Dcc (n)],tblCarga[Jogador],A12,tblCarga[Microciclo (Nr)],$B$4,tblCarga[Dia MD],$D$4))</f>
        <v/>
      </c>
      <c r="G12" s="471">
        <f>IF(A12="","",AVERAGEIFS(tblCarga[Vel. Máx (km/h)],tblCarga[Jogador],A12,tblCarga[Microciclo (Nr)],$B$4,tblCarga[Dia MD],$D$4))</f>
        <v/>
      </c>
      <c r="H12" s="608" t="n"/>
      <c r="I12" s="608" t="n"/>
      <c r="J12" s="608" t="n"/>
      <c r="K12" s="608" t="n"/>
      <c r="L12" s="608" t="n"/>
      <c r="M12" s="608" t="n"/>
      <c r="N12" s="608" t="n"/>
      <c r="O12" s="608" t="n"/>
      <c r="P12" s="608" t="n"/>
      <c r="Q12" s="608" t="n"/>
      <c r="R12" s="608" t="n"/>
      <c r="S12" s="608" t="n"/>
      <c r="T12" s="608" t="n"/>
      <c r="U12" s="608" t="n"/>
      <c r="V12" s="608" t="n"/>
      <c r="W12" s="608" t="n"/>
      <c r="X12" s="608" t="n"/>
      <c r="Y12" s="608" t="n"/>
      <c r="Z12" s="608" t="n"/>
    </row>
    <row r="13" ht="26.1" customHeight="1">
      <c r="A13" s="466">
        <f t="array" ref="A13">IFERROR(INDEX(_xlfn._xlws.SORT(_xlfn.UNIQUE(_xlfn._xlws.FILTER(tblCarga[Jogador],(tblCarga[Microciclo (Nr)]=$B$4)*(tblCarga[Dia MD]=$D$4)))),6),"")</f>
        <v/>
      </c>
      <c r="B13" s="333">
        <f>IF(A13="","",AVERAGEIFS(tblCarga[Distância Total (m)],tblCarga[Jogador],A13,tblCarga[Microciclo (Nr)],$B$4,tblCarga[Dia MD],$D$4))</f>
        <v/>
      </c>
      <c r="C13" s="333">
        <f>IF(A13="","",AVERAGEIFS(tblCarga[HSR (m)],tblCarga[Jogador],A13,tblCarga[Microciclo (Nr)],$B$4,tblCarga[Dia MD],$D$4))</f>
        <v/>
      </c>
      <c r="D13" s="333">
        <f>IF(A13="","",AVERAGEIFS(tblCarga[Sprint (m)],tblCarga[Jogador],A13,tblCarga[Microciclo (Nr)],$B$4,tblCarga[Dia MD],$D$4))</f>
        <v/>
      </c>
      <c r="E13" s="332">
        <f>IF(A13="","",AVERAGEIFS(tblCarga[Acc (n)],tblCarga[Jogador],A13,tblCarga[Microciclo (Nr)],$B$4,tblCarga[Dia MD],$D$4))</f>
        <v/>
      </c>
      <c r="F13" s="332">
        <f>IF(A13="","",AVERAGEIFS(tblCarga[Dcc (n)],tblCarga[Jogador],A13,tblCarga[Microciclo (Nr)],$B$4,tblCarga[Dia MD],$D$4))</f>
        <v/>
      </c>
      <c r="G13" s="467">
        <f>IF(A13="","",AVERAGEIFS(tblCarga[Vel. Máx (km/h)],tblCarga[Jogador],A13,tblCarga[Microciclo (Nr)],$B$4,tblCarga[Dia MD],$D$4))</f>
        <v/>
      </c>
      <c r="H13" s="608" t="n"/>
      <c r="I13" s="608" t="n"/>
      <c r="J13" s="608" t="n"/>
      <c r="K13" s="608" t="n"/>
      <c r="L13" s="608" t="n"/>
      <c r="M13" s="608" t="n"/>
      <c r="N13" s="608" t="n"/>
      <c r="O13" s="608" t="n"/>
      <c r="P13" s="608" t="n"/>
      <c r="Q13" s="608" t="n"/>
      <c r="R13" s="608" t="n"/>
      <c r="S13" s="608" t="n"/>
      <c r="T13" s="608" t="n"/>
      <c r="U13" s="608" t="n"/>
      <c r="V13" s="608" t="n"/>
      <c r="W13" s="608" t="n"/>
      <c r="X13" s="608" t="n"/>
      <c r="Y13" s="608" t="n"/>
      <c r="Z13" s="608" t="n"/>
    </row>
    <row r="14" ht="26.1" customHeight="1">
      <c r="A14" s="470">
        <f t="array" ref="A14">IFERROR(INDEX(_xlfn._xlws.SORT(_xlfn.UNIQUE(_xlfn._xlws.FILTER(tblCarga[Jogador],(tblCarga[Microciclo (Nr)]=$B$4)*(tblCarga[Dia MD]=$D$4)))),7),"")</f>
        <v/>
      </c>
      <c r="B14" s="341">
        <f>IF(A14="","",AVERAGEIFS(tblCarga[Distância Total (m)],tblCarga[Jogador],A14,tblCarga[Microciclo (Nr)],$B$4,tblCarga[Dia MD],$D$4))</f>
        <v/>
      </c>
      <c r="C14" s="341">
        <f>IF(A14="","",AVERAGEIFS(tblCarga[HSR (m)],tblCarga[Jogador],A14,tblCarga[Microciclo (Nr)],$B$4,tblCarga[Dia MD],$D$4))</f>
        <v/>
      </c>
      <c r="D14" s="341">
        <f>IF(A14="","",AVERAGEIFS(tblCarga[Sprint (m)],tblCarga[Jogador],A14,tblCarga[Microciclo (Nr)],$B$4,tblCarga[Dia MD],$D$4))</f>
        <v/>
      </c>
      <c r="E14" s="340">
        <f>IF(A14="","",AVERAGEIFS(tblCarga[Acc (n)],tblCarga[Jogador],A14,tblCarga[Microciclo (Nr)],$B$4,tblCarga[Dia MD],$D$4))</f>
        <v/>
      </c>
      <c r="F14" s="340">
        <f>IF(A14="","",AVERAGEIFS(tblCarga[Dcc (n)],tblCarga[Jogador],A14,tblCarga[Microciclo (Nr)],$B$4,tblCarga[Dia MD],$D$4))</f>
        <v/>
      </c>
      <c r="G14" s="471">
        <f>IF(A14="","",AVERAGEIFS(tblCarga[Vel. Máx (km/h)],tblCarga[Jogador],A14,tblCarga[Microciclo (Nr)],$B$4,tblCarga[Dia MD],$D$4))</f>
        <v/>
      </c>
      <c r="H14" s="608" t="n"/>
      <c r="I14" s="608" t="n"/>
      <c r="J14" s="608" t="n"/>
      <c r="K14" s="608" t="n"/>
      <c r="L14" s="608" t="n"/>
      <c r="M14" s="608" t="n"/>
      <c r="N14" s="608" t="n"/>
      <c r="O14" s="608" t="n"/>
      <c r="P14" s="608" t="n"/>
      <c r="Q14" s="608" t="n"/>
      <c r="R14" s="608" t="n"/>
      <c r="S14" s="608" t="n"/>
      <c r="T14" s="608" t="n"/>
      <c r="U14" s="608" t="n"/>
      <c r="V14" s="608" t="n"/>
      <c r="W14" s="608" t="n"/>
      <c r="X14" s="608" t="n"/>
      <c r="Y14" s="608" t="n"/>
      <c r="Z14" s="608" t="n"/>
    </row>
    <row r="15" ht="26.1" customHeight="1">
      <c r="A15" s="466">
        <f t="array" ref="A15">IFERROR(INDEX(_xlfn._xlws.SORT(_xlfn.UNIQUE(_xlfn._xlws.FILTER(tblCarga[Jogador],(tblCarga[Microciclo (Nr)]=$B$4)*(tblCarga[Dia MD]=$D$4)))),8),"")</f>
        <v/>
      </c>
      <c r="B15" s="333">
        <f>IF(A15="","",AVERAGEIFS(tblCarga[Distância Total (m)],tblCarga[Jogador],A15,tblCarga[Microciclo (Nr)],$B$4,tblCarga[Dia MD],$D$4))</f>
        <v/>
      </c>
      <c r="C15" s="333">
        <f>IF(A15="","",AVERAGEIFS(tblCarga[HSR (m)],tblCarga[Jogador],A15,tblCarga[Microciclo (Nr)],$B$4,tblCarga[Dia MD],$D$4))</f>
        <v/>
      </c>
      <c r="D15" s="333">
        <f>IF(A15="","",AVERAGEIFS(tblCarga[Sprint (m)],tblCarga[Jogador],A15,tblCarga[Microciclo (Nr)],$B$4,tblCarga[Dia MD],$D$4))</f>
        <v/>
      </c>
      <c r="E15" s="332">
        <f>IF(A15="","",AVERAGEIFS(tblCarga[Acc (n)],tblCarga[Jogador],A15,tblCarga[Microciclo (Nr)],$B$4,tblCarga[Dia MD],$D$4))</f>
        <v/>
      </c>
      <c r="F15" s="332">
        <f>IF(A15="","",AVERAGEIFS(tblCarga[Dcc (n)],tblCarga[Jogador],A15,tblCarga[Microciclo (Nr)],$B$4,tblCarga[Dia MD],$D$4))</f>
        <v/>
      </c>
      <c r="G15" s="467">
        <f>IF(A15="","",AVERAGEIFS(tblCarga[Vel. Máx (km/h)],tblCarga[Jogador],A15,tblCarga[Microciclo (Nr)],$B$4,tblCarga[Dia MD],$D$4))</f>
        <v/>
      </c>
      <c r="H15" s="608" t="n"/>
      <c r="I15" s="608" t="n"/>
      <c r="J15" s="608" t="n"/>
      <c r="K15" s="608" t="n"/>
      <c r="L15" s="608" t="n"/>
      <c r="M15" s="608" t="n"/>
      <c r="N15" s="608" t="n"/>
      <c r="O15" s="608" t="n"/>
      <c r="P15" s="608" t="n"/>
      <c r="Q15" s="608" t="n"/>
      <c r="R15" s="608" t="n"/>
      <c r="S15" s="608" t="n"/>
      <c r="T15" s="608" t="n"/>
      <c r="U15" s="608" t="n"/>
      <c r="V15" s="608" t="n"/>
      <c r="W15" s="608" t="n"/>
      <c r="X15" s="608" t="n"/>
      <c r="Y15" s="608" t="n"/>
      <c r="Z15" s="608" t="n"/>
    </row>
    <row r="16" ht="26.1" customHeight="1">
      <c r="A16" s="469">
        <f t="array" ref="A16">IFERROR(INDEX(_xlfn._xlws.SORT(_xlfn.UNIQUE(_xlfn._xlws.FILTER(tblCarga[Jogador],(tblCarga[Microciclo (Nr)]=$B$4)*(tblCarga[Dia MD]=$D$4)))),9),"")</f>
        <v/>
      </c>
      <c r="B16" s="337">
        <f>IF(A16="","",AVERAGEIFS(tblCarga[Distância Total (m)],tblCarga[Jogador],A16,tblCarga[Microciclo (Nr)],$B$4,tblCarga[Dia MD],$D$4))</f>
        <v/>
      </c>
      <c r="C16" s="337">
        <f>IF(A16="","",AVERAGEIFS(tblCarga[HSR (m)],tblCarga[Jogador],A16,tblCarga[Microciclo (Nr)],$B$4,tblCarga[Dia MD],$D$4))</f>
        <v/>
      </c>
      <c r="D16" s="337">
        <f>IF(A16="","",AVERAGEIFS(tblCarga[Sprint (m)],tblCarga[Jogador],A16,tblCarga[Microciclo (Nr)],$B$4,tblCarga[Dia MD],$D$4))</f>
        <v/>
      </c>
      <c r="E16" s="336">
        <f>IF(A16="","",AVERAGEIFS(tblCarga[Acc (n)],tblCarga[Jogador],A16,tblCarga[Microciclo (Nr)],$B$4,tblCarga[Dia MD],$D$4))</f>
        <v/>
      </c>
      <c r="F16" s="336">
        <f>IF(A16="","",AVERAGEIFS(tblCarga[Dcc (n)],tblCarga[Jogador],A16,tblCarga[Microciclo (Nr)],$B$4,tblCarga[Dia MD],$D$4))</f>
        <v/>
      </c>
      <c r="G16" s="468">
        <f>IF(A16="","",AVERAGEIFS(tblCarga[Vel. Máx (km/h)],tblCarga[Jogador],A16,tblCarga[Microciclo (Nr)],$B$4,tblCarga[Dia MD],$D$4))</f>
        <v/>
      </c>
      <c r="H16" s="608" t="n"/>
      <c r="I16" s="608" t="n"/>
      <c r="J16" s="608" t="n"/>
      <c r="K16" s="608" t="n"/>
      <c r="L16" s="608" t="n"/>
      <c r="M16" s="608" t="n"/>
      <c r="N16" s="608" t="n"/>
      <c r="O16" s="608" t="n"/>
      <c r="P16" s="608" t="n"/>
      <c r="Q16" s="608" t="n"/>
      <c r="R16" s="608" t="n"/>
      <c r="S16" s="608" t="n"/>
      <c r="T16" s="608" t="n"/>
      <c r="U16" s="608" t="n"/>
      <c r="V16" s="608" t="n"/>
      <c r="W16" s="608" t="n"/>
      <c r="X16" s="608" t="n"/>
      <c r="Y16" s="608" t="n"/>
      <c r="Z16" s="608" t="n"/>
    </row>
    <row r="17">
      <c r="A17" s="603">
        <f t="array" ref="A17">IFERROR(INDEX(_xlfn._xlws.SORT(_xlfn.UNIQUE(_xlfn._xlws.FILTER(tblCarga[Jogador],(tblCarga[Microciclo (Nr)]=$B$4)*(tblCarga[Dia MD]=$D$4)))),10),"")</f>
        <v/>
      </c>
      <c r="B17" s="604">
        <f>IF(A17="","",AVERAGEIFS(tblCarga[Distância Total (m)],tblCarga[Jogador],A17,tblCarga[Microciclo (Nr)],$B$4,tblCarga[Dia MD],$D$4))</f>
        <v/>
      </c>
      <c r="C17" s="604">
        <f>IF(A17="","",AVERAGEIFS(tblCarga[HSR (m)],tblCarga[Jogador],A17,tblCarga[Microciclo (Nr)],$B$4,tblCarga[Dia MD],$D$4))</f>
        <v/>
      </c>
      <c r="D17" s="604">
        <f>IF(A17="","",AVERAGEIFS(tblCarga[Sprint (m)],tblCarga[Jogador],A17,tblCarga[Microciclo (Nr)],$B$4,tblCarga[Dia MD],$D$4))</f>
        <v/>
      </c>
      <c r="E17" s="618">
        <f>IF(A17="","",AVERAGEIFS(tblCarga[Acc (n)],tblCarga[Jogador],A17,tblCarga[Microciclo (Nr)],$B$4,tblCarga[Dia MD],$D$4))</f>
        <v/>
      </c>
      <c r="F17" s="618">
        <f>IF(A17="","",AVERAGEIFS(tblCarga[Dcc (n)],tblCarga[Jogador],A17,tblCarga[Microciclo (Nr)],$B$4,tblCarga[Dia MD],$D$4))</f>
        <v/>
      </c>
      <c r="G17" s="606">
        <f>IF(A17="","",AVERAGEIFS(tblCarga[Vel. Máx (km/h)],tblCarga[Jogador],A17,tblCarga[Microciclo (Nr)],$B$4,tblCarga[Dia MD],$D$4))</f>
        <v/>
      </c>
      <c r="H17" s="608" t="n"/>
      <c r="I17" s="608" t="n"/>
      <c r="J17" s="608" t="n"/>
      <c r="K17" s="608" t="n"/>
      <c r="L17" s="608" t="n"/>
      <c r="M17" s="608" t="n"/>
      <c r="N17" s="608" t="n"/>
      <c r="O17" s="608" t="n"/>
      <c r="P17" s="608" t="n"/>
      <c r="Q17" s="608" t="n"/>
      <c r="R17" s="608" t="n"/>
      <c r="S17" s="608" t="n"/>
      <c r="T17" s="608" t="n"/>
      <c r="U17" s="608" t="n"/>
      <c r="V17" s="608" t="n"/>
      <c r="W17" s="608" t="n"/>
      <c r="X17" s="608" t="n"/>
      <c r="Y17" s="608" t="n"/>
      <c r="Z17" s="608" t="n"/>
    </row>
    <row r="18">
      <c r="A18" s="22">
        <f t="array" ref="A18">IFERROR(INDEX(_xlfn._xlws.SORT(_xlfn.UNIQUE(_xlfn._xlws.FILTER(tblCarga[Jogador],(tblCarga[Microciclo (Nr)]=$B$4)*(tblCarga[Dia MD]=$D$4)))),11),"")</f>
        <v/>
      </c>
      <c r="B18" s="620">
        <f>IF(A18="","",AVERAGEIFS(tblCarga[Distância Total (m)],tblCarga[Jogador],A18,tblCarga[Microciclo (Nr)],$B$4,tblCarga[Dia MD],$D$4))</f>
        <v/>
      </c>
      <c r="C18" s="620">
        <f>IF(A18="","",AVERAGEIFS(tblCarga[HSR (m)],tblCarga[Jogador],A18,tblCarga[Microciclo (Nr)],$B$4,tblCarga[Dia MD],$D$4))</f>
        <v/>
      </c>
      <c r="D18" s="620">
        <f>IF(A18="","",AVERAGEIFS(tblCarga[Sprint (m)],tblCarga[Jogador],A18,tblCarga[Microciclo (Nr)],$B$4,tblCarga[Dia MD],$D$4))</f>
        <v/>
      </c>
      <c r="E18" s="621">
        <f>IF(A18="","",AVERAGEIFS(tblCarga[Acc (n)],tblCarga[Jogador],A18,tblCarga[Microciclo (Nr)],$B$4,tblCarga[Dia MD],$D$4))</f>
        <v/>
      </c>
      <c r="F18" s="621">
        <f>IF(A18="","",AVERAGEIFS(tblCarga[Dcc (n)],tblCarga[Jogador],A18,tblCarga[Microciclo (Nr)],$B$4,tblCarga[Dia MD],$D$4))</f>
        <v/>
      </c>
      <c r="G18" s="622">
        <f>IF(A18="","",AVERAGEIFS(tblCarga[Vel. Máx (km/h)],tblCarga[Jogador],A18,tblCarga[Microciclo (Nr)],$B$4,tblCarga[Dia MD],$D$4))</f>
        <v/>
      </c>
      <c r="H18" s="608" t="n"/>
      <c r="I18" s="608" t="n"/>
      <c r="J18" s="608" t="n"/>
      <c r="K18" s="608" t="n"/>
      <c r="L18" s="608" t="n"/>
      <c r="M18" s="608" t="n"/>
      <c r="N18" s="608" t="n"/>
      <c r="O18" s="608" t="n"/>
      <c r="P18" s="608" t="n"/>
      <c r="Q18" s="608" t="n"/>
      <c r="R18" s="608" t="n"/>
      <c r="S18" s="608" t="n"/>
      <c r="T18" s="608" t="n"/>
      <c r="U18" s="608" t="n"/>
      <c r="V18" s="608" t="n"/>
      <c r="W18" s="608" t="n"/>
      <c r="X18" s="608" t="n"/>
      <c r="Y18" s="608" t="n"/>
      <c r="Z18" s="608" t="n"/>
    </row>
    <row r="19">
      <c r="A19" s="603">
        <f t="array" ref="A19">IFERROR(INDEX(_xlfn._xlws.SORT(_xlfn.UNIQUE(_xlfn._xlws.FILTER(tblCarga[Jogador],(tblCarga[Microciclo (Nr)]=$B$4)*(tblCarga[Dia MD]=$D$4)))),12),"")</f>
        <v/>
      </c>
      <c r="B19" s="604">
        <f>IF(A19="","",AVERAGEIFS(tblCarga[Distância Total (m)],tblCarga[Jogador],A19,tblCarga[Microciclo (Nr)],$B$4,tblCarga[Dia MD],$D$4))</f>
        <v/>
      </c>
      <c r="C19" s="604">
        <f>IF(A19="","",AVERAGEIFS(tblCarga[HSR (m)],tblCarga[Jogador],A19,tblCarga[Microciclo (Nr)],$B$4,tblCarga[Dia MD],$D$4))</f>
        <v/>
      </c>
      <c r="D19" s="604">
        <f>IF(A19="","",AVERAGEIFS(tblCarga[Sprint (m)],tblCarga[Jogador],A19,tblCarga[Microciclo (Nr)],$B$4,tblCarga[Dia MD],$D$4))</f>
        <v/>
      </c>
      <c r="E19" s="618">
        <f>IF(A19="","",AVERAGEIFS(tblCarga[Acc (n)],tblCarga[Jogador],A19,tblCarga[Microciclo (Nr)],$B$4,tblCarga[Dia MD],$D$4))</f>
        <v/>
      </c>
      <c r="F19" s="618">
        <f>IF(A19="","",AVERAGEIFS(tblCarga[Dcc (n)],tblCarga[Jogador],A19,tblCarga[Microciclo (Nr)],$B$4,tblCarga[Dia MD],$D$4))</f>
        <v/>
      </c>
      <c r="G19" s="606">
        <f>IF(A19="","",AVERAGEIFS(tblCarga[Vel. Máx (km/h)],tblCarga[Jogador],A19,tblCarga[Microciclo (Nr)],$B$4,tblCarga[Dia MD],$D$4))</f>
        <v/>
      </c>
      <c r="H19" s="608" t="n"/>
      <c r="I19" s="608" t="n"/>
      <c r="J19" s="608" t="n"/>
      <c r="K19" s="608" t="n"/>
      <c r="L19" s="608" t="n"/>
      <c r="M19" s="608" t="n"/>
      <c r="N19" s="608" t="n"/>
      <c r="O19" s="608" t="n"/>
      <c r="P19" s="608" t="n"/>
      <c r="Q19" s="608" t="n"/>
      <c r="R19" s="608" t="n"/>
      <c r="S19" s="608" t="n"/>
      <c r="T19" s="608" t="n"/>
      <c r="U19" s="608" t="n"/>
      <c r="V19" s="608" t="n"/>
      <c r="W19" s="608" t="n"/>
      <c r="X19" s="608" t="n"/>
      <c r="Y19" s="608" t="n"/>
      <c r="Z19" s="608" t="n"/>
    </row>
    <row r="20">
      <c r="A20" s="22">
        <f t="array" ref="A20">IFERROR(INDEX(_xlfn._xlws.SORT(_xlfn.UNIQUE(_xlfn._xlws.FILTER(tblCarga[Jogador],(tblCarga[Microciclo (Nr)]=$B$4)*(tblCarga[Dia MD]=$D$4)))),13),"")</f>
        <v/>
      </c>
      <c r="B20" s="620">
        <f>IF(A20="","",AVERAGEIFS(tblCarga[Distância Total (m)],tblCarga[Jogador],A20,tblCarga[Microciclo (Nr)],$B$4,tblCarga[Dia MD],$D$4))</f>
        <v/>
      </c>
      <c r="C20" s="620">
        <f>IF(A20="","",AVERAGEIFS(tblCarga[HSR (m)],tblCarga[Jogador],A20,tblCarga[Microciclo (Nr)],$B$4,tblCarga[Dia MD],$D$4))</f>
        <v/>
      </c>
      <c r="D20" s="620">
        <f>IF(A20="","",AVERAGEIFS(tblCarga[Sprint (m)],tblCarga[Jogador],A20,tblCarga[Microciclo (Nr)],$B$4,tblCarga[Dia MD],$D$4))</f>
        <v/>
      </c>
      <c r="E20" s="621">
        <f>IF(A20="","",AVERAGEIFS(tblCarga[Acc (n)],tblCarga[Jogador],A20,tblCarga[Microciclo (Nr)],$B$4,tblCarga[Dia MD],$D$4))</f>
        <v/>
      </c>
      <c r="F20" s="621">
        <f>IF(A20="","",AVERAGEIFS(tblCarga[Dcc (n)],tblCarga[Jogador],A20,tblCarga[Microciclo (Nr)],$B$4,tblCarga[Dia MD],$D$4))</f>
        <v/>
      </c>
      <c r="G20" s="622">
        <f>IF(A20="","",AVERAGEIFS(tblCarga[Vel. Máx (km/h)],tblCarga[Jogador],A20,tblCarga[Microciclo (Nr)],$B$4,tblCarga[Dia MD],$D$4))</f>
        <v/>
      </c>
      <c r="H20" s="608" t="n"/>
      <c r="I20" s="608" t="n"/>
      <c r="J20" s="608" t="n"/>
      <c r="K20" s="608" t="n"/>
      <c r="L20" s="608" t="n"/>
      <c r="M20" s="608" t="n"/>
      <c r="N20" s="608" t="n"/>
      <c r="O20" s="608" t="n"/>
      <c r="P20" s="608" t="n"/>
      <c r="Q20" s="608" t="n"/>
      <c r="R20" s="608" t="n"/>
      <c r="S20" s="608" t="n"/>
      <c r="T20" s="608" t="n"/>
      <c r="U20" s="608" t="n"/>
      <c r="V20" s="608" t="n"/>
      <c r="W20" s="608" t="n"/>
      <c r="X20" s="608" t="n"/>
      <c r="Y20" s="608" t="n"/>
      <c r="Z20" s="608" t="n"/>
    </row>
    <row r="21">
      <c r="A21" s="603">
        <f t="array" ref="A21">IFERROR(INDEX(_xlfn._xlws.SORT(_xlfn.UNIQUE(_xlfn._xlws.FILTER(tblCarga[Jogador],(tblCarga[Microciclo (Nr)]=$B$4)*(tblCarga[Dia MD]=$D$4)))),14),"")</f>
        <v/>
      </c>
      <c r="B21" s="604">
        <f>IF(A21="","",AVERAGEIFS(tblCarga[Distância Total (m)],tblCarga[Jogador],A21,tblCarga[Microciclo (Nr)],$B$4,tblCarga[Dia MD],$D$4))</f>
        <v/>
      </c>
      <c r="C21" s="604">
        <f>IF(A21="","",AVERAGEIFS(tblCarga[HSR (m)],tblCarga[Jogador],A21,tblCarga[Microciclo (Nr)],$B$4,tblCarga[Dia MD],$D$4))</f>
        <v/>
      </c>
      <c r="D21" s="604">
        <f>IF(A21="","",AVERAGEIFS(tblCarga[Sprint (m)],tblCarga[Jogador],A21,tblCarga[Microciclo (Nr)],$B$4,tblCarga[Dia MD],$D$4))</f>
        <v/>
      </c>
      <c r="E21" s="618">
        <f>IF(A21="","",AVERAGEIFS(tblCarga[Acc (n)],tblCarga[Jogador],A21,tblCarga[Microciclo (Nr)],$B$4,tblCarga[Dia MD],$D$4))</f>
        <v/>
      </c>
      <c r="F21" s="618">
        <f>IF(A21="","",AVERAGEIFS(tblCarga[Dcc (n)],tblCarga[Jogador],A21,tblCarga[Microciclo (Nr)],$B$4,tblCarga[Dia MD],$D$4))</f>
        <v/>
      </c>
      <c r="G21" s="606">
        <f>IF(A21="","",AVERAGEIFS(tblCarga[Vel. Máx (km/h)],tblCarga[Jogador],A21,tblCarga[Microciclo (Nr)],$B$4,tblCarga[Dia MD],$D$4))</f>
        <v/>
      </c>
      <c r="H21" s="608" t="n"/>
      <c r="I21" s="608" t="n"/>
      <c r="J21" s="608" t="n"/>
      <c r="K21" s="608" t="n"/>
      <c r="L21" s="608" t="n"/>
      <c r="M21" s="608" t="n"/>
      <c r="N21" s="608" t="n"/>
      <c r="O21" s="608" t="n"/>
      <c r="P21" s="608" t="n"/>
      <c r="Q21" s="608" t="n"/>
      <c r="R21" s="608" t="n"/>
      <c r="S21" s="608" t="n"/>
      <c r="T21" s="608" t="n"/>
      <c r="U21" s="608" t="n"/>
      <c r="V21" s="608" t="n"/>
      <c r="W21" s="608" t="n"/>
      <c r="X21" s="608" t="n"/>
      <c r="Y21" s="608" t="n"/>
      <c r="Z21" s="608" t="n"/>
    </row>
    <row r="22">
      <c r="A22" s="22">
        <f t="array" ref="A22">IFERROR(INDEX(_xlfn._xlws.SORT(_xlfn.UNIQUE(_xlfn._xlws.FILTER(tblCarga[Jogador],(tblCarga[Microciclo (Nr)]=$B$4)*(tblCarga[Dia MD]=$D$4)))),15),"")</f>
        <v/>
      </c>
      <c r="B22" s="620">
        <f>IF(A22="","",AVERAGEIFS(tblCarga[Distância Total (m)],tblCarga[Jogador],A22,tblCarga[Microciclo (Nr)],$B$4,tblCarga[Dia MD],$D$4))</f>
        <v/>
      </c>
      <c r="C22" s="620">
        <f>IF(A22="","",AVERAGEIFS(tblCarga[HSR (m)],tblCarga[Jogador],A22,tblCarga[Microciclo (Nr)],$B$4,tblCarga[Dia MD],$D$4))</f>
        <v/>
      </c>
      <c r="D22" s="620">
        <f>IF(A22="","",AVERAGEIFS(tblCarga[Sprint (m)],tblCarga[Jogador],A22,tblCarga[Microciclo (Nr)],$B$4,tblCarga[Dia MD],$D$4))</f>
        <v/>
      </c>
      <c r="E22" s="621">
        <f>IF(A22="","",AVERAGEIFS(tblCarga[Acc (n)],tblCarga[Jogador],A22,tblCarga[Microciclo (Nr)],$B$4,tblCarga[Dia MD],$D$4))</f>
        <v/>
      </c>
      <c r="F22" s="621">
        <f>IF(A22="","",AVERAGEIFS(tblCarga[Dcc (n)],tblCarga[Jogador],A22,tblCarga[Microciclo (Nr)],$B$4,tblCarga[Dia MD],$D$4))</f>
        <v/>
      </c>
      <c r="G22" s="622">
        <f>IF(A22="","",AVERAGEIFS(tblCarga[Vel. Máx (km/h)],tblCarga[Jogador],A22,tblCarga[Microciclo (Nr)],$B$4,tblCarga[Dia MD],$D$4))</f>
        <v/>
      </c>
      <c r="H22" s="608" t="n"/>
      <c r="I22" s="608" t="n"/>
      <c r="J22" s="608" t="n"/>
      <c r="K22" s="608" t="n"/>
      <c r="L22" s="608" t="n"/>
      <c r="M22" s="608" t="n"/>
      <c r="N22" s="608" t="n"/>
      <c r="O22" s="608" t="n"/>
      <c r="P22" s="608" t="n"/>
      <c r="Q22" s="608" t="n"/>
      <c r="R22" s="608" t="n"/>
      <c r="S22" s="608" t="n"/>
      <c r="T22" s="608" t="n"/>
      <c r="U22" s="608" t="n"/>
      <c r="V22" s="608" t="n"/>
      <c r="W22" s="608" t="n"/>
      <c r="X22" s="608" t="n"/>
      <c r="Y22" s="608" t="n"/>
      <c r="Z22" s="608" t="n"/>
    </row>
    <row r="23">
      <c r="A23" s="35" t="n"/>
      <c r="B23" s="36" t="n"/>
      <c r="C23" s="36" t="n"/>
      <c r="D23" s="36" t="n"/>
      <c r="E23" s="37" t="n"/>
      <c r="F23" s="37" t="n"/>
      <c r="G23" s="38" t="n"/>
      <c r="H23" s="608" t="n"/>
      <c r="I23" s="608" t="n"/>
      <c r="J23" s="608" t="n"/>
      <c r="K23" s="608" t="n"/>
      <c r="L23" s="608" t="n"/>
      <c r="M23" s="608" t="n"/>
      <c r="N23" s="608" t="n"/>
      <c r="O23" s="608" t="n"/>
      <c r="P23" s="608" t="n"/>
      <c r="Q23" s="608" t="n"/>
      <c r="R23" s="608" t="n"/>
      <c r="S23" s="608" t="n"/>
      <c r="T23" s="608" t="n"/>
      <c r="U23" s="608" t="n"/>
      <c r="V23" s="608" t="n"/>
      <c r="W23" s="608" t="n"/>
      <c r="X23" s="608" t="n"/>
      <c r="Y23" s="608" t="n"/>
      <c r="Z23" s="608" t="n"/>
    </row>
    <row r="24" ht="15.75" customHeight="1">
      <c r="M24" s="608" t="n"/>
      <c r="N24" s="608" t="n"/>
      <c r="O24" s="608" t="n"/>
      <c r="P24" s="608" t="n"/>
      <c r="Q24" s="608" t="n"/>
      <c r="R24" s="608" t="n"/>
      <c r="S24" s="608" t="n"/>
      <c r="T24" s="608" t="n"/>
    </row>
    <row r="25">
      <c r="A25" s="602">
        <f t="array" ref="A25">IFERROR(INDEX(_xlfn._xlws.SORT(_xlfn.UNIQUE(_xlfn._xlws.FILTER(tblCarga[Jogador],(tblCarga[Microciclo (Nr)]=$B$4)*(tblCarga[Dia MD]=$D$4)))),18),"")</f>
        <v/>
      </c>
      <c r="H25" s="608" t="n"/>
      <c r="I25" s="608" t="n"/>
      <c r="J25" s="608" t="n"/>
      <c r="K25" s="608" t="n"/>
      <c r="L25" s="608" t="n"/>
      <c r="M25" s="608" t="n"/>
      <c r="N25" s="608" t="n"/>
      <c r="O25" s="608" t="n"/>
      <c r="P25" s="608" t="n"/>
      <c r="Q25" s="608" t="n"/>
      <c r="R25" s="608" t="n"/>
      <c r="S25" s="608" t="n"/>
      <c r="T25" s="608" t="n"/>
      <c r="U25" s="608" t="n"/>
      <c r="V25" s="608" t="n"/>
      <c r="W25" s="608" t="n"/>
      <c r="X25" s="608" t="n"/>
      <c r="Y25" s="608" t="n"/>
      <c r="Z25" s="608" t="n"/>
    </row>
    <row r="26">
      <c r="A26" s="619">
        <f t="array" ref="A26">IFERROR(INDEX(_xlfn._xlws.SORT(_xlfn.UNIQUE(_xlfn._xlws.FILTER(tblCarga[Jogador],(tblCarga[Microciclo (Nr)]=$B$4)*(tblCarga[Dia MD]=$D$4)))),19),"")</f>
        <v/>
      </c>
      <c r="H26" s="608" t="n"/>
      <c r="I26" s="608" t="n"/>
      <c r="J26" s="608" t="n"/>
      <c r="K26" s="608" t="n"/>
      <c r="L26" s="608" t="n"/>
      <c r="M26" s="608" t="n"/>
      <c r="N26" s="608" t="n"/>
      <c r="O26" s="608" t="n"/>
      <c r="P26" s="608" t="n"/>
      <c r="Q26" s="608" t="n"/>
      <c r="R26" s="608" t="n"/>
      <c r="S26" s="608" t="n"/>
      <c r="T26" s="608" t="n"/>
      <c r="U26" s="608" t="n"/>
      <c r="V26" s="608" t="n"/>
      <c r="W26" s="608" t="n"/>
      <c r="X26" s="608" t="n"/>
      <c r="Y26" s="608" t="n"/>
      <c r="Z26" s="608" t="n"/>
    </row>
    <row r="27">
      <c r="A27" s="623">
        <f t="array" ref="A27">IFERROR(INDEX(_xlfn._xlws.SORT(_xlfn.UNIQUE(_xlfn._xlws.FILTER(tblCarga[Jogador],(tblCarga[Microciclo (Nr)]=$B$4)*(tblCarga[Dia MD]=$D$4)))),20),"")</f>
        <v/>
      </c>
      <c r="H27" s="608" t="n"/>
      <c r="I27" s="608" t="n"/>
      <c r="J27" s="608" t="n"/>
      <c r="K27" s="608" t="n"/>
      <c r="L27" s="608" t="n"/>
      <c r="M27" s="608" t="n"/>
      <c r="N27" s="608" t="n"/>
      <c r="O27" s="608" t="n"/>
      <c r="P27" s="608" t="n"/>
      <c r="Q27" s="608" t="n"/>
      <c r="R27" s="608" t="n"/>
      <c r="S27" s="608" t="n"/>
      <c r="T27" s="608" t="n"/>
      <c r="U27" s="608" t="n"/>
      <c r="V27" s="608" t="n"/>
      <c r="W27" s="608" t="n"/>
      <c r="X27" s="608" t="n"/>
      <c r="Y27" s="608" t="n"/>
      <c r="Z27" s="608" t="n"/>
    </row>
    <row r="28">
      <c r="A28" s="619">
        <f t="array" ref="A28">IFERROR(INDEX(_xlfn._xlws.SORT(_xlfn.UNIQUE(_xlfn._xlws.FILTER(tblCarga[Jogador],(tblCarga[Microciclo (Nr)]=$B$4)*(tblCarga[Dia MD]=$D$4)))),21),"")</f>
        <v/>
      </c>
      <c r="H28" s="608" t="n"/>
      <c r="I28" s="608" t="n"/>
      <c r="J28" s="608" t="n"/>
      <c r="K28" s="608" t="n"/>
      <c r="L28" s="608" t="n"/>
      <c r="M28" s="608" t="n"/>
      <c r="N28" s="608" t="n"/>
      <c r="O28" s="608" t="n"/>
      <c r="P28" s="608" t="n"/>
      <c r="Q28" s="608" t="n"/>
      <c r="R28" s="608" t="n"/>
      <c r="S28" s="608" t="n"/>
      <c r="T28" s="608" t="n"/>
      <c r="U28" s="608" t="n"/>
      <c r="V28" s="608" t="n"/>
      <c r="W28" s="608" t="n"/>
      <c r="X28" s="608" t="n"/>
      <c r="Y28" s="608" t="n"/>
      <c r="Z28" s="608" t="n"/>
    </row>
    <row r="29">
      <c r="A29" s="623">
        <f t="array" ref="A29">IFERROR(INDEX(_xlfn._xlws.SORT(_xlfn.UNIQUE(_xlfn._xlws.FILTER(tblCarga[Jogador],(tblCarga[Microciclo (Nr)]=$B$4)*(tblCarga[Dia MD]=$D$4)))),22),"")</f>
        <v/>
      </c>
      <c r="H29" s="608" t="n"/>
      <c r="I29" s="608" t="n"/>
      <c r="J29" s="608" t="n"/>
      <c r="K29" s="608" t="n"/>
      <c r="L29" s="608" t="n"/>
      <c r="M29" s="608" t="n"/>
      <c r="N29" s="608" t="n"/>
      <c r="O29" s="608" t="n"/>
      <c r="P29" s="608" t="n"/>
      <c r="Q29" s="608" t="n"/>
      <c r="R29" s="608" t="n"/>
      <c r="S29" s="608" t="n"/>
      <c r="T29" s="608" t="n"/>
      <c r="U29" s="608" t="n"/>
      <c r="V29" s="608" t="n"/>
      <c r="W29" s="608" t="n"/>
      <c r="X29" s="608" t="n"/>
      <c r="Y29" s="608" t="n"/>
      <c r="Z29" s="608" t="n"/>
    </row>
    <row r="30">
      <c r="A30" s="619">
        <f t="array" ref="A30">IFERROR(INDEX(_xlfn._xlws.SORT(_xlfn.UNIQUE(_xlfn._xlws.FILTER(tblCarga[Jogador],(tblCarga[Microciclo (Nr)]=$B$4)*(tblCarga[Dia MD]=$D$4)))),23),"")</f>
        <v/>
      </c>
      <c r="H30" s="608" t="n"/>
      <c r="I30" s="608" t="n"/>
      <c r="J30" s="608" t="n"/>
      <c r="K30" s="608" t="n"/>
      <c r="L30" s="608" t="n"/>
      <c r="M30" s="608" t="n"/>
      <c r="N30" s="608" t="n"/>
      <c r="O30" s="608" t="n"/>
      <c r="P30" s="608" t="n"/>
      <c r="Q30" s="608" t="n"/>
      <c r="R30" s="608" t="n"/>
      <c r="S30" s="608" t="n"/>
      <c r="T30" s="608" t="n"/>
      <c r="U30" s="608" t="n"/>
      <c r="V30" s="608" t="n"/>
      <c r="W30" s="608" t="n"/>
      <c r="X30" s="608" t="n"/>
      <c r="Y30" s="608" t="n"/>
      <c r="Z30" s="608" t="n"/>
    </row>
    <row r="31">
      <c r="A31" s="623">
        <f t="array" ref="A31">IFERROR(INDEX(_xlfn._xlws.SORT(_xlfn.UNIQUE(_xlfn._xlws.FILTER(tblCarga[Jogador],(tblCarga[Microciclo (Nr)]=$B$4)*(tblCarga[Dia MD]=$D$4)))),24),"")</f>
        <v/>
      </c>
      <c r="H31" s="608" t="n"/>
      <c r="I31" s="608" t="n"/>
      <c r="J31" s="608" t="n"/>
      <c r="K31" s="608" t="n"/>
      <c r="L31" s="608" t="n"/>
      <c r="M31" s="608" t="n"/>
      <c r="N31" s="608" t="n"/>
      <c r="O31" s="608" t="n"/>
      <c r="P31" s="608" t="n"/>
      <c r="Q31" s="608" t="n"/>
      <c r="R31" s="608" t="n"/>
      <c r="S31" s="608" t="n"/>
      <c r="T31" s="608" t="n"/>
      <c r="U31" s="608" t="n"/>
      <c r="V31" s="608" t="n"/>
      <c r="W31" s="608" t="n"/>
      <c r="X31" s="608" t="n"/>
      <c r="Y31" s="608" t="n"/>
      <c r="Z31" s="608" t="n"/>
    </row>
    <row r="32">
      <c r="A32" s="22">
        <f t="array" ref="A32">IFERROR(INDEX(_xlfn._xlws.SORT(_xlfn.UNIQUE(_xlfn._xlws.FILTER(tblCarga[Jogador],(tblCarga[Microciclo (Nr)]=$B$4)*(tblCarga[Dia MD]=$D$4)))),25),"")</f>
        <v/>
      </c>
      <c r="B32" s="620">
        <f>IF(A32="","",AVERAGEIFS(tblCarga[Distância Total (m)],tblCarga[Jogador],A32,tblCarga[Microciclo (Nr)],$B$4,tblCarga[Dia MD],$D$4))</f>
        <v/>
      </c>
      <c r="C32" s="620">
        <f>IF(A32="","",AVERAGEIFS(tblCarga[HSR (m)],tblCarga[Jogador],A32,tblCarga[Microciclo (Nr)],$B$4,tblCarga[Dia MD],$D$4))</f>
        <v/>
      </c>
      <c r="D32" s="620">
        <f>IF(A32="","",AVERAGEIFS(tblCarga[Sprint (m)],tblCarga[Jogador],A32,tblCarga[Microciclo (Nr)],$B$4,tblCarga[Dia MD],$D$4))</f>
        <v/>
      </c>
      <c r="E32" s="621">
        <f>IF(A32="","",AVERAGEIFS(tblCarga[Acc (n)],tblCarga[Jogador],A32,tblCarga[Microciclo (Nr)],$B$4,tblCarga[Dia MD],$D$4))</f>
        <v/>
      </c>
      <c r="F32" s="621">
        <f>IF(A32="","",AVERAGEIFS(tblCarga[Dcc (n)],tblCarga[Jogador],A32,tblCarga[Microciclo (Nr)],$B$4,tblCarga[Dia MD],$D$4))</f>
        <v/>
      </c>
      <c r="G32" s="622">
        <f>IF(A32="","",AVERAGEIFS(tblCarga[Vel. Máx (km/h)],tblCarga[Jogador],A32,tblCarga[Microciclo (Nr)],$B$4,tblCarga[Dia MD],$D$4))</f>
        <v/>
      </c>
      <c r="H32" s="608" t="n"/>
      <c r="I32" s="608" t="n"/>
      <c r="J32" s="608" t="n"/>
      <c r="K32" s="608" t="n"/>
      <c r="L32" s="608" t="n"/>
      <c r="M32" s="608" t="n"/>
      <c r="N32" s="608" t="n"/>
      <c r="O32" s="608" t="n"/>
      <c r="P32" s="608" t="n"/>
      <c r="Q32" s="608" t="n"/>
      <c r="R32" s="608" t="n"/>
      <c r="S32" s="608" t="n"/>
      <c r="T32" s="608" t="n"/>
      <c r="U32" s="608" t="n"/>
      <c r="V32" s="608" t="n"/>
      <c r="W32" s="608" t="n"/>
      <c r="X32" s="608" t="n"/>
      <c r="Y32" s="608" t="n"/>
      <c r="Z32" s="608" t="n"/>
    </row>
    <row r="33">
      <c r="A33" s="613" t="inlineStr">
        <is>
          <t>MÉDIA</t>
        </is>
      </c>
      <c r="H33" s="608" t="n"/>
      <c r="I33" s="608" t="n"/>
      <c r="J33" s="608" t="n"/>
      <c r="K33" s="608" t="n"/>
      <c r="L33" s="608" t="n"/>
      <c r="M33" s="608" t="n"/>
      <c r="N33" s="608" t="n"/>
      <c r="O33" s="608" t="n"/>
      <c r="P33" s="608" t="n"/>
      <c r="Q33" s="608" t="n"/>
      <c r="R33" s="608" t="n"/>
      <c r="S33" s="608" t="n"/>
      <c r="T33" s="608" t="n"/>
      <c r="U33" s="608" t="n"/>
      <c r="V33" s="608" t="n"/>
      <c r="W33" s="608" t="n"/>
      <c r="X33" s="608" t="n"/>
      <c r="Y33" s="608" t="n"/>
      <c r="Z33" s="608" t="n"/>
    </row>
    <row r="34" ht="15.75" customHeight="1">
      <c r="A34" s="609">
        <f>"📋 SESSÃO: MC "&amp;B4&amp;"  |  Dia: "&amp;D4&amp;"  |  Jogadores: "&amp;COUNTA(A8:A32)</f>
        <v/>
      </c>
      <c r="M34" s="608" t="n"/>
      <c r="N34" s="608" t="n"/>
      <c r="O34" s="608" t="n"/>
      <c r="P34" s="608" t="n"/>
      <c r="Q34" s="608" t="n"/>
      <c r="R34" s="608" t="n"/>
      <c r="S34" s="608" t="n"/>
      <c r="T34" s="608" t="n"/>
      <c r="U34" s="608" t="n"/>
      <c r="V34" s="608" t="n"/>
      <c r="W34" s="608" t="n"/>
      <c r="X34" s="608" t="n"/>
      <c r="Y34" s="608" t="n"/>
      <c r="Z34" s="608" t="n"/>
    </row>
    <row r="35">
      <c r="A35" s="19" t="inlineStr">
        <is>
          <t>🟢 HSR</t>
        </is>
      </c>
      <c r="B35" s="30" t="inlineStr">
        <is>
          <t>████</t>
        </is>
      </c>
      <c r="C35" s="608" t="n"/>
      <c r="D35" s="608" t="n"/>
      <c r="E35" s="608" t="n"/>
      <c r="F35" s="608" t="n"/>
      <c r="G35" s="608" t="n"/>
      <c r="H35" s="608" t="n"/>
      <c r="I35" s="608" t="n"/>
      <c r="J35" s="608" t="n"/>
      <c r="K35" s="608" t="n"/>
      <c r="L35" s="608" t="n"/>
      <c r="M35" s="608" t="n"/>
      <c r="N35" s="608" t="n"/>
      <c r="O35" s="608" t="n"/>
      <c r="P35" s="608" t="n"/>
      <c r="Q35" s="608" t="n"/>
      <c r="R35" s="608" t="n"/>
      <c r="S35" s="608" t="n"/>
      <c r="T35" s="608" t="n"/>
      <c r="U35" s="608" t="n"/>
      <c r="V35" s="608" t="n"/>
      <c r="W35" s="608" t="n"/>
      <c r="X35" s="608" t="n"/>
      <c r="Y35" s="608" t="n"/>
      <c r="Z35" s="608" t="n"/>
    </row>
    <row r="36">
      <c r="A36" s="19" t="inlineStr">
        <is>
          <t>🔴 Sprint</t>
        </is>
      </c>
      <c r="B36" s="31" t="inlineStr">
        <is>
          <t>████</t>
        </is>
      </c>
      <c r="C36" s="608" t="n"/>
      <c r="D36" s="608" t="n"/>
      <c r="E36" s="608" t="n"/>
      <c r="F36" s="608" t="n"/>
      <c r="G36" s="608" t="n"/>
      <c r="H36" s="608" t="n"/>
      <c r="I36" s="608" t="n"/>
      <c r="J36" s="608" t="n"/>
      <c r="K36" s="608" t="n"/>
      <c r="L36" s="608" t="n"/>
      <c r="M36" s="608" t="n"/>
      <c r="N36" s="608" t="n"/>
      <c r="O36" s="608" t="n"/>
      <c r="P36" s="608" t="n"/>
      <c r="Q36" s="608" t="n"/>
      <c r="R36" s="608" t="n"/>
      <c r="S36" s="608" t="n"/>
      <c r="T36" s="608" t="n"/>
      <c r="U36" s="608" t="n"/>
      <c r="V36" s="608" t="n"/>
      <c r="W36" s="608" t="n"/>
      <c r="X36" s="608" t="n"/>
      <c r="Y36" s="608" t="n"/>
      <c r="Z36" s="608" t="n"/>
    </row>
    <row r="37">
      <c r="A37" s="19" t="inlineStr">
        <is>
          <t>🟣 Acc</t>
        </is>
      </c>
      <c r="B37" s="32" t="inlineStr">
        <is>
          <t>████</t>
        </is>
      </c>
      <c r="C37" s="608" t="n"/>
      <c r="D37" s="608" t="n"/>
      <c r="E37" s="608" t="n"/>
      <c r="F37" s="608" t="n"/>
      <c r="G37" s="608" t="n"/>
      <c r="H37" s="608" t="n"/>
      <c r="I37" s="608" t="n"/>
      <c r="J37" s="608" t="n"/>
      <c r="K37" s="608" t="n"/>
      <c r="L37" s="608" t="n"/>
      <c r="M37" s="608" t="n"/>
      <c r="N37" s="608" t="n"/>
      <c r="O37" s="608" t="n"/>
      <c r="P37" s="608" t="n"/>
      <c r="Q37" s="608" t="n"/>
      <c r="R37" s="608" t="n"/>
      <c r="S37" s="608" t="n"/>
      <c r="T37" s="608" t="n"/>
      <c r="U37" s="608" t="n"/>
      <c r="V37" s="608" t="n"/>
      <c r="W37" s="608" t="n"/>
      <c r="X37" s="608" t="n"/>
      <c r="Y37" s="608" t="n"/>
      <c r="Z37" s="608" t="n"/>
    </row>
    <row r="38">
      <c r="A38" s="19" t="inlineStr">
        <is>
          <t>🟠 Dcc</t>
        </is>
      </c>
      <c r="B38" s="33" t="inlineStr">
        <is>
          <t>████</t>
        </is>
      </c>
      <c r="C38" s="608" t="n"/>
      <c r="D38" s="608" t="n"/>
      <c r="E38" s="608" t="n"/>
      <c r="F38" s="608" t="n"/>
      <c r="G38" s="608" t="n"/>
      <c r="H38" s="608" t="n"/>
      <c r="I38" s="608" t="n"/>
      <c r="J38" s="608" t="n"/>
      <c r="K38" s="608" t="n"/>
      <c r="L38" s="608" t="n"/>
      <c r="M38" s="608" t="n"/>
      <c r="N38" s="608" t="n"/>
      <c r="O38" s="608" t="n"/>
      <c r="P38" s="608" t="n"/>
      <c r="Q38" s="608" t="n"/>
      <c r="R38" s="608" t="n"/>
      <c r="S38" s="608" t="n"/>
      <c r="T38" s="608" t="n"/>
      <c r="U38" s="608" t="n"/>
      <c r="V38" s="608" t="n"/>
      <c r="W38" s="608" t="n"/>
      <c r="X38" s="608" t="n"/>
      <c r="Y38" s="608" t="n"/>
      <c r="Z38" s="608" t="n"/>
    </row>
    <row r="39">
      <c r="A39" s="19" t="inlineStr">
        <is>
          <t>🔷 Vel. Máx</t>
        </is>
      </c>
      <c r="B39" s="34" t="inlineStr">
        <is>
          <t>████</t>
        </is>
      </c>
      <c r="C39" s="608" t="n"/>
      <c r="D39" s="608" t="n"/>
      <c r="E39" s="608" t="n"/>
      <c r="F39" s="608" t="n"/>
      <c r="G39" s="608" t="n"/>
      <c r="H39" s="608" t="n"/>
      <c r="I39" s="608" t="n"/>
      <c r="J39" s="608" t="n"/>
      <c r="K39" s="608" t="n"/>
      <c r="L39" s="608" t="n"/>
      <c r="M39" s="608" t="n"/>
      <c r="N39" s="608" t="n"/>
      <c r="O39" s="608" t="n"/>
      <c r="P39" s="608" t="n"/>
      <c r="Q39" s="608" t="n"/>
      <c r="R39" s="608" t="n"/>
      <c r="S39" s="608" t="n"/>
      <c r="T39" s="608" t="n"/>
      <c r="U39" s="608" t="n"/>
      <c r="V39" s="608" t="n"/>
      <c r="W39" s="608" t="n"/>
      <c r="X39" s="608" t="n"/>
      <c r="Y39" s="608" t="n"/>
      <c r="Z39" s="608" t="n"/>
    </row>
    <row r="40">
      <c r="A40" s="608" t="n"/>
      <c r="B40" s="608" t="n"/>
      <c r="C40" s="608" t="n"/>
      <c r="D40" s="608" t="n"/>
      <c r="E40" s="608" t="n"/>
      <c r="F40" s="608" t="n"/>
      <c r="G40" s="608" t="n"/>
      <c r="H40" s="608" t="n"/>
      <c r="I40" s="608" t="n"/>
      <c r="J40" s="608" t="n"/>
      <c r="K40" s="608" t="n"/>
      <c r="L40" s="608" t="n"/>
      <c r="M40" s="608" t="n"/>
      <c r="N40" s="608" t="n"/>
      <c r="O40" s="608" t="n"/>
      <c r="P40" s="608" t="n"/>
      <c r="Q40" s="608" t="n"/>
      <c r="R40" s="608" t="n"/>
      <c r="S40" s="608" t="n"/>
      <c r="T40" s="608" t="n"/>
      <c r="U40" s="608" t="n"/>
      <c r="V40" s="608" t="n"/>
      <c r="W40" s="608" t="n"/>
      <c r="X40" s="608" t="n"/>
      <c r="Y40" s="608" t="n"/>
      <c r="Z40" s="608" t="n"/>
    </row>
    <row r="41">
      <c r="A41" s="608" t="n"/>
      <c r="B41" s="608" t="n"/>
      <c r="C41" s="608" t="n"/>
      <c r="D41" s="608" t="n"/>
      <c r="E41" s="608" t="n"/>
      <c r="F41" s="608" t="n"/>
      <c r="G41" s="608" t="n"/>
      <c r="H41" s="608" t="n"/>
      <c r="I41" s="608" t="n"/>
      <c r="J41" s="608" t="n"/>
      <c r="K41" s="608" t="n"/>
      <c r="L41" s="608" t="n"/>
      <c r="M41" s="608" t="n"/>
      <c r="N41" s="608" t="n"/>
      <c r="O41" s="608" t="n"/>
      <c r="P41" s="608" t="n"/>
      <c r="Q41" s="608" t="n"/>
      <c r="R41" s="608" t="n"/>
      <c r="S41" s="608" t="n"/>
      <c r="T41" s="608" t="n"/>
      <c r="U41" s="608" t="n"/>
      <c r="V41" s="608" t="n"/>
      <c r="W41" s="608" t="n"/>
      <c r="X41" s="608" t="n"/>
      <c r="Y41" s="608" t="n"/>
      <c r="Z41" s="608" t="n"/>
    </row>
    <row r="42">
      <c r="A42" s="608" t="n"/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8" t="n"/>
      <c r="L42" s="608" t="n"/>
      <c r="M42" s="608" t="n"/>
      <c r="N42" s="608" t="n"/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8" t="n"/>
      <c r="Y42" s="608" t="n"/>
      <c r="Z42" s="608" t="n"/>
    </row>
    <row r="43">
      <c r="A43" s="608" t="n"/>
      <c r="B43" s="608" t="n"/>
      <c r="C43" s="608" t="n"/>
      <c r="D43" s="608" t="n"/>
      <c r="E43" s="608" t="n"/>
      <c r="F43" s="608" t="n"/>
      <c r="G43" s="608" t="n"/>
      <c r="H43" s="608" t="n"/>
      <c r="I43" s="608" t="n"/>
      <c r="J43" s="608" t="n"/>
      <c r="K43" s="608" t="n"/>
      <c r="L43" s="608" t="n"/>
      <c r="M43" s="608" t="n"/>
      <c r="N43" s="608" t="n"/>
      <c r="O43" s="608" t="n"/>
      <c r="P43" s="608" t="n"/>
      <c r="Q43" s="608" t="n"/>
      <c r="R43" s="608" t="n"/>
      <c r="S43" s="608" t="n"/>
      <c r="T43" s="608" t="n"/>
      <c r="U43" s="608" t="n"/>
      <c r="V43" s="608" t="n"/>
      <c r="W43" s="608" t="n"/>
      <c r="X43" s="608" t="n"/>
      <c r="Y43" s="608" t="n"/>
      <c r="Z43" s="608" t="n"/>
    </row>
    <row r="44">
      <c r="A44" s="608" t="n"/>
      <c r="B44" s="608" t="n"/>
      <c r="C44" s="608" t="n"/>
      <c r="D44" s="608" t="n"/>
      <c r="E44" s="608" t="n"/>
      <c r="F44" s="608" t="n"/>
      <c r="G44" s="608" t="n"/>
      <c r="H44" s="608" t="n"/>
      <c r="I44" s="608" t="n"/>
      <c r="J44" s="608" t="n"/>
      <c r="K44" s="608" t="n"/>
      <c r="L44" s="608" t="n"/>
      <c r="M44" s="608" t="n"/>
      <c r="N44" s="608" t="n"/>
      <c r="O44" s="608" t="n"/>
      <c r="P44" s="608" t="n"/>
      <c r="Q44" s="608" t="n"/>
      <c r="R44" s="608" t="n"/>
      <c r="S44" s="608" t="n"/>
      <c r="T44" s="608" t="n"/>
      <c r="U44" s="608" t="n"/>
      <c r="V44" s="608" t="n"/>
      <c r="W44" s="608" t="n"/>
      <c r="X44" s="608" t="n"/>
      <c r="Y44" s="608" t="n"/>
      <c r="Z44" s="608" t="n"/>
    </row>
    <row r="45">
      <c r="A45" s="608" t="n"/>
      <c r="B45" s="608" t="n"/>
      <c r="C45" s="608" t="n"/>
      <c r="D45" s="608" t="n"/>
      <c r="E45" s="608" t="n"/>
      <c r="F45" s="608" t="n"/>
      <c r="G45" s="608" t="n"/>
      <c r="H45" s="608" t="n"/>
      <c r="I45" s="608" t="n"/>
      <c r="J45" s="608" t="n"/>
      <c r="K45" s="608" t="n"/>
      <c r="L45" s="608" t="n"/>
      <c r="M45" s="608" t="n"/>
      <c r="N45" s="608" t="n"/>
      <c r="O45" s="608" t="n"/>
      <c r="P45" s="608" t="n"/>
      <c r="Q45" s="608" t="n"/>
      <c r="R45" s="608" t="n"/>
      <c r="S45" s="608" t="n"/>
      <c r="T45" s="608" t="n"/>
      <c r="U45" s="608" t="n"/>
      <c r="V45" s="608" t="n"/>
      <c r="W45" s="608" t="n"/>
      <c r="X45" s="608" t="n"/>
      <c r="Y45" s="608" t="n"/>
      <c r="Z45" s="608" t="n"/>
    </row>
    <row r="46">
      <c r="A46" s="608" t="n"/>
      <c r="B46" s="608" t="n"/>
      <c r="C46" s="608" t="n"/>
      <c r="D46" s="608" t="n"/>
      <c r="E46" s="608" t="n"/>
      <c r="F46" s="608" t="n"/>
      <c r="G46" s="608" t="n"/>
      <c r="H46" s="608" t="n"/>
      <c r="I46" s="608" t="n"/>
      <c r="J46" s="608" t="n"/>
      <c r="K46" s="608" t="n"/>
      <c r="L46" s="608" t="n"/>
      <c r="M46" s="608" t="n"/>
      <c r="N46" s="608" t="n"/>
      <c r="O46" s="608" t="n"/>
      <c r="P46" s="608" t="n"/>
      <c r="Q46" s="608" t="n"/>
      <c r="R46" s="608" t="n"/>
      <c r="S46" s="608" t="n"/>
      <c r="T46" s="608" t="n"/>
      <c r="U46" s="608" t="n"/>
      <c r="V46" s="608" t="n"/>
      <c r="W46" s="608" t="n"/>
      <c r="X46" s="608" t="n"/>
      <c r="Y46" s="608" t="n"/>
      <c r="Z46" s="608" t="n"/>
    </row>
    <row r="47">
      <c r="A47" s="608" t="n"/>
      <c r="B47" s="608" t="n"/>
      <c r="C47" s="608" t="n"/>
      <c r="D47" s="608" t="n"/>
      <c r="E47" s="608" t="n"/>
      <c r="F47" s="608" t="n"/>
      <c r="G47" s="608" t="n"/>
      <c r="H47" s="608" t="n"/>
      <c r="I47" s="608" t="n"/>
      <c r="J47" s="608" t="n"/>
      <c r="K47" s="608" t="n"/>
      <c r="L47" s="608" t="n"/>
      <c r="M47" s="608" t="n"/>
      <c r="N47" s="608" t="n"/>
      <c r="O47" s="608" t="n"/>
      <c r="P47" s="608" t="n"/>
      <c r="Q47" s="608" t="n"/>
      <c r="R47" s="608" t="n"/>
      <c r="S47" s="608" t="n"/>
      <c r="T47" s="608" t="n"/>
      <c r="U47" s="608" t="n"/>
      <c r="V47" s="608" t="n"/>
      <c r="W47" s="608" t="n"/>
      <c r="X47" s="608" t="n"/>
      <c r="Y47" s="608" t="n"/>
      <c r="Z47" s="608" t="n"/>
    </row>
    <row r="48">
      <c r="A48" s="608" t="n"/>
      <c r="B48" s="608" t="n"/>
      <c r="C48" s="608" t="n"/>
      <c r="D48" s="608" t="n"/>
      <c r="E48" s="608" t="n"/>
      <c r="F48" s="608" t="n"/>
      <c r="G48" s="608" t="n"/>
      <c r="H48" s="608" t="n"/>
      <c r="I48" s="608" t="n"/>
      <c r="J48" s="608" t="n"/>
      <c r="K48" s="608" t="n"/>
      <c r="L48" s="608" t="n"/>
      <c r="M48" s="608" t="n"/>
      <c r="N48" s="608" t="n"/>
      <c r="O48" s="608" t="n"/>
      <c r="P48" s="608" t="n"/>
      <c r="Q48" s="608" t="n"/>
      <c r="R48" s="608" t="n"/>
      <c r="S48" s="608" t="n"/>
      <c r="T48" s="608" t="n"/>
      <c r="U48" s="608" t="n"/>
      <c r="V48" s="608" t="n"/>
      <c r="W48" s="608" t="n"/>
      <c r="X48" s="608" t="n"/>
      <c r="Y48" s="608" t="n"/>
      <c r="Z48" s="608" t="n"/>
    </row>
    <row r="49">
      <c r="A49" s="608" t="n"/>
      <c r="B49" s="608" t="n"/>
      <c r="C49" s="608" t="n"/>
      <c r="D49" s="608" t="n"/>
      <c r="E49" s="608" t="n"/>
      <c r="F49" s="608" t="n"/>
      <c r="G49" s="608" t="n"/>
      <c r="H49" s="608" t="n"/>
      <c r="I49" s="608" t="n"/>
      <c r="J49" s="608" t="n"/>
      <c r="K49" s="608" t="n"/>
      <c r="L49" s="608" t="n"/>
      <c r="M49" s="608" t="n"/>
      <c r="N49" s="608" t="n"/>
      <c r="O49" s="608" t="n"/>
      <c r="P49" s="608" t="n"/>
      <c r="Q49" s="608" t="n"/>
      <c r="R49" s="608" t="n"/>
      <c r="S49" s="608" t="n"/>
      <c r="T49" s="608" t="n"/>
      <c r="U49" s="608" t="n"/>
      <c r="V49" s="608" t="n"/>
      <c r="W49" s="608" t="n"/>
      <c r="X49" s="608" t="n"/>
      <c r="Y49" s="608" t="n"/>
      <c r="Z49" s="608" t="n"/>
    </row>
    <row r="50">
      <c r="A50" s="608" t="n"/>
      <c r="B50" s="608" t="n"/>
      <c r="C50" s="608" t="n"/>
      <c r="D50" s="608" t="n"/>
      <c r="E50" s="608" t="n"/>
      <c r="F50" s="608" t="n"/>
      <c r="G50" s="608" t="n"/>
      <c r="H50" s="608" t="n"/>
      <c r="I50" s="608" t="n"/>
      <c r="J50" s="608" t="n"/>
      <c r="K50" s="608" t="n"/>
      <c r="L50" s="608" t="n"/>
      <c r="M50" s="608" t="n"/>
      <c r="N50" s="608" t="n"/>
      <c r="O50" s="608" t="n"/>
      <c r="P50" s="608" t="n"/>
      <c r="Q50" s="608" t="n"/>
      <c r="R50" s="608" t="n"/>
      <c r="S50" s="608" t="n"/>
      <c r="T50" s="608" t="n"/>
      <c r="U50" s="608" t="n"/>
      <c r="V50" s="608" t="n"/>
      <c r="W50" s="608" t="n"/>
      <c r="X50" s="608" t="n"/>
      <c r="Y50" s="608" t="n"/>
      <c r="Z50" s="608" t="n"/>
    </row>
    <row r="51">
      <c r="A51" s="608" t="n"/>
      <c r="B51" s="608" t="n"/>
      <c r="C51" s="608" t="n"/>
      <c r="D51" s="608" t="n"/>
      <c r="E51" s="608" t="n"/>
      <c r="F51" s="608" t="n"/>
      <c r="G51" s="608" t="n"/>
      <c r="H51" s="608" t="n"/>
      <c r="I51" s="608" t="n"/>
      <c r="J51" s="608" t="n"/>
      <c r="K51" s="608" t="n"/>
      <c r="L51" s="608" t="n"/>
      <c r="M51" s="608" t="n"/>
      <c r="N51" s="608" t="n"/>
      <c r="O51" s="608" t="n"/>
      <c r="P51" s="608" t="n"/>
      <c r="Q51" s="608" t="n"/>
      <c r="R51" s="608" t="n"/>
      <c r="S51" s="608" t="n"/>
      <c r="T51" s="608" t="n"/>
      <c r="U51" s="608" t="n"/>
      <c r="V51" s="608" t="n"/>
      <c r="W51" s="608" t="n"/>
      <c r="X51" s="608" t="n"/>
      <c r="Y51" s="608" t="n"/>
      <c r="Z51" s="608" t="n"/>
    </row>
    <row r="52">
      <c r="A52" s="608" t="n"/>
      <c r="B52" s="608" t="n"/>
      <c r="C52" s="608" t="n"/>
      <c r="D52" s="608" t="n"/>
      <c r="E52" s="608" t="n"/>
      <c r="F52" s="608" t="n"/>
      <c r="G52" s="608" t="n"/>
      <c r="H52" s="608" t="n"/>
      <c r="I52" s="608" t="n"/>
      <c r="J52" s="608" t="n"/>
      <c r="K52" s="608" t="n"/>
      <c r="L52" s="608" t="n"/>
      <c r="M52" s="608" t="n"/>
      <c r="N52" s="608" t="n"/>
      <c r="O52" s="608" t="n"/>
      <c r="P52" s="608" t="n"/>
      <c r="Q52" s="608" t="n"/>
      <c r="R52" s="608" t="n"/>
      <c r="S52" s="608" t="n"/>
      <c r="T52" s="608" t="n"/>
      <c r="U52" s="608" t="n"/>
      <c r="V52" s="608" t="n"/>
      <c r="W52" s="608" t="n"/>
      <c r="X52" s="608" t="n"/>
      <c r="Y52" s="608" t="n"/>
      <c r="Z52" s="608" t="n"/>
    </row>
    <row r="53">
      <c r="A53" s="608" t="n"/>
      <c r="B53" s="608" t="n"/>
      <c r="C53" s="608" t="n"/>
      <c r="D53" s="608" t="n"/>
      <c r="E53" s="608" t="n"/>
      <c r="F53" s="608" t="n"/>
      <c r="G53" s="608" t="n"/>
      <c r="H53" s="608" t="n"/>
      <c r="I53" s="608" t="n"/>
      <c r="J53" s="608" t="n"/>
      <c r="K53" s="608" t="n"/>
      <c r="L53" s="608" t="n"/>
      <c r="M53" s="608" t="n"/>
      <c r="N53" s="608" t="n"/>
      <c r="O53" s="608" t="n"/>
      <c r="P53" s="608" t="n"/>
      <c r="Q53" s="608" t="n"/>
      <c r="R53" s="608" t="n"/>
      <c r="S53" s="608" t="n"/>
      <c r="T53" s="608" t="n"/>
      <c r="U53" s="608" t="n"/>
      <c r="V53" s="608" t="n"/>
      <c r="W53" s="608" t="n"/>
      <c r="X53" s="608" t="n"/>
      <c r="Y53" s="608" t="n"/>
      <c r="Z53" s="608" t="n"/>
    </row>
    <row r="54">
      <c r="A54" s="608" t="n"/>
      <c r="B54" s="608" t="n"/>
      <c r="C54" s="608" t="n"/>
      <c r="D54" s="608" t="n"/>
      <c r="E54" s="608" t="n"/>
      <c r="F54" s="608" t="n"/>
      <c r="G54" s="608" t="n"/>
      <c r="H54" s="608" t="n"/>
      <c r="I54" s="608" t="n"/>
      <c r="J54" s="608" t="n"/>
      <c r="K54" s="608" t="n"/>
      <c r="L54" s="608" t="n"/>
      <c r="M54" s="608" t="n"/>
      <c r="N54" s="608" t="n"/>
      <c r="O54" s="608" t="n"/>
      <c r="P54" s="608" t="n"/>
      <c r="Q54" s="608" t="n"/>
      <c r="R54" s="608" t="n"/>
      <c r="S54" s="608" t="n"/>
      <c r="T54" s="608" t="n"/>
      <c r="U54" s="608" t="n"/>
      <c r="V54" s="608" t="n"/>
      <c r="W54" s="608" t="n"/>
      <c r="X54" s="608" t="n"/>
      <c r="Y54" s="608" t="n"/>
      <c r="Z54" s="608" t="n"/>
    </row>
    <row r="55">
      <c r="A55" s="608" t="n"/>
      <c r="B55" s="608" t="n"/>
      <c r="C55" s="608" t="n"/>
      <c r="D55" s="608" t="n"/>
      <c r="E55" s="608" t="n"/>
      <c r="F55" s="608" t="n"/>
      <c r="G55" s="608" t="n"/>
      <c r="H55" s="608" t="n"/>
      <c r="I55" s="608" t="n"/>
      <c r="J55" s="608" t="n"/>
      <c r="K55" s="608" t="n"/>
      <c r="L55" s="608" t="n"/>
      <c r="M55" s="608" t="n"/>
      <c r="N55" s="608" t="n"/>
      <c r="O55" s="608" t="n"/>
      <c r="P55" s="608" t="n"/>
      <c r="Q55" s="608" t="n"/>
      <c r="R55" s="608" t="n"/>
      <c r="S55" s="608" t="n"/>
      <c r="T55" s="608" t="n"/>
      <c r="U55" s="608" t="n"/>
      <c r="V55" s="608" t="n"/>
      <c r="W55" s="608" t="n"/>
      <c r="X55" s="608" t="n"/>
      <c r="Y55" s="608" t="n"/>
      <c r="Z55" s="608" t="n"/>
    </row>
    <row r="56">
      <c r="A56" s="608" t="n"/>
      <c r="B56" s="608" t="n"/>
      <c r="C56" s="608" t="n"/>
      <c r="D56" s="608" t="n"/>
      <c r="E56" s="608" t="n"/>
      <c r="F56" s="608" t="n"/>
      <c r="G56" s="608" t="n"/>
      <c r="H56" s="608" t="n"/>
      <c r="I56" s="608" t="n"/>
      <c r="J56" s="608" t="n"/>
      <c r="K56" s="608" t="n"/>
      <c r="L56" s="608" t="n"/>
      <c r="M56" s="608" t="n"/>
      <c r="N56" s="608" t="n"/>
      <c r="O56" s="608" t="n"/>
      <c r="P56" s="608" t="n"/>
      <c r="Q56" s="608" t="n"/>
      <c r="R56" s="608" t="n"/>
      <c r="S56" s="608" t="n"/>
      <c r="T56" s="608" t="n"/>
      <c r="U56" s="608" t="n"/>
      <c r="V56" s="608" t="n"/>
      <c r="W56" s="608" t="n"/>
      <c r="X56" s="608" t="n"/>
      <c r="Y56" s="608" t="n"/>
      <c r="Z56" s="608" t="n"/>
    </row>
    <row r="57">
      <c r="A57" s="608" t="n"/>
      <c r="B57" s="608" t="n"/>
      <c r="C57" s="608" t="n"/>
      <c r="D57" s="608" t="n"/>
      <c r="E57" s="608" t="n"/>
      <c r="F57" s="608" t="n"/>
      <c r="G57" s="608" t="n"/>
      <c r="H57" s="608" t="n"/>
      <c r="I57" s="608" t="n"/>
      <c r="J57" s="608" t="n"/>
      <c r="K57" s="608" t="n"/>
      <c r="L57" s="608" t="n"/>
      <c r="M57" s="608" t="n"/>
      <c r="N57" s="608" t="n"/>
      <c r="O57" s="608" t="n"/>
      <c r="P57" s="608" t="n"/>
      <c r="Q57" s="608" t="n"/>
      <c r="R57" s="608" t="n"/>
      <c r="S57" s="608" t="n"/>
      <c r="T57" s="608" t="n"/>
      <c r="U57" s="608" t="n"/>
      <c r="V57" s="608" t="n"/>
      <c r="W57" s="608" t="n"/>
      <c r="X57" s="608" t="n"/>
      <c r="Y57" s="608" t="n"/>
      <c r="Z57" s="608" t="n"/>
    </row>
    <row r="58">
      <c r="A58" s="608" t="n"/>
      <c r="B58" s="608" t="n"/>
      <c r="C58" s="608" t="n"/>
      <c r="D58" s="608" t="n"/>
      <c r="E58" s="608" t="n"/>
      <c r="F58" s="608" t="n"/>
      <c r="G58" s="608" t="n"/>
      <c r="H58" s="608" t="n"/>
      <c r="I58" s="608" t="n"/>
      <c r="J58" s="608" t="n"/>
      <c r="K58" s="608" t="n"/>
      <c r="L58" s="608" t="n"/>
      <c r="M58" s="608" t="n"/>
      <c r="N58" s="608" t="n"/>
      <c r="O58" s="608" t="n"/>
      <c r="P58" s="608" t="n"/>
      <c r="Q58" s="608" t="n"/>
      <c r="R58" s="608" t="n"/>
      <c r="S58" s="608" t="n"/>
      <c r="T58" s="608" t="n"/>
      <c r="U58" s="608" t="n"/>
      <c r="V58" s="608" t="n"/>
      <c r="W58" s="608" t="n"/>
      <c r="X58" s="608" t="n"/>
      <c r="Y58" s="608" t="n"/>
      <c r="Z58" s="608" t="n"/>
    </row>
    <row r="59">
      <c r="A59" s="608" t="n"/>
      <c r="B59" s="608" t="n"/>
      <c r="C59" s="608" t="n"/>
      <c r="D59" s="608" t="n"/>
      <c r="E59" s="608" t="n"/>
      <c r="F59" s="608" t="n"/>
      <c r="G59" s="608" t="n"/>
      <c r="H59" s="608" t="n"/>
      <c r="I59" s="608" t="n"/>
      <c r="J59" s="608" t="n"/>
      <c r="K59" s="608" t="n"/>
      <c r="L59" s="608" t="n"/>
      <c r="M59" s="608" t="n"/>
      <c r="N59" s="608" t="n"/>
      <c r="O59" s="608" t="n"/>
      <c r="P59" s="608" t="n"/>
      <c r="Q59" s="608" t="n"/>
      <c r="R59" s="608" t="n"/>
      <c r="S59" s="608" t="n"/>
      <c r="T59" s="608" t="n"/>
      <c r="U59" s="608" t="n"/>
      <c r="V59" s="608" t="n"/>
      <c r="W59" s="608" t="n"/>
      <c r="X59" s="608" t="n"/>
      <c r="Y59" s="608" t="n"/>
      <c r="Z59" s="608" t="n"/>
    </row>
    <row r="60">
      <c r="A60" s="608" t="n"/>
      <c r="B60" s="608" t="n"/>
      <c r="C60" s="608" t="n"/>
      <c r="D60" s="608" t="n"/>
      <c r="E60" s="608" t="n"/>
      <c r="F60" s="608" t="n"/>
      <c r="G60" s="608" t="n"/>
      <c r="H60" s="608" t="n"/>
      <c r="I60" s="608" t="n"/>
      <c r="J60" s="608" t="n"/>
      <c r="K60" s="608" t="n"/>
      <c r="L60" s="608" t="n"/>
      <c r="M60" s="608" t="n"/>
      <c r="N60" s="608" t="n"/>
      <c r="O60" s="608" t="n"/>
      <c r="P60" s="608" t="n"/>
      <c r="Q60" s="608" t="n"/>
      <c r="R60" s="608" t="n"/>
      <c r="S60" s="608" t="n"/>
      <c r="T60" s="608" t="n"/>
      <c r="U60" s="608" t="n"/>
      <c r="V60" s="608" t="n"/>
      <c r="W60" s="608" t="n"/>
      <c r="X60" s="608" t="n"/>
      <c r="Y60" s="608" t="n"/>
      <c r="Z60" s="608" t="n"/>
    </row>
    <row r="61">
      <c r="A61" s="608" t="n"/>
      <c r="B61" s="608" t="n"/>
      <c r="C61" s="608" t="n"/>
      <c r="D61" s="608" t="n"/>
      <c r="E61" s="608" t="n"/>
      <c r="F61" s="608" t="n"/>
      <c r="G61" s="608" t="n"/>
      <c r="H61" s="608" t="n"/>
      <c r="I61" s="608" t="n"/>
      <c r="J61" s="608" t="n"/>
      <c r="K61" s="608" t="n"/>
      <c r="L61" s="608" t="n"/>
      <c r="M61" s="608" t="n"/>
      <c r="N61" s="608" t="n"/>
      <c r="O61" s="608" t="n"/>
      <c r="P61" s="608" t="n"/>
      <c r="Q61" s="608" t="n"/>
      <c r="R61" s="608" t="n"/>
      <c r="S61" s="608" t="n"/>
      <c r="T61" s="608" t="n"/>
      <c r="U61" s="608" t="n"/>
      <c r="V61" s="608" t="n"/>
      <c r="W61" s="608" t="n"/>
      <c r="X61" s="608" t="n"/>
      <c r="Y61" s="608" t="n"/>
      <c r="Z61" s="608" t="n"/>
    </row>
    <row r="62">
      <c r="A62" s="608" t="n"/>
      <c r="B62" s="608" t="n"/>
      <c r="C62" s="608" t="n"/>
      <c r="D62" s="608" t="n"/>
      <c r="E62" s="608" t="n"/>
      <c r="F62" s="608" t="n"/>
      <c r="G62" s="608" t="n"/>
      <c r="H62" s="608" t="n"/>
      <c r="I62" s="608" t="n"/>
      <c r="J62" s="608" t="n"/>
      <c r="K62" s="608" t="n"/>
      <c r="L62" s="608" t="n"/>
      <c r="M62" s="608" t="n"/>
      <c r="N62" s="608" t="n"/>
      <c r="O62" s="608" t="n"/>
      <c r="P62" s="608" t="n"/>
      <c r="Q62" s="608" t="n"/>
      <c r="R62" s="608" t="n"/>
      <c r="S62" s="608" t="n"/>
      <c r="T62" s="608" t="n"/>
      <c r="U62" s="608" t="n"/>
      <c r="V62" s="608" t="n"/>
      <c r="W62" s="608" t="n"/>
      <c r="X62" s="608" t="n"/>
      <c r="Y62" s="608" t="n"/>
      <c r="Z62" s="608" t="n"/>
    </row>
    <row r="63">
      <c r="A63" s="608" t="n"/>
      <c r="B63" s="608" t="n"/>
      <c r="C63" s="608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/>
      <c r="T63" s="608" t="n"/>
      <c r="U63" s="608" t="n"/>
      <c r="V63" s="608" t="n"/>
      <c r="W63" s="608" t="n"/>
      <c r="X63" s="608" t="n"/>
      <c r="Y63" s="608" t="n"/>
      <c r="Z63" s="608" t="n"/>
    </row>
    <row r="64">
      <c r="A64" s="608" t="n"/>
      <c r="B64" s="608" t="n"/>
      <c r="C64" s="608" t="n"/>
      <c r="D64" s="608" t="n"/>
      <c r="E64" s="608" t="n"/>
      <c r="F64" s="608" t="n"/>
      <c r="G64" s="608" t="n"/>
      <c r="H64" s="608" t="n"/>
      <c r="I64" s="608" t="n"/>
      <c r="J64" s="608" t="n"/>
      <c r="K64" s="608" t="n"/>
      <c r="L64" s="608" t="n"/>
      <c r="M64" s="608" t="n"/>
      <c r="N64" s="608" t="n"/>
      <c r="O64" s="608" t="n"/>
      <c r="P64" s="608" t="n"/>
      <c r="Q64" s="608" t="n"/>
      <c r="R64" s="608" t="n"/>
      <c r="S64" s="608" t="n"/>
      <c r="T64" s="608" t="n"/>
      <c r="U64" s="608" t="n"/>
      <c r="V64" s="608" t="n"/>
      <c r="W64" s="608" t="n"/>
      <c r="X64" s="608" t="n"/>
      <c r="Y64" s="608" t="n"/>
      <c r="Z64" s="608" t="n"/>
    </row>
    <row r="65">
      <c r="A65" s="608" t="n"/>
      <c r="B65" s="608" t="n"/>
      <c r="C65" s="608" t="n"/>
      <c r="D65" s="608" t="n"/>
      <c r="E65" s="608" t="n"/>
      <c r="F65" s="608" t="n"/>
      <c r="G65" s="608" t="n"/>
      <c r="H65" s="608" t="n"/>
      <c r="I65" s="608" t="n"/>
      <c r="J65" s="608" t="n"/>
      <c r="K65" s="608" t="n"/>
      <c r="L65" s="608" t="n"/>
      <c r="M65" s="608" t="n"/>
      <c r="N65" s="608" t="n"/>
      <c r="O65" s="608" t="n"/>
      <c r="P65" s="608" t="n"/>
      <c r="Q65" s="608" t="n"/>
      <c r="R65" s="608" t="n"/>
      <c r="S65" s="608" t="n"/>
      <c r="T65" s="608" t="n"/>
      <c r="U65" s="608" t="n"/>
      <c r="V65" s="608" t="n"/>
      <c r="W65" s="608" t="n"/>
      <c r="X65" s="608" t="n"/>
      <c r="Y65" s="608" t="n"/>
      <c r="Z65" s="608" t="n"/>
    </row>
    <row r="66">
      <c r="A66" s="608" t="n"/>
      <c r="B66" s="608" t="n"/>
      <c r="C66" s="608" t="n"/>
      <c r="D66" s="608" t="n"/>
      <c r="E66" s="608" t="n"/>
      <c r="F66" s="608" t="n"/>
      <c r="G66" s="608" t="n"/>
      <c r="H66" s="608" t="n"/>
      <c r="I66" s="608" t="n"/>
      <c r="J66" s="608" t="n"/>
      <c r="K66" s="608" t="n"/>
      <c r="L66" s="608" t="n"/>
      <c r="M66" s="608" t="n"/>
      <c r="N66" s="608" t="n"/>
      <c r="O66" s="608" t="n"/>
      <c r="P66" s="608" t="n"/>
      <c r="Q66" s="608" t="n"/>
      <c r="R66" s="608" t="n"/>
      <c r="S66" s="608" t="n"/>
      <c r="T66" s="608" t="n"/>
      <c r="U66" s="608" t="n"/>
      <c r="V66" s="608" t="n"/>
      <c r="W66" s="608" t="n"/>
      <c r="X66" s="608" t="n"/>
      <c r="Y66" s="608" t="n"/>
      <c r="Z66" s="608" t="n"/>
    </row>
    <row r="67">
      <c r="A67" s="608" t="n"/>
      <c r="B67" s="608" t="n"/>
      <c r="C67" s="608" t="n"/>
      <c r="D67" s="608" t="n"/>
      <c r="E67" s="608" t="n"/>
      <c r="F67" s="608" t="n"/>
      <c r="G67" s="608" t="n"/>
      <c r="H67" s="608" t="n"/>
      <c r="I67" s="608" t="n"/>
      <c r="J67" s="608" t="n"/>
      <c r="K67" s="608" t="n"/>
      <c r="L67" s="608" t="n"/>
      <c r="M67" s="608" t="n"/>
      <c r="N67" s="608" t="n"/>
      <c r="O67" s="608" t="n"/>
      <c r="P67" s="608" t="n"/>
      <c r="Q67" s="608" t="n"/>
      <c r="R67" s="608" t="n"/>
      <c r="S67" s="608" t="n"/>
      <c r="T67" s="608" t="n"/>
      <c r="U67" s="608" t="n"/>
      <c r="V67" s="608" t="n"/>
      <c r="W67" s="608" t="n"/>
      <c r="X67" s="608" t="n"/>
      <c r="Y67" s="608" t="n"/>
      <c r="Z67" s="608" t="n"/>
    </row>
    <row r="68">
      <c r="A68" s="608" t="n"/>
      <c r="B68" s="608" t="n"/>
      <c r="C68" s="608" t="n"/>
      <c r="D68" s="608" t="n"/>
      <c r="E68" s="608" t="n"/>
      <c r="F68" s="608" t="n"/>
      <c r="G68" s="608" t="n"/>
      <c r="H68" s="608" t="n"/>
      <c r="I68" s="608" t="n"/>
      <c r="J68" s="608" t="n"/>
      <c r="K68" s="608" t="n"/>
      <c r="L68" s="608" t="n"/>
      <c r="M68" s="608" t="n"/>
      <c r="N68" s="608" t="n"/>
      <c r="O68" s="608" t="n"/>
      <c r="P68" s="608" t="n"/>
      <c r="Q68" s="608" t="n"/>
      <c r="R68" s="608" t="n"/>
      <c r="S68" s="608" t="n"/>
      <c r="T68" s="608" t="n"/>
      <c r="U68" s="608" t="n"/>
      <c r="V68" s="608" t="n"/>
      <c r="W68" s="608" t="n"/>
      <c r="X68" s="608" t="n"/>
      <c r="Y68" s="608" t="n"/>
      <c r="Z68" s="608" t="n"/>
    </row>
    <row r="69">
      <c r="A69" s="608" t="n"/>
      <c r="B69" s="608" t="n"/>
      <c r="C69" s="608" t="n"/>
      <c r="D69" s="608" t="n"/>
      <c r="E69" s="608" t="n"/>
      <c r="F69" s="608" t="n"/>
      <c r="G69" s="608" t="n"/>
      <c r="H69" s="608" t="n"/>
      <c r="I69" s="608" t="n"/>
      <c r="J69" s="608" t="n"/>
      <c r="K69" s="608" t="n"/>
      <c r="L69" s="608" t="n"/>
      <c r="M69" s="608" t="n"/>
      <c r="N69" s="608" t="n"/>
      <c r="O69" s="608" t="n"/>
      <c r="P69" s="608" t="n"/>
      <c r="Q69" s="608" t="n"/>
      <c r="R69" s="608" t="n"/>
      <c r="S69" s="608" t="n"/>
      <c r="T69" s="608" t="n"/>
      <c r="U69" s="608" t="n"/>
      <c r="V69" s="608" t="n"/>
      <c r="W69" s="608" t="n"/>
      <c r="X69" s="608" t="n"/>
      <c r="Y69" s="608" t="n"/>
      <c r="Z69" s="608" t="n"/>
    </row>
    <row r="70">
      <c r="A70" s="608" t="n"/>
      <c r="B70" s="608" t="n"/>
      <c r="C70" s="608" t="n"/>
      <c r="D70" s="608" t="n"/>
      <c r="E70" s="608" t="n"/>
      <c r="F70" s="608" t="n"/>
      <c r="G70" s="608" t="n"/>
      <c r="H70" s="608" t="n"/>
      <c r="I70" s="608" t="n"/>
      <c r="J70" s="608" t="n"/>
      <c r="K70" s="608" t="n"/>
      <c r="L70" s="608" t="n"/>
      <c r="M70" s="608" t="n"/>
      <c r="N70" s="608" t="n"/>
      <c r="O70" s="608" t="n"/>
      <c r="P70" s="608" t="n"/>
      <c r="Q70" s="608" t="n"/>
      <c r="R70" s="608" t="n"/>
      <c r="S70" s="608" t="n"/>
      <c r="T70" s="608" t="n"/>
      <c r="U70" s="608" t="n"/>
      <c r="V70" s="608" t="n"/>
      <c r="W70" s="608" t="n"/>
      <c r="X70" s="608" t="n"/>
      <c r="Y70" s="608" t="n"/>
      <c r="Z70" s="608" t="n"/>
    </row>
    <row r="71">
      <c r="A71" s="608" t="n"/>
      <c r="B71" s="608" t="n"/>
      <c r="C71" s="608" t="n"/>
      <c r="D71" s="608" t="n"/>
      <c r="E71" s="608" t="n"/>
      <c r="F71" s="608" t="n"/>
      <c r="G71" s="608" t="n"/>
      <c r="H71" s="608" t="n"/>
      <c r="I71" s="608" t="n"/>
      <c r="J71" s="608" t="n"/>
      <c r="K71" s="608" t="n"/>
      <c r="L71" s="608" t="n"/>
      <c r="M71" s="608" t="n"/>
      <c r="N71" s="608" t="n"/>
      <c r="O71" s="608" t="n"/>
      <c r="P71" s="608" t="n"/>
      <c r="Q71" s="608" t="n"/>
      <c r="R71" s="608" t="n"/>
      <c r="S71" s="608" t="n"/>
      <c r="T71" s="608" t="n"/>
      <c r="U71" s="608" t="n"/>
      <c r="V71" s="608" t="n"/>
      <c r="W71" s="608" t="n"/>
      <c r="X71" s="608" t="n"/>
      <c r="Y71" s="608" t="n"/>
      <c r="Z71" s="608" t="n"/>
    </row>
    <row r="72">
      <c r="A72" s="608" t="n"/>
      <c r="B72" s="608" t="n"/>
      <c r="C72" s="608" t="n"/>
      <c r="D72" s="608" t="n"/>
      <c r="E72" s="608" t="n"/>
      <c r="F72" s="608" t="n"/>
      <c r="G72" s="608" t="n"/>
      <c r="H72" s="608" t="n"/>
      <c r="I72" s="608" t="n"/>
      <c r="J72" s="608" t="n"/>
      <c r="K72" s="608" t="n"/>
      <c r="L72" s="608" t="n"/>
      <c r="M72" s="608" t="n"/>
      <c r="N72" s="608" t="n"/>
      <c r="O72" s="608" t="n"/>
      <c r="P72" s="608" t="n"/>
      <c r="Q72" s="608" t="n"/>
      <c r="R72" s="608" t="n"/>
      <c r="S72" s="608" t="n"/>
      <c r="T72" s="608" t="n"/>
      <c r="U72" s="608" t="n"/>
      <c r="V72" s="608" t="n"/>
      <c r="W72" s="608" t="n"/>
      <c r="X72" s="608" t="n"/>
      <c r="Y72" s="608" t="n"/>
      <c r="Z72" s="608" t="n"/>
    </row>
    <row r="73">
      <c r="A73" s="608" t="n"/>
      <c r="B73" s="608" t="n"/>
      <c r="C73" s="608" t="n"/>
      <c r="D73" s="608" t="n"/>
      <c r="E73" s="608" t="n"/>
      <c r="F73" s="608" t="n"/>
      <c r="G73" s="608" t="n"/>
      <c r="H73" s="608" t="n"/>
      <c r="I73" s="608" t="n"/>
      <c r="J73" s="608" t="n"/>
      <c r="K73" s="608" t="n"/>
      <c r="L73" s="608" t="n"/>
      <c r="M73" s="608" t="n"/>
      <c r="N73" s="608" t="n"/>
      <c r="O73" s="608" t="n"/>
      <c r="P73" s="608" t="n"/>
      <c r="Q73" s="608" t="n"/>
      <c r="R73" s="608" t="n"/>
      <c r="S73" s="608" t="n"/>
      <c r="T73" s="608" t="n"/>
      <c r="U73" s="608" t="n"/>
      <c r="V73" s="608" t="n"/>
      <c r="W73" s="608" t="n"/>
      <c r="X73" s="608" t="n"/>
      <c r="Y73" s="608" t="n"/>
      <c r="Z73" s="608" t="n"/>
    </row>
    <row r="74">
      <c r="A74" s="608" t="n"/>
      <c r="B74" s="608" t="n"/>
      <c r="C74" s="608" t="n"/>
      <c r="D74" s="608" t="n"/>
      <c r="E74" s="608" t="n"/>
      <c r="F74" s="608" t="n"/>
      <c r="G74" s="608" t="n"/>
      <c r="H74" s="608" t="n"/>
      <c r="I74" s="608" t="n"/>
      <c r="J74" s="608" t="n"/>
      <c r="K74" s="608" t="n"/>
      <c r="L74" s="608" t="n"/>
      <c r="M74" s="608" t="n"/>
      <c r="N74" s="608" t="n"/>
      <c r="O74" s="608" t="n"/>
      <c r="P74" s="608" t="n"/>
      <c r="Q74" s="608" t="n"/>
      <c r="R74" s="608" t="n"/>
      <c r="S74" s="608" t="n"/>
      <c r="T74" s="608" t="n"/>
      <c r="U74" s="608" t="n"/>
      <c r="V74" s="608" t="n"/>
      <c r="W74" s="608" t="n"/>
      <c r="X74" s="608" t="n"/>
      <c r="Y74" s="608" t="n"/>
      <c r="Z74" s="608" t="n"/>
    </row>
    <row r="75">
      <c r="A75" s="608" t="n"/>
      <c r="B75" s="608" t="n"/>
      <c r="C75" s="608" t="n"/>
      <c r="D75" s="608" t="n"/>
      <c r="E75" s="608" t="n"/>
      <c r="F75" s="608" t="n"/>
      <c r="G75" s="608" t="n"/>
      <c r="H75" s="608" t="n"/>
      <c r="I75" s="608" t="n"/>
      <c r="J75" s="608" t="n"/>
      <c r="K75" s="608" t="n"/>
      <c r="L75" s="608" t="n"/>
      <c r="M75" s="608" t="n"/>
      <c r="N75" s="608" t="n"/>
      <c r="O75" s="608" t="n"/>
      <c r="P75" s="608" t="n"/>
      <c r="Q75" s="608" t="n"/>
      <c r="R75" s="608" t="n"/>
      <c r="S75" s="608" t="n"/>
      <c r="T75" s="608" t="n"/>
    </row>
    <row r="76">
      <c r="A76" s="611" t="inlineStr">
        <is>
          <t>📖 GUIA DE UTILIZAÇÃO</t>
        </is>
      </c>
      <c r="H76" s="608" t="n"/>
      <c r="I76" s="608" t="n"/>
      <c r="J76" s="608" t="n"/>
      <c r="K76" s="608" t="n"/>
      <c r="L76" s="608" t="n"/>
      <c r="M76" s="608" t="n"/>
      <c r="N76" s="608" t="n"/>
      <c r="O76" s="608" t="n"/>
      <c r="P76" s="608" t="n"/>
      <c r="Q76" s="608" t="n"/>
      <c r="R76" s="608" t="n"/>
      <c r="S76" s="608" t="n"/>
      <c r="T76" s="608" t="n"/>
    </row>
    <row r="77">
      <c r="A77" s="607" t="inlineStr">
        <is>
          <t>1. Altera o Microciclo na célula B4 (dropdown) para mudar o MC</t>
        </is>
      </c>
      <c r="H77" s="608" t="n"/>
      <c r="I77" s="608" t="n"/>
      <c r="J77" s="608" t="n"/>
      <c r="K77" s="608" t="n"/>
      <c r="L77" s="608" t="n"/>
      <c r="M77" s="608" t="n"/>
      <c r="N77" s="608" t="n"/>
      <c r="O77" s="608" t="n"/>
      <c r="P77" s="608" t="n"/>
      <c r="Q77" s="608" t="n"/>
      <c r="R77" s="608" t="n"/>
      <c r="S77" s="608" t="n"/>
      <c r="T77" s="608" t="n"/>
    </row>
    <row r="78">
      <c r="A78" s="607" t="inlineStr">
        <is>
          <t>2. Altera o Dia MD na célula D4 (dropdown) para filtrar a sessão</t>
        </is>
      </c>
      <c r="H78" s="608" t="n"/>
      <c r="I78" s="608" t="n"/>
      <c r="J78" s="608" t="n"/>
      <c r="K78" s="608" t="n"/>
      <c r="L78" s="608" t="n"/>
      <c r="M78" s="608" t="n"/>
      <c r="N78" s="608" t="n"/>
      <c r="O78" s="608" t="n"/>
      <c r="P78" s="608" t="n"/>
      <c r="Q78" s="608" t="n"/>
      <c r="R78" s="608" t="n"/>
      <c r="S78" s="608" t="n"/>
      <c r="T78" s="608" t="n"/>
    </row>
    <row r="79">
      <c r="A79" s="607" t="inlineStr">
        <is>
          <t>3. Gráficos e tabela actualizam automaticamente</t>
        </is>
      </c>
      <c r="H79" s="608" t="n"/>
      <c r="I79" s="608" t="n"/>
      <c r="J79" s="608" t="n"/>
      <c r="K79" s="608" t="n"/>
      <c r="L79" s="608" t="n"/>
      <c r="M79" s="608" t="n"/>
      <c r="N79" s="608" t="n"/>
      <c r="O79" s="608" t="n"/>
      <c r="P79" s="608" t="n"/>
      <c r="Q79" s="608" t="n"/>
      <c r="R79" s="608" t="n"/>
      <c r="S79" s="608" t="n"/>
      <c r="T79" s="608" t="n"/>
    </row>
    <row r="80">
      <c r="A80" s="607" t="inlineStr">
        <is>
          <t>4. Para novos jogadores: inserir linhas na BD_Carga — os gráficos expandem-se</t>
        </is>
      </c>
      <c r="H80" s="608" t="n"/>
      <c r="I80" s="608" t="n"/>
      <c r="J80" s="608" t="n"/>
      <c r="K80" s="608" t="n"/>
      <c r="L80" s="608" t="n"/>
      <c r="M80" s="608" t="n"/>
      <c r="N80" s="608" t="n"/>
      <c r="O80" s="608" t="n"/>
      <c r="P80" s="608" t="n"/>
      <c r="Q80" s="608" t="n"/>
      <c r="R80" s="608" t="n"/>
      <c r="S80" s="608" t="n"/>
      <c r="T80" s="608" t="n"/>
    </row>
    <row r="81">
      <c r="A81" s="607" t="inlineStr">
        <is>
          <t>5. A tabela suporta até 15 jogadores por sessão</t>
        </is>
      </c>
      <c r="H81" s="608" t="n"/>
      <c r="I81" s="608" t="n"/>
      <c r="J81" s="608" t="n"/>
      <c r="K81" s="608" t="n"/>
      <c r="L81" s="608" t="n"/>
      <c r="M81" s="608" t="n"/>
      <c r="N81" s="608" t="n"/>
      <c r="O81" s="608" t="n"/>
      <c r="P81" s="608" t="n"/>
      <c r="Q81" s="608" t="n"/>
      <c r="R81" s="608" t="n"/>
      <c r="S81" s="608" t="n"/>
      <c r="T81" s="608" t="n"/>
    </row>
    <row r="82">
      <c r="A82" s="607" t="inlineStr">
        <is>
          <t>6. Para expandir: copiar fórmulas nas linhas 8-22 para baixo e ajustar chart source</t>
        </is>
      </c>
      <c r="H82" s="608" t="n"/>
      <c r="I82" s="608" t="n"/>
      <c r="J82" s="608" t="n"/>
      <c r="K82" s="608" t="n"/>
      <c r="L82" s="608" t="n"/>
      <c r="M82" s="608" t="n"/>
      <c r="N82" s="608" t="n"/>
      <c r="O82" s="608" t="n"/>
      <c r="P82" s="608" t="n"/>
      <c r="Q82" s="608" t="n"/>
      <c r="R82" s="608" t="n"/>
      <c r="S82" s="608" t="n"/>
      <c r="T82" s="608" t="n"/>
    </row>
    <row r="83">
      <c r="A83" s="608" t="n"/>
      <c r="B83" s="608" t="n"/>
      <c r="C83" s="608" t="n"/>
      <c r="D83" s="608" t="n"/>
      <c r="E83" s="608" t="n"/>
      <c r="F83" s="608" t="n"/>
      <c r="G83" s="608" t="n"/>
      <c r="H83" s="608" t="n"/>
      <c r="I83" s="608" t="n"/>
      <c r="J83" s="608" t="n"/>
      <c r="K83" s="608" t="n"/>
      <c r="L83" s="608" t="n"/>
      <c r="M83" s="608" t="n"/>
      <c r="N83" s="608" t="n"/>
      <c r="O83" s="608" t="n"/>
      <c r="P83" s="608" t="n"/>
      <c r="Q83" s="608" t="n"/>
      <c r="R83" s="608" t="n"/>
      <c r="S83" s="608" t="n"/>
      <c r="T83" s="608" t="n"/>
    </row>
  </sheetData>
  <mergeCells count="19">
    <mergeCell ref="A29:G29"/>
    <mergeCell ref="A81:G81"/>
    <mergeCell ref="A3:L3"/>
    <mergeCell ref="A28:G28"/>
    <mergeCell ref="A31:G31"/>
    <mergeCell ref="A77:G77"/>
    <mergeCell ref="A30:G30"/>
    <mergeCell ref="A82:G82"/>
    <mergeCell ref="A79:G79"/>
    <mergeCell ref="A6:G6"/>
    <mergeCell ref="A78:G78"/>
    <mergeCell ref="A25:G25"/>
    <mergeCell ref="A34:L34"/>
    <mergeCell ref="A80:G80"/>
    <mergeCell ref="A27:G27"/>
    <mergeCell ref="A1:L1"/>
    <mergeCell ref="A26:G26"/>
    <mergeCell ref="A76:G76"/>
    <mergeCell ref="A33:G33"/>
  </mergeCells>
  <conditionalFormatting sqref="B8:B22">
    <cfRule type="dataBar" priority="1">
      <dataBar>
        <cfvo type="min"/>
        <cfvo type="max"/>
        <color rgb="FF2E75B6"/>
      </dataBar>
    </cfRule>
    <cfRule type="dataBar" priority="5">
      <dataBar>
        <cfvo type="min"/>
        <cfvo type="max"/>
        <color rgb="FF2E75B6"/>
      </dataBar>
    </cfRule>
  </conditionalFormatting>
  <conditionalFormatting sqref="C8:C22">
    <cfRule type="dataBar" priority="2">
      <dataBar>
        <cfvo type="min"/>
        <cfvo type="max"/>
        <color rgb="FF548235"/>
      </dataBar>
    </cfRule>
    <cfRule type="dataBar" priority="6">
      <dataBar>
        <cfvo type="min"/>
        <cfvo type="max"/>
        <color rgb="FF548235"/>
      </dataBar>
    </cfRule>
  </conditionalFormatting>
  <conditionalFormatting sqref="D8:D22">
    <cfRule type="dataBar" priority="3">
      <dataBar>
        <cfvo type="min"/>
        <cfvo type="max"/>
        <color rgb="FFC00000"/>
      </dataBar>
    </cfRule>
    <cfRule type="dataBar" priority="7">
      <dataBar>
        <cfvo type="min"/>
        <cfvo type="max"/>
        <color rgb="FFC00000"/>
      </dataBar>
    </cfRule>
  </conditionalFormatting>
  <conditionalFormatting sqref="G8:G22">
    <cfRule type="dataBar" priority="4">
      <dataBar>
        <cfvo type="min"/>
        <cfvo type="max"/>
        <color rgb="FF1F4E79"/>
      </dataBar>
    </cfRule>
    <cfRule type="dataBar" priority="8">
      <dataBar>
        <cfvo type="min"/>
        <cfvo type="max"/>
        <color rgb="FF1F4E79"/>
      </dataBar>
    </cfRule>
  </conditionalFormatting>
  <dataValidations count="1">
    <dataValidation sqref="D4" showDropDown="0" showInputMessage="1" showErrorMessage="1" allowBlank="1" promptTitle="Dia MD" prompt="Seleciona o dia relativo ao Match Day" type="list">
      <formula1>"MD-5,MD-4,MD-3,MD-2,MD-1,MD,MD+1,MD+2"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52C41A"/>
    <outlinePr summaryBelow="1" summaryRight="1"/>
    <pageSetUpPr/>
  </sheetPr>
  <dimension ref="A1:P73"/>
  <sheetViews>
    <sheetView zoomScale="93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H4" sqref="H4"/>
    </sheetView>
  </sheetViews>
  <sheetFormatPr baseColWidth="8" defaultRowHeight="15"/>
  <cols>
    <col width="16.85546875" customWidth="1" min="1" max="1"/>
    <col width="10.42578125" bestFit="1" customWidth="1" min="2" max="2"/>
    <col width="10.5703125" bestFit="1" customWidth="1" min="3" max="3"/>
    <col width="11" bestFit="1" customWidth="1" min="4" max="4"/>
    <col width="12.28515625" bestFit="1" customWidth="1" min="5" max="6"/>
    <col width="10.28515625" bestFit="1" customWidth="1" min="7" max="7"/>
    <col width="10.5703125" bestFit="1" customWidth="1" min="8" max="8"/>
    <col width="24.7109375" customWidth="1" min="9" max="9"/>
    <col width="11.7109375" bestFit="1" customWidth="1" min="10" max="10"/>
    <col width="14.7109375" bestFit="1" customWidth="1" min="11" max="12"/>
    <col width="11" bestFit="1" customWidth="1" min="13" max="13"/>
    <col width="12" bestFit="1" customWidth="1" min="14" max="14"/>
    <col width="12.28515625" bestFit="1" customWidth="1" min="15" max="15"/>
    <col width="12" bestFit="1" customWidth="1" min="16" max="16"/>
    <col width="28.85546875" bestFit="1" customWidth="1" min="18" max="18"/>
    <col width="8.85546875" bestFit="1" customWidth="1" min="19" max="19"/>
    <col width="6.5703125" bestFit="1" customWidth="1" min="20" max="22"/>
    <col width="7.28515625" bestFit="1" customWidth="1" min="23" max="23"/>
    <col width="8.140625" bestFit="1" customWidth="1" min="24" max="24"/>
    <col width="22.85546875" customWidth="1" min="25" max="25"/>
  </cols>
  <sheetData>
    <row r="1" ht="45" customHeight="1">
      <c r="A1" s="598" t="inlineStr">
        <is>
          <t>⚡  DASHBOARD DE TREINO  |  Análise por Sessão — Belenenses</t>
        </is>
      </c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24" customHeight="1">
      <c r="A3" s="596" t="inlineStr">
        <is>
          <t>🔍 FILTROS</t>
        </is>
      </c>
    </row>
    <row r="4" ht="17.25" customHeight="1">
      <c r="A4" s="133" t="inlineStr">
        <is>
          <t>Jogador:</t>
        </is>
      </c>
      <c r="B4" s="66" t="inlineStr">
        <is>
          <t>Varela</t>
        </is>
      </c>
      <c r="C4" s="134" t="n"/>
      <c r="D4" s="133" t="inlineStr">
        <is>
          <t>Microciclo:</t>
        </is>
      </c>
      <c r="E4" s="472" t="n">
        <v>5</v>
      </c>
      <c r="F4" s="134" t="n"/>
      <c r="G4" s="133" t="inlineStr">
        <is>
          <t>Tipo:</t>
        </is>
      </c>
      <c r="H4" s="472" t="inlineStr">
        <is>
          <t>MD-5</t>
        </is>
      </c>
      <c r="I4" s="134" t="n"/>
      <c r="J4" s="134" t="n"/>
      <c r="K4" s="134" t="n"/>
      <c r="L4" s="134" t="n"/>
      <c r="M4" s="134" t="n"/>
      <c r="N4" s="134" t="n"/>
      <c r="O4" s="134" t="n"/>
      <c r="P4" s="134" t="n"/>
    </row>
    <row r="5" ht="14.25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 ht="18" customHeight="1">
      <c r="A6" s="596" t="inlineStr">
        <is>
          <t>📊 KPIs DO JOGADOR SELECIONADO (Todas as Sessões)</t>
        </is>
      </c>
    </row>
    <row r="7" ht="23.25" customHeight="1">
      <c r="A7" s="192" t="inlineStr">
        <is>
          <t>Nº Sessões</t>
        </is>
      </c>
      <c r="B7" s="192" t="inlineStr">
        <is>
          <t>Média Duração
(min)</t>
        </is>
      </c>
      <c r="C7" s="192" t="inlineStr">
        <is>
          <t>Média Distância
(m)</t>
        </is>
      </c>
      <c r="D7" s="192" t="inlineStr">
        <is>
          <t>Média HSR
(m)</t>
        </is>
      </c>
      <c r="E7" s="192" t="inlineStr">
        <is>
          <t>Média Sprint
(m)</t>
        </is>
      </c>
      <c r="F7" s="192" t="inlineStr">
        <is>
          <t>Média Acc
(n)</t>
        </is>
      </c>
      <c r="G7" s="192" t="inlineStr">
        <is>
          <t>Média Dcc
(n)</t>
        </is>
      </c>
      <c r="H7" s="192" t="inlineStr">
        <is>
          <t>Média PSE</t>
        </is>
      </c>
      <c r="I7" s="192" t="inlineStr">
        <is>
          <t>Vmáx Máx
(km/h)</t>
        </is>
      </c>
      <c r="J7" s="192" t="inlineStr">
        <is>
          <t>Média Vmáx
(km/h)</t>
        </is>
      </c>
      <c r="K7" s="192" t="inlineStr">
        <is>
          <t>Média ≥90%
(n/sessão)</t>
        </is>
      </c>
      <c r="L7" s="192" t="inlineStr">
        <is>
          <t>Média ≥95%
(n/sessão)</t>
        </is>
      </c>
    </row>
    <row r="8" ht="18" customHeight="1">
      <c r="A8" s="474">
        <f>COUNTIF(tblCarga[Jogador],$B$4)</f>
        <v/>
      </c>
      <c r="B8" s="474">
        <f>IFERROR(AVERAGEIF(tblCarga[Jogador],$B$4,tblCarga[Duração (min)]),"—")</f>
        <v/>
      </c>
      <c r="C8" s="474">
        <f>IFERROR(AVERAGEIF(tblCarga[Jogador],$B$4,tblCarga[Distância Total (m)]),"—")</f>
        <v/>
      </c>
      <c r="D8" s="474">
        <f>IFERROR(AVERAGEIF(tblCarga[Jogador],$B$4,tblCarga[HSR (m)]),"—")</f>
        <v/>
      </c>
      <c r="E8" s="474">
        <f>IFERROR(AVERAGEIF(tblCarga[Jogador],$B$4,tblCarga[Sprint (m)]),"—")</f>
        <v/>
      </c>
      <c r="F8" s="474">
        <f>IFERROR(AVERAGEIF(tblCarga[Jogador],$B$4,tblCarga[Acc (n)]),"—")</f>
        <v/>
      </c>
      <c r="G8" s="474">
        <f>IFERROR(AVERAGEIF(tblCarga[Jogador],$B$4,tblCarga[Dcc (n)]),"—")</f>
        <v/>
      </c>
      <c r="H8" s="475">
        <f>IFERROR(AVERAGEIF(tblCarga[Jogador],$B$4,tblCarga[PSE Sessão]),"—")</f>
        <v/>
      </c>
      <c r="I8" s="475">
        <f>IFERROR(_xlfn.MAXIFS(tblCarga[Vel. Máx (km/h)],tblCarga[Jogador],$B$4),"—")</f>
        <v/>
      </c>
      <c r="J8" s="475">
        <f>IFERROR(AVERAGEIF(tblCarga[Jogador],$B$4,tblCarga[Vel. Máx (km/h)]),"—")</f>
        <v/>
      </c>
      <c r="K8" s="475">
        <f>IFERROR(AVERAGEIF(tblCarga[Jogador],$B$4,tblCarga[Nº ≥90% Vmáx]),"—")</f>
        <v/>
      </c>
      <c r="L8" s="475">
        <f>IFERROR(AVERAGEIF(tblCarga[Jogador],$B$4,tblCarga[Nº ≥95% Vmáx]),"—")</f>
        <v/>
      </c>
    </row>
    <row r="9" ht="4.5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6.5" customHeight="1">
      <c r="A10" s="596" t="inlineStr">
        <is>
          <t xml:space="preserve">📋 DETALHE POR SESSÃO — Jogador: </t>
        </is>
      </c>
    </row>
    <row r="11" ht="12" customHeight="1">
      <c r="A11" s="477" t="inlineStr">
        <is>
          <t>Data</t>
        </is>
      </c>
      <c r="B11" s="192" t="inlineStr">
        <is>
          <t>MC</t>
        </is>
      </c>
      <c r="C11" s="192" t="inlineStr">
        <is>
          <t>Dia MC</t>
        </is>
      </c>
      <c r="D11" s="192" t="inlineStr">
        <is>
          <t>Tipo</t>
        </is>
      </c>
      <c r="E11" s="192" t="inlineStr">
        <is>
          <t>Duração
(min)</t>
        </is>
      </c>
      <c r="F11" s="192" t="inlineStr">
        <is>
          <t>Distância
(m)</t>
        </is>
      </c>
      <c r="G11" s="192" t="inlineStr">
        <is>
          <t>HSR
(m)</t>
        </is>
      </c>
      <c r="H11" s="192" t="inlineStr">
        <is>
          <t>Sprint
(m)</t>
        </is>
      </c>
      <c r="I11" s="192" t="inlineStr">
        <is>
          <t>Acc
(n)</t>
        </is>
      </c>
      <c r="J11" s="192" t="inlineStr">
        <is>
          <t>Dcc
(n)</t>
        </is>
      </c>
      <c r="K11" s="192" t="inlineStr">
        <is>
          <t>PSE</t>
        </is>
      </c>
      <c r="L11" s="192" t="inlineStr">
        <is>
          <t>Vmáx
(km/h)</t>
        </is>
      </c>
      <c r="M11" s="476" t="inlineStr">
        <is>
          <t>% Record</t>
        </is>
      </c>
      <c r="N11" s="192" t="inlineStr">
        <is>
          <t>Nº ≥85%</t>
        </is>
      </c>
      <c r="O11" s="192" t="inlineStr">
        <is>
          <t>Nº ≥90%</t>
        </is>
      </c>
      <c r="P11" s="192" t="inlineStr">
        <is>
          <t>Nº ≥95%</t>
        </is>
      </c>
    </row>
    <row r="12" ht="21.95" customHeight="1">
      <c r="A12" s="478">
        <f t="array" ref="A12">IFERROR(INDEX(_xlfn._xlws.SORT(_xlfn._xlws.FILTER(tblCarga[Data],tblCarga[Jogador]=$B$4),1,1),ROW()-11),"")</f>
        <v/>
      </c>
      <c r="B12" s="479">
        <f t="array" ref="B12">IFERROR(INDEX(_xlfn.SORTBY(_xlfn._xlws.FILTER(tblCarga[Microciclo],tblCarga[Jogador]=$B$4),_xlfn._xlws.FILTER(tblCarga[Data],tblCarga[Jogador]=$B$4),1),ROW()-11),"")</f>
        <v/>
      </c>
      <c r="C12" s="479">
        <f t="array" ref="C12">IFERROR(INDEX(_xlfn.SORTBY(_xlfn._xlws.FILTER(tblCarga[Dia MD],tblCarga[Jogador]=$B$4),_xlfn._xlws.FILTER(tblCarga[Data],tblCarga[Jogador]=$B$4),1),ROW()-11),"")</f>
        <v/>
      </c>
      <c r="D12" s="479">
        <f t="array" ref="D12">IFERROR(INDEX(_xlfn.SORTBY(_xlfn._xlws.FILTER(tblCarga[Tipo],tblCarga[Jogador]=$B$4),_xlfn._xlws.FILTER(tblCarga[Data],tblCarga[Jogador]=$B$4),1),ROW()-11),"")</f>
        <v/>
      </c>
      <c r="E12" s="479">
        <f t="array" ref="E12">IFERROR(INDEX(_xlfn.SORTBY(_xlfn._xlws.FILTER(tblCarga[Duração (min)],tblCarga[Jogador]=$B$4),_xlfn._xlws.FILTER(tblCarga[Data],tblCarga[Jogador]=$B$4),1),ROW()-11),"")</f>
        <v/>
      </c>
      <c r="F12" s="479">
        <f t="array" ref="F12">IFERROR(INDEX(_xlfn.SORTBY(_xlfn._xlws.FILTER(tblCarga[Distância Total (m)],tblCarga[Jogador]=$B$4),_xlfn._xlws.FILTER(tblCarga[Data],tblCarga[Jogador]=$B$4),1),ROW()-11),"")</f>
        <v/>
      </c>
      <c r="G12" s="479">
        <f t="array" ref="G12">IFERROR(INDEX(_xlfn.SORTBY(_xlfn._xlws.FILTER(tblCarga[HSR (m)],tblCarga[Jogador]=$B$4),_xlfn._xlws.FILTER(tblCarga[Data],tblCarga[Jogador]=$B$4),1),ROW()-11),"")</f>
        <v/>
      </c>
      <c r="H12" s="479">
        <f t="array" ref="H12">IFERROR(INDEX(_xlfn.SORTBY(_xlfn._xlws.FILTER(tblCarga[Sprint (m)],tblCarga[Jogador]=$B$4),_xlfn._xlws.FILTER(tblCarga[Data],tblCarga[Jogador]=$B$4),1),ROW()-11),"")</f>
        <v/>
      </c>
      <c r="I12" s="479">
        <f t="array" ref="I12">IFERROR(INDEX(_xlfn.SORTBY(_xlfn._xlws.FILTER(tblCarga[Acc (n)],tblCarga[Jogador]=$B$4),_xlfn._xlws.FILTER(tblCarga[Data],tblCarga[Jogador]=$B$4),1),ROW()-11),"")</f>
        <v/>
      </c>
      <c r="J12" s="479">
        <f t="array" ref="J12">IFERROR(INDEX(_xlfn.SORTBY(_xlfn._xlws.FILTER(tblCarga[Dcc (n)],tblCarga[Jogador]=$B$4),_xlfn._xlws.FILTER(tblCarga[Data],tblCarga[Jogador]=$B$4),1),ROW()-11),"")</f>
        <v/>
      </c>
      <c r="K12" s="479">
        <f t="array" ref="K12">IFERROR(INDEX(_xlfn.SORTBY(_xlfn._xlws.FILTER(tblCarga[PSE Sessão],tblCarga[Jogador]=$B$4),_xlfn._xlws.FILTER(tblCarga[Data],tblCarga[Jogador]=$B$4),1),ROW()-11),"")</f>
        <v/>
      </c>
      <c r="L12" s="480">
        <f t="array" ref="L12">IFERROR(INDEX(_xlfn.SORTBY(_xlfn._xlws.FILTER(tblCarga[Vel. Máx (km/h)],tblCarga[Jogador]=$B$4),_xlfn._xlws.FILTER(tblCarga[Data],tblCarga[Jogador]=$B$4),1),ROW()-11),"")</f>
        <v/>
      </c>
      <c r="M12" s="481">
        <f>IF(L12="","",L12/_xlfn.MAXIFS(tblCarga[Vel. Máx (km/h)],tblCarga[Jogador],$B$4))</f>
        <v/>
      </c>
      <c r="N12" s="479">
        <f t="array" ref="N12">IF(A12="","",IFERROR(INDEX(_xlfn.SORTBY(_xlfn._xlws.FILTER(tblCarga[Nº ≥85% Vmáx],tblCarga[Jogador]=$B$4),_xlfn._xlws.FILTER(tblCarga[Data],tblCarga[Jogador]=$B$4),1),ROW()-11),""))</f>
        <v/>
      </c>
      <c r="O12" s="479">
        <f t="array" ref="O12">IF(A12="","",IFERROR(INDEX(_xlfn.SORTBY(_xlfn._xlws.FILTER(tblCarga[Nº ≥90% Vmáx],tblCarga[Jogador]=$B$4),_xlfn._xlws.FILTER(tblCarga[Data],tblCarga[Jogador]=$B$4),1),ROW()-11),""))</f>
        <v/>
      </c>
      <c r="P12" s="479">
        <f t="array" ref="P12">IF(A12="","",IFERROR(INDEX(_xlfn.SORTBY(_xlfn._xlws.FILTER(tblCarga[Nº ≥95% Vmáx],tblCarga[Jogador]=$B$4),_xlfn._xlws.FILTER(tblCarga[Data],tblCarga[Jogador]=$B$4),1),ROW()-11),""))</f>
        <v/>
      </c>
    </row>
    <row r="13" ht="21.95" customHeight="1">
      <c r="A13" s="482">
        <f t="array" ref="A13">IFERROR(INDEX(_xlfn._xlws.SORT(_xlfn._xlws.FILTER(tblCarga[Data],tblCarga[Jogador]=$B$4),1,1),ROW()-11),"")</f>
        <v/>
      </c>
      <c r="B13" s="483">
        <f t="array" ref="B13">IFERROR(INDEX(_xlfn.SORTBY(_xlfn._xlws.FILTER(tblCarga[Microciclo],tblCarga[Jogador]=$B$4),_xlfn._xlws.FILTER(tblCarga[Data],tblCarga[Jogador]=$B$4),1),ROW()-11),"")</f>
        <v/>
      </c>
      <c r="C13" s="483">
        <f t="array" ref="C13">IFERROR(INDEX(_xlfn.SORTBY(_xlfn._xlws.FILTER(tblCarga[Dia MD],tblCarga[Jogador]=$B$4),_xlfn._xlws.FILTER(tblCarga[Data],tblCarga[Jogador]=$B$4),1),ROW()-11),"")</f>
        <v/>
      </c>
      <c r="D13" s="483">
        <f t="array" ref="D13">IFERROR(INDEX(_xlfn.SORTBY(_xlfn._xlws.FILTER(tblCarga[Tipo],tblCarga[Jogador]=$B$4),_xlfn._xlws.FILTER(tblCarga[Data],tblCarga[Jogador]=$B$4),1),ROW()-11),"")</f>
        <v/>
      </c>
      <c r="E13" s="483">
        <f t="array" ref="E13">IFERROR(INDEX(_xlfn.SORTBY(_xlfn._xlws.FILTER(tblCarga[Duração (min)],tblCarga[Jogador]=$B$4),_xlfn._xlws.FILTER(tblCarga[Data],tblCarga[Jogador]=$B$4),1),ROW()-11),"")</f>
        <v/>
      </c>
      <c r="F13" s="483">
        <f t="array" ref="F13">IFERROR(INDEX(_xlfn.SORTBY(_xlfn._xlws.FILTER(tblCarga[Distância Total (m)],tblCarga[Jogador]=$B$4),_xlfn._xlws.FILTER(tblCarga[Data],tblCarga[Jogador]=$B$4),1),ROW()-11),"")</f>
        <v/>
      </c>
      <c r="G13" s="483">
        <f t="array" ref="G13">IFERROR(INDEX(_xlfn.SORTBY(_xlfn._xlws.FILTER(tblCarga[HSR (m)],tblCarga[Jogador]=$B$4),_xlfn._xlws.FILTER(tblCarga[Data],tblCarga[Jogador]=$B$4),1),ROW()-11),"")</f>
        <v/>
      </c>
      <c r="H13" s="483">
        <f t="array" ref="H13">IFERROR(INDEX(_xlfn.SORTBY(_xlfn._xlws.FILTER(tblCarga[Sprint (m)],tblCarga[Jogador]=$B$4),_xlfn._xlws.FILTER(tblCarga[Data],tblCarga[Jogador]=$B$4),1),ROW()-11),"")</f>
        <v/>
      </c>
      <c r="I13" s="483">
        <f t="array" ref="I13">IFERROR(INDEX(_xlfn.SORTBY(_xlfn._xlws.FILTER(tblCarga[Acc (n)],tblCarga[Jogador]=$B$4),_xlfn._xlws.FILTER(tblCarga[Data],tblCarga[Jogador]=$B$4),1),ROW()-11),"")</f>
        <v/>
      </c>
      <c r="J13" s="483">
        <f t="array" ref="J13">IFERROR(INDEX(_xlfn.SORTBY(_xlfn._xlws.FILTER(tblCarga[Dcc (n)],tblCarga[Jogador]=$B$4),_xlfn._xlws.FILTER(tblCarga[Data],tblCarga[Jogador]=$B$4),1),ROW()-11),"")</f>
        <v/>
      </c>
      <c r="K13" s="483">
        <f t="array" ref="K13">IFERROR(INDEX(_xlfn.SORTBY(_xlfn._xlws.FILTER(tblCarga[PSE Sessão],tblCarga[Jogador]=$B$4),_xlfn._xlws.FILTER(tblCarga[Data],tblCarga[Jogador]=$B$4),1),ROW()-11),"")</f>
        <v/>
      </c>
      <c r="L13" s="484">
        <f t="array" ref="L13">IFERROR(INDEX(_xlfn.SORTBY(_xlfn._xlws.FILTER(tblCarga[Vel. Máx (km/h)],tblCarga[Jogador]=$B$4),_xlfn._xlws.FILTER(tblCarga[Data],tblCarga[Jogador]=$B$4),1),ROW()-11),"")</f>
        <v/>
      </c>
      <c r="M13" s="485">
        <f>IF(L13="","",L13/_xlfn.MAXIFS(tblCarga[Vel. Máx (km/h)],tblCarga[Jogador],$B$4))</f>
        <v/>
      </c>
      <c r="N13" s="483">
        <f t="array" ref="N13">IF(A13="","",IFERROR(INDEX(_xlfn.SORTBY(_xlfn._xlws.FILTER(tblCarga[Nº ≥85% Vmáx],tblCarga[Jogador]=$B$4),_xlfn._xlws.FILTER(tblCarga[Data],tblCarga[Jogador]=$B$4),1),ROW()-11),""))</f>
        <v/>
      </c>
      <c r="O13" s="483">
        <f t="array" ref="O13">IF(A13="","",IFERROR(INDEX(_xlfn.SORTBY(_xlfn._xlws.FILTER(tblCarga[Nº ≥90% Vmáx],tblCarga[Jogador]=$B$4),_xlfn._xlws.FILTER(tblCarga[Data],tblCarga[Jogador]=$B$4),1),ROW()-11),""))</f>
        <v/>
      </c>
      <c r="P13" s="483">
        <f t="array" ref="P13">IF(A13="","",IFERROR(INDEX(_xlfn.SORTBY(_xlfn._xlws.FILTER(tblCarga[Nº ≥95% Vmáx],tblCarga[Jogador]=$B$4),_xlfn._xlws.FILTER(tblCarga[Data],tblCarga[Jogador]=$B$4),1),ROW()-11),""))</f>
        <v/>
      </c>
    </row>
    <row r="14" ht="21.95" customHeight="1">
      <c r="A14" s="478">
        <f t="array" ref="A14">IFERROR(INDEX(_xlfn._xlws.SORT(_xlfn._xlws.FILTER(tblCarga[Data],tblCarga[Jogador]=$B$4),1,1),ROW()-11),"")</f>
        <v/>
      </c>
      <c r="B14" s="479">
        <f t="array" ref="B14">IFERROR(INDEX(_xlfn.SORTBY(_xlfn._xlws.FILTER(tblCarga[Microciclo],tblCarga[Jogador]=$B$4),_xlfn._xlws.FILTER(tblCarga[Data],tblCarga[Jogador]=$B$4),1),ROW()-11),"")</f>
        <v/>
      </c>
      <c r="C14" s="479">
        <f t="array" ref="C14">IFERROR(INDEX(_xlfn.SORTBY(_xlfn._xlws.FILTER(tblCarga[Dia MD],tblCarga[Jogador]=$B$4),_xlfn._xlws.FILTER(tblCarga[Data],tblCarga[Jogador]=$B$4),1),ROW()-11),"")</f>
        <v/>
      </c>
      <c r="D14" s="479">
        <f t="array" ref="D14">IFERROR(INDEX(_xlfn.SORTBY(_xlfn._xlws.FILTER(tblCarga[Tipo],tblCarga[Jogador]=$B$4),_xlfn._xlws.FILTER(tblCarga[Data],tblCarga[Jogador]=$B$4),1),ROW()-11),"")</f>
        <v/>
      </c>
      <c r="E14" s="479">
        <f t="array" ref="E14">IFERROR(INDEX(_xlfn.SORTBY(_xlfn._xlws.FILTER(tblCarga[Duração (min)],tblCarga[Jogador]=$B$4),_xlfn._xlws.FILTER(tblCarga[Data],tblCarga[Jogador]=$B$4),1),ROW()-11),"")</f>
        <v/>
      </c>
      <c r="F14" s="479">
        <f t="array" ref="F14">IFERROR(INDEX(_xlfn.SORTBY(_xlfn._xlws.FILTER(tblCarga[Distância Total (m)],tblCarga[Jogador]=$B$4),_xlfn._xlws.FILTER(tblCarga[Data],tblCarga[Jogador]=$B$4),1),ROW()-11),"")</f>
        <v/>
      </c>
      <c r="G14" s="479">
        <f t="array" ref="G14">IFERROR(INDEX(_xlfn.SORTBY(_xlfn._xlws.FILTER(tblCarga[HSR (m)],tblCarga[Jogador]=$B$4),_xlfn._xlws.FILTER(tblCarga[Data],tblCarga[Jogador]=$B$4),1),ROW()-11),"")</f>
        <v/>
      </c>
      <c r="H14" s="479">
        <f t="array" ref="H14">IFERROR(INDEX(_xlfn.SORTBY(_xlfn._xlws.FILTER(tblCarga[Sprint (m)],tblCarga[Jogador]=$B$4),_xlfn._xlws.FILTER(tblCarga[Data],tblCarga[Jogador]=$B$4),1),ROW()-11),"")</f>
        <v/>
      </c>
      <c r="I14" s="479">
        <f t="array" ref="I14">IFERROR(INDEX(_xlfn.SORTBY(_xlfn._xlws.FILTER(tblCarga[Acc (n)],tblCarga[Jogador]=$B$4),_xlfn._xlws.FILTER(tblCarga[Data],tblCarga[Jogador]=$B$4),1),ROW()-11),"")</f>
        <v/>
      </c>
      <c r="J14" s="479">
        <f t="array" ref="J14">IFERROR(INDEX(_xlfn.SORTBY(_xlfn._xlws.FILTER(tblCarga[Dcc (n)],tblCarga[Jogador]=$B$4),_xlfn._xlws.FILTER(tblCarga[Data],tblCarga[Jogador]=$B$4),1),ROW()-11),"")</f>
        <v/>
      </c>
      <c r="K14" s="479">
        <f t="array" ref="K14">IFERROR(INDEX(_xlfn.SORTBY(_xlfn._xlws.FILTER(tblCarga[PSE Sessão],tblCarga[Jogador]=$B$4),_xlfn._xlws.FILTER(tblCarga[Data],tblCarga[Jogador]=$B$4),1),ROW()-11),"")</f>
        <v/>
      </c>
      <c r="L14" s="480">
        <f t="array" ref="L14">IFERROR(INDEX(_xlfn.SORTBY(_xlfn._xlws.FILTER(tblCarga[Vel. Máx (km/h)],tblCarga[Jogador]=$B$4),_xlfn._xlws.FILTER(tblCarga[Data],tblCarga[Jogador]=$B$4),1),ROW()-11),"")</f>
        <v/>
      </c>
      <c r="M14" s="481">
        <f>IF(L14="","",L14/_xlfn.MAXIFS(tblCarga[Vel. Máx (km/h)],tblCarga[Jogador],$B$4))</f>
        <v/>
      </c>
      <c r="N14" s="479">
        <f t="array" ref="N14">IF(A14="","",IFERROR(INDEX(_xlfn.SORTBY(_xlfn._xlws.FILTER(tblCarga[Nº ≥85% Vmáx],tblCarga[Jogador]=$B$4),_xlfn._xlws.FILTER(tblCarga[Data],tblCarga[Jogador]=$B$4),1),ROW()-11),""))</f>
        <v/>
      </c>
      <c r="O14" s="479">
        <f t="array" ref="O14">IF(A14="","",IFERROR(INDEX(_xlfn.SORTBY(_xlfn._xlws.FILTER(tblCarga[Nº ≥90% Vmáx],tblCarga[Jogador]=$B$4),_xlfn._xlws.FILTER(tblCarga[Data],tblCarga[Jogador]=$B$4),1),ROW()-11),""))</f>
        <v/>
      </c>
      <c r="P14" s="479">
        <f t="array" ref="P14">IF(A14="","",IFERROR(INDEX(_xlfn.SORTBY(_xlfn._xlws.FILTER(tblCarga[Nº ≥95% Vmáx],tblCarga[Jogador]=$B$4),_xlfn._xlws.FILTER(tblCarga[Data],tblCarga[Jogador]=$B$4),1),ROW()-11),""))</f>
        <v/>
      </c>
    </row>
    <row r="15" ht="21.95" customHeight="1">
      <c r="A15" s="482">
        <f t="array" ref="A15">IFERROR(INDEX(_xlfn._xlws.SORT(_xlfn._xlws.FILTER(tblCarga[Data],tblCarga[Jogador]=$B$4),1,1),ROW()-11),"")</f>
        <v/>
      </c>
      <c r="B15" s="483">
        <f t="array" ref="B15">IFERROR(INDEX(_xlfn.SORTBY(_xlfn._xlws.FILTER(tblCarga[Microciclo],tblCarga[Jogador]=$B$4),_xlfn._xlws.FILTER(tblCarga[Data],tblCarga[Jogador]=$B$4),1),ROW()-11),"")</f>
        <v/>
      </c>
      <c r="C15" s="483">
        <f t="array" ref="C15">IFERROR(INDEX(_xlfn.SORTBY(_xlfn._xlws.FILTER(tblCarga[Dia MD],tblCarga[Jogador]=$B$4),_xlfn._xlws.FILTER(tblCarga[Data],tblCarga[Jogador]=$B$4),1),ROW()-11),"")</f>
        <v/>
      </c>
      <c r="D15" s="483">
        <f t="array" ref="D15">IFERROR(INDEX(_xlfn.SORTBY(_xlfn._xlws.FILTER(tblCarga[Tipo],tblCarga[Jogador]=$B$4),_xlfn._xlws.FILTER(tblCarga[Data],tblCarga[Jogador]=$B$4),1),ROW()-11),"")</f>
        <v/>
      </c>
      <c r="E15" s="483">
        <f t="array" ref="E15">IFERROR(INDEX(_xlfn.SORTBY(_xlfn._xlws.FILTER(tblCarga[Duração (min)],tblCarga[Jogador]=$B$4),_xlfn._xlws.FILTER(tblCarga[Data],tblCarga[Jogador]=$B$4),1),ROW()-11),"")</f>
        <v/>
      </c>
      <c r="F15" s="483">
        <f t="array" ref="F15">IFERROR(INDEX(_xlfn.SORTBY(_xlfn._xlws.FILTER(tblCarga[Distância Total (m)],tblCarga[Jogador]=$B$4),_xlfn._xlws.FILTER(tblCarga[Data],tblCarga[Jogador]=$B$4),1),ROW()-11),"")</f>
        <v/>
      </c>
      <c r="G15" s="483">
        <f t="array" ref="G15">IFERROR(INDEX(_xlfn.SORTBY(_xlfn._xlws.FILTER(tblCarga[HSR (m)],tblCarga[Jogador]=$B$4),_xlfn._xlws.FILTER(tblCarga[Data],tblCarga[Jogador]=$B$4),1),ROW()-11),"")</f>
        <v/>
      </c>
      <c r="H15" s="483">
        <f t="array" ref="H15">IFERROR(INDEX(_xlfn.SORTBY(_xlfn._xlws.FILTER(tblCarga[Sprint (m)],tblCarga[Jogador]=$B$4),_xlfn._xlws.FILTER(tblCarga[Data],tblCarga[Jogador]=$B$4),1),ROW()-11),"")</f>
        <v/>
      </c>
      <c r="I15" s="483">
        <f t="array" ref="I15">IFERROR(INDEX(_xlfn.SORTBY(_xlfn._xlws.FILTER(tblCarga[Acc (n)],tblCarga[Jogador]=$B$4),_xlfn._xlws.FILTER(tblCarga[Data],tblCarga[Jogador]=$B$4),1),ROW()-11),"")</f>
        <v/>
      </c>
      <c r="J15" s="483">
        <f t="array" ref="J15">IFERROR(INDEX(_xlfn.SORTBY(_xlfn._xlws.FILTER(tblCarga[Dcc (n)],tblCarga[Jogador]=$B$4),_xlfn._xlws.FILTER(tblCarga[Data],tblCarga[Jogador]=$B$4),1),ROW()-11),"")</f>
        <v/>
      </c>
      <c r="K15" s="483">
        <f t="array" ref="K15">IFERROR(INDEX(_xlfn.SORTBY(_xlfn._xlws.FILTER(tblCarga[PSE Sessão],tblCarga[Jogador]=$B$4),_xlfn._xlws.FILTER(tblCarga[Data],tblCarga[Jogador]=$B$4),1),ROW()-11),"")</f>
        <v/>
      </c>
      <c r="L15" s="484">
        <f t="array" ref="L15">IFERROR(INDEX(_xlfn.SORTBY(_xlfn._xlws.FILTER(tblCarga[Vel. Máx (km/h)],tblCarga[Jogador]=$B$4),_xlfn._xlws.FILTER(tblCarga[Data],tblCarga[Jogador]=$B$4),1),ROW()-11),"")</f>
        <v/>
      </c>
      <c r="M15" s="485">
        <f>IF(L15="","",L15/_xlfn.MAXIFS(tblCarga[Vel. Máx (km/h)],tblCarga[Jogador],$B$4))</f>
        <v/>
      </c>
      <c r="N15" s="483">
        <f t="array" ref="N15">IF(A15="","",IFERROR(INDEX(_xlfn.SORTBY(_xlfn._xlws.FILTER(tblCarga[Nº ≥85% Vmáx],tblCarga[Jogador]=$B$4),_xlfn._xlws.FILTER(tblCarga[Data],tblCarga[Jogador]=$B$4),1),ROW()-11),""))</f>
        <v/>
      </c>
      <c r="O15" s="483">
        <f t="array" ref="O15">IF(A15="","",IFERROR(INDEX(_xlfn.SORTBY(_xlfn._xlws.FILTER(tblCarga[Nº ≥90% Vmáx],tblCarga[Jogador]=$B$4),_xlfn._xlws.FILTER(tblCarga[Data],tblCarga[Jogador]=$B$4),1),ROW()-11),""))</f>
        <v/>
      </c>
      <c r="P15" s="483">
        <f t="array" ref="P15">IF(A15="","",IFERROR(INDEX(_xlfn.SORTBY(_xlfn._xlws.FILTER(tblCarga[Nº ≥95% Vmáx],tblCarga[Jogador]=$B$4),_xlfn._xlws.FILTER(tblCarga[Data],tblCarga[Jogador]=$B$4),1),ROW()-11),""))</f>
        <v/>
      </c>
    </row>
    <row r="16" ht="21.75" customHeight="1">
      <c r="A16" s="478">
        <f t="array" ref="A16">IFERROR(INDEX(_xlfn._xlws.SORT(_xlfn._xlws.FILTER(tblCarga[Data],tblCarga[Jogador]=$B$4),1,1),ROW()-11),"")</f>
        <v/>
      </c>
      <c r="B16" s="479">
        <f t="array" ref="B16">IFERROR(INDEX(_xlfn.SORTBY(_xlfn._xlws.FILTER(tblCarga[Microciclo],tblCarga[Jogador]=$B$4),_xlfn._xlws.FILTER(tblCarga[Data],tblCarga[Jogador]=$B$4),1),ROW()-11),"")</f>
        <v/>
      </c>
      <c r="C16" s="479">
        <f t="array" ref="C16">IFERROR(INDEX(_xlfn.SORTBY(_xlfn._xlws.FILTER(tblCarga[Dia MD],tblCarga[Jogador]=$B$4),_xlfn._xlws.FILTER(tblCarga[Data],tblCarga[Jogador]=$B$4),1),ROW()-11),"")</f>
        <v/>
      </c>
      <c r="D16" s="479">
        <f t="array" ref="D16">IFERROR(INDEX(_xlfn.SORTBY(_xlfn._xlws.FILTER(tblCarga[Tipo],tblCarga[Jogador]=$B$4),_xlfn._xlws.FILTER(tblCarga[Data],tblCarga[Jogador]=$B$4),1),ROW()-11),"")</f>
        <v/>
      </c>
      <c r="E16" s="479">
        <f t="array" ref="E16">IFERROR(INDEX(_xlfn.SORTBY(_xlfn._xlws.FILTER(tblCarga[Duração (min)],tblCarga[Jogador]=$B$4),_xlfn._xlws.FILTER(tblCarga[Data],tblCarga[Jogador]=$B$4),1),ROW()-11),"")</f>
        <v/>
      </c>
      <c r="F16" s="479">
        <f t="array" ref="F16">IFERROR(INDEX(_xlfn.SORTBY(_xlfn._xlws.FILTER(tblCarga[Distância Total (m)],tblCarga[Jogador]=$B$4),_xlfn._xlws.FILTER(tblCarga[Data],tblCarga[Jogador]=$B$4),1),ROW()-11),"")</f>
        <v/>
      </c>
      <c r="G16" s="479">
        <f t="array" ref="G16">IFERROR(INDEX(_xlfn.SORTBY(_xlfn._xlws.FILTER(tblCarga[HSR (m)],tblCarga[Jogador]=$B$4),_xlfn._xlws.FILTER(tblCarga[Data],tblCarga[Jogador]=$B$4),1),ROW()-11),"")</f>
        <v/>
      </c>
      <c r="H16" s="479">
        <f t="array" ref="H16">IFERROR(INDEX(_xlfn.SORTBY(_xlfn._xlws.FILTER(tblCarga[Sprint (m)],tblCarga[Jogador]=$B$4),_xlfn._xlws.FILTER(tblCarga[Data],tblCarga[Jogador]=$B$4),1),ROW()-11),"")</f>
        <v/>
      </c>
      <c r="I16" s="479">
        <f t="array" ref="I16">IFERROR(INDEX(_xlfn.SORTBY(_xlfn._xlws.FILTER(tblCarga[Acc (n)],tblCarga[Jogador]=$B$4),_xlfn._xlws.FILTER(tblCarga[Data],tblCarga[Jogador]=$B$4),1),ROW()-11),"")</f>
        <v/>
      </c>
      <c r="J16" s="479">
        <f t="array" ref="J16">IFERROR(INDEX(_xlfn.SORTBY(_xlfn._xlws.FILTER(tblCarga[Dcc (n)],tblCarga[Jogador]=$B$4),_xlfn._xlws.FILTER(tblCarga[Data],tblCarga[Jogador]=$B$4),1),ROW()-11),"")</f>
        <v/>
      </c>
      <c r="K16" s="479">
        <f t="array" ref="K16">IFERROR(INDEX(_xlfn.SORTBY(_xlfn._xlws.FILTER(tblCarga[PSE Sessão],tblCarga[Jogador]=$B$4),_xlfn._xlws.FILTER(tblCarga[Data],tblCarga[Jogador]=$B$4),1),ROW()-11),"")</f>
        <v/>
      </c>
      <c r="L16" s="480">
        <f t="array" ref="L16">IFERROR(INDEX(_xlfn.SORTBY(_xlfn._xlws.FILTER(tblCarga[Vel. Máx (km/h)],tblCarga[Jogador]=$B$4),_xlfn._xlws.FILTER(tblCarga[Data],tblCarga[Jogador]=$B$4),1),ROW()-11),"")</f>
        <v/>
      </c>
      <c r="M16" s="481">
        <f>IF(L16="","",L16/_xlfn.MAXIFS(tblCarga[Vel. Máx (km/h)],tblCarga[Jogador],$B$4))</f>
        <v/>
      </c>
      <c r="N16" s="479">
        <f t="array" ref="N16">IF(A16="","",IFERROR(INDEX(_xlfn.SORTBY(_xlfn._xlws.FILTER(tblCarga[Nº ≥85% Vmáx],tblCarga[Jogador]=$B$4),_xlfn._xlws.FILTER(tblCarga[Data],tblCarga[Jogador]=$B$4),1),ROW()-11),""))</f>
        <v/>
      </c>
      <c r="O16" s="479">
        <f t="array" ref="O16">IF(A16="","",IFERROR(INDEX(_xlfn.SORTBY(_xlfn._xlws.FILTER(tblCarga[Nº ≥90% Vmáx],tblCarga[Jogador]=$B$4),_xlfn._xlws.FILTER(tblCarga[Data],tblCarga[Jogador]=$B$4),1),ROW()-11),""))</f>
        <v/>
      </c>
      <c r="P16" s="479">
        <f t="array" ref="P16">IF(A16="","",IFERROR(INDEX(_xlfn.SORTBY(_xlfn._xlws.FILTER(tblCarga[Nº ≥95% Vmáx],tblCarga[Jogador]=$B$4),_xlfn._xlws.FILTER(tblCarga[Data],tblCarga[Jogador]=$B$4),1),ROW()-11),""))</f>
        <v/>
      </c>
    </row>
    <row r="17" ht="17.25" customHeight="1">
      <c r="A17" s="482">
        <f t="array" ref="A17">IFERROR(INDEX(_xlfn._xlws.SORT(_xlfn._xlws.FILTER(tblCarga[Data],tblCarga[Jogador]=$B$4),1,1),ROW()-11),"")</f>
        <v/>
      </c>
      <c r="B17" s="483">
        <f t="array" ref="B17">IFERROR(INDEX(_xlfn.SORTBY(_xlfn._xlws.FILTER(tblCarga[Microciclo],tblCarga[Jogador]=$B$4),_xlfn._xlws.FILTER(tblCarga[Data],tblCarga[Jogador]=$B$4),1),ROW()-11),"")</f>
        <v/>
      </c>
      <c r="C17" s="483">
        <f t="array" ref="C17">IFERROR(INDEX(_xlfn.SORTBY(_xlfn._xlws.FILTER(tblCarga[Dia MD],tblCarga[Jogador]=$B$4),_xlfn._xlws.FILTER(tblCarga[Data],tblCarga[Jogador]=$B$4),1),ROW()-11),"")</f>
        <v/>
      </c>
      <c r="D17" s="483">
        <f t="array" ref="D17">IFERROR(INDEX(_xlfn.SORTBY(_xlfn._xlws.FILTER(tblCarga[Tipo],tblCarga[Jogador]=$B$4),_xlfn._xlws.FILTER(tblCarga[Data],tblCarga[Jogador]=$B$4),1),ROW()-11),"")</f>
        <v/>
      </c>
      <c r="E17" s="483">
        <f t="array" ref="E17">IFERROR(INDEX(_xlfn.SORTBY(_xlfn._xlws.FILTER(tblCarga[Duração (min)],tblCarga[Jogador]=$B$4),_xlfn._xlws.FILTER(tblCarga[Data],tblCarga[Jogador]=$B$4),1),ROW()-11),"")</f>
        <v/>
      </c>
      <c r="F17" s="483">
        <f t="array" ref="F17">IFERROR(INDEX(_xlfn.SORTBY(_xlfn._xlws.FILTER(tblCarga[Distância Total (m)],tblCarga[Jogador]=$B$4),_xlfn._xlws.FILTER(tblCarga[Data],tblCarga[Jogador]=$B$4),1),ROW()-11),"")</f>
        <v/>
      </c>
      <c r="G17" s="483">
        <f t="array" ref="G17">IFERROR(INDEX(_xlfn.SORTBY(_xlfn._xlws.FILTER(tblCarga[HSR (m)],tblCarga[Jogador]=$B$4),_xlfn._xlws.FILTER(tblCarga[Data],tblCarga[Jogador]=$B$4),1),ROW()-11),"")</f>
        <v/>
      </c>
      <c r="H17" s="483">
        <f t="array" ref="H17">IFERROR(INDEX(_xlfn.SORTBY(_xlfn._xlws.FILTER(tblCarga[Sprint (m)],tblCarga[Jogador]=$B$4),_xlfn._xlws.FILTER(tblCarga[Data],tblCarga[Jogador]=$B$4),1),ROW()-11),"")</f>
        <v/>
      </c>
      <c r="I17" s="483">
        <f t="array" ref="I17">IFERROR(INDEX(_xlfn.SORTBY(_xlfn._xlws.FILTER(tblCarga[Acc (n)],tblCarga[Jogador]=$B$4),_xlfn._xlws.FILTER(tblCarga[Data],tblCarga[Jogador]=$B$4),1),ROW()-11),"")</f>
        <v/>
      </c>
      <c r="J17" s="483">
        <f t="array" ref="J17">IFERROR(INDEX(_xlfn.SORTBY(_xlfn._xlws.FILTER(tblCarga[Dcc (n)],tblCarga[Jogador]=$B$4),_xlfn._xlws.FILTER(tblCarga[Data],tblCarga[Jogador]=$B$4),1),ROW()-11),"")</f>
        <v/>
      </c>
      <c r="K17" s="483">
        <f t="array" ref="K17">IFERROR(INDEX(_xlfn.SORTBY(_xlfn._xlws.FILTER(tblCarga[PSE Sessão],tblCarga[Jogador]=$B$4),_xlfn._xlws.FILTER(tblCarga[Data],tblCarga[Jogador]=$B$4),1),ROW()-11),"")</f>
        <v/>
      </c>
      <c r="L17" s="484">
        <f t="array" ref="L17">IFERROR(INDEX(_xlfn.SORTBY(_xlfn._xlws.FILTER(tblCarga[Vel. Máx (km/h)],tblCarga[Jogador]=$B$4),_xlfn._xlws.FILTER(tblCarga[Data],tblCarga[Jogador]=$B$4),1),ROW()-11),"")</f>
        <v/>
      </c>
      <c r="M17" s="485">
        <f>IF(L17="","",L17/_xlfn.MAXIFS(tblCarga[Vel. Máx (km/h)],tblCarga[Jogador],$B$4))</f>
        <v/>
      </c>
      <c r="N17" s="483">
        <f t="array" ref="N17">IF(A17="","",IFERROR(INDEX(_xlfn.SORTBY(_xlfn._xlws.FILTER(tblCarga[Nº ≥85% Vmáx],tblCarga[Jogador]=$B$4),_xlfn._xlws.FILTER(tblCarga[Data],tblCarga[Jogador]=$B$4),1),ROW()-11),""))</f>
        <v/>
      </c>
      <c r="O17" s="483">
        <f t="array" ref="O17">IF(A17="","",IFERROR(INDEX(_xlfn.SORTBY(_xlfn._xlws.FILTER(tblCarga[Nº ≥90% Vmáx],tblCarga[Jogador]=$B$4),_xlfn._xlws.FILTER(tblCarga[Data],tblCarga[Jogador]=$B$4),1),ROW()-11),""))</f>
        <v/>
      </c>
      <c r="P17" s="483">
        <f t="array" ref="P17">IF(A17="","",IFERROR(INDEX(_xlfn.SORTBY(_xlfn._xlws.FILTER(tblCarga[Nº ≥95% Vmáx],tblCarga[Jogador]=$B$4),_xlfn._xlws.FILTER(tblCarga[Data],tblCarga[Jogador]=$B$4),1),ROW()-11),""))</f>
        <v/>
      </c>
    </row>
    <row r="18" ht="17.25" customHeight="1">
      <c r="A18" s="478">
        <f t="array" ref="A18">IFERROR(INDEX(_xlfn._xlws.SORT(_xlfn._xlws.FILTER(tblCarga[Data],tblCarga[Jogador]=$B$4),1,1),ROW()-11),"")</f>
        <v/>
      </c>
      <c r="B18" s="479">
        <f t="array" ref="B18">IFERROR(INDEX(_xlfn.SORTBY(_xlfn._xlws.FILTER(tblCarga[Microciclo],tblCarga[Jogador]=$B$4),_xlfn._xlws.FILTER(tblCarga[Data],tblCarga[Jogador]=$B$4),1),ROW()-11),"")</f>
        <v/>
      </c>
      <c r="C18" s="479">
        <f t="array" ref="C18">IFERROR(INDEX(_xlfn.SORTBY(_xlfn._xlws.FILTER(tblCarga[Dia MD],tblCarga[Jogador]=$B$4),_xlfn._xlws.FILTER(tblCarga[Data],tblCarga[Jogador]=$B$4),1),ROW()-11),"")</f>
        <v/>
      </c>
      <c r="D18" s="479">
        <f t="array" ref="D18">IFERROR(INDEX(_xlfn.SORTBY(_xlfn._xlws.FILTER(tblCarga[Tipo],tblCarga[Jogador]=$B$4),_xlfn._xlws.FILTER(tblCarga[Data],tblCarga[Jogador]=$B$4),1),ROW()-11),"")</f>
        <v/>
      </c>
      <c r="E18" s="479">
        <f t="array" ref="E18">IFERROR(INDEX(_xlfn.SORTBY(_xlfn._xlws.FILTER(tblCarga[Duração (min)],tblCarga[Jogador]=$B$4),_xlfn._xlws.FILTER(tblCarga[Data],tblCarga[Jogador]=$B$4),1),ROW()-11),"")</f>
        <v/>
      </c>
      <c r="F18" s="479">
        <f t="array" ref="F18">IFERROR(INDEX(_xlfn.SORTBY(_xlfn._xlws.FILTER(tblCarga[Distância Total (m)],tblCarga[Jogador]=$B$4),_xlfn._xlws.FILTER(tblCarga[Data],tblCarga[Jogador]=$B$4),1),ROW()-11),"")</f>
        <v/>
      </c>
      <c r="G18" s="479">
        <f t="array" ref="G18">IFERROR(INDEX(_xlfn.SORTBY(_xlfn._xlws.FILTER(tblCarga[HSR (m)],tblCarga[Jogador]=$B$4),_xlfn._xlws.FILTER(tblCarga[Data],tblCarga[Jogador]=$B$4),1),ROW()-11),"")</f>
        <v/>
      </c>
      <c r="H18" s="479">
        <f t="array" ref="H18">IFERROR(INDEX(_xlfn.SORTBY(_xlfn._xlws.FILTER(tblCarga[Sprint (m)],tblCarga[Jogador]=$B$4),_xlfn._xlws.FILTER(tblCarga[Data],tblCarga[Jogador]=$B$4),1),ROW()-11),"")</f>
        <v/>
      </c>
      <c r="I18" s="479">
        <f t="array" ref="I18">IFERROR(INDEX(_xlfn.SORTBY(_xlfn._xlws.FILTER(tblCarga[Acc (n)],tblCarga[Jogador]=$B$4),_xlfn._xlws.FILTER(tblCarga[Data],tblCarga[Jogador]=$B$4),1),ROW()-11),"")</f>
        <v/>
      </c>
      <c r="J18" s="479">
        <f t="array" ref="J18">IFERROR(INDEX(_xlfn.SORTBY(_xlfn._xlws.FILTER(tblCarga[Dcc (n)],tblCarga[Jogador]=$B$4),_xlfn._xlws.FILTER(tblCarga[Data],tblCarga[Jogador]=$B$4),1),ROW()-11),"")</f>
        <v/>
      </c>
      <c r="K18" s="479">
        <f t="array" ref="K18">IFERROR(INDEX(_xlfn.SORTBY(_xlfn._xlws.FILTER(tblCarga[PSE Sessão],tblCarga[Jogador]=$B$4),_xlfn._xlws.FILTER(tblCarga[Data],tblCarga[Jogador]=$B$4),1),ROW()-11),"")</f>
        <v/>
      </c>
      <c r="L18" s="480">
        <f t="array" ref="L18">IFERROR(INDEX(_xlfn.SORTBY(_xlfn._xlws.FILTER(tblCarga[Vel. Máx (km/h)],tblCarga[Jogador]=$B$4),_xlfn._xlws.FILTER(tblCarga[Data],tblCarga[Jogador]=$B$4),1),ROW()-11),"")</f>
        <v/>
      </c>
      <c r="M18" s="481">
        <f>IF(L18="","",L18/_xlfn.MAXIFS(tblCarga[Vel. Máx (km/h)],tblCarga[Jogador],$B$4))</f>
        <v/>
      </c>
      <c r="N18" s="479">
        <f t="array" ref="N18">IF(A18="","",IFERROR(INDEX(_xlfn.SORTBY(_xlfn._xlws.FILTER(tblCarga[Nº ≥85% Vmáx],tblCarga[Jogador]=$B$4),_xlfn._xlws.FILTER(tblCarga[Data],tblCarga[Jogador]=$B$4),1),ROW()-11),""))</f>
        <v/>
      </c>
      <c r="O18" s="479">
        <f t="array" ref="O18">IF(A18="","",IFERROR(INDEX(_xlfn.SORTBY(_xlfn._xlws.FILTER(tblCarga[Nº ≥90% Vmáx],tblCarga[Jogador]=$B$4),_xlfn._xlws.FILTER(tblCarga[Data],tblCarga[Jogador]=$B$4),1),ROW()-11),""))</f>
        <v/>
      </c>
      <c r="P18" s="479">
        <f t="array" ref="P18">IF(A18="","",IFERROR(INDEX(_xlfn.SORTBY(_xlfn._xlws.FILTER(tblCarga[Nº ≥95% Vmáx],tblCarga[Jogador]=$B$4),_xlfn._xlws.FILTER(tblCarga[Data],tblCarga[Jogador]=$B$4),1),ROW()-11),""))</f>
        <v/>
      </c>
    </row>
    <row r="19" ht="21.95" customHeight="1">
      <c r="A19" s="482">
        <f t="array" ref="A19">IFERROR(INDEX(_xlfn._xlws.SORT(_xlfn._xlws.FILTER(tblCarga[Data],tblCarga[Jogador]=$B$4),1,1),ROW()-11),"")</f>
        <v/>
      </c>
      <c r="B19" s="483">
        <f t="array" ref="B19">IFERROR(INDEX(_xlfn.SORTBY(_xlfn._xlws.FILTER(tblCarga[Microciclo],tblCarga[Jogador]=$B$4),_xlfn._xlws.FILTER(tblCarga[Data],tblCarga[Jogador]=$B$4),1),ROW()-11),"")</f>
        <v/>
      </c>
      <c r="C19" s="483">
        <f t="array" ref="C19">IFERROR(INDEX(_xlfn.SORTBY(_xlfn._xlws.FILTER(tblCarga[Dia MD],tblCarga[Jogador]=$B$4),_xlfn._xlws.FILTER(tblCarga[Data],tblCarga[Jogador]=$B$4),1),ROW()-11),"")</f>
        <v/>
      </c>
      <c r="D19" s="483">
        <f t="array" ref="D19">IFERROR(INDEX(_xlfn.SORTBY(_xlfn._xlws.FILTER(tblCarga[Tipo],tblCarga[Jogador]=$B$4),_xlfn._xlws.FILTER(tblCarga[Data],tblCarga[Jogador]=$B$4),1),ROW()-11),"")</f>
        <v/>
      </c>
      <c r="E19" s="483">
        <f t="array" ref="E19">IFERROR(INDEX(_xlfn.SORTBY(_xlfn._xlws.FILTER(tblCarga[Duração (min)],tblCarga[Jogador]=$B$4),_xlfn._xlws.FILTER(tblCarga[Data],tblCarga[Jogador]=$B$4),1),ROW()-11),"")</f>
        <v/>
      </c>
      <c r="F19" s="483">
        <f t="array" ref="F19">IFERROR(INDEX(_xlfn.SORTBY(_xlfn._xlws.FILTER(tblCarga[Distância Total (m)],tblCarga[Jogador]=$B$4),_xlfn._xlws.FILTER(tblCarga[Data],tblCarga[Jogador]=$B$4),1),ROW()-11),"")</f>
        <v/>
      </c>
      <c r="G19" s="483">
        <f t="array" ref="G19">IFERROR(INDEX(_xlfn.SORTBY(_xlfn._xlws.FILTER(tblCarga[HSR (m)],tblCarga[Jogador]=$B$4),_xlfn._xlws.FILTER(tblCarga[Data],tblCarga[Jogador]=$B$4),1),ROW()-11),"")</f>
        <v/>
      </c>
      <c r="H19" s="483">
        <f t="array" ref="H19">IFERROR(INDEX(_xlfn.SORTBY(_xlfn._xlws.FILTER(tblCarga[Sprint (m)],tblCarga[Jogador]=$B$4),_xlfn._xlws.FILTER(tblCarga[Data],tblCarga[Jogador]=$B$4),1),ROW()-11),"")</f>
        <v/>
      </c>
      <c r="I19" s="483">
        <f t="array" ref="I19">IFERROR(INDEX(_xlfn.SORTBY(_xlfn._xlws.FILTER(tblCarga[Acc (n)],tblCarga[Jogador]=$B$4),_xlfn._xlws.FILTER(tblCarga[Data],tblCarga[Jogador]=$B$4),1),ROW()-11),"")</f>
        <v/>
      </c>
      <c r="J19" s="483">
        <f t="array" ref="J19">IFERROR(INDEX(_xlfn.SORTBY(_xlfn._xlws.FILTER(tblCarga[Dcc (n)],tblCarga[Jogador]=$B$4),_xlfn._xlws.FILTER(tblCarga[Data],tblCarga[Jogador]=$B$4),1),ROW()-11),"")</f>
        <v/>
      </c>
      <c r="K19" s="483">
        <f t="array" ref="K19">IFERROR(INDEX(_xlfn.SORTBY(_xlfn._xlws.FILTER(tblCarga[PSE Sessão],tblCarga[Jogador]=$B$4),_xlfn._xlws.FILTER(tblCarga[Data],tblCarga[Jogador]=$B$4),1),ROW()-11),"")</f>
        <v/>
      </c>
      <c r="L19" s="484">
        <f t="array" ref="L19">IFERROR(INDEX(_xlfn.SORTBY(_xlfn._xlws.FILTER(tblCarga[Vel. Máx (km/h)],tblCarga[Jogador]=$B$4),_xlfn._xlws.FILTER(tblCarga[Data],tblCarga[Jogador]=$B$4),1),ROW()-11),"")</f>
        <v/>
      </c>
      <c r="M19" s="485">
        <f>IF(L19="","",L19/_xlfn.MAXIFS(tblCarga[Vel. Máx (km/h)],tblCarga[Jogador],$B$4))</f>
        <v/>
      </c>
      <c r="N19" s="483">
        <f t="array" ref="N19">IF(A19="","",IFERROR(INDEX(_xlfn.SORTBY(_xlfn._xlws.FILTER(tblCarga[Nº ≥85% Vmáx],tblCarga[Jogador]=$B$4),_xlfn._xlws.FILTER(tblCarga[Data],tblCarga[Jogador]=$B$4),1),ROW()-11),""))</f>
        <v/>
      </c>
      <c r="O19" s="483">
        <f t="array" ref="O19">IF(A19="","",IFERROR(INDEX(_xlfn.SORTBY(_xlfn._xlws.FILTER(tblCarga[Nº ≥90% Vmáx],tblCarga[Jogador]=$B$4),_xlfn._xlws.FILTER(tblCarga[Data],tblCarga[Jogador]=$B$4),1),ROW()-11),""))</f>
        <v/>
      </c>
      <c r="P19" s="483">
        <f t="array" ref="P19">IF(A19="","",IFERROR(INDEX(_xlfn.SORTBY(_xlfn._xlws.FILTER(tblCarga[Nº ≥95% Vmáx],tblCarga[Jogador]=$B$4),_xlfn._xlws.FILTER(tblCarga[Data],tblCarga[Jogador]=$B$4),1),ROW()-11),""))</f>
        <v/>
      </c>
    </row>
    <row r="20" ht="21.95" customHeight="1">
      <c r="A20" s="478">
        <f t="array" ref="A20">IFERROR(INDEX(_xlfn._xlws.SORT(_xlfn._xlws.FILTER(tblCarga[Data],tblCarga[Jogador]=$B$4),1,1),ROW()-11),"")</f>
        <v/>
      </c>
      <c r="B20" s="479">
        <f t="array" ref="B20">IFERROR(INDEX(_xlfn.SORTBY(_xlfn._xlws.FILTER(tblCarga[Microciclo],tblCarga[Jogador]=$B$4),_xlfn._xlws.FILTER(tblCarga[Data],tblCarga[Jogador]=$B$4),1),ROW()-11),"")</f>
        <v/>
      </c>
      <c r="C20" s="479">
        <f t="array" ref="C20">IFERROR(INDEX(_xlfn.SORTBY(_xlfn._xlws.FILTER(tblCarga[Dia MD],tblCarga[Jogador]=$B$4),_xlfn._xlws.FILTER(tblCarga[Data],tblCarga[Jogador]=$B$4),1),ROW()-11),"")</f>
        <v/>
      </c>
      <c r="D20" s="479">
        <f t="array" ref="D20">IFERROR(INDEX(_xlfn.SORTBY(_xlfn._xlws.FILTER(tblCarga[Tipo],tblCarga[Jogador]=$B$4),_xlfn._xlws.FILTER(tblCarga[Data],tblCarga[Jogador]=$B$4),1),ROW()-11),"")</f>
        <v/>
      </c>
      <c r="E20" s="479">
        <f t="array" ref="E20">IFERROR(INDEX(_xlfn.SORTBY(_xlfn._xlws.FILTER(tblCarga[Duração (min)],tblCarga[Jogador]=$B$4),_xlfn._xlws.FILTER(tblCarga[Data],tblCarga[Jogador]=$B$4),1),ROW()-11),"")</f>
        <v/>
      </c>
      <c r="F20" s="479">
        <f t="array" ref="F20">IFERROR(INDEX(_xlfn.SORTBY(_xlfn._xlws.FILTER(tblCarga[Distância Total (m)],tblCarga[Jogador]=$B$4),_xlfn._xlws.FILTER(tblCarga[Data],tblCarga[Jogador]=$B$4),1),ROW()-11),"")</f>
        <v/>
      </c>
      <c r="G20" s="479">
        <f t="array" ref="G20">IFERROR(INDEX(_xlfn.SORTBY(_xlfn._xlws.FILTER(tblCarga[HSR (m)],tblCarga[Jogador]=$B$4),_xlfn._xlws.FILTER(tblCarga[Data],tblCarga[Jogador]=$B$4),1),ROW()-11),"")</f>
        <v/>
      </c>
      <c r="H20" s="479">
        <f t="array" ref="H20">IFERROR(INDEX(_xlfn.SORTBY(_xlfn._xlws.FILTER(tblCarga[Sprint (m)],tblCarga[Jogador]=$B$4),_xlfn._xlws.FILTER(tblCarga[Data],tblCarga[Jogador]=$B$4),1),ROW()-11),"")</f>
        <v/>
      </c>
      <c r="I20" s="479">
        <f t="array" ref="I20">IFERROR(INDEX(_xlfn.SORTBY(_xlfn._xlws.FILTER(tblCarga[Acc (n)],tblCarga[Jogador]=$B$4),_xlfn._xlws.FILTER(tblCarga[Data],tblCarga[Jogador]=$B$4),1),ROW()-11),"")</f>
        <v/>
      </c>
      <c r="J20" s="479">
        <f t="array" ref="J20">IFERROR(INDEX(_xlfn.SORTBY(_xlfn._xlws.FILTER(tblCarga[Dcc (n)],tblCarga[Jogador]=$B$4),_xlfn._xlws.FILTER(tblCarga[Data],tblCarga[Jogador]=$B$4),1),ROW()-11),"")</f>
        <v/>
      </c>
      <c r="K20" s="479">
        <f t="array" ref="K20">IFERROR(INDEX(_xlfn.SORTBY(_xlfn._xlws.FILTER(tblCarga[PSE Sessão],tblCarga[Jogador]=$B$4),_xlfn._xlws.FILTER(tblCarga[Data],tblCarga[Jogador]=$B$4),1),ROW()-11),"")</f>
        <v/>
      </c>
      <c r="L20" s="480">
        <f t="array" ref="L20">IFERROR(INDEX(_xlfn.SORTBY(_xlfn._xlws.FILTER(tblCarga[Vel. Máx (km/h)],tblCarga[Jogador]=$B$4),_xlfn._xlws.FILTER(tblCarga[Data],tblCarga[Jogador]=$B$4),1),ROW()-11),"")</f>
        <v/>
      </c>
      <c r="M20" s="481">
        <f>IF(L20="","",L20/_xlfn.MAXIFS(tblCarga[Vel. Máx (km/h)],tblCarga[Jogador],$B$4))</f>
        <v/>
      </c>
      <c r="N20" s="479">
        <f t="array" ref="N20">IF(A20="","",IFERROR(INDEX(_xlfn.SORTBY(_xlfn._xlws.FILTER(tblCarga[Nº ≥85% Vmáx],tblCarga[Jogador]=$B$4),_xlfn._xlws.FILTER(tblCarga[Data],tblCarga[Jogador]=$B$4),1),ROW()-11),""))</f>
        <v/>
      </c>
      <c r="O20" s="479">
        <f t="array" ref="O20">IF(A20="","",IFERROR(INDEX(_xlfn.SORTBY(_xlfn._xlws.FILTER(tblCarga[Nº ≥90% Vmáx],tblCarga[Jogador]=$B$4),_xlfn._xlws.FILTER(tblCarga[Data],tblCarga[Jogador]=$B$4),1),ROW()-11),""))</f>
        <v/>
      </c>
      <c r="P20" s="479">
        <f t="array" ref="P20">IF(A20="","",IFERROR(INDEX(_xlfn.SORTBY(_xlfn._xlws.FILTER(tblCarga[Nº ≥95% Vmáx],tblCarga[Jogador]=$B$4),_xlfn._xlws.FILTER(tblCarga[Data],tblCarga[Jogador]=$B$4),1),ROW()-11),""))</f>
        <v/>
      </c>
    </row>
    <row r="21" ht="21.95" customHeight="1">
      <c r="A21" s="482">
        <f t="array" ref="A21">IFERROR(INDEX(_xlfn._xlws.SORT(_xlfn._xlws.FILTER(tblCarga[Data],tblCarga[Jogador]=$B$4),1,1),ROW()-11),"")</f>
        <v/>
      </c>
      <c r="B21" s="483">
        <f t="array" ref="B21">IFERROR(INDEX(_xlfn.SORTBY(_xlfn._xlws.FILTER(tblCarga[Microciclo],tblCarga[Jogador]=$B$4),_xlfn._xlws.FILTER(tblCarga[Data],tblCarga[Jogador]=$B$4),1),ROW()-11),"")</f>
        <v/>
      </c>
      <c r="C21" s="483">
        <f t="array" ref="C21">IFERROR(INDEX(_xlfn.SORTBY(_xlfn._xlws.FILTER(tblCarga[Dia MD],tblCarga[Jogador]=$B$4),_xlfn._xlws.FILTER(tblCarga[Data],tblCarga[Jogador]=$B$4),1),ROW()-11),"")</f>
        <v/>
      </c>
      <c r="D21" s="483">
        <f t="array" ref="D21">IFERROR(INDEX(_xlfn.SORTBY(_xlfn._xlws.FILTER(tblCarga[Tipo],tblCarga[Jogador]=$B$4),_xlfn._xlws.FILTER(tblCarga[Data],tblCarga[Jogador]=$B$4),1),ROW()-11),"")</f>
        <v/>
      </c>
      <c r="E21" s="483">
        <f t="array" ref="E21">IFERROR(INDEX(_xlfn.SORTBY(_xlfn._xlws.FILTER(tblCarga[Duração (min)],tblCarga[Jogador]=$B$4),_xlfn._xlws.FILTER(tblCarga[Data],tblCarga[Jogador]=$B$4),1),ROW()-11),"")</f>
        <v/>
      </c>
      <c r="F21" s="483">
        <f t="array" ref="F21">IFERROR(INDEX(_xlfn.SORTBY(_xlfn._xlws.FILTER(tblCarga[Distância Total (m)],tblCarga[Jogador]=$B$4),_xlfn._xlws.FILTER(tblCarga[Data],tblCarga[Jogador]=$B$4),1),ROW()-11),"")</f>
        <v/>
      </c>
      <c r="G21" s="483">
        <f t="array" ref="G21">IFERROR(INDEX(_xlfn.SORTBY(_xlfn._xlws.FILTER(tblCarga[HSR (m)],tblCarga[Jogador]=$B$4),_xlfn._xlws.FILTER(tblCarga[Data],tblCarga[Jogador]=$B$4),1),ROW()-11),"")</f>
        <v/>
      </c>
      <c r="H21" s="483">
        <f t="array" ref="H21">IFERROR(INDEX(_xlfn.SORTBY(_xlfn._xlws.FILTER(tblCarga[Sprint (m)],tblCarga[Jogador]=$B$4),_xlfn._xlws.FILTER(tblCarga[Data],tblCarga[Jogador]=$B$4),1),ROW()-11),"")</f>
        <v/>
      </c>
      <c r="I21" s="483">
        <f t="array" ref="I21">IFERROR(INDEX(_xlfn.SORTBY(_xlfn._xlws.FILTER(tblCarga[Acc (n)],tblCarga[Jogador]=$B$4),_xlfn._xlws.FILTER(tblCarga[Data],tblCarga[Jogador]=$B$4),1),ROW()-11),"")</f>
        <v/>
      </c>
      <c r="J21" s="483">
        <f t="array" ref="J21">IFERROR(INDEX(_xlfn.SORTBY(_xlfn._xlws.FILTER(tblCarga[Dcc (n)],tblCarga[Jogador]=$B$4),_xlfn._xlws.FILTER(tblCarga[Data],tblCarga[Jogador]=$B$4),1),ROW()-11),"")</f>
        <v/>
      </c>
      <c r="K21" s="483">
        <f t="array" ref="K21">IFERROR(INDEX(_xlfn.SORTBY(_xlfn._xlws.FILTER(tblCarga[PSE Sessão],tblCarga[Jogador]=$B$4),_xlfn._xlws.FILTER(tblCarga[Data],tblCarga[Jogador]=$B$4),1),ROW()-11),"")</f>
        <v/>
      </c>
      <c r="L21" s="484">
        <f t="array" ref="L21">IFERROR(INDEX(_xlfn.SORTBY(_xlfn._xlws.FILTER(tblCarga[Vel. Máx (km/h)],tblCarga[Jogador]=$B$4),_xlfn._xlws.FILTER(tblCarga[Data],tblCarga[Jogador]=$B$4),1),ROW()-11),"")</f>
        <v/>
      </c>
      <c r="M21" s="485">
        <f>IF(L21="","",L21/_xlfn.MAXIFS(tblCarga[Vel. Máx (km/h)],tblCarga[Jogador],$B$4))</f>
        <v/>
      </c>
      <c r="N21" s="483">
        <f t="array" ref="N21">IF(A21="","",IFERROR(INDEX(_xlfn.SORTBY(_xlfn._xlws.FILTER(tblCarga[Nº ≥85% Vmáx],tblCarga[Jogador]=$B$4),_xlfn._xlws.FILTER(tblCarga[Data],tblCarga[Jogador]=$B$4),1),ROW()-11),""))</f>
        <v/>
      </c>
      <c r="O21" s="483">
        <f t="array" ref="O21">IF(A21="","",IFERROR(INDEX(_xlfn.SORTBY(_xlfn._xlws.FILTER(tblCarga[Nº ≥90% Vmáx],tblCarga[Jogador]=$B$4),_xlfn._xlws.FILTER(tblCarga[Data],tblCarga[Jogador]=$B$4),1),ROW()-11),""))</f>
        <v/>
      </c>
      <c r="P21" s="483">
        <f t="array" ref="P21">IF(A21="","",IFERROR(INDEX(_xlfn.SORTBY(_xlfn._xlws.FILTER(tblCarga[Nº ≥95% Vmáx],tblCarga[Jogador]=$B$4),_xlfn._xlws.FILTER(tblCarga[Data],tblCarga[Jogador]=$B$4),1),ROW()-11),""))</f>
        <v/>
      </c>
    </row>
    <row r="22" ht="21.95" customHeight="1">
      <c r="A22" s="478">
        <f t="array" ref="A22">IFERROR(INDEX(_xlfn._xlws.SORT(_xlfn._xlws.FILTER(tblCarga[Data],tblCarga[Jogador]=$B$4),1,1),ROW()-11),"")</f>
        <v/>
      </c>
      <c r="B22" s="479">
        <f t="array" ref="B22">IFERROR(INDEX(_xlfn.SORTBY(_xlfn._xlws.FILTER(tblCarga[Microciclo],tblCarga[Jogador]=$B$4),_xlfn._xlws.FILTER(tblCarga[Data],tblCarga[Jogador]=$B$4),1),ROW()-11),"")</f>
        <v/>
      </c>
      <c r="C22" s="479">
        <f t="array" ref="C22">IFERROR(INDEX(_xlfn.SORTBY(_xlfn._xlws.FILTER(tblCarga[Dia MD],tblCarga[Jogador]=$B$4),_xlfn._xlws.FILTER(tblCarga[Data],tblCarga[Jogador]=$B$4),1),ROW()-11),"")</f>
        <v/>
      </c>
      <c r="D22" s="479">
        <f t="array" ref="D22">IFERROR(INDEX(_xlfn.SORTBY(_xlfn._xlws.FILTER(tblCarga[Tipo],tblCarga[Jogador]=$B$4),_xlfn._xlws.FILTER(tblCarga[Data],tblCarga[Jogador]=$B$4),1),ROW()-11),"")</f>
        <v/>
      </c>
      <c r="E22" s="479">
        <f t="array" ref="E22">IFERROR(INDEX(_xlfn.SORTBY(_xlfn._xlws.FILTER(tblCarga[Duração (min)],tblCarga[Jogador]=$B$4),_xlfn._xlws.FILTER(tblCarga[Data],tblCarga[Jogador]=$B$4),1),ROW()-11),"")</f>
        <v/>
      </c>
      <c r="F22" s="479">
        <f t="array" ref="F22">IFERROR(INDEX(_xlfn.SORTBY(_xlfn._xlws.FILTER(tblCarga[Distância Total (m)],tblCarga[Jogador]=$B$4),_xlfn._xlws.FILTER(tblCarga[Data],tblCarga[Jogador]=$B$4),1),ROW()-11),"")</f>
        <v/>
      </c>
      <c r="G22" s="479">
        <f t="array" ref="G22">IFERROR(INDEX(_xlfn.SORTBY(_xlfn._xlws.FILTER(tblCarga[HSR (m)],tblCarga[Jogador]=$B$4),_xlfn._xlws.FILTER(tblCarga[Data],tblCarga[Jogador]=$B$4),1),ROW()-11),"")</f>
        <v/>
      </c>
      <c r="H22" s="479">
        <f t="array" ref="H22">IFERROR(INDEX(_xlfn.SORTBY(_xlfn._xlws.FILTER(tblCarga[Sprint (m)],tblCarga[Jogador]=$B$4),_xlfn._xlws.FILTER(tblCarga[Data],tblCarga[Jogador]=$B$4),1),ROW()-11),"")</f>
        <v/>
      </c>
      <c r="I22" s="479">
        <f t="array" ref="I22">IFERROR(INDEX(_xlfn.SORTBY(_xlfn._xlws.FILTER(tblCarga[Acc (n)],tblCarga[Jogador]=$B$4),_xlfn._xlws.FILTER(tblCarga[Data],tblCarga[Jogador]=$B$4),1),ROW()-11),"")</f>
        <v/>
      </c>
      <c r="J22" s="479">
        <f t="array" ref="J22">IFERROR(INDEX(_xlfn.SORTBY(_xlfn._xlws.FILTER(tblCarga[Dcc (n)],tblCarga[Jogador]=$B$4),_xlfn._xlws.FILTER(tblCarga[Data],tblCarga[Jogador]=$B$4),1),ROW()-11),"")</f>
        <v/>
      </c>
      <c r="K22" s="479">
        <f t="array" ref="K22">IFERROR(INDEX(_xlfn.SORTBY(_xlfn._xlws.FILTER(tblCarga[PSE Sessão],tblCarga[Jogador]=$B$4),_xlfn._xlws.FILTER(tblCarga[Data],tblCarga[Jogador]=$B$4),1),ROW()-11),"")</f>
        <v/>
      </c>
      <c r="L22" s="480">
        <f t="array" ref="L22">IFERROR(INDEX(_xlfn.SORTBY(_xlfn._xlws.FILTER(tblCarga[Vel. Máx (km/h)],tblCarga[Jogador]=$B$4),_xlfn._xlws.FILTER(tblCarga[Data],tblCarga[Jogador]=$B$4),1),ROW()-11),"")</f>
        <v/>
      </c>
      <c r="M22" s="481">
        <f>IF(L22="","",L22/_xlfn.MAXIFS(tblCarga[Vel. Máx (km/h)],tblCarga[Jogador],$B$4))</f>
        <v/>
      </c>
      <c r="N22" s="479">
        <f t="array" ref="N22">IF(A22="","",IFERROR(INDEX(_xlfn.SORTBY(_xlfn._xlws.FILTER(tblCarga[Nº ≥85% Vmáx],tblCarga[Jogador]=$B$4),_xlfn._xlws.FILTER(tblCarga[Data],tblCarga[Jogador]=$B$4),1),ROW()-11),""))</f>
        <v/>
      </c>
      <c r="O22" s="479">
        <f t="array" ref="O22">IF(A22="","",IFERROR(INDEX(_xlfn.SORTBY(_xlfn._xlws.FILTER(tblCarga[Nº ≥90% Vmáx],tblCarga[Jogador]=$B$4),_xlfn._xlws.FILTER(tblCarga[Data],tblCarga[Jogador]=$B$4),1),ROW()-11),""))</f>
        <v/>
      </c>
      <c r="P22" s="479">
        <f t="array" ref="P22">IF(A22="","",IFERROR(INDEX(_xlfn.SORTBY(_xlfn._xlws.FILTER(tblCarga[Nº ≥95% Vmáx],tblCarga[Jogador]=$B$4),_xlfn._xlws.FILTER(tblCarga[Data],tblCarga[Jogador]=$B$4),1),ROW()-11),""))</f>
        <v/>
      </c>
    </row>
    <row r="23" ht="21.95" customHeight="1">
      <c r="A23" s="482">
        <f t="array" ref="A23">IFERROR(INDEX(_xlfn._xlws.SORT(_xlfn._xlws.FILTER(tblCarga[Data],tblCarga[Jogador]=$B$4),1,1),ROW()-11),"")</f>
        <v/>
      </c>
      <c r="B23" s="483">
        <f t="array" ref="B23">IFERROR(INDEX(_xlfn.SORTBY(_xlfn._xlws.FILTER(tblCarga[Microciclo],tblCarga[Jogador]=$B$4),_xlfn._xlws.FILTER(tblCarga[Data],tblCarga[Jogador]=$B$4),1),ROW()-11),"")</f>
        <v/>
      </c>
      <c r="C23" s="483">
        <f t="array" ref="C23">IFERROR(INDEX(_xlfn.SORTBY(_xlfn._xlws.FILTER(tblCarga[Dia MD],tblCarga[Jogador]=$B$4),_xlfn._xlws.FILTER(tblCarga[Data],tblCarga[Jogador]=$B$4),1),ROW()-11),"")</f>
        <v/>
      </c>
      <c r="D23" s="483">
        <f t="array" ref="D23">IFERROR(INDEX(_xlfn.SORTBY(_xlfn._xlws.FILTER(tblCarga[Tipo],tblCarga[Jogador]=$B$4),_xlfn._xlws.FILTER(tblCarga[Data],tblCarga[Jogador]=$B$4),1),ROW()-11),"")</f>
        <v/>
      </c>
      <c r="E23" s="483">
        <f t="array" ref="E23">IFERROR(INDEX(_xlfn.SORTBY(_xlfn._xlws.FILTER(tblCarga[Duração (min)],tblCarga[Jogador]=$B$4),_xlfn._xlws.FILTER(tblCarga[Data],tblCarga[Jogador]=$B$4),1),ROW()-11),"")</f>
        <v/>
      </c>
      <c r="F23" s="483">
        <f t="array" ref="F23">IFERROR(INDEX(_xlfn.SORTBY(_xlfn._xlws.FILTER(tblCarga[Distância Total (m)],tblCarga[Jogador]=$B$4),_xlfn._xlws.FILTER(tblCarga[Data],tblCarga[Jogador]=$B$4),1),ROW()-11),"")</f>
        <v/>
      </c>
      <c r="G23" s="483">
        <f t="array" ref="G23">IFERROR(INDEX(_xlfn.SORTBY(_xlfn._xlws.FILTER(tblCarga[HSR (m)],tblCarga[Jogador]=$B$4),_xlfn._xlws.FILTER(tblCarga[Data],tblCarga[Jogador]=$B$4),1),ROW()-11),"")</f>
        <v/>
      </c>
      <c r="H23" s="483">
        <f t="array" ref="H23">IFERROR(INDEX(_xlfn.SORTBY(_xlfn._xlws.FILTER(tblCarga[Sprint (m)],tblCarga[Jogador]=$B$4),_xlfn._xlws.FILTER(tblCarga[Data],tblCarga[Jogador]=$B$4),1),ROW()-11),"")</f>
        <v/>
      </c>
      <c r="I23" s="483">
        <f t="array" ref="I23">IFERROR(INDEX(_xlfn.SORTBY(_xlfn._xlws.FILTER(tblCarga[Acc (n)],tblCarga[Jogador]=$B$4),_xlfn._xlws.FILTER(tblCarga[Data],tblCarga[Jogador]=$B$4),1),ROW()-11),"")</f>
        <v/>
      </c>
      <c r="J23" s="483">
        <f t="array" ref="J23">IFERROR(INDEX(_xlfn.SORTBY(_xlfn._xlws.FILTER(tblCarga[Dcc (n)],tblCarga[Jogador]=$B$4),_xlfn._xlws.FILTER(tblCarga[Data],tblCarga[Jogador]=$B$4),1),ROW()-11),"")</f>
        <v/>
      </c>
      <c r="K23" s="483">
        <f t="array" ref="K23">IFERROR(INDEX(_xlfn.SORTBY(_xlfn._xlws.FILTER(tblCarga[PSE Sessão],tblCarga[Jogador]=$B$4),_xlfn._xlws.FILTER(tblCarga[Data],tblCarga[Jogador]=$B$4),1),ROW()-11),"")</f>
        <v/>
      </c>
      <c r="L23" s="484">
        <f t="array" ref="L23">IFERROR(INDEX(_xlfn.SORTBY(_xlfn._xlws.FILTER(tblCarga[Vel. Máx (km/h)],tblCarga[Jogador]=$B$4),_xlfn._xlws.FILTER(tblCarga[Data],tblCarga[Jogador]=$B$4),1),ROW()-11),"")</f>
        <v/>
      </c>
      <c r="M23" s="485">
        <f>IF(L23="","",L23/_xlfn.MAXIFS(tblCarga[Vel. Máx (km/h)],tblCarga[Jogador],$B$4))</f>
        <v/>
      </c>
      <c r="N23" s="483">
        <f t="array" ref="N23">IF(A23="","",IFERROR(INDEX(_xlfn.SORTBY(_xlfn._xlws.FILTER(tblCarga[Nº ≥85% Vmáx],tblCarga[Jogador]=$B$4),_xlfn._xlws.FILTER(tblCarga[Data],tblCarga[Jogador]=$B$4),1),ROW()-11),""))</f>
        <v/>
      </c>
      <c r="O23" s="483">
        <f t="array" ref="O23">IF(A23="","",IFERROR(INDEX(_xlfn.SORTBY(_xlfn._xlws.FILTER(tblCarga[Nº ≥90% Vmáx],tblCarga[Jogador]=$B$4),_xlfn._xlws.FILTER(tblCarga[Data],tblCarga[Jogador]=$B$4),1),ROW()-11),""))</f>
        <v/>
      </c>
      <c r="P23" s="483">
        <f t="array" ref="P23">IF(A23="","",IFERROR(INDEX(_xlfn.SORTBY(_xlfn._xlws.FILTER(tblCarga[Nº ≥95% Vmáx],tblCarga[Jogador]=$B$4),_xlfn._xlws.FILTER(tblCarga[Data],tblCarga[Jogador]=$B$4),1),ROW()-11),""))</f>
        <v/>
      </c>
    </row>
    <row r="24" ht="21.95" customHeight="1">
      <c r="A24" s="478">
        <f t="array" ref="A24">IFERROR(INDEX(_xlfn._xlws.SORT(_xlfn._xlws.FILTER(tblCarga[Data],tblCarga[Jogador]=$B$4),1,1),ROW()-11),"")</f>
        <v/>
      </c>
      <c r="B24" s="479">
        <f t="array" ref="B24">IFERROR(INDEX(_xlfn.SORTBY(_xlfn._xlws.FILTER(tblCarga[Microciclo],tblCarga[Jogador]=$B$4),_xlfn._xlws.FILTER(tblCarga[Data],tblCarga[Jogador]=$B$4),1),ROW()-11),"")</f>
        <v/>
      </c>
      <c r="C24" s="479">
        <f t="array" ref="C24">IFERROR(INDEX(_xlfn.SORTBY(_xlfn._xlws.FILTER(tblCarga[Dia MD],tblCarga[Jogador]=$B$4),_xlfn._xlws.FILTER(tblCarga[Data],tblCarga[Jogador]=$B$4),1),ROW()-11),"")</f>
        <v/>
      </c>
      <c r="D24" s="479">
        <f t="array" ref="D24">IFERROR(INDEX(_xlfn.SORTBY(_xlfn._xlws.FILTER(tblCarga[Tipo],tblCarga[Jogador]=$B$4),_xlfn._xlws.FILTER(tblCarga[Data],tblCarga[Jogador]=$B$4),1),ROW()-11),"")</f>
        <v/>
      </c>
      <c r="E24" s="479">
        <f t="array" ref="E24">IFERROR(INDEX(_xlfn.SORTBY(_xlfn._xlws.FILTER(tblCarga[Duração (min)],tblCarga[Jogador]=$B$4),_xlfn._xlws.FILTER(tblCarga[Data],tblCarga[Jogador]=$B$4),1),ROW()-11),"")</f>
        <v/>
      </c>
      <c r="F24" s="479">
        <f t="array" ref="F24">IFERROR(INDEX(_xlfn.SORTBY(_xlfn._xlws.FILTER(tblCarga[Distância Total (m)],tblCarga[Jogador]=$B$4),_xlfn._xlws.FILTER(tblCarga[Data],tblCarga[Jogador]=$B$4),1),ROW()-11),"")</f>
        <v/>
      </c>
      <c r="G24" s="479">
        <f t="array" ref="G24">IFERROR(INDEX(_xlfn.SORTBY(_xlfn._xlws.FILTER(tblCarga[HSR (m)],tblCarga[Jogador]=$B$4),_xlfn._xlws.FILTER(tblCarga[Data],tblCarga[Jogador]=$B$4),1),ROW()-11),"")</f>
        <v/>
      </c>
      <c r="H24" s="479">
        <f t="array" ref="H24">IFERROR(INDEX(_xlfn.SORTBY(_xlfn._xlws.FILTER(tblCarga[Sprint (m)],tblCarga[Jogador]=$B$4),_xlfn._xlws.FILTER(tblCarga[Data],tblCarga[Jogador]=$B$4),1),ROW()-11),"")</f>
        <v/>
      </c>
      <c r="I24" s="479">
        <f t="array" ref="I24">IFERROR(INDEX(_xlfn.SORTBY(_xlfn._xlws.FILTER(tblCarga[Acc (n)],tblCarga[Jogador]=$B$4),_xlfn._xlws.FILTER(tblCarga[Data],tblCarga[Jogador]=$B$4),1),ROW()-11),"")</f>
        <v/>
      </c>
      <c r="J24" s="479">
        <f t="array" ref="J24">IFERROR(INDEX(_xlfn.SORTBY(_xlfn._xlws.FILTER(tblCarga[Dcc (n)],tblCarga[Jogador]=$B$4),_xlfn._xlws.FILTER(tblCarga[Data],tblCarga[Jogador]=$B$4),1),ROW()-11),"")</f>
        <v/>
      </c>
      <c r="K24" s="479">
        <f t="array" ref="K24">IFERROR(INDEX(_xlfn.SORTBY(_xlfn._xlws.FILTER(tblCarga[PSE Sessão],tblCarga[Jogador]=$B$4),_xlfn._xlws.FILTER(tblCarga[Data],tblCarga[Jogador]=$B$4),1),ROW()-11),"")</f>
        <v/>
      </c>
      <c r="L24" s="480">
        <f t="array" ref="L24">IFERROR(INDEX(_xlfn.SORTBY(_xlfn._xlws.FILTER(tblCarga[Vel. Máx (km/h)],tblCarga[Jogador]=$B$4),_xlfn._xlws.FILTER(tblCarga[Data],tblCarga[Jogador]=$B$4),1),ROW()-11),"")</f>
        <v/>
      </c>
      <c r="M24" s="481">
        <f>IF(L24="","",L24/_xlfn.MAXIFS(tblCarga[Vel. Máx (km/h)],tblCarga[Jogador],$B$4))</f>
        <v/>
      </c>
      <c r="N24" s="479">
        <f t="array" ref="N24">IF(A24="","",IFERROR(INDEX(_xlfn.SORTBY(_xlfn._xlws.FILTER(tblCarga[Nº ≥85% Vmáx],tblCarga[Jogador]=$B$4),_xlfn._xlws.FILTER(tblCarga[Data],tblCarga[Jogador]=$B$4),1),ROW()-11),""))</f>
        <v/>
      </c>
      <c r="O24" s="479">
        <f t="array" ref="O24">IF(A24="","",IFERROR(INDEX(_xlfn.SORTBY(_xlfn._xlws.FILTER(tblCarga[Nº ≥90% Vmáx],tblCarga[Jogador]=$B$4),_xlfn._xlws.FILTER(tblCarga[Data],tblCarga[Jogador]=$B$4),1),ROW()-11),""))</f>
        <v/>
      </c>
      <c r="P24" s="479">
        <f t="array" ref="P24">IF(A24="","",IFERROR(INDEX(_xlfn.SORTBY(_xlfn._xlws.FILTER(tblCarga[Nº ≥95% Vmáx],tblCarga[Jogador]=$B$4),_xlfn._xlws.FILTER(tblCarga[Data],tblCarga[Jogador]=$B$4),1),ROW()-11),""))</f>
        <v/>
      </c>
    </row>
    <row r="25" ht="21.95" customHeight="1">
      <c r="A25" s="482">
        <f t="array" ref="A25">IFERROR(INDEX(_xlfn._xlws.SORT(_xlfn._xlws.FILTER(tblCarga[Data],tblCarga[Jogador]=$B$4),1,1),ROW()-11),"")</f>
        <v/>
      </c>
      <c r="B25" s="483">
        <f t="array" ref="B25">IFERROR(INDEX(_xlfn.SORTBY(_xlfn._xlws.FILTER(tblCarga[Microciclo],tblCarga[Jogador]=$B$4),_xlfn._xlws.FILTER(tblCarga[Data],tblCarga[Jogador]=$B$4),1),ROW()-11),"")</f>
        <v/>
      </c>
      <c r="C25" s="483">
        <f t="array" ref="C25">IFERROR(INDEX(_xlfn.SORTBY(_xlfn._xlws.FILTER(tblCarga[Dia MD],tblCarga[Jogador]=$B$4),_xlfn._xlws.FILTER(tblCarga[Data],tblCarga[Jogador]=$B$4),1),ROW()-11),"")</f>
        <v/>
      </c>
      <c r="D25" s="483">
        <f t="array" ref="D25">IFERROR(INDEX(_xlfn.SORTBY(_xlfn._xlws.FILTER(tblCarga[Tipo],tblCarga[Jogador]=$B$4),_xlfn._xlws.FILTER(tblCarga[Data],tblCarga[Jogador]=$B$4),1),ROW()-11),"")</f>
        <v/>
      </c>
      <c r="E25" s="483">
        <f t="array" ref="E25">IFERROR(INDEX(_xlfn.SORTBY(_xlfn._xlws.FILTER(tblCarga[Duração (min)],tblCarga[Jogador]=$B$4),_xlfn._xlws.FILTER(tblCarga[Data],tblCarga[Jogador]=$B$4),1),ROW()-11),"")</f>
        <v/>
      </c>
      <c r="F25" s="483">
        <f t="array" ref="F25">IFERROR(INDEX(_xlfn.SORTBY(_xlfn._xlws.FILTER(tblCarga[Distância Total (m)],tblCarga[Jogador]=$B$4),_xlfn._xlws.FILTER(tblCarga[Data],tblCarga[Jogador]=$B$4),1),ROW()-11),"")</f>
        <v/>
      </c>
      <c r="G25" s="483">
        <f t="array" ref="G25">IFERROR(INDEX(_xlfn.SORTBY(_xlfn._xlws.FILTER(tblCarga[HSR (m)],tblCarga[Jogador]=$B$4),_xlfn._xlws.FILTER(tblCarga[Data],tblCarga[Jogador]=$B$4),1),ROW()-11),"")</f>
        <v/>
      </c>
      <c r="H25" s="483">
        <f t="array" ref="H25">IFERROR(INDEX(_xlfn.SORTBY(_xlfn._xlws.FILTER(tblCarga[Sprint (m)],tblCarga[Jogador]=$B$4),_xlfn._xlws.FILTER(tblCarga[Data],tblCarga[Jogador]=$B$4),1),ROW()-11),"")</f>
        <v/>
      </c>
      <c r="I25" s="483">
        <f t="array" ref="I25">IFERROR(INDEX(_xlfn.SORTBY(_xlfn._xlws.FILTER(tblCarga[Acc (n)],tblCarga[Jogador]=$B$4),_xlfn._xlws.FILTER(tblCarga[Data],tblCarga[Jogador]=$B$4),1),ROW()-11),"")</f>
        <v/>
      </c>
      <c r="J25" s="483">
        <f t="array" ref="J25">IFERROR(INDEX(_xlfn.SORTBY(_xlfn._xlws.FILTER(tblCarga[Dcc (n)],tblCarga[Jogador]=$B$4),_xlfn._xlws.FILTER(tblCarga[Data],tblCarga[Jogador]=$B$4),1),ROW()-11),"")</f>
        <v/>
      </c>
      <c r="K25" s="483">
        <f t="array" ref="K25">IFERROR(INDEX(_xlfn.SORTBY(_xlfn._xlws.FILTER(tblCarga[PSE Sessão],tblCarga[Jogador]=$B$4),_xlfn._xlws.FILTER(tblCarga[Data],tblCarga[Jogador]=$B$4),1),ROW()-11),"")</f>
        <v/>
      </c>
      <c r="L25" s="484">
        <f t="array" ref="L25">IFERROR(INDEX(_xlfn.SORTBY(_xlfn._xlws.FILTER(tblCarga[Vel. Máx (km/h)],tblCarga[Jogador]=$B$4),_xlfn._xlws.FILTER(tblCarga[Data],tblCarga[Jogador]=$B$4),1),ROW()-11),"")</f>
        <v/>
      </c>
      <c r="M25" s="485">
        <f>IF(L25="","",L25/_xlfn.MAXIFS(tblCarga[Vel. Máx (km/h)],tblCarga[Jogador],$B$4))</f>
        <v/>
      </c>
      <c r="N25" s="483">
        <f t="array" ref="N25">IF(A25="","",IFERROR(INDEX(_xlfn.SORTBY(_xlfn._xlws.FILTER(tblCarga[Nº ≥85% Vmáx],tblCarga[Jogador]=$B$4),_xlfn._xlws.FILTER(tblCarga[Data],tblCarga[Jogador]=$B$4),1),ROW()-11),""))</f>
        <v/>
      </c>
      <c r="O25" s="483">
        <f t="array" ref="O25">IF(A25="","",IFERROR(INDEX(_xlfn.SORTBY(_xlfn._xlws.FILTER(tblCarga[Nº ≥90% Vmáx],tblCarga[Jogador]=$B$4),_xlfn._xlws.FILTER(tblCarga[Data],tblCarga[Jogador]=$B$4),1),ROW()-11),""))</f>
        <v/>
      </c>
      <c r="P25" s="483">
        <f t="array" ref="P25">IF(A25="","",IFERROR(INDEX(_xlfn.SORTBY(_xlfn._xlws.FILTER(tblCarga[Nº ≥95% Vmáx],tblCarga[Jogador]=$B$4),_xlfn._xlws.FILTER(tblCarga[Data],tblCarga[Jogador]=$B$4),1),ROW()-11),""))</f>
        <v/>
      </c>
    </row>
    <row r="26" ht="21.95" customHeight="1">
      <c r="A26" s="478">
        <f t="array" ref="A26">IFERROR(INDEX(_xlfn._xlws.SORT(_xlfn._xlws.FILTER(tblCarga[Data],tblCarga[Jogador]=$B$4),1,1),ROW()-11),"")</f>
        <v/>
      </c>
      <c r="B26" s="479">
        <f t="array" ref="B26">IFERROR(INDEX(_xlfn.SORTBY(_xlfn._xlws.FILTER(tblCarga[Microciclo],tblCarga[Jogador]=$B$4),_xlfn._xlws.FILTER(tblCarga[Data],tblCarga[Jogador]=$B$4),1),ROW()-11),"")</f>
        <v/>
      </c>
      <c r="C26" s="479">
        <f t="array" ref="C26">IFERROR(INDEX(_xlfn.SORTBY(_xlfn._xlws.FILTER(tblCarga[Dia MD],tblCarga[Jogador]=$B$4),_xlfn._xlws.FILTER(tblCarga[Data],tblCarga[Jogador]=$B$4),1),ROW()-11),"")</f>
        <v/>
      </c>
      <c r="D26" s="479">
        <f t="array" ref="D26">IFERROR(INDEX(_xlfn.SORTBY(_xlfn._xlws.FILTER(tblCarga[Tipo],tblCarga[Jogador]=$B$4),_xlfn._xlws.FILTER(tblCarga[Data],tblCarga[Jogador]=$B$4),1),ROW()-11),"")</f>
        <v/>
      </c>
      <c r="E26" s="479">
        <f t="array" ref="E26">IFERROR(INDEX(_xlfn.SORTBY(_xlfn._xlws.FILTER(tblCarga[Duração (min)],tblCarga[Jogador]=$B$4),_xlfn._xlws.FILTER(tblCarga[Data],tblCarga[Jogador]=$B$4),1),ROW()-11),"")</f>
        <v/>
      </c>
      <c r="F26" s="479">
        <f t="array" ref="F26">IFERROR(INDEX(_xlfn.SORTBY(_xlfn._xlws.FILTER(tblCarga[Distância Total (m)],tblCarga[Jogador]=$B$4),_xlfn._xlws.FILTER(tblCarga[Data],tblCarga[Jogador]=$B$4),1),ROW()-11),"")</f>
        <v/>
      </c>
      <c r="G26" s="479">
        <f t="array" ref="G26">IFERROR(INDEX(_xlfn.SORTBY(_xlfn._xlws.FILTER(tblCarga[HSR (m)],tblCarga[Jogador]=$B$4),_xlfn._xlws.FILTER(tblCarga[Data],tblCarga[Jogador]=$B$4),1),ROW()-11),"")</f>
        <v/>
      </c>
      <c r="H26" s="479">
        <f t="array" ref="H26">IFERROR(INDEX(_xlfn.SORTBY(_xlfn._xlws.FILTER(tblCarga[Sprint (m)],tblCarga[Jogador]=$B$4),_xlfn._xlws.FILTER(tblCarga[Data],tblCarga[Jogador]=$B$4),1),ROW()-11),"")</f>
        <v/>
      </c>
      <c r="I26" s="479">
        <f t="array" ref="I26">IFERROR(INDEX(_xlfn.SORTBY(_xlfn._xlws.FILTER(tblCarga[Acc (n)],tblCarga[Jogador]=$B$4),_xlfn._xlws.FILTER(tblCarga[Data],tblCarga[Jogador]=$B$4),1),ROW()-11),"")</f>
        <v/>
      </c>
      <c r="J26" s="479">
        <f t="array" ref="J26">IFERROR(INDEX(_xlfn.SORTBY(_xlfn._xlws.FILTER(tblCarga[Dcc (n)],tblCarga[Jogador]=$B$4),_xlfn._xlws.FILTER(tblCarga[Data],tblCarga[Jogador]=$B$4),1),ROW()-11),"")</f>
        <v/>
      </c>
      <c r="K26" s="479">
        <f t="array" ref="K26">IFERROR(INDEX(_xlfn.SORTBY(_xlfn._xlws.FILTER(tblCarga[PSE Sessão],tblCarga[Jogador]=$B$4),_xlfn._xlws.FILTER(tblCarga[Data],tblCarga[Jogador]=$B$4),1),ROW()-11),"")</f>
        <v/>
      </c>
      <c r="L26" s="480">
        <f t="array" ref="L26">IFERROR(INDEX(_xlfn.SORTBY(_xlfn._xlws.FILTER(tblCarga[Vel. Máx (km/h)],tblCarga[Jogador]=$B$4),_xlfn._xlws.FILTER(tblCarga[Data],tblCarga[Jogador]=$B$4),1),ROW()-11),"")</f>
        <v/>
      </c>
      <c r="M26" s="481">
        <f>IF(L26="","",L26/_xlfn.MAXIFS(tblCarga[Vel. Máx (km/h)],tblCarga[Jogador],$B$4))</f>
        <v/>
      </c>
      <c r="N26" s="479">
        <f t="array" ref="N26">IF(A26="","",IFERROR(INDEX(_xlfn.SORTBY(_xlfn._xlws.FILTER(tblCarga[Nº ≥85% Vmáx],tblCarga[Jogador]=$B$4),_xlfn._xlws.FILTER(tblCarga[Data],tblCarga[Jogador]=$B$4),1),ROW()-11),""))</f>
        <v/>
      </c>
      <c r="O26" s="479">
        <f t="array" ref="O26">IF(A26="","",IFERROR(INDEX(_xlfn.SORTBY(_xlfn._xlws.FILTER(tblCarga[Nº ≥90% Vmáx],tblCarga[Jogador]=$B$4),_xlfn._xlws.FILTER(tblCarga[Data],tblCarga[Jogador]=$B$4),1),ROW()-11),""))</f>
        <v/>
      </c>
      <c r="P26" s="479">
        <f t="array" ref="P26">IF(A26="","",IFERROR(INDEX(_xlfn.SORTBY(_xlfn._xlws.FILTER(tblCarga[Nº ≥95% Vmáx],tblCarga[Jogador]=$B$4),_xlfn._xlws.FILTER(tblCarga[Data],tblCarga[Jogador]=$B$4),1),ROW()-11),""))</f>
        <v/>
      </c>
    </row>
    <row r="27" ht="21.95" customHeight="1">
      <c r="A27" s="482">
        <f t="array" ref="A27">IFERROR(INDEX(_xlfn._xlws.SORT(_xlfn._xlws.FILTER(tblCarga[Data],tblCarga[Jogador]=$B$4),1,1),ROW()-11),"")</f>
        <v/>
      </c>
      <c r="B27" s="483">
        <f t="array" ref="B27">IFERROR(INDEX(_xlfn.SORTBY(_xlfn._xlws.FILTER(tblCarga[Microciclo],tblCarga[Jogador]=$B$4),_xlfn._xlws.FILTER(tblCarga[Data],tblCarga[Jogador]=$B$4),1),ROW()-11),"")</f>
        <v/>
      </c>
      <c r="C27" s="483">
        <f t="array" ref="C27">IFERROR(INDEX(_xlfn.SORTBY(_xlfn._xlws.FILTER(tblCarga[Dia MD],tblCarga[Jogador]=$B$4),_xlfn._xlws.FILTER(tblCarga[Data],tblCarga[Jogador]=$B$4),1),ROW()-11),"")</f>
        <v/>
      </c>
      <c r="D27" s="483">
        <f t="array" ref="D27">IFERROR(INDEX(_xlfn.SORTBY(_xlfn._xlws.FILTER(tblCarga[Tipo],tblCarga[Jogador]=$B$4),_xlfn._xlws.FILTER(tblCarga[Data],tblCarga[Jogador]=$B$4),1),ROW()-11),"")</f>
        <v/>
      </c>
      <c r="E27" s="483">
        <f t="array" ref="E27">IFERROR(INDEX(_xlfn.SORTBY(_xlfn._xlws.FILTER(tblCarga[Duração (min)],tblCarga[Jogador]=$B$4),_xlfn._xlws.FILTER(tblCarga[Data],tblCarga[Jogador]=$B$4),1),ROW()-11),"")</f>
        <v/>
      </c>
      <c r="F27" s="483">
        <f t="array" ref="F27">IFERROR(INDEX(_xlfn.SORTBY(_xlfn._xlws.FILTER(tblCarga[Distância Total (m)],tblCarga[Jogador]=$B$4),_xlfn._xlws.FILTER(tblCarga[Data],tblCarga[Jogador]=$B$4),1),ROW()-11),"")</f>
        <v/>
      </c>
      <c r="G27" s="483">
        <f t="array" ref="G27">IFERROR(INDEX(_xlfn.SORTBY(_xlfn._xlws.FILTER(tblCarga[HSR (m)],tblCarga[Jogador]=$B$4),_xlfn._xlws.FILTER(tblCarga[Data],tblCarga[Jogador]=$B$4),1),ROW()-11),"")</f>
        <v/>
      </c>
      <c r="H27" s="483">
        <f t="array" ref="H27">IFERROR(INDEX(_xlfn.SORTBY(_xlfn._xlws.FILTER(tblCarga[Sprint (m)],tblCarga[Jogador]=$B$4),_xlfn._xlws.FILTER(tblCarga[Data],tblCarga[Jogador]=$B$4),1),ROW()-11),"")</f>
        <v/>
      </c>
      <c r="I27" s="483">
        <f t="array" ref="I27">IFERROR(INDEX(_xlfn.SORTBY(_xlfn._xlws.FILTER(tblCarga[Acc (n)],tblCarga[Jogador]=$B$4),_xlfn._xlws.FILTER(tblCarga[Data],tblCarga[Jogador]=$B$4),1),ROW()-11),"")</f>
        <v/>
      </c>
      <c r="J27" s="483">
        <f t="array" ref="J27">IFERROR(INDEX(_xlfn.SORTBY(_xlfn._xlws.FILTER(tblCarga[Dcc (n)],tblCarga[Jogador]=$B$4),_xlfn._xlws.FILTER(tblCarga[Data],tblCarga[Jogador]=$B$4),1),ROW()-11),"")</f>
        <v/>
      </c>
      <c r="K27" s="483">
        <f t="array" ref="K27">IFERROR(INDEX(_xlfn.SORTBY(_xlfn._xlws.FILTER(tblCarga[PSE Sessão],tblCarga[Jogador]=$B$4),_xlfn._xlws.FILTER(tblCarga[Data],tblCarga[Jogador]=$B$4),1),ROW()-11),"")</f>
        <v/>
      </c>
      <c r="L27" s="484">
        <f t="array" ref="L27">IFERROR(INDEX(_xlfn.SORTBY(_xlfn._xlws.FILTER(tblCarga[Vel. Máx (km/h)],tblCarga[Jogador]=$B$4),_xlfn._xlws.FILTER(tblCarga[Data],tblCarga[Jogador]=$B$4),1),ROW()-11),"")</f>
        <v/>
      </c>
      <c r="M27" s="485">
        <f>IF(L27="","",L27/_xlfn.MAXIFS(tblCarga[Vel. Máx (km/h)],tblCarga[Jogador],$B$4))</f>
        <v/>
      </c>
      <c r="N27" s="483">
        <f t="array" ref="N27">IF(A27="","",IFERROR(INDEX(_xlfn.SORTBY(_xlfn._xlws.FILTER(tblCarga[Nº ≥85% Vmáx],tblCarga[Jogador]=$B$4),_xlfn._xlws.FILTER(tblCarga[Data],tblCarga[Jogador]=$B$4),1),ROW()-11),""))</f>
        <v/>
      </c>
      <c r="O27" s="483">
        <f t="array" ref="O27">IF(A27="","",IFERROR(INDEX(_xlfn.SORTBY(_xlfn._xlws.FILTER(tblCarga[Nº ≥90% Vmáx],tblCarga[Jogador]=$B$4),_xlfn._xlws.FILTER(tblCarga[Data],tblCarga[Jogador]=$B$4),1),ROW()-11),""))</f>
        <v/>
      </c>
      <c r="P27" s="483">
        <f t="array" ref="P27">IF(A27="","",IFERROR(INDEX(_xlfn.SORTBY(_xlfn._xlws.FILTER(tblCarga[Nº ≥95% Vmáx],tblCarga[Jogador]=$B$4),_xlfn._xlws.FILTER(tblCarga[Data],tblCarga[Jogador]=$B$4),1),ROW()-11),""))</f>
        <v/>
      </c>
    </row>
    <row r="28" ht="21.95" customHeight="1">
      <c r="A28" s="478">
        <f t="array" ref="A28">IFERROR(INDEX(_xlfn._xlws.SORT(_xlfn._xlws.FILTER(tblCarga[Data],tblCarga[Jogador]=$B$4),1,1),ROW()-11),"")</f>
        <v/>
      </c>
      <c r="B28" s="479">
        <f t="array" ref="B28">IFERROR(INDEX(_xlfn.SORTBY(_xlfn._xlws.FILTER(tblCarga[Microciclo],tblCarga[Jogador]=$B$4),_xlfn._xlws.FILTER(tblCarga[Data],tblCarga[Jogador]=$B$4),1),ROW()-11),"")</f>
        <v/>
      </c>
      <c r="C28" s="479">
        <f t="array" ref="C28">IFERROR(INDEX(_xlfn.SORTBY(_xlfn._xlws.FILTER(tblCarga[Dia MD],tblCarga[Jogador]=$B$4),_xlfn._xlws.FILTER(tblCarga[Data],tblCarga[Jogador]=$B$4),1),ROW()-11),"")</f>
        <v/>
      </c>
      <c r="D28" s="479">
        <f t="array" ref="D28">IFERROR(INDEX(_xlfn.SORTBY(_xlfn._xlws.FILTER(tblCarga[Tipo],tblCarga[Jogador]=$B$4),_xlfn._xlws.FILTER(tblCarga[Data],tblCarga[Jogador]=$B$4),1),ROW()-11),"")</f>
        <v/>
      </c>
      <c r="E28" s="479">
        <f t="array" ref="E28">IFERROR(INDEX(_xlfn.SORTBY(_xlfn._xlws.FILTER(tblCarga[Duração (min)],tblCarga[Jogador]=$B$4),_xlfn._xlws.FILTER(tblCarga[Data],tblCarga[Jogador]=$B$4),1),ROW()-11),"")</f>
        <v/>
      </c>
      <c r="F28" s="479">
        <f t="array" ref="F28">IFERROR(INDEX(_xlfn.SORTBY(_xlfn._xlws.FILTER(tblCarga[Distância Total (m)],tblCarga[Jogador]=$B$4),_xlfn._xlws.FILTER(tblCarga[Data],tblCarga[Jogador]=$B$4),1),ROW()-11),"")</f>
        <v/>
      </c>
      <c r="G28" s="479">
        <f t="array" ref="G28">IFERROR(INDEX(_xlfn.SORTBY(_xlfn._xlws.FILTER(tblCarga[HSR (m)],tblCarga[Jogador]=$B$4),_xlfn._xlws.FILTER(tblCarga[Data],tblCarga[Jogador]=$B$4),1),ROW()-11),"")</f>
        <v/>
      </c>
      <c r="H28" s="479">
        <f t="array" ref="H28">IFERROR(INDEX(_xlfn.SORTBY(_xlfn._xlws.FILTER(tblCarga[Sprint (m)],tblCarga[Jogador]=$B$4),_xlfn._xlws.FILTER(tblCarga[Data],tblCarga[Jogador]=$B$4),1),ROW()-11),"")</f>
        <v/>
      </c>
      <c r="I28" s="479">
        <f t="array" ref="I28">IFERROR(INDEX(_xlfn.SORTBY(_xlfn._xlws.FILTER(tblCarga[Acc (n)],tblCarga[Jogador]=$B$4),_xlfn._xlws.FILTER(tblCarga[Data],tblCarga[Jogador]=$B$4),1),ROW()-11),"")</f>
        <v/>
      </c>
      <c r="J28" s="479">
        <f t="array" ref="J28">IFERROR(INDEX(_xlfn.SORTBY(_xlfn._xlws.FILTER(tblCarga[Dcc (n)],tblCarga[Jogador]=$B$4),_xlfn._xlws.FILTER(tblCarga[Data],tblCarga[Jogador]=$B$4),1),ROW()-11),"")</f>
        <v/>
      </c>
      <c r="K28" s="479">
        <f t="array" ref="K28">IFERROR(INDEX(_xlfn.SORTBY(_xlfn._xlws.FILTER(tblCarga[PSE Sessão],tblCarga[Jogador]=$B$4),_xlfn._xlws.FILTER(tblCarga[Data],tblCarga[Jogador]=$B$4),1),ROW()-11),"")</f>
        <v/>
      </c>
      <c r="L28" s="480">
        <f t="array" ref="L28">IFERROR(INDEX(_xlfn.SORTBY(_xlfn._xlws.FILTER(tblCarga[Vel. Máx (km/h)],tblCarga[Jogador]=$B$4),_xlfn._xlws.FILTER(tblCarga[Data],tblCarga[Jogador]=$B$4),1),ROW()-11),"")</f>
        <v/>
      </c>
      <c r="M28" s="481">
        <f>IF(L28="","",L28/_xlfn.MAXIFS(tblCarga[Vel. Máx (km/h)],tblCarga[Jogador],$B$4))</f>
        <v/>
      </c>
      <c r="N28" s="479">
        <f t="array" ref="N28">IF(A28="","",IFERROR(INDEX(_xlfn.SORTBY(_xlfn._xlws.FILTER(tblCarga[Nº ≥85% Vmáx],tblCarga[Jogador]=$B$4),_xlfn._xlws.FILTER(tblCarga[Data],tblCarga[Jogador]=$B$4),1),ROW()-11),""))</f>
        <v/>
      </c>
      <c r="O28" s="479">
        <f t="array" ref="O28">IF(A28="","",IFERROR(INDEX(_xlfn.SORTBY(_xlfn._xlws.FILTER(tblCarga[Nº ≥90% Vmáx],tblCarga[Jogador]=$B$4),_xlfn._xlws.FILTER(tblCarga[Data],tblCarga[Jogador]=$B$4),1),ROW()-11),""))</f>
        <v/>
      </c>
      <c r="P28" s="479">
        <f t="array" ref="P28">IF(A28="","",IFERROR(INDEX(_xlfn.SORTBY(_xlfn._xlws.FILTER(tblCarga[Nº ≥95% Vmáx],tblCarga[Jogador]=$B$4),_xlfn._xlws.FILTER(tblCarga[Data],tblCarga[Jogador]=$B$4),1),ROW()-11),""))</f>
        <v/>
      </c>
    </row>
    <row r="29" ht="21.95" customHeight="1">
      <c r="A29" s="482">
        <f t="array" ref="A29">IFERROR(INDEX(_xlfn._xlws.SORT(_xlfn._xlws.FILTER(tblCarga[Data],tblCarga[Jogador]=$B$4),1,1),ROW()-11),"")</f>
        <v/>
      </c>
      <c r="B29" s="483">
        <f t="array" ref="B29">IFERROR(INDEX(_xlfn.SORTBY(_xlfn._xlws.FILTER(tblCarga[Microciclo],tblCarga[Jogador]=$B$4),_xlfn._xlws.FILTER(tblCarga[Data],tblCarga[Jogador]=$B$4),1),ROW()-11),"")</f>
        <v/>
      </c>
      <c r="C29" s="483">
        <f t="array" ref="C29">IFERROR(INDEX(_xlfn.SORTBY(_xlfn._xlws.FILTER(tblCarga[Dia MD],tblCarga[Jogador]=$B$4),_xlfn._xlws.FILTER(tblCarga[Data],tblCarga[Jogador]=$B$4),1),ROW()-11),"")</f>
        <v/>
      </c>
      <c r="D29" s="483">
        <f t="array" ref="D29">IFERROR(INDEX(_xlfn.SORTBY(_xlfn._xlws.FILTER(tblCarga[Tipo],tblCarga[Jogador]=$B$4),_xlfn._xlws.FILTER(tblCarga[Data],tblCarga[Jogador]=$B$4),1),ROW()-11),"")</f>
        <v/>
      </c>
      <c r="E29" s="483">
        <f t="array" ref="E29">IFERROR(INDEX(_xlfn.SORTBY(_xlfn._xlws.FILTER(tblCarga[Duração (min)],tblCarga[Jogador]=$B$4),_xlfn._xlws.FILTER(tblCarga[Data],tblCarga[Jogador]=$B$4),1),ROW()-11),"")</f>
        <v/>
      </c>
      <c r="F29" s="483">
        <f t="array" ref="F29">IFERROR(INDEX(_xlfn.SORTBY(_xlfn._xlws.FILTER(tblCarga[Distância Total (m)],tblCarga[Jogador]=$B$4),_xlfn._xlws.FILTER(tblCarga[Data],tblCarga[Jogador]=$B$4),1),ROW()-11),"")</f>
        <v/>
      </c>
      <c r="G29" s="483">
        <f t="array" ref="G29">IFERROR(INDEX(_xlfn.SORTBY(_xlfn._xlws.FILTER(tblCarga[HSR (m)],tblCarga[Jogador]=$B$4),_xlfn._xlws.FILTER(tblCarga[Data],tblCarga[Jogador]=$B$4),1),ROW()-11),"")</f>
        <v/>
      </c>
      <c r="H29" s="483">
        <f t="array" ref="H29">IFERROR(INDEX(_xlfn.SORTBY(_xlfn._xlws.FILTER(tblCarga[Sprint (m)],tblCarga[Jogador]=$B$4),_xlfn._xlws.FILTER(tblCarga[Data],tblCarga[Jogador]=$B$4),1),ROW()-11),"")</f>
        <v/>
      </c>
      <c r="I29" s="483">
        <f t="array" ref="I29">IFERROR(INDEX(_xlfn.SORTBY(_xlfn._xlws.FILTER(tblCarga[Acc (n)],tblCarga[Jogador]=$B$4),_xlfn._xlws.FILTER(tblCarga[Data],tblCarga[Jogador]=$B$4),1),ROW()-11),"")</f>
        <v/>
      </c>
      <c r="J29" s="483">
        <f t="array" ref="J29">IFERROR(INDEX(_xlfn.SORTBY(_xlfn._xlws.FILTER(tblCarga[Dcc (n)],tblCarga[Jogador]=$B$4),_xlfn._xlws.FILTER(tblCarga[Data],tblCarga[Jogador]=$B$4),1),ROW()-11),"")</f>
        <v/>
      </c>
      <c r="K29" s="483">
        <f t="array" ref="K29">IFERROR(INDEX(_xlfn.SORTBY(_xlfn._xlws.FILTER(tblCarga[PSE Sessão],tblCarga[Jogador]=$B$4),_xlfn._xlws.FILTER(tblCarga[Data],tblCarga[Jogador]=$B$4),1),ROW()-11),"")</f>
        <v/>
      </c>
      <c r="L29" s="484">
        <f t="array" ref="L29">IFERROR(INDEX(_xlfn.SORTBY(_xlfn._xlws.FILTER(tblCarga[Vel. Máx (km/h)],tblCarga[Jogador]=$B$4),_xlfn._xlws.FILTER(tblCarga[Data],tblCarga[Jogador]=$B$4),1),ROW()-11),"")</f>
        <v/>
      </c>
      <c r="M29" s="485">
        <f>IF(L29="","",L29/_xlfn.MAXIFS(tblCarga[Vel. Máx (km/h)],tblCarga[Jogador],$B$4))</f>
        <v/>
      </c>
      <c r="N29" s="483">
        <f t="array" ref="N29">IF(A29="","",IFERROR(INDEX(_xlfn.SORTBY(_xlfn._xlws.FILTER(tblCarga[Nº ≥85% Vmáx],tblCarga[Jogador]=$B$4),_xlfn._xlws.FILTER(tblCarga[Data],tblCarga[Jogador]=$B$4),1),ROW()-11),""))</f>
        <v/>
      </c>
      <c r="O29" s="483">
        <f t="array" ref="O29">IF(A29="","",IFERROR(INDEX(_xlfn.SORTBY(_xlfn._xlws.FILTER(tblCarga[Nº ≥90% Vmáx],tblCarga[Jogador]=$B$4),_xlfn._xlws.FILTER(tblCarga[Data],tblCarga[Jogador]=$B$4),1),ROW()-11),""))</f>
        <v/>
      </c>
      <c r="P29" s="483">
        <f t="array" ref="P29">IF(A29="","",IFERROR(INDEX(_xlfn.SORTBY(_xlfn._xlws.FILTER(tblCarga[Nº ≥95% Vmáx],tblCarga[Jogador]=$B$4),_xlfn._xlws.FILTER(tblCarga[Data],tblCarga[Jogador]=$B$4),1),ROW()-11),""))</f>
        <v/>
      </c>
    </row>
    <row r="30" ht="21.95" customHeight="1">
      <c r="A30" s="478">
        <f t="array" ref="A30">IFERROR(INDEX(_xlfn._xlws.SORT(_xlfn._xlws.FILTER(tblCarga[Data],tblCarga[Jogador]=$B$4),1,1),ROW()-11),"")</f>
        <v/>
      </c>
      <c r="B30" s="479">
        <f t="array" ref="B30">IFERROR(INDEX(_xlfn.SORTBY(_xlfn._xlws.FILTER(tblCarga[Microciclo],tblCarga[Jogador]=$B$4),_xlfn._xlws.FILTER(tblCarga[Data],tblCarga[Jogador]=$B$4),1),ROW()-11),"")</f>
        <v/>
      </c>
      <c r="C30" s="479">
        <f t="array" ref="C30">IFERROR(INDEX(_xlfn.SORTBY(_xlfn._xlws.FILTER(tblCarga[Dia MD],tblCarga[Jogador]=$B$4),_xlfn._xlws.FILTER(tblCarga[Data],tblCarga[Jogador]=$B$4),1),ROW()-11),"")</f>
        <v/>
      </c>
      <c r="D30" s="479">
        <f t="array" ref="D30">IFERROR(INDEX(_xlfn.SORTBY(_xlfn._xlws.FILTER(tblCarga[Tipo],tblCarga[Jogador]=$B$4),_xlfn._xlws.FILTER(tblCarga[Data],tblCarga[Jogador]=$B$4),1),ROW()-11),"")</f>
        <v/>
      </c>
      <c r="E30" s="479">
        <f t="array" ref="E30">IFERROR(INDEX(_xlfn.SORTBY(_xlfn._xlws.FILTER(tblCarga[Duração (min)],tblCarga[Jogador]=$B$4),_xlfn._xlws.FILTER(tblCarga[Data],tblCarga[Jogador]=$B$4),1),ROW()-11),"")</f>
        <v/>
      </c>
      <c r="F30" s="479">
        <f t="array" ref="F30">IFERROR(INDEX(_xlfn.SORTBY(_xlfn._xlws.FILTER(tblCarga[Distância Total (m)],tblCarga[Jogador]=$B$4),_xlfn._xlws.FILTER(tblCarga[Data],tblCarga[Jogador]=$B$4),1),ROW()-11),"")</f>
        <v/>
      </c>
      <c r="G30" s="479">
        <f t="array" ref="G30">IFERROR(INDEX(_xlfn.SORTBY(_xlfn._xlws.FILTER(tblCarga[HSR (m)],tblCarga[Jogador]=$B$4),_xlfn._xlws.FILTER(tblCarga[Data],tblCarga[Jogador]=$B$4),1),ROW()-11),"")</f>
        <v/>
      </c>
      <c r="H30" s="479">
        <f t="array" ref="H30">IFERROR(INDEX(_xlfn.SORTBY(_xlfn._xlws.FILTER(tblCarga[Sprint (m)],tblCarga[Jogador]=$B$4),_xlfn._xlws.FILTER(tblCarga[Data],tblCarga[Jogador]=$B$4),1),ROW()-11),"")</f>
        <v/>
      </c>
      <c r="I30" s="479">
        <f t="array" ref="I30">IFERROR(INDEX(_xlfn.SORTBY(_xlfn._xlws.FILTER(tblCarga[Acc (n)],tblCarga[Jogador]=$B$4),_xlfn._xlws.FILTER(tblCarga[Data],tblCarga[Jogador]=$B$4),1),ROW()-11),"")</f>
        <v/>
      </c>
      <c r="J30" s="479">
        <f t="array" ref="J30">IFERROR(INDEX(_xlfn.SORTBY(_xlfn._xlws.FILTER(tblCarga[Dcc (n)],tblCarga[Jogador]=$B$4),_xlfn._xlws.FILTER(tblCarga[Data],tblCarga[Jogador]=$B$4),1),ROW()-11),"")</f>
        <v/>
      </c>
      <c r="K30" s="479">
        <f t="array" ref="K30">IFERROR(INDEX(_xlfn.SORTBY(_xlfn._xlws.FILTER(tblCarga[PSE Sessão],tblCarga[Jogador]=$B$4),_xlfn._xlws.FILTER(tblCarga[Data],tblCarga[Jogador]=$B$4),1),ROW()-11),"")</f>
        <v/>
      </c>
      <c r="L30" s="480">
        <f t="array" ref="L30">IFERROR(INDEX(_xlfn.SORTBY(_xlfn._xlws.FILTER(tblCarga[Vel. Máx (km/h)],tblCarga[Jogador]=$B$4),_xlfn._xlws.FILTER(tblCarga[Data],tblCarga[Jogador]=$B$4),1),ROW()-11),"")</f>
        <v/>
      </c>
      <c r="M30" s="481">
        <f>IF(L30="","",L30/_xlfn.MAXIFS(tblCarga[Vel. Máx (km/h)],tblCarga[Jogador],$B$4))</f>
        <v/>
      </c>
      <c r="N30" s="479">
        <f t="array" ref="N30">IF(A30="","",IFERROR(INDEX(_xlfn.SORTBY(_xlfn._xlws.FILTER(tblCarga[Nº ≥85% Vmáx],tblCarga[Jogador]=$B$4),_xlfn._xlws.FILTER(tblCarga[Data],tblCarga[Jogador]=$B$4),1),ROW()-11),""))</f>
        <v/>
      </c>
      <c r="O30" s="479">
        <f t="array" ref="O30">IF(A30="","",IFERROR(INDEX(_xlfn.SORTBY(_xlfn._xlws.FILTER(tblCarga[Nº ≥90% Vmáx],tblCarga[Jogador]=$B$4),_xlfn._xlws.FILTER(tblCarga[Data],tblCarga[Jogador]=$B$4),1),ROW()-11),""))</f>
        <v/>
      </c>
      <c r="P30" s="479">
        <f t="array" ref="P30">IF(A30="","",IFERROR(INDEX(_xlfn.SORTBY(_xlfn._xlws.FILTER(tblCarga[Nº ≥95% Vmáx],tblCarga[Jogador]=$B$4),_xlfn._xlws.FILTER(tblCarga[Data],tblCarga[Jogador]=$B$4),1),ROW()-11),""))</f>
        <v/>
      </c>
    </row>
    <row r="31" ht="21.95" customHeight="1">
      <c r="A31" s="482">
        <f t="array" ref="A31">IFERROR(INDEX(_xlfn._xlws.SORT(_xlfn._xlws.FILTER(tblCarga[Data],tblCarga[Jogador]=$B$4),1,1),ROW()-11),"")</f>
        <v/>
      </c>
      <c r="B31" s="483">
        <f t="array" ref="B31">IFERROR(INDEX(_xlfn.SORTBY(_xlfn._xlws.FILTER(tblCarga[Microciclo],tblCarga[Jogador]=$B$4),_xlfn._xlws.FILTER(tblCarga[Data],tblCarga[Jogador]=$B$4),1),ROW()-11),"")</f>
        <v/>
      </c>
      <c r="C31" s="483">
        <f t="array" ref="C31">IFERROR(INDEX(_xlfn.SORTBY(_xlfn._xlws.FILTER(tblCarga[Dia MD],tblCarga[Jogador]=$B$4),_xlfn._xlws.FILTER(tblCarga[Data],tblCarga[Jogador]=$B$4),1),ROW()-11),"")</f>
        <v/>
      </c>
      <c r="D31" s="483">
        <f t="array" ref="D31">IFERROR(INDEX(_xlfn.SORTBY(_xlfn._xlws.FILTER(tblCarga[Tipo],tblCarga[Jogador]=$B$4),_xlfn._xlws.FILTER(tblCarga[Data],tblCarga[Jogador]=$B$4),1),ROW()-11),"")</f>
        <v/>
      </c>
      <c r="E31" s="483">
        <f t="array" ref="E31">IFERROR(INDEX(_xlfn.SORTBY(_xlfn._xlws.FILTER(tblCarga[Duração (min)],tblCarga[Jogador]=$B$4),_xlfn._xlws.FILTER(tblCarga[Data],tblCarga[Jogador]=$B$4),1),ROW()-11),"")</f>
        <v/>
      </c>
      <c r="F31" s="483">
        <f t="array" ref="F31">IFERROR(INDEX(_xlfn.SORTBY(_xlfn._xlws.FILTER(tblCarga[Distância Total (m)],tblCarga[Jogador]=$B$4),_xlfn._xlws.FILTER(tblCarga[Data],tblCarga[Jogador]=$B$4),1),ROW()-11),"")</f>
        <v/>
      </c>
      <c r="G31" s="483">
        <f t="array" ref="G31">IFERROR(INDEX(_xlfn.SORTBY(_xlfn._xlws.FILTER(tblCarga[HSR (m)],tblCarga[Jogador]=$B$4),_xlfn._xlws.FILTER(tblCarga[Data],tblCarga[Jogador]=$B$4),1),ROW()-11),"")</f>
        <v/>
      </c>
      <c r="H31" s="483">
        <f t="array" ref="H31">IFERROR(INDEX(_xlfn.SORTBY(_xlfn._xlws.FILTER(tblCarga[Sprint (m)],tblCarga[Jogador]=$B$4),_xlfn._xlws.FILTER(tblCarga[Data],tblCarga[Jogador]=$B$4),1),ROW()-11),"")</f>
        <v/>
      </c>
      <c r="I31" s="483">
        <f t="array" ref="I31">IFERROR(INDEX(_xlfn.SORTBY(_xlfn._xlws.FILTER(tblCarga[Acc (n)],tblCarga[Jogador]=$B$4),_xlfn._xlws.FILTER(tblCarga[Data],tblCarga[Jogador]=$B$4),1),ROW()-11),"")</f>
        <v/>
      </c>
      <c r="J31" s="483">
        <f t="array" ref="J31">IFERROR(INDEX(_xlfn.SORTBY(_xlfn._xlws.FILTER(tblCarga[Dcc (n)],tblCarga[Jogador]=$B$4),_xlfn._xlws.FILTER(tblCarga[Data],tblCarga[Jogador]=$B$4),1),ROW()-11),"")</f>
        <v/>
      </c>
      <c r="K31" s="483">
        <f t="array" ref="K31">IFERROR(INDEX(_xlfn.SORTBY(_xlfn._xlws.FILTER(tblCarga[PSE Sessão],tblCarga[Jogador]=$B$4),_xlfn._xlws.FILTER(tblCarga[Data],tblCarga[Jogador]=$B$4),1),ROW()-11),"")</f>
        <v/>
      </c>
      <c r="L31" s="484">
        <f t="array" ref="L31">IFERROR(INDEX(_xlfn.SORTBY(_xlfn._xlws.FILTER(tblCarga[Vel. Máx (km/h)],tblCarga[Jogador]=$B$4),_xlfn._xlws.FILTER(tblCarga[Data],tblCarga[Jogador]=$B$4),1),ROW()-11),"")</f>
        <v/>
      </c>
      <c r="M31" s="485">
        <f>IF(L31="","",L31/_xlfn.MAXIFS(tblCarga[Vel. Máx (km/h)],tblCarga[Jogador],$B$4))</f>
        <v/>
      </c>
      <c r="N31" s="483">
        <f t="array" ref="N31">IF(A31="","",IFERROR(INDEX(_xlfn.SORTBY(_xlfn._xlws.FILTER(tblCarga[Nº ≥85% Vmáx],tblCarga[Jogador]=$B$4),_xlfn._xlws.FILTER(tblCarga[Data],tblCarga[Jogador]=$B$4),1),ROW()-11),""))</f>
        <v/>
      </c>
      <c r="O31" s="483">
        <f t="array" ref="O31">IF(A31="","",IFERROR(INDEX(_xlfn.SORTBY(_xlfn._xlws.FILTER(tblCarga[Nº ≥90% Vmáx],tblCarga[Jogador]=$B$4),_xlfn._xlws.FILTER(tblCarga[Data],tblCarga[Jogador]=$B$4),1),ROW()-11),""))</f>
        <v/>
      </c>
      <c r="P31" s="483">
        <f t="array" ref="P31">IF(A31="","",IFERROR(INDEX(_xlfn.SORTBY(_xlfn._xlws.FILTER(tblCarga[Nº ≥95% Vmáx],tblCarga[Jogador]=$B$4),_xlfn._xlws.FILTER(tblCarga[Data],tblCarga[Jogador]=$B$4),1),ROW()-11),""))</f>
        <v/>
      </c>
    </row>
    <row r="32" ht="21.95" customHeight="1">
      <c r="A32" s="478">
        <f t="array" ref="A32">IFERROR(INDEX(_xlfn._xlws.SORT(_xlfn._xlws.FILTER(tblCarga[Data],tblCarga[Jogador]=$B$4),1,1),ROW()-11),"")</f>
        <v/>
      </c>
      <c r="B32" s="479">
        <f t="array" ref="B32">IFERROR(INDEX(_xlfn.SORTBY(_xlfn._xlws.FILTER(tblCarga[Microciclo],tblCarga[Jogador]=$B$4),_xlfn._xlws.FILTER(tblCarga[Data],tblCarga[Jogador]=$B$4),1),ROW()-11),"")</f>
        <v/>
      </c>
      <c r="C32" s="479">
        <f t="array" ref="C32">IFERROR(INDEX(_xlfn.SORTBY(_xlfn._xlws.FILTER(tblCarga[Dia MD],tblCarga[Jogador]=$B$4),_xlfn._xlws.FILTER(tblCarga[Data],tblCarga[Jogador]=$B$4),1),ROW()-11),"")</f>
        <v/>
      </c>
      <c r="D32" s="479">
        <f t="array" ref="D32">IFERROR(INDEX(_xlfn.SORTBY(_xlfn._xlws.FILTER(tblCarga[Tipo],tblCarga[Jogador]=$B$4),_xlfn._xlws.FILTER(tblCarga[Data],tblCarga[Jogador]=$B$4),1),ROW()-11),"")</f>
        <v/>
      </c>
      <c r="E32" s="479">
        <f t="array" ref="E32">IFERROR(INDEX(_xlfn.SORTBY(_xlfn._xlws.FILTER(tblCarga[Duração (min)],tblCarga[Jogador]=$B$4),_xlfn._xlws.FILTER(tblCarga[Data],tblCarga[Jogador]=$B$4),1),ROW()-11),"")</f>
        <v/>
      </c>
      <c r="F32" s="479">
        <f t="array" ref="F32">IFERROR(INDEX(_xlfn.SORTBY(_xlfn._xlws.FILTER(tblCarga[Distância Total (m)],tblCarga[Jogador]=$B$4),_xlfn._xlws.FILTER(tblCarga[Data],tblCarga[Jogador]=$B$4),1),ROW()-11),"")</f>
        <v/>
      </c>
      <c r="G32" s="479">
        <f t="array" ref="G32">IFERROR(INDEX(_xlfn.SORTBY(_xlfn._xlws.FILTER(tblCarga[HSR (m)],tblCarga[Jogador]=$B$4),_xlfn._xlws.FILTER(tblCarga[Data],tblCarga[Jogador]=$B$4),1),ROW()-11),"")</f>
        <v/>
      </c>
      <c r="H32" s="479">
        <f t="array" ref="H32">IFERROR(INDEX(_xlfn.SORTBY(_xlfn._xlws.FILTER(tblCarga[Sprint (m)],tblCarga[Jogador]=$B$4),_xlfn._xlws.FILTER(tblCarga[Data],tblCarga[Jogador]=$B$4),1),ROW()-11),"")</f>
        <v/>
      </c>
      <c r="I32" s="479">
        <f t="array" ref="I32">IFERROR(INDEX(_xlfn.SORTBY(_xlfn._xlws.FILTER(tblCarga[Acc (n)],tblCarga[Jogador]=$B$4),_xlfn._xlws.FILTER(tblCarga[Data],tblCarga[Jogador]=$B$4),1),ROW()-11),"")</f>
        <v/>
      </c>
      <c r="J32" s="479">
        <f t="array" ref="J32">IFERROR(INDEX(_xlfn.SORTBY(_xlfn._xlws.FILTER(tblCarga[Dcc (n)],tblCarga[Jogador]=$B$4),_xlfn._xlws.FILTER(tblCarga[Data],tblCarga[Jogador]=$B$4),1),ROW()-11),"")</f>
        <v/>
      </c>
      <c r="K32" s="479">
        <f t="array" ref="K32">IFERROR(INDEX(_xlfn.SORTBY(_xlfn._xlws.FILTER(tblCarga[PSE Sessão],tblCarga[Jogador]=$B$4),_xlfn._xlws.FILTER(tblCarga[Data],tblCarga[Jogador]=$B$4),1),ROW()-11),"")</f>
        <v/>
      </c>
      <c r="L32" s="480">
        <f t="array" ref="L32">IFERROR(INDEX(_xlfn.SORTBY(_xlfn._xlws.FILTER(tblCarga[Vel. Máx (km/h)],tblCarga[Jogador]=$B$4),_xlfn._xlws.FILTER(tblCarga[Data],tblCarga[Jogador]=$B$4),1),ROW()-11),"")</f>
        <v/>
      </c>
      <c r="M32" s="481">
        <f>IF(L32="","",L32/_xlfn.MAXIFS(tblCarga[Vel. Máx (km/h)],tblCarga[Jogador],$B$4))</f>
        <v/>
      </c>
      <c r="N32" s="479">
        <f t="array" ref="N32">IF(A32="","",IFERROR(INDEX(_xlfn.SORTBY(_xlfn._xlws.FILTER(tblCarga[Nº ≥85% Vmáx],tblCarga[Jogador]=$B$4),_xlfn._xlws.FILTER(tblCarga[Data],tblCarga[Jogador]=$B$4),1),ROW()-11),""))</f>
        <v/>
      </c>
      <c r="O32" s="479">
        <f t="array" ref="O32">IF(A32="","",IFERROR(INDEX(_xlfn.SORTBY(_xlfn._xlws.FILTER(tblCarga[Nº ≥90% Vmáx],tblCarga[Jogador]=$B$4),_xlfn._xlws.FILTER(tblCarga[Data],tblCarga[Jogador]=$B$4),1),ROW()-11),""))</f>
        <v/>
      </c>
      <c r="P32" s="479">
        <f t="array" ref="P32">IF(A32="","",IFERROR(INDEX(_xlfn.SORTBY(_xlfn._xlws.FILTER(tblCarga[Nº ≥95% Vmáx],tblCarga[Jogador]=$B$4),_xlfn._xlws.FILTER(tblCarga[Data],tblCarga[Jogador]=$B$4),1),ROW()-11),""))</f>
        <v/>
      </c>
    </row>
    <row r="33" ht="21.95" customHeight="1">
      <c r="A33" s="482">
        <f t="array" ref="A33">IFERROR(INDEX(_xlfn._xlws.SORT(_xlfn._xlws.FILTER(tblCarga[Data],tblCarga[Jogador]=$B$4),1,1),ROW()-11),"")</f>
        <v/>
      </c>
      <c r="B33" s="483">
        <f t="array" ref="B33">IFERROR(INDEX(_xlfn.SORTBY(_xlfn._xlws.FILTER(tblCarga[Microciclo],tblCarga[Jogador]=$B$4),_xlfn._xlws.FILTER(tblCarga[Data],tblCarga[Jogador]=$B$4),1),ROW()-11),"")</f>
        <v/>
      </c>
      <c r="C33" s="483">
        <f t="array" ref="C33">IFERROR(INDEX(_xlfn.SORTBY(_xlfn._xlws.FILTER(tblCarga[Dia MD],tblCarga[Jogador]=$B$4),_xlfn._xlws.FILTER(tblCarga[Data],tblCarga[Jogador]=$B$4),1),ROW()-11),"")</f>
        <v/>
      </c>
      <c r="D33" s="483">
        <f t="array" ref="D33">IFERROR(INDEX(_xlfn.SORTBY(_xlfn._xlws.FILTER(tblCarga[Tipo],tblCarga[Jogador]=$B$4),_xlfn._xlws.FILTER(tblCarga[Data],tblCarga[Jogador]=$B$4),1),ROW()-11),"")</f>
        <v/>
      </c>
      <c r="E33" s="483">
        <f t="array" ref="E33">IFERROR(INDEX(_xlfn.SORTBY(_xlfn._xlws.FILTER(tblCarga[Duração (min)],tblCarga[Jogador]=$B$4),_xlfn._xlws.FILTER(tblCarga[Data],tblCarga[Jogador]=$B$4),1),ROW()-11),"")</f>
        <v/>
      </c>
      <c r="F33" s="483">
        <f t="array" ref="F33">IFERROR(INDEX(_xlfn.SORTBY(_xlfn._xlws.FILTER(tblCarga[Distância Total (m)],tblCarga[Jogador]=$B$4),_xlfn._xlws.FILTER(tblCarga[Data],tblCarga[Jogador]=$B$4),1),ROW()-11),"")</f>
        <v/>
      </c>
      <c r="G33" s="483">
        <f t="array" ref="G33">IFERROR(INDEX(_xlfn.SORTBY(_xlfn._xlws.FILTER(tblCarga[HSR (m)],tblCarga[Jogador]=$B$4),_xlfn._xlws.FILTER(tblCarga[Data],tblCarga[Jogador]=$B$4),1),ROW()-11),"")</f>
        <v/>
      </c>
      <c r="H33" s="483">
        <f t="array" ref="H33">IFERROR(INDEX(_xlfn.SORTBY(_xlfn._xlws.FILTER(tblCarga[Sprint (m)],tblCarga[Jogador]=$B$4),_xlfn._xlws.FILTER(tblCarga[Data],tblCarga[Jogador]=$B$4),1),ROW()-11),"")</f>
        <v/>
      </c>
      <c r="I33" s="483">
        <f t="array" ref="I33">IFERROR(INDEX(_xlfn.SORTBY(_xlfn._xlws.FILTER(tblCarga[Acc (n)],tblCarga[Jogador]=$B$4),_xlfn._xlws.FILTER(tblCarga[Data],tblCarga[Jogador]=$B$4),1),ROW()-11),"")</f>
        <v/>
      </c>
      <c r="J33" s="483">
        <f t="array" ref="J33">IFERROR(INDEX(_xlfn.SORTBY(_xlfn._xlws.FILTER(tblCarga[Dcc (n)],tblCarga[Jogador]=$B$4),_xlfn._xlws.FILTER(tblCarga[Data],tblCarga[Jogador]=$B$4),1),ROW()-11),"")</f>
        <v/>
      </c>
      <c r="K33" s="483">
        <f t="array" ref="K33">IFERROR(INDEX(_xlfn.SORTBY(_xlfn._xlws.FILTER(tblCarga[PSE Sessão],tblCarga[Jogador]=$B$4),_xlfn._xlws.FILTER(tblCarga[Data],tblCarga[Jogador]=$B$4),1),ROW()-11),"")</f>
        <v/>
      </c>
      <c r="L33" s="484">
        <f t="array" ref="L33">IFERROR(INDEX(_xlfn.SORTBY(_xlfn._xlws.FILTER(tblCarga[Vel. Máx (km/h)],tblCarga[Jogador]=$B$4),_xlfn._xlws.FILTER(tblCarga[Data],tblCarga[Jogador]=$B$4),1),ROW()-11),"")</f>
        <v/>
      </c>
      <c r="M33" s="485">
        <f>IF(L33="","",L33/_xlfn.MAXIFS(tblCarga[Vel. Máx (km/h)],tblCarga[Jogador],$B$4))</f>
        <v/>
      </c>
      <c r="N33" s="483">
        <f t="array" ref="N33">IF(A33="","",IFERROR(INDEX(_xlfn.SORTBY(_xlfn._xlws.FILTER(tblCarga[Nº ≥85% Vmáx],tblCarga[Jogador]=$B$4),_xlfn._xlws.FILTER(tblCarga[Data],tblCarga[Jogador]=$B$4),1),ROW()-11),""))</f>
        <v/>
      </c>
      <c r="O33" s="483">
        <f t="array" ref="O33">IF(A33="","",IFERROR(INDEX(_xlfn.SORTBY(_xlfn._xlws.FILTER(tblCarga[Nº ≥90% Vmáx],tblCarga[Jogador]=$B$4),_xlfn._xlws.FILTER(tblCarga[Data],tblCarga[Jogador]=$B$4),1),ROW()-11),""))</f>
        <v/>
      </c>
      <c r="P33" s="483">
        <f t="array" ref="P33">IF(A33="","",IFERROR(INDEX(_xlfn.SORTBY(_xlfn._xlws.FILTER(tblCarga[Nº ≥95% Vmáx],tblCarga[Jogador]=$B$4),_xlfn._xlws.FILTER(tblCarga[Data],tblCarga[Jogador]=$B$4),1),ROW()-11),""))</f>
        <v/>
      </c>
    </row>
    <row r="34" ht="21.95" customHeight="1">
      <c r="A34" s="478">
        <f t="array" ref="A34">IFERROR(INDEX(_xlfn._xlws.SORT(_xlfn._xlws.FILTER(tblCarga[Data],tblCarga[Jogador]=$B$4),1,1),ROW()-11),"")</f>
        <v/>
      </c>
      <c r="B34" s="479">
        <f t="array" ref="B34">IFERROR(INDEX(_xlfn.SORTBY(_xlfn._xlws.FILTER(tblCarga[Microciclo],tblCarga[Jogador]=$B$4),_xlfn._xlws.FILTER(tblCarga[Data],tblCarga[Jogador]=$B$4),1),ROW()-11),"")</f>
        <v/>
      </c>
      <c r="C34" s="479">
        <f t="array" ref="C34">IFERROR(INDEX(_xlfn.SORTBY(_xlfn._xlws.FILTER(tblCarga[Dia MD],tblCarga[Jogador]=$B$4),_xlfn._xlws.FILTER(tblCarga[Data],tblCarga[Jogador]=$B$4),1),ROW()-11),"")</f>
        <v/>
      </c>
      <c r="D34" s="479">
        <f t="array" ref="D34">IFERROR(INDEX(_xlfn.SORTBY(_xlfn._xlws.FILTER(tblCarga[Tipo],tblCarga[Jogador]=$B$4),_xlfn._xlws.FILTER(tblCarga[Data],tblCarga[Jogador]=$B$4),1),ROW()-11),"")</f>
        <v/>
      </c>
      <c r="E34" s="479">
        <f t="array" ref="E34">IFERROR(INDEX(_xlfn.SORTBY(_xlfn._xlws.FILTER(tblCarga[Duração (min)],tblCarga[Jogador]=$B$4),_xlfn._xlws.FILTER(tblCarga[Data],tblCarga[Jogador]=$B$4),1),ROW()-11),"")</f>
        <v/>
      </c>
      <c r="F34" s="479">
        <f t="array" ref="F34">IFERROR(INDEX(_xlfn.SORTBY(_xlfn._xlws.FILTER(tblCarga[Distância Total (m)],tblCarga[Jogador]=$B$4),_xlfn._xlws.FILTER(tblCarga[Data],tblCarga[Jogador]=$B$4),1),ROW()-11),"")</f>
        <v/>
      </c>
      <c r="G34" s="479">
        <f t="array" ref="G34">IFERROR(INDEX(_xlfn.SORTBY(_xlfn._xlws.FILTER(tblCarga[HSR (m)],tblCarga[Jogador]=$B$4),_xlfn._xlws.FILTER(tblCarga[Data],tblCarga[Jogador]=$B$4),1),ROW()-11),"")</f>
        <v/>
      </c>
      <c r="H34" s="479">
        <f t="array" ref="H34">IFERROR(INDEX(_xlfn.SORTBY(_xlfn._xlws.FILTER(tblCarga[Sprint (m)],tblCarga[Jogador]=$B$4),_xlfn._xlws.FILTER(tblCarga[Data],tblCarga[Jogador]=$B$4),1),ROW()-11),"")</f>
        <v/>
      </c>
      <c r="I34" s="479">
        <f t="array" ref="I34">IFERROR(INDEX(_xlfn.SORTBY(_xlfn._xlws.FILTER(tblCarga[Acc (n)],tblCarga[Jogador]=$B$4),_xlfn._xlws.FILTER(tblCarga[Data],tblCarga[Jogador]=$B$4),1),ROW()-11),"")</f>
        <v/>
      </c>
      <c r="J34" s="479">
        <f t="array" ref="J34">IFERROR(INDEX(_xlfn.SORTBY(_xlfn._xlws.FILTER(tblCarga[Dcc (n)],tblCarga[Jogador]=$B$4),_xlfn._xlws.FILTER(tblCarga[Data],tblCarga[Jogador]=$B$4),1),ROW()-11),"")</f>
        <v/>
      </c>
      <c r="K34" s="479">
        <f t="array" ref="K34">IFERROR(INDEX(_xlfn.SORTBY(_xlfn._xlws.FILTER(tblCarga[PSE Sessão],tblCarga[Jogador]=$B$4),_xlfn._xlws.FILTER(tblCarga[Data],tblCarga[Jogador]=$B$4),1),ROW()-11),"")</f>
        <v/>
      </c>
      <c r="L34" s="480">
        <f t="array" ref="L34">IFERROR(INDEX(_xlfn.SORTBY(_xlfn._xlws.FILTER(tblCarga[Vel. Máx (km/h)],tblCarga[Jogador]=$B$4),_xlfn._xlws.FILTER(tblCarga[Data],tblCarga[Jogador]=$B$4),1),ROW()-11),"")</f>
        <v/>
      </c>
      <c r="M34" s="481">
        <f>IF(L34="","",L34/_xlfn.MAXIFS(tblCarga[Vel. Máx (km/h)],tblCarga[Jogador],$B$4))</f>
        <v/>
      </c>
      <c r="N34" s="479">
        <f t="array" ref="N34">IF(A34="","",IFERROR(INDEX(_xlfn.SORTBY(_xlfn._xlws.FILTER(tblCarga[Nº ≥85% Vmáx],tblCarga[Jogador]=$B$4),_xlfn._xlws.FILTER(tblCarga[Data],tblCarga[Jogador]=$B$4),1),ROW()-11),""))</f>
        <v/>
      </c>
      <c r="O34" s="479">
        <f t="array" ref="O34">IF(A34="","",IFERROR(INDEX(_xlfn.SORTBY(_xlfn._xlws.FILTER(tblCarga[Nº ≥90% Vmáx],tblCarga[Jogador]=$B$4),_xlfn._xlws.FILTER(tblCarga[Data],tblCarga[Jogador]=$B$4),1),ROW()-11),""))</f>
        <v/>
      </c>
      <c r="P34" s="479">
        <f t="array" ref="P34">IF(A34="","",IFERROR(INDEX(_xlfn.SORTBY(_xlfn._xlws.FILTER(tblCarga[Nº ≥95% Vmáx],tblCarga[Jogador]=$B$4),_xlfn._xlws.FILTER(tblCarga[Data],tblCarga[Jogador]=$B$4),1),ROW()-11),""))</f>
        <v/>
      </c>
    </row>
    <row r="35" ht="21.95" customHeight="1">
      <c r="A35" s="482">
        <f t="array" ref="A35">IFERROR(INDEX(_xlfn._xlws.SORT(_xlfn._xlws.FILTER(tblCarga[Data],tblCarga[Jogador]=$B$4),1,1),ROW()-11),"")</f>
        <v/>
      </c>
      <c r="B35" s="483">
        <f t="array" ref="B35">IFERROR(INDEX(_xlfn.SORTBY(_xlfn._xlws.FILTER(tblCarga[Microciclo],tblCarga[Jogador]=$B$4),_xlfn._xlws.FILTER(tblCarga[Data],tblCarga[Jogador]=$B$4),1),ROW()-11),"")</f>
        <v/>
      </c>
      <c r="C35" s="483">
        <f t="array" ref="C35">IFERROR(INDEX(_xlfn.SORTBY(_xlfn._xlws.FILTER(tblCarga[Dia MD],tblCarga[Jogador]=$B$4),_xlfn._xlws.FILTER(tblCarga[Data],tblCarga[Jogador]=$B$4),1),ROW()-11),"")</f>
        <v/>
      </c>
      <c r="D35" s="483">
        <f t="array" ref="D35">IFERROR(INDEX(_xlfn.SORTBY(_xlfn._xlws.FILTER(tblCarga[Tipo],tblCarga[Jogador]=$B$4),_xlfn._xlws.FILTER(tblCarga[Data],tblCarga[Jogador]=$B$4),1),ROW()-11),"")</f>
        <v/>
      </c>
      <c r="E35" s="483">
        <f t="array" ref="E35">IFERROR(INDEX(_xlfn.SORTBY(_xlfn._xlws.FILTER(tblCarga[Duração (min)],tblCarga[Jogador]=$B$4),_xlfn._xlws.FILTER(tblCarga[Data],tblCarga[Jogador]=$B$4),1),ROW()-11),"")</f>
        <v/>
      </c>
      <c r="F35" s="483">
        <f t="array" ref="F35">IFERROR(INDEX(_xlfn.SORTBY(_xlfn._xlws.FILTER(tblCarga[Distância Total (m)],tblCarga[Jogador]=$B$4),_xlfn._xlws.FILTER(tblCarga[Data],tblCarga[Jogador]=$B$4),1),ROW()-11),"")</f>
        <v/>
      </c>
      <c r="G35" s="483">
        <f t="array" ref="G35">IFERROR(INDEX(_xlfn.SORTBY(_xlfn._xlws.FILTER(tblCarga[HSR (m)],tblCarga[Jogador]=$B$4),_xlfn._xlws.FILTER(tblCarga[Data],tblCarga[Jogador]=$B$4),1),ROW()-11),"")</f>
        <v/>
      </c>
      <c r="H35" s="483">
        <f t="array" ref="H35">IFERROR(INDEX(_xlfn.SORTBY(_xlfn._xlws.FILTER(tblCarga[Sprint (m)],tblCarga[Jogador]=$B$4),_xlfn._xlws.FILTER(tblCarga[Data],tblCarga[Jogador]=$B$4),1),ROW()-11),"")</f>
        <v/>
      </c>
      <c r="I35" s="483">
        <f t="array" ref="I35">IFERROR(INDEX(_xlfn.SORTBY(_xlfn._xlws.FILTER(tblCarga[Acc (n)],tblCarga[Jogador]=$B$4),_xlfn._xlws.FILTER(tblCarga[Data],tblCarga[Jogador]=$B$4),1),ROW()-11),"")</f>
        <v/>
      </c>
      <c r="J35" s="483">
        <f t="array" ref="J35">IFERROR(INDEX(_xlfn.SORTBY(_xlfn._xlws.FILTER(tblCarga[Dcc (n)],tblCarga[Jogador]=$B$4),_xlfn._xlws.FILTER(tblCarga[Data],tblCarga[Jogador]=$B$4),1),ROW()-11),"")</f>
        <v/>
      </c>
      <c r="K35" s="483">
        <f t="array" ref="K35">IFERROR(INDEX(_xlfn.SORTBY(_xlfn._xlws.FILTER(tblCarga[PSE Sessão],tblCarga[Jogador]=$B$4),_xlfn._xlws.FILTER(tblCarga[Data],tblCarga[Jogador]=$B$4),1),ROW()-11),"")</f>
        <v/>
      </c>
      <c r="L35" s="484">
        <f t="array" ref="L35">IFERROR(INDEX(_xlfn.SORTBY(_xlfn._xlws.FILTER(tblCarga[Vel. Máx (km/h)],tblCarga[Jogador]=$B$4),_xlfn._xlws.FILTER(tblCarga[Data],tblCarga[Jogador]=$B$4),1),ROW()-11),"")</f>
        <v/>
      </c>
      <c r="M35" s="485">
        <f>IF(L35="","",L35/_xlfn.MAXIFS(tblCarga[Vel. Máx (km/h)],tblCarga[Jogador],$B$4))</f>
        <v/>
      </c>
      <c r="N35" s="483">
        <f t="array" ref="N35">IF(A35="","",IFERROR(INDEX(_xlfn.SORTBY(_xlfn._xlws.FILTER(tblCarga[Nº ≥85% Vmáx],tblCarga[Jogador]=$B$4),_xlfn._xlws.FILTER(tblCarga[Data],tblCarga[Jogador]=$B$4),1),ROW()-11),""))</f>
        <v/>
      </c>
      <c r="O35" s="483">
        <f t="array" ref="O35">IF(A35="","",IFERROR(INDEX(_xlfn.SORTBY(_xlfn._xlws.FILTER(tblCarga[Nº ≥90% Vmáx],tblCarga[Jogador]=$B$4),_xlfn._xlws.FILTER(tblCarga[Data],tblCarga[Jogador]=$B$4),1),ROW()-11),""))</f>
        <v/>
      </c>
      <c r="P35" s="483">
        <f t="array" ref="P35">IF(A35="","",IFERROR(INDEX(_xlfn.SORTBY(_xlfn._xlws.FILTER(tblCarga[Nº ≥95% Vmáx],tblCarga[Jogador]=$B$4),_xlfn._xlws.FILTER(tblCarga[Data],tblCarga[Jogador]=$B$4),1),ROW()-11),""))</f>
        <v/>
      </c>
    </row>
    <row r="36" ht="21.95" customHeight="1">
      <c r="A36" s="478">
        <f t="array" ref="A36">IFERROR(INDEX(_xlfn._xlws.SORT(_xlfn._xlws.FILTER(tblCarga[Data],tblCarga[Jogador]=$B$4),1,1),ROW()-11),"")</f>
        <v/>
      </c>
      <c r="B36" s="479">
        <f t="array" ref="B36">IFERROR(INDEX(_xlfn.SORTBY(_xlfn._xlws.FILTER(tblCarga[Microciclo],tblCarga[Jogador]=$B$4),_xlfn._xlws.FILTER(tblCarga[Data],tblCarga[Jogador]=$B$4),1),ROW()-11),"")</f>
        <v/>
      </c>
      <c r="C36" s="479">
        <f t="array" ref="C36">IFERROR(INDEX(_xlfn.SORTBY(_xlfn._xlws.FILTER(tblCarga[Dia MD],tblCarga[Jogador]=$B$4),_xlfn._xlws.FILTER(tblCarga[Data],tblCarga[Jogador]=$B$4),1),ROW()-11),"")</f>
        <v/>
      </c>
      <c r="D36" s="479">
        <f t="array" ref="D36">IFERROR(INDEX(_xlfn.SORTBY(_xlfn._xlws.FILTER(tblCarga[Tipo],tblCarga[Jogador]=$B$4),_xlfn._xlws.FILTER(tblCarga[Data],tblCarga[Jogador]=$B$4),1),ROW()-11),"")</f>
        <v/>
      </c>
      <c r="E36" s="479">
        <f t="array" ref="E36">IFERROR(INDEX(_xlfn.SORTBY(_xlfn._xlws.FILTER(tblCarga[Duração (min)],tblCarga[Jogador]=$B$4),_xlfn._xlws.FILTER(tblCarga[Data],tblCarga[Jogador]=$B$4),1),ROW()-11),"")</f>
        <v/>
      </c>
      <c r="F36" s="479">
        <f t="array" ref="F36">IFERROR(INDEX(_xlfn.SORTBY(_xlfn._xlws.FILTER(tblCarga[Distância Total (m)],tblCarga[Jogador]=$B$4),_xlfn._xlws.FILTER(tblCarga[Data],tblCarga[Jogador]=$B$4),1),ROW()-11),"")</f>
        <v/>
      </c>
      <c r="G36" s="479">
        <f t="array" ref="G36">IFERROR(INDEX(_xlfn.SORTBY(_xlfn._xlws.FILTER(tblCarga[HSR (m)],tblCarga[Jogador]=$B$4),_xlfn._xlws.FILTER(tblCarga[Data],tblCarga[Jogador]=$B$4),1),ROW()-11),"")</f>
        <v/>
      </c>
      <c r="H36" s="479">
        <f t="array" ref="H36">IFERROR(INDEX(_xlfn.SORTBY(_xlfn._xlws.FILTER(tblCarga[Sprint (m)],tblCarga[Jogador]=$B$4),_xlfn._xlws.FILTER(tblCarga[Data],tblCarga[Jogador]=$B$4),1),ROW()-11),"")</f>
        <v/>
      </c>
      <c r="I36" s="479">
        <f t="array" ref="I36">IFERROR(INDEX(_xlfn.SORTBY(_xlfn._xlws.FILTER(tblCarga[Acc (n)],tblCarga[Jogador]=$B$4),_xlfn._xlws.FILTER(tblCarga[Data],tblCarga[Jogador]=$B$4),1),ROW()-11),"")</f>
        <v/>
      </c>
      <c r="J36" s="479">
        <f t="array" ref="J36">IFERROR(INDEX(_xlfn.SORTBY(_xlfn._xlws.FILTER(tblCarga[Dcc (n)],tblCarga[Jogador]=$B$4),_xlfn._xlws.FILTER(tblCarga[Data],tblCarga[Jogador]=$B$4),1),ROW()-11),"")</f>
        <v/>
      </c>
      <c r="K36" s="479">
        <f t="array" ref="K36">IFERROR(INDEX(_xlfn.SORTBY(_xlfn._xlws.FILTER(tblCarga[PSE Sessão],tblCarga[Jogador]=$B$4),_xlfn._xlws.FILTER(tblCarga[Data],tblCarga[Jogador]=$B$4),1),ROW()-11),"")</f>
        <v/>
      </c>
      <c r="L36" s="480">
        <f t="array" ref="L36">IFERROR(INDEX(_xlfn.SORTBY(_xlfn._xlws.FILTER(tblCarga[Vel. Máx (km/h)],tblCarga[Jogador]=$B$4),_xlfn._xlws.FILTER(tblCarga[Data],tblCarga[Jogador]=$B$4),1),ROW()-11),"")</f>
        <v/>
      </c>
      <c r="M36" s="481">
        <f>IF(L36="","",L36/_xlfn.MAXIFS(tblCarga[Vel. Máx (km/h)],tblCarga[Jogador],$B$4))</f>
        <v/>
      </c>
      <c r="N36" s="479">
        <f t="array" ref="N36">IF(A36="","",IFERROR(INDEX(_xlfn.SORTBY(_xlfn._xlws.FILTER(tblCarga[Nº ≥85% Vmáx],tblCarga[Jogador]=$B$4),_xlfn._xlws.FILTER(tblCarga[Data],tblCarga[Jogador]=$B$4),1),ROW()-11),""))</f>
        <v/>
      </c>
      <c r="O36" s="479">
        <f t="array" ref="O36">IF(A36="","",IFERROR(INDEX(_xlfn.SORTBY(_xlfn._xlws.FILTER(tblCarga[Nº ≥90% Vmáx],tblCarga[Jogador]=$B$4),_xlfn._xlws.FILTER(tblCarga[Data],tblCarga[Jogador]=$B$4),1),ROW()-11),""))</f>
        <v/>
      </c>
      <c r="P36" s="479">
        <f t="array" ref="P36">IF(A36="","",IFERROR(INDEX(_xlfn.SORTBY(_xlfn._xlws.FILTER(tblCarga[Nº ≥95% Vmáx],tblCarga[Jogador]=$B$4),_xlfn._xlws.FILTER(tblCarga[Data],tblCarga[Jogador]=$B$4),1),ROW()-11),""))</f>
        <v/>
      </c>
    </row>
    <row r="37" ht="21.95" customHeight="1">
      <c r="A37" s="482">
        <f t="array" ref="A37">IFERROR(INDEX(_xlfn._xlws.SORT(_xlfn._xlws.FILTER(tblCarga[Data],tblCarga[Jogador]=$B$4),1,1),ROW()-11),"")</f>
        <v/>
      </c>
      <c r="B37" s="483">
        <f t="array" ref="B37">IFERROR(INDEX(_xlfn.SORTBY(_xlfn._xlws.FILTER(tblCarga[Microciclo],tblCarga[Jogador]=$B$4),_xlfn._xlws.FILTER(tblCarga[Data],tblCarga[Jogador]=$B$4),1),ROW()-11),"")</f>
        <v/>
      </c>
      <c r="C37" s="483">
        <f t="array" ref="C37">IFERROR(INDEX(_xlfn.SORTBY(_xlfn._xlws.FILTER(tblCarga[Dia MD],tblCarga[Jogador]=$B$4),_xlfn._xlws.FILTER(tblCarga[Data],tblCarga[Jogador]=$B$4),1),ROW()-11),"")</f>
        <v/>
      </c>
      <c r="D37" s="483">
        <f t="array" ref="D37">IFERROR(INDEX(_xlfn.SORTBY(_xlfn._xlws.FILTER(tblCarga[Tipo],tblCarga[Jogador]=$B$4),_xlfn._xlws.FILTER(tblCarga[Data],tblCarga[Jogador]=$B$4),1),ROW()-11),"")</f>
        <v/>
      </c>
      <c r="E37" s="483">
        <f t="array" ref="E37">IFERROR(INDEX(_xlfn.SORTBY(_xlfn._xlws.FILTER(tblCarga[Duração (min)],tblCarga[Jogador]=$B$4),_xlfn._xlws.FILTER(tblCarga[Data],tblCarga[Jogador]=$B$4),1),ROW()-11),"")</f>
        <v/>
      </c>
      <c r="F37" s="483">
        <f t="array" ref="F37">IFERROR(INDEX(_xlfn.SORTBY(_xlfn._xlws.FILTER(tblCarga[Distância Total (m)],tblCarga[Jogador]=$B$4),_xlfn._xlws.FILTER(tblCarga[Data],tblCarga[Jogador]=$B$4),1),ROW()-11),"")</f>
        <v/>
      </c>
      <c r="G37" s="483">
        <f t="array" ref="G37">IFERROR(INDEX(_xlfn.SORTBY(_xlfn._xlws.FILTER(tblCarga[HSR (m)],tblCarga[Jogador]=$B$4),_xlfn._xlws.FILTER(tblCarga[Data],tblCarga[Jogador]=$B$4),1),ROW()-11),"")</f>
        <v/>
      </c>
      <c r="H37" s="483">
        <f t="array" ref="H37">IFERROR(INDEX(_xlfn.SORTBY(_xlfn._xlws.FILTER(tblCarga[Sprint (m)],tblCarga[Jogador]=$B$4),_xlfn._xlws.FILTER(tblCarga[Data],tblCarga[Jogador]=$B$4),1),ROW()-11),"")</f>
        <v/>
      </c>
      <c r="I37" s="483">
        <f t="array" ref="I37">IFERROR(INDEX(_xlfn.SORTBY(_xlfn._xlws.FILTER(tblCarga[Acc (n)],tblCarga[Jogador]=$B$4),_xlfn._xlws.FILTER(tblCarga[Data],tblCarga[Jogador]=$B$4),1),ROW()-11),"")</f>
        <v/>
      </c>
      <c r="J37" s="483">
        <f t="array" ref="J37">IFERROR(INDEX(_xlfn.SORTBY(_xlfn._xlws.FILTER(tblCarga[Dcc (n)],tblCarga[Jogador]=$B$4),_xlfn._xlws.FILTER(tblCarga[Data],tblCarga[Jogador]=$B$4),1),ROW()-11),"")</f>
        <v/>
      </c>
      <c r="K37" s="483">
        <f t="array" ref="K37">IFERROR(INDEX(_xlfn.SORTBY(_xlfn._xlws.FILTER(tblCarga[PSE Sessão],tblCarga[Jogador]=$B$4),_xlfn._xlws.FILTER(tblCarga[Data],tblCarga[Jogador]=$B$4),1),ROW()-11),"")</f>
        <v/>
      </c>
      <c r="L37" s="484">
        <f t="array" ref="L37">IFERROR(INDEX(_xlfn.SORTBY(_xlfn._xlws.FILTER(tblCarga[Vel. Máx (km/h)],tblCarga[Jogador]=$B$4),_xlfn._xlws.FILTER(tblCarga[Data],tblCarga[Jogador]=$B$4),1),ROW()-11),"")</f>
        <v/>
      </c>
      <c r="M37" s="485">
        <f>IF(L37="","",L37/_xlfn.MAXIFS(tblCarga[Vel. Máx (km/h)],tblCarga[Jogador],$B$4))</f>
        <v/>
      </c>
      <c r="N37" s="483">
        <f t="array" ref="N37">IF(A37="","",IFERROR(INDEX(_xlfn.SORTBY(_xlfn._xlws.FILTER(tblCarga[Nº ≥85% Vmáx],tblCarga[Jogador]=$B$4),_xlfn._xlws.FILTER(tblCarga[Data],tblCarga[Jogador]=$B$4),1),ROW()-11),""))</f>
        <v/>
      </c>
      <c r="O37" s="483">
        <f t="array" ref="O37">IF(A37="","",IFERROR(INDEX(_xlfn.SORTBY(_xlfn._xlws.FILTER(tblCarga[Nº ≥90% Vmáx],tblCarga[Jogador]=$B$4),_xlfn._xlws.FILTER(tblCarga[Data],tblCarga[Jogador]=$B$4),1),ROW()-11),""))</f>
        <v/>
      </c>
      <c r="P37" s="483">
        <f t="array" ref="P37">IF(A37="","",IFERROR(INDEX(_xlfn.SORTBY(_xlfn._xlws.FILTER(tblCarga[Nº ≥95% Vmáx],tblCarga[Jogador]=$B$4),_xlfn._xlws.FILTER(tblCarga[Data],tblCarga[Jogador]=$B$4),1),ROW()-11),""))</f>
        <v/>
      </c>
    </row>
    <row r="38" ht="21.95" customHeight="1">
      <c r="A38" s="478">
        <f t="array" ref="A38">IFERROR(INDEX(_xlfn._xlws.SORT(_xlfn._xlws.FILTER(tblCarga[Data],tblCarga[Jogador]=$B$4),1,1),ROW()-11),"")</f>
        <v/>
      </c>
      <c r="B38" s="479">
        <f t="array" ref="B38">IFERROR(INDEX(_xlfn.SORTBY(_xlfn._xlws.FILTER(tblCarga[Microciclo],tblCarga[Jogador]=$B$4),_xlfn._xlws.FILTER(tblCarga[Data],tblCarga[Jogador]=$B$4),1),ROW()-11),"")</f>
        <v/>
      </c>
      <c r="C38" s="479">
        <f t="array" ref="C38">IFERROR(INDEX(_xlfn.SORTBY(_xlfn._xlws.FILTER(tblCarga[Dia MD],tblCarga[Jogador]=$B$4),_xlfn._xlws.FILTER(tblCarga[Data],tblCarga[Jogador]=$B$4),1),ROW()-11),"")</f>
        <v/>
      </c>
      <c r="D38" s="479">
        <f t="array" ref="D38">IFERROR(INDEX(_xlfn.SORTBY(_xlfn._xlws.FILTER(tblCarga[Tipo],tblCarga[Jogador]=$B$4),_xlfn._xlws.FILTER(tblCarga[Data],tblCarga[Jogador]=$B$4),1),ROW()-11),"")</f>
        <v/>
      </c>
      <c r="E38" s="479">
        <f t="array" ref="E38">IFERROR(INDEX(_xlfn.SORTBY(_xlfn._xlws.FILTER(tblCarga[Duração (min)],tblCarga[Jogador]=$B$4),_xlfn._xlws.FILTER(tblCarga[Data],tblCarga[Jogador]=$B$4),1),ROW()-11),"")</f>
        <v/>
      </c>
      <c r="F38" s="479">
        <f t="array" ref="F38">IFERROR(INDEX(_xlfn.SORTBY(_xlfn._xlws.FILTER(tblCarga[Distância Total (m)],tblCarga[Jogador]=$B$4),_xlfn._xlws.FILTER(tblCarga[Data],tblCarga[Jogador]=$B$4),1),ROW()-11),"")</f>
        <v/>
      </c>
      <c r="G38" s="479">
        <f t="array" ref="G38">IFERROR(INDEX(_xlfn.SORTBY(_xlfn._xlws.FILTER(tblCarga[HSR (m)],tblCarga[Jogador]=$B$4),_xlfn._xlws.FILTER(tblCarga[Data],tblCarga[Jogador]=$B$4),1),ROW()-11),"")</f>
        <v/>
      </c>
      <c r="H38" s="479">
        <f t="array" ref="H38">IFERROR(INDEX(_xlfn.SORTBY(_xlfn._xlws.FILTER(tblCarga[Sprint (m)],tblCarga[Jogador]=$B$4),_xlfn._xlws.FILTER(tblCarga[Data],tblCarga[Jogador]=$B$4),1),ROW()-11),"")</f>
        <v/>
      </c>
      <c r="I38" s="479">
        <f t="array" ref="I38">IFERROR(INDEX(_xlfn.SORTBY(_xlfn._xlws.FILTER(tblCarga[Acc (n)],tblCarga[Jogador]=$B$4),_xlfn._xlws.FILTER(tblCarga[Data],tblCarga[Jogador]=$B$4),1),ROW()-11),"")</f>
        <v/>
      </c>
      <c r="J38" s="479">
        <f t="array" ref="J38">IFERROR(INDEX(_xlfn.SORTBY(_xlfn._xlws.FILTER(tblCarga[Dcc (n)],tblCarga[Jogador]=$B$4),_xlfn._xlws.FILTER(tblCarga[Data],tblCarga[Jogador]=$B$4),1),ROW()-11),"")</f>
        <v/>
      </c>
      <c r="K38" s="479">
        <f t="array" ref="K38">IFERROR(INDEX(_xlfn.SORTBY(_xlfn._xlws.FILTER(tblCarga[PSE Sessão],tblCarga[Jogador]=$B$4),_xlfn._xlws.FILTER(tblCarga[Data],tblCarga[Jogador]=$B$4),1),ROW()-11),"")</f>
        <v/>
      </c>
      <c r="L38" s="480">
        <f t="array" ref="L38">IFERROR(INDEX(_xlfn.SORTBY(_xlfn._xlws.FILTER(tblCarga[Vel. Máx (km/h)],tblCarga[Jogador]=$B$4),_xlfn._xlws.FILTER(tblCarga[Data],tblCarga[Jogador]=$B$4),1),ROW()-11),"")</f>
        <v/>
      </c>
      <c r="M38" s="481">
        <f>IF(L38="","",L38/_xlfn.MAXIFS(tblCarga[Vel. Máx (km/h)],tblCarga[Jogador],$B$4))</f>
        <v/>
      </c>
      <c r="N38" s="479">
        <f t="array" ref="N38">IF(A38="","",IFERROR(INDEX(_xlfn.SORTBY(_xlfn._xlws.FILTER(tblCarga[Nº ≥85% Vmáx],tblCarga[Jogador]=$B$4),_xlfn._xlws.FILTER(tblCarga[Data],tblCarga[Jogador]=$B$4),1),ROW()-11),""))</f>
        <v/>
      </c>
      <c r="O38" s="479">
        <f t="array" ref="O38">IF(A38="","",IFERROR(INDEX(_xlfn.SORTBY(_xlfn._xlws.FILTER(tblCarga[Nº ≥90% Vmáx],tblCarga[Jogador]=$B$4),_xlfn._xlws.FILTER(tblCarga[Data],tblCarga[Jogador]=$B$4),1),ROW()-11),""))</f>
        <v/>
      </c>
      <c r="P38" s="479">
        <f t="array" ref="P38">IF(A38="","",IFERROR(INDEX(_xlfn.SORTBY(_xlfn._xlws.FILTER(tblCarga[Nº ≥95% Vmáx],tblCarga[Jogador]=$B$4),_xlfn._xlws.FILTER(tblCarga[Data],tblCarga[Jogador]=$B$4),1),ROW()-11),""))</f>
        <v/>
      </c>
    </row>
    <row r="39" ht="21.95" customHeight="1">
      <c r="A39" s="482">
        <f t="array" ref="A39">IFERROR(INDEX(_xlfn._xlws.SORT(_xlfn._xlws.FILTER(tblCarga[Data],tblCarga[Jogador]=$B$4),1,1),ROW()-11),"")</f>
        <v/>
      </c>
      <c r="B39" s="483">
        <f t="array" ref="B39">IFERROR(INDEX(_xlfn.SORTBY(_xlfn._xlws.FILTER(tblCarga[Microciclo],tblCarga[Jogador]=$B$4),_xlfn._xlws.FILTER(tblCarga[Data],tblCarga[Jogador]=$B$4),1),ROW()-11),"")</f>
        <v/>
      </c>
      <c r="C39" s="483">
        <f t="array" ref="C39">IFERROR(INDEX(_xlfn.SORTBY(_xlfn._xlws.FILTER(tblCarga[Dia MD],tblCarga[Jogador]=$B$4),_xlfn._xlws.FILTER(tblCarga[Data],tblCarga[Jogador]=$B$4),1),ROW()-11),"")</f>
        <v/>
      </c>
      <c r="D39" s="483">
        <f t="array" ref="D39">IFERROR(INDEX(_xlfn.SORTBY(_xlfn._xlws.FILTER(tblCarga[Tipo],tblCarga[Jogador]=$B$4),_xlfn._xlws.FILTER(tblCarga[Data],tblCarga[Jogador]=$B$4),1),ROW()-11),"")</f>
        <v/>
      </c>
      <c r="E39" s="483">
        <f t="array" ref="E39">IFERROR(INDEX(_xlfn.SORTBY(_xlfn._xlws.FILTER(tblCarga[Duração (min)],tblCarga[Jogador]=$B$4),_xlfn._xlws.FILTER(tblCarga[Data],tblCarga[Jogador]=$B$4),1),ROW()-11),"")</f>
        <v/>
      </c>
      <c r="F39" s="483">
        <f t="array" ref="F39">IFERROR(INDEX(_xlfn.SORTBY(_xlfn._xlws.FILTER(tblCarga[Distância Total (m)],tblCarga[Jogador]=$B$4),_xlfn._xlws.FILTER(tblCarga[Data],tblCarga[Jogador]=$B$4),1),ROW()-11),"")</f>
        <v/>
      </c>
      <c r="G39" s="483">
        <f t="array" ref="G39">IFERROR(INDEX(_xlfn.SORTBY(_xlfn._xlws.FILTER(tblCarga[HSR (m)],tblCarga[Jogador]=$B$4),_xlfn._xlws.FILTER(tblCarga[Data],tblCarga[Jogador]=$B$4),1),ROW()-11),"")</f>
        <v/>
      </c>
      <c r="H39" s="483">
        <f t="array" ref="H39">IFERROR(INDEX(_xlfn.SORTBY(_xlfn._xlws.FILTER(tblCarga[Sprint (m)],tblCarga[Jogador]=$B$4),_xlfn._xlws.FILTER(tblCarga[Data],tblCarga[Jogador]=$B$4),1),ROW()-11),"")</f>
        <v/>
      </c>
      <c r="I39" s="483">
        <f t="array" ref="I39">IFERROR(INDEX(_xlfn.SORTBY(_xlfn._xlws.FILTER(tblCarga[Acc (n)],tblCarga[Jogador]=$B$4),_xlfn._xlws.FILTER(tblCarga[Data],tblCarga[Jogador]=$B$4),1),ROW()-11),"")</f>
        <v/>
      </c>
      <c r="J39" s="483">
        <f t="array" ref="J39">IFERROR(INDEX(_xlfn.SORTBY(_xlfn._xlws.FILTER(tblCarga[Dcc (n)],tblCarga[Jogador]=$B$4),_xlfn._xlws.FILTER(tblCarga[Data],tblCarga[Jogador]=$B$4),1),ROW()-11),"")</f>
        <v/>
      </c>
      <c r="K39" s="483">
        <f t="array" ref="K39">IFERROR(INDEX(_xlfn.SORTBY(_xlfn._xlws.FILTER(tblCarga[PSE Sessão],tblCarga[Jogador]=$B$4),_xlfn._xlws.FILTER(tblCarga[Data],tblCarga[Jogador]=$B$4),1),ROW()-11),"")</f>
        <v/>
      </c>
      <c r="L39" s="484">
        <f t="array" ref="L39">IFERROR(INDEX(_xlfn.SORTBY(_xlfn._xlws.FILTER(tblCarga[Vel. Máx (km/h)],tblCarga[Jogador]=$B$4),_xlfn._xlws.FILTER(tblCarga[Data],tblCarga[Jogador]=$B$4),1),ROW()-11),"")</f>
        <v/>
      </c>
      <c r="M39" s="485">
        <f>IF(L39="","",L39/_xlfn.MAXIFS(tblCarga[Vel. Máx (km/h)],tblCarga[Jogador],$B$4))</f>
        <v/>
      </c>
      <c r="N39" s="483">
        <f t="array" ref="N39">IF(A39="","",IFERROR(INDEX(_xlfn.SORTBY(_xlfn._xlws.FILTER(tblCarga[Nº ≥85% Vmáx],tblCarga[Jogador]=$B$4),_xlfn._xlws.FILTER(tblCarga[Data],tblCarga[Jogador]=$B$4),1),ROW()-11),""))</f>
        <v/>
      </c>
      <c r="O39" s="483">
        <f t="array" ref="O39">IF(A39="","",IFERROR(INDEX(_xlfn.SORTBY(_xlfn._xlws.FILTER(tblCarga[Nº ≥90% Vmáx],tblCarga[Jogador]=$B$4),_xlfn._xlws.FILTER(tblCarga[Data],tblCarga[Jogador]=$B$4),1),ROW()-11),""))</f>
        <v/>
      </c>
      <c r="P39" s="483">
        <f t="array" ref="P39">IF(A39="","",IFERROR(INDEX(_xlfn.SORTBY(_xlfn._xlws.FILTER(tblCarga[Nº ≥95% Vmáx],tblCarga[Jogador]=$B$4),_xlfn._xlws.FILTER(tblCarga[Data],tblCarga[Jogador]=$B$4),1),ROW()-11),""))</f>
        <v/>
      </c>
    </row>
    <row r="40" ht="21.95" customHeight="1">
      <c r="A40" s="478">
        <f t="array" ref="A40">IFERROR(INDEX(_xlfn._xlws.SORT(_xlfn._xlws.FILTER(tblCarga[Data],tblCarga[Jogador]=$B$4),1,1),ROW()-11),"")</f>
        <v/>
      </c>
      <c r="B40" s="479">
        <f t="array" ref="B40">IFERROR(INDEX(_xlfn.SORTBY(_xlfn._xlws.FILTER(tblCarga[Microciclo],tblCarga[Jogador]=$B$4),_xlfn._xlws.FILTER(tblCarga[Data],tblCarga[Jogador]=$B$4),1),ROW()-11),"")</f>
        <v/>
      </c>
      <c r="C40" s="479">
        <f t="array" ref="C40">IFERROR(INDEX(_xlfn.SORTBY(_xlfn._xlws.FILTER(tblCarga[Dia MD],tblCarga[Jogador]=$B$4),_xlfn._xlws.FILTER(tblCarga[Data],tblCarga[Jogador]=$B$4),1),ROW()-11),"")</f>
        <v/>
      </c>
      <c r="D40" s="479">
        <f t="array" ref="D40">IFERROR(INDEX(_xlfn.SORTBY(_xlfn._xlws.FILTER(tblCarga[Tipo],tblCarga[Jogador]=$B$4),_xlfn._xlws.FILTER(tblCarga[Data],tblCarga[Jogador]=$B$4),1),ROW()-11),"")</f>
        <v/>
      </c>
      <c r="E40" s="479">
        <f t="array" ref="E40">IFERROR(INDEX(_xlfn.SORTBY(_xlfn._xlws.FILTER(tblCarga[Duração (min)],tblCarga[Jogador]=$B$4),_xlfn._xlws.FILTER(tblCarga[Data],tblCarga[Jogador]=$B$4),1),ROW()-11),"")</f>
        <v/>
      </c>
      <c r="F40" s="479">
        <f t="array" ref="F40">IFERROR(INDEX(_xlfn.SORTBY(_xlfn._xlws.FILTER(tblCarga[Distância Total (m)],tblCarga[Jogador]=$B$4),_xlfn._xlws.FILTER(tblCarga[Data],tblCarga[Jogador]=$B$4),1),ROW()-11),"")</f>
        <v/>
      </c>
      <c r="G40" s="479">
        <f t="array" ref="G40">IFERROR(INDEX(_xlfn.SORTBY(_xlfn._xlws.FILTER(tblCarga[HSR (m)],tblCarga[Jogador]=$B$4),_xlfn._xlws.FILTER(tblCarga[Data],tblCarga[Jogador]=$B$4),1),ROW()-11),"")</f>
        <v/>
      </c>
      <c r="H40" s="479">
        <f t="array" ref="H40">IFERROR(INDEX(_xlfn.SORTBY(_xlfn._xlws.FILTER(tblCarga[Sprint (m)],tblCarga[Jogador]=$B$4),_xlfn._xlws.FILTER(tblCarga[Data],tblCarga[Jogador]=$B$4),1),ROW()-11),"")</f>
        <v/>
      </c>
      <c r="I40" s="479">
        <f t="array" ref="I40">IFERROR(INDEX(_xlfn.SORTBY(_xlfn._xlws.FILTER(tblCarga[Acc (n)],tblCarga[Jogador]=$B$4),_xlfn._xlws.FILTER(tblCarga[Data],tblCarga[Jogador]=$B$4),1),ROW()-11),"")</f>
        <v/>
      </c>
      <c r="J40" s="479">
        <f t="array" ref="J40">IFERROR(INDEX(_xlfn.SORTBY(_xlfn._xlws.FILTER(tblCarga[Dcc (n)],tblCarga[Jogador]=$B$4),_xlfn._xlws.FILTER(tblCarga[Data],tblCarga[Jogador]=$B$4),1),ROW()-11),"")</f>
        <v/>
      </c>
      <c r="K40" s="479">
        <f t="array" ref="K40">IFERROR(INDEX(_xlfn.SORTBY(_xlfn._xlws.FILTER(tblCarga[PSE Sessão],tblCarga[Jogador]=$B$4),_xlfn._xlws.FILTER(tblCarga[Data],tblCarga[Jogador]=$B$4),1),ROW()-11),"")</f>
        <v/>
      </c>
      <c r="L40" s="480">
        <f t="array" ref="L40">IFERROR(INDEX(_xlfn.SORTBY(_xlfn._xlws.FILTER(tblCarga[Vel. Máx (km/h)],tblCarga[Jogador]=$B$4),_xlfn._xlws.FILTER(tblCarga[Data],tblCarga[Jogador]=$B$4),1),ROW()-11),"")</f>
        <v/>
      </c>
      <c r="M40" s="481">
        <f>IF(L40="","",L40/_xlfn.MAXIFS(tblCarga[Vel. Máx (km/h)],tblCarga[Jogador],$B$4))</f>
        <v/>
      </c>
      <c r="N40" s="479">
        <f t="array" ref="N40">IF(A40="","",IFERROR(INDEX(_xlfn.SORTBY(_xlfn._xlws.FILTER(tblCarga[Nº ≥85% Vmáx],tblCarga[Jogador]=$B$4),_xlfn._xlws.FILTER(tblCarga[Data],tblCarga[Jogador]=$B$4),1),ROW()-11),""))</f>
        <v/>
      </c>
      <c r="O40" s="479">
        <f t="array" ref="O40">IF(A40="","",IFERROR(INDEX(_xlfn.SORTBY(_xlfn._xlws.FILTER(tblCarga[Nº ≥90% Vmáx],tblCarga[Jogador]=$B$4),_xlfn._xlws.FILTER(tblCarga[Data],tblCarga[Jogador]=$B$4),1),ROW()-11),""))</f>
        <v/>
      </c>
      <c r="P40" s="479">
        <f t="array" ref="P40">IF(A40="","",IFERROR(INDEX(_xlfn.SORTBY(_xlfn._xlws.FILTER(tblCarga[Nº ≥95% Vmáx],tblCarga[Jogador]=$B$4),_xlfn._xlws.FILTER(tblCarga[Data],tblCarga[Jogador]=$B$4),1),ROW()-11),""))</f>
        <v/>
      </c>
    </row>
    <row r="41" ht="21.95" customHeight="1">
      <c r="A41" s="482">
        <f t="array" ref="A41">IFERROR(INDEX(_xlfn._xlws.SORT(_xlfn._xlws.FILTER(tblCarga[Data],tblCarga[Jogador]=$B$4),1,1),ROW()-11),"")</f>
        <v/>
      </c>
      <c r="B41" s="483">
        <f t="array" ref="B41">IFERROR(INDEX(_xlfn.SORTBY(_xlfn._xlws.FILTER(tblCarga[Microciclo],tblCarga[Jogador]=$B$4),_xlfn._xlws.FILTER(tblCarga[Data],tblCarga[Jogador]=$B$4),1),ROW()-11),"")</f>
        <v/>
      </c>
      <c r="C41" s="483">
        <f t="array" ref="C41">IFERROR(INDEX(_xlfn.SORTBY(_xlfn._xlws.FILTER(tblCarga[Dia MD],tblCarga[Jogador]=$B$4),_xlfn._xlws.FILTER(tblCarga[Data],tblCarga[Jogador]=$B$4),1),ROW()-11),"")</f>
        <v/>
      </c>
      <c r="D41" s="483">
        <f t="array" ref="D41">IFERROR(INDEX(_xlfn.SORTBY(_xlfn._xlws.FILTER(tblCarga[Tipo],tblCarga[Jogador]=$B$4),_xlfn._xlws.FILTER(tblCarga[Data],tblCarga[Jogador]=$B$4),1),ROW()-11),"")</f>
        <v/>
      </c>
      <c r="E41" s="483">
        <f t="array" ref="E41">IFERROR(INDEX(_xlfn.SORTBY(_xlfn._xlws.FILTER(tblCarga[Duração (min)],tblCarga[Jogador]=$B$4),_xlfn._xlws.FILTER(tblCarga[Data],tblCarga[Jogador]=$B$4),1),ROW()-11),"")</f>
        <v/>
      </c>
      <c r="F41" s="483">
        <f t="array" ref="F41">IFERROR(INDEX(_xlfn.SORTBY(_xlfn._xlws.FILTER(tblCarga[Distância Total (m)],tblCarga[Jogador]=$B$4),_xlfn._xlws.FILTER(tblCarga[Data],tblCarga[Jogador]=$B$4),1),ROW()-11),"")</f>
        <v/>
      </c>
      <c r="G41" s="483">
        <f t="array" ref="G41">IFERROR(INDEX(_xlfn.SORTBY(_xlfn._xlws.FILTER(tblCarga[HSR (m)],tblCarga[Jogador]=$B$4),_xlfn._xlws.FILTER(tblCarga[Data],tblCarga[Jogador]=$B$4),1),ROW()-11),"")</f>
        <v/>
      </c>
      <c r="H41" s="483">
        <f t="array" ref="H41">IFERROR(INDEX(_xlfn.SORTBY(_xlfn._xlws.FILTER(tblCarga[Sprint (m)],tblCarga[Jogador]=$B$4),_xlfn._xlws.FILTER(tblCarga[Data],tblCarga[Jogador]=$B$4),1),ROW()-11),"")</f>
        <v/>
      </c>
      <c r="I41" s="483">
        <f t="array" ref="I41">IFERROR(INDEX(_xlfn.SORTBY(_xlfn._xlws.FILTER(tblCarga[Acc (n)],tblCarga[Jogador]=$B$4),_xlfn._xlws.FILTER(tblCarga[Data],tblCarga[Jogador]=$B$4),1),ROW()-11),"")</f>
        <v/>
      </c>
      <c r="J41" s="483">
        <f t="array" ref="J41">IFERROR(INDEX(_xlfn.SORTBY(_xlfn._xlws.FILTER(tblCarga[Dcc (n)],tblCarga[Jogador]=$B$4),_xlfn._xlws.FILTER(tblCarga[Data],tblCarga[Jogador]=$B$4),1),ROW()-11),"")</f>
        <v/>
      </c>
      <c r="K41" s="483">
        <f t="array" ref="K41">IFERROR(INDEX(_xlfn.SORTBY(_xlfn._xlws.FILTER(tblCarga[PSE Sessão],tblCarga[Jogador]=$B$4),_xlfn._xlws.FILTER(tblCarga[Data],tblCarga[Jogador]=$B$4),1),ROW()-11),"")</f>
        <v/>
      </c>
      <c r="L41" s="484">
        <f t="array" ref="L41">IFERROR(INDEX(_xlfn.SORTBY(_xlfn._xlws.FILTER(tblCarga[Vel. Máx (km/h)],tblCarga[Jogador]=$B$4),_xlfn._xlws.FILTER(tblCarga[Data],tblCarga[Jogador]=$B$4),1),ROW()-11),"")</f>
        <v/>
      </c>
      <c r="M41" s="485">
        <f>IF(L41="","",L41/_xlfn.MAXIFS(tblCarga[Vel. Máx (km/h)],tblCarga[Jogador],$B$4))</f>
        <v/>
      </c>
      <c r="N41" s="483">
        <f t="array" ref="N41">IF(A41="","",IFERROR(INDEX(_xlfn.SORTBY(_xlfn._xlws.FILTER(tblCarga[Nº ≥85% Vmáx],tblCarga[Jogador]=$B$4),_xlfn._xlws.FILTER(tblCarga[Data],tblCarga[Jogador]=$B$4),1),ROW()-11),""))</f>
        <v/>
      </c>
      <c r="O41" s="483">
        <f t="array" ref="O41">IF(A41="","",IFERROR(INDEX(_xlfn.SORTBY(_xlfn._xlws.FILTER(tblCarga[Nº ≥90% Vmáx],tblCarga[Jogador]=$B$4),_xlfn._xlws.FILTER(tblCarga[Data],tblCarga[Jogador]=$B$4),1),ROW()-11),""))</f>
        <v/>
      </c>
      <c r="P41" s="483">
        <f t="array" ref="P41">IF(A41="","",IFERROR(INDEX(_xlfn.SORTBY(_xlfn._xlws.FILTER(tblCarga[Nº ≥95% Vmáx],tblCarga[Jogador]=$B$4),_xlfn._xlws.FILTER(tblCarga[Data],tblCarga[Jogador]=$B$4),1),ROW()-11),""))</f>
        <v/>
      </c>
    </row>
    <row r="42" ht="21.95" customHeight="1">
      <c r="A42" s="478">
        <f t="array" ref="A42">IFERROR(INDEX(_xlfn._xlws.SORT(_xlfn._xlws.FILTER(tblCarga[Data],tblCarga[Jogador]=$B$4),1,1),ROW()-11),"")</f>
        <v/>
      </c>
      <c r="B42" s="479">
        <f t="array" ref="B42">IFERROR(INDEX(_xlfn.SORTBY(_xlfn._xlws.FILTER(tblCarga[Microciclo],tblCarga[Jogador]=$B$4),_xlfn._xlws.FILTER(tblCarga[Data],tblCarga[Jogador]=$B$4),1),ROW()-11),"")</f>
        <v/>
      </c>
      <c r="C42" s="479">
        <f t="array" ref="C42">IFERROR(INDEX(_xlfn.SORTBY(_xlfn._xlws.FILTER(tblCarga[Dia MD],tblCarga[Jogador]=$B$4),_xlfn._xlws.FILTER(tblCarga[Data],tblCarga[Jogador]=$B$4),1),ROW()-11),"")</f>
        <v/>
      </c>
      <c r="D42" s="479">
        <f t="array" ref="D42">IFERROR(INDEX(_xlfn.SORTBY(_xlfn._xlws.FILTER(tblCarga[Tipo],tblCarga[Jogador]=$B$4),_xlfn._xlws.FILTER(tblCarga[Data],tblCarga[Jogador]=$B$4),1),ROW()-11),"")</f>
        <v/>
      </c>
      <c r="E42" s="479">
        <f t="array" ref="E42">IFERROR(INDEX(_xlfn.SORTBY(_xlfn._xlws.FILTER(tblCarga[Duração (min)],tblCarga[Jogador]=$B$4),_xlfn._xlws.FILTER(tblCarga[Data],tblCarga[Jogador]=$B$4),1),ROW()-11),"")</f>
        <v/>
      </c>
      <c r="F42" s="479">
        <f t="array" ref="F42">IFERROR(INDEX(_xlfn.SORTBY(_xlfn._xlws.FILTER(tblCarga[Distância Total (m)],tblCarga[Jogador]=$B$4),_xlfn._xlws.FILTER(tblCarga[Data],tblCarga[Jogador]=$B$4),1),ROW()-11),"")</f>
        <v/>
      </c>
      <c r="G42" s="479">
        <f t="array" ref="G42">IFERROR(INDEX(_xlfn.SORTBY(_xlfn._xlws.FILTER(tblCarga[HSR (m)],tblCarga[Jogador]=$B$4),_xlfn._xlws.FILTER(tblCarga[Data],tblCarga[Jogador]=$B$4),1),ROW()-11),"")</f>
        <v/>
      </c>
      <c r="H42" s="479">
        <f t="array" ref="H42">IFERROR(INDEX(_xlfn.SORTBY(_xlfn._xlws.FILTER(tblCarga[Sprint (m)],tblCarga[Jogador]=$B$4),_xlfn._xlws.FILTER(tblCarga[Data],tblCarga[Jogador]=$B$4),1),ROW()-11),"")</f>
        <v/>
      </c>
      <c r="I42" s="479">
        <f t="array" ref="I42">IFERROR(INDEX(_xlfn.SORTBY(_xlfn._xlws.FILTER(tblCarga[Acc (n)],tblCarga[Jogador]=$B$4),_xlfn._xlws.FILTER(tblCarga[Data],tblCarga[Jogador]=$B$4),1),ROW()-11),"")</f>
        <v/>
      </c>
      <c r="J42" s="479">
        <f t="array" ref="J42">IFERROR(INDEX(_xlfn.SORTBY(_xlfn._xlws.FILTER(tblCarga[Dcc (n)],tblCarga[Jogador]=$B$4),_xlfn._xlws.FILTER(tblCarga[Data],tblCarga[Jogador]=$B$4),1),ROW()-11),"")</f>
        <v/>
      </c>
      <c r="K42" s="479">
        <f t="array" ref="K42">IFERROR(INDEX(_xlfn.SORTBY(_xlfn._xlws.FILTER(tblCarga[PSE Sessão],tblCarga[Jogador]=$B$4),_xlfn._xlws.FILTER(tblCarga[Data],tblCarga[Jogador]=$B$4),1),ROW()-11),"")</f>
        <v/>
      </c>
      <c r="L42" s="480">
        <f t="array" ref="L42">IFERROR(INDEX(_xlfn.SORTBY(_xlfn._xlws.FILTER(tblCarga[Vel. Máx (km/h)],tblCarga[Jogador]=$B$4),_xlfn._xlws.FILTER(tblCarga[Data],tblCarga[Jogador]=$B$4),1),ROW()-11),"")</f>
        <v/>
      </c>
      <c r="M42" s="481">
        <f>IF(L42="","",L42/_xlfn.MAXIFS(tblCarga[Vel. Máx (km/h)],tblCarga[Jogador],$B$4))</f>
        <v/>
      </c>
      <c r="N42" s="479">
        <f t="array" ref="N42">IF(A42="","",IFERROR(INDEX(_xlfn.SORTBY(_xlfn._xlws.FILTER(tblCarga[Nº ≥85% Vmáx],tblCarga[Jogador]=$B$4),_xlfn._xlws.FILTER(tblCarga[Data],tblCarga[Jogador]=$B$4),1),ROW()-11),""))</f>
        <v/>
      </c>
      <c r="O42" s="479">
        <f t="array" ref="O42">IF(A42="","",IFERROR(INDEX(_xlfn.SORTBY(_xlfn._xlws.FILTER(tblCarga[Nº ≥90% Vmáx],tblCarga[Jogador]=$B$4),_xlfn._xlws.FILTER(tblCarga[Data],tblCarga[Jogador]=$B$4),1),ROW()-11),""))</f>
        <v/>
      </c>
      <c r="P42" s="479">
        <f t="array" ref="P42">IF(A42="","",IFERROR(INDEX(_xlfn.SORTBY(_xlfn._xlws.FILTER(tblCarga[Nº ≥95% Vmáx],tblCarga[Jogador]=$B$4),_xlfn._xlws.FILTER(tblCarga[Data],tblCarga[Jogador]=$B$4),1),ROW()-11),""))</f>
        <v/>
      </c>
    </row>
    <row r="43" ht="21.95" customHeight="1">
      <c r="A43" s="482">
        <f t="array" ref="A43">IFERROR(INDEX(_xlfn._xlws.SORT(_xlfn._xlws.FILTER(tblCarga[Data],tblCarga[Jogador]=$B$4),1,1),ROW()-11),"")</f>
        <v/>
      </c>
      <c r="B43" s="483">
        <f t="array" ref="B43">IFERROR(INDEX(_xlfn.SORTBY(_xlfn._xlws.FILTER(tblCarga[Microciclo],tblCarga[Jogador]=$B$4),_xlfn._xlws.FILTER(tblCarga[Data],tblCarga[Jogador]=$B$4),1),ROW()-11),"")</f>
        <v/>
      </c>
      <c r="C43" s="483">
        <f t="array" ref="C43">IFERROR(INDEX(_xlfn.SORTBY(_xlfn._xlws.FILTER(tblCarga[Dia MD],tblCarga[Jogador]=$B$4),_xlfn._xlws.FILTER(tblCarga[Data],tblCarga[Jogador]=$B$4),1),ROW()-11),"")</f>
        <v/>
      </c>
      <c r="D43" s="483">
        <f t="array" ref="D43">IFERROR(INDEX(_xlfn.SORTBY(_xlfn._xlws.FILTER(tblCarga[Tipo],tblCarga[Jogador]=$B$4),_xlfn._xlws.FILTER(tblCarga[Data],tblCarga[Jogador]=$B$4),1),ROW()-11),"")</f>
        <v/>
      </c>
      <c r="E43" s="483">
        <f t="array" ref="E43">IFERROR(INDEX(_xlfn.SORTBY(_xlfn._xlws.FILTER(tblCarga[Duração (min)],tblCarga[Jogador]=$B$4),_xlfn._xlws.FILTER(tblCarga[Data],tblCarga[Jogador]=$B$4),1),ROW()-11),"")</f>
        <v/>
      </c>
      <c r="F43" s="483">
        <f t="array" ref="F43">IFERROR(INDEX(_xlfn.SORTBY(_xlfn._xlws.FILTER(tblCarga[Distância Total (m)],tblCarga[Jogador]=$B$4),_xlfn._xlws.FILTER(tblCarga[Data],tblCarga[Jogador]=$B$4),1),ROW()-11),"")</f>
        <v/>
      </c>
      <c r="G43" s="483">
        <f t="array" ref="G43">IFERROR(INDEX(_xlfn.SORTBY(_xlfn._xlws.FILTER(tblCarga[HSR (m)],tblCarga[Jogador]=$B$4),_xlfn._xlws.FILTER(tblCarga[Data],tblCarga[Jogador]=$B$4),1),ROW()-11),"")</f>
        <v/>
      </c>
      <c r="H43" s="483">
        <f t="array" ref="H43">IFERROR(INDEX(_xlfn.SORTBY(_xlfn._xlws.FILTER(tblCarga[Sprint (m)],tblCarga[Jogador]=$B$4),_xlfn._xlws.FILTER(tblCarga[Data],tblCarga[Jogador]=$B$4),1),ROW()-11),"")</f>
        <v/>
      </c>
      <c r="I43" s="483">
        <f t="array" ref="I43">IFERROR(INDEX(_xlfn.SORTBY(_xlfn._xlws.FILTER(tblCarga[Acc (n)],tblCarga[Jogador]=$B$4),_xlfn._xlws.FILTER(tblCarga[Data],tblCarga[Jogador]=$B$4),1),ROW()-11),"")</f>
        <v/>
      </c>
      <c r="J43" s="483">
        <f t="array" ref="J43">IFERROR(INDEX(_xlfn.SORTBY(_xlfn._xlws.FILTER(tblCarga[Dcc (n)],tblCarga[Jogador]=$B$4),_xlfn._xlws.FILTER(tblCarga[Data],tblCarga[Jogador]=$B$4),1),ROW()-11),"")</f>
        <v/>
      </c>
      <c r="K43" s="483">
        <f t="array" ref="K43">IFERROR(INDEX(_xlfn.SORTBY(_xlfn._xlws.FILTER(tblCarga[PSE Sessão],tblCarga[Jogador]=$B$4),_xlfn._xlws.FILTER(tblCarga[Data],tblCarga[Jogador]=$B$4),1),ROW()-11),"")</f>
        <v/>
      </c>
      <c r="L43" s="484">
        <f t="array" ref="L43">IFERROR(INDEX(_xlfn.SORTBY(_xlfn._xlws.FILTER(tblCarga[Vel. Máx (km/h)],tblCarga[Jogador]=$B$4),_xlfn._xlws.FILTER(tblCarga[Data],tblCarga[Jogador]=$B$4),1),ROW()-11),"")</f>
        <v/>
      </c>
      <c r="M43" s="485">
        <f>IF(L43="","",L43/_xlfn.MAXIFS(tblCarga[Vel. Máx (km/h)],tblCarga[Jogador],$B$4))</f>
        <v/>
      </c>
      <c r="N43" s="483">
        <f t="array" ref="N43">IF(A43="","",IFERROR(INDEX(_xlfn.SORTBY(_xlfn._xlws.FILTER(tblCarga[Nº ≥85% Vmáx],tblCarga[Jogador]=$B$4),_xlfn._xlws.FILTER(tblCarga[Data],tblCarga[Jogador]=$B$4),1),ROW()-11),""))</f>
        <v/>
      </c>
      <c r="O43" s="483">
        <f t="array" ref="O43">IF(A43="","",IFERROR(INDEX(_xlfn.SORTBY(_xlfn._xlws.FILTER(tblCarga[Nº ≥90% Vmáx],tblCarga[Jogador]=$B$4),_xlfn._xlws.FILTER(tblCarga[Data],tblCarga[Jogador]=$B$4),1),ROW()-11),""))</f>
        <v/>
      </c>
      <c r="P43" s="483">
        <f t="array" ref="P43">IF(A43="","",IFERROR(INDEX(_xlfn.SORTBY(_xlfn._xlws.FILTER(tblCarga[Nº ≥95% Vmáx],tblCarga[Jogador]=$B$4),_xlfn._xlws.FILTER(tblCarga[Data],tblCarga[Jogador]=$B$4),1),ROW()-11),""))</f>
        <v/>
      </c>
    </row>
    <row r="44" ht="21.95" customHeight="1">
      <c r="A44" s="478">
        <f t="array" ref="A44">IFERROR(INDEX(_xlfn._xlws.SORT(_xlfn._xlws.FILTER(tblCarga[Data],tblCarga[Jogador]=$B$4),1,1),ROW()-11),"")</f>
        <v/>
      </c>
      <c r="B44" s="479">
        <f t="array" ref="B44">IFERROR(INDEX(_xlfn.SORTBY(_xlfn._xlws.FILTER(tblCarga[Microciclo],tblCarga[Jogador]=$B$4),_xlfn._xlws.FILTER(tblCarga[Data],tblCarga[Jogador]=$B$4),1),ROW()-11),"")</f>
        <v/>
      </c>
      <c r="C44" s="479">
        <f t="array" ref="C44">IFERROR(INDEX(_xlfn.SORTBY(_xlfn._xlws.FILTER(tblCarga[Dia MD],tblCarga[Jogador]=$B$4),_xlfn._xlws.FILTER(tblCarga[Data],tblCarga[Jogador]=$B$4),1),ROW()-11),"")</f>
        <v/>
      </c>
      <c r="D44" s="479">
        <f t="array" ref="D44">IFERROR(INDEX(_xlfn.SORTBY(_xlfn._xlws.FILTER(tblCarga[Tipo],tblCarga[Jogador]=$B$4),_xlfn._xlws.FILTER(tblCarga[Data],tblCarga[Jogador]=$B$4),1),ROW()-11),"")</f>
        <v/>
      </c>
      <c r="E44" s="479">
        <f t="array" ref="E44">IFERROR(INDEX(_xlfn.SORTBY(_xlfn._xlws.FILTER(tblCarga[Duração (min)],tblCarga[Jogador]=$B$4),_xlfn._xlws.FILTER(tblCarga[Data],tblCarga[Jogador]=$B$4),1),ROW()-11),"")</f>
        <v/>
      </c>
      <c r="F44" s="479">
        <f t="array" ref="F44">IFERROR(INDEX(_xlfn.SORTBY(_xlfn._xlws.FILTER(tblCarga[Distância Total (m)],tblCarga[Jogador]=$B$4),_xlfn._xlws.FILTER(tblCarga[Data],tblCarga[Jogador]=$B$4),1),ROW()-11),"")</f>
        <v/>
      </c>
      <c r="G44" s="479">
        <f t="array" ref="G44">IFERROR(INDEX(_xlfn.SORTBY(_xlfn._xlws.FILTER(tblCarga[HSR (m)],tblCarga[Jogador]=$B$4),_xlfn._xlws.FILTER(tblCarga[Data],tblCarga[Jogador]=$B$4),1),ROW()-11),"")</f>
        <v/>
      </c>
      <c r="H44" s="479">
        <f t="array" ref="H44">IFERROR(INDEX(_xlfn.SORTBY(_xlfn._xlws.FILTER(tblCarga[Sprint (m)],tblCarga[Jogador]=$B$4),_xlfn._xlws.FILTER(tblCarga[Data],tblCarga[Jogador]=$B$4),1),ROW()-11),"")</f>
        <v/>
      </c>
      <c r="I44" s="479">
        <f t="array" ref="I44">IFERROR(INDEX(_xlfn.SORTBY(_xlfn._xlws.FILTER(tblCarga[Acc (n)],tblCarga[Jogador]=$B$4),_xlfn._xlws.FILTER(tblCarga[Data],tblCarga[Jogador]=$B$4),1),ROW()-11),"")</f>
        <v/>
      </c>
      <c r="J44" s="479">
        <f t="array" ref="J44">IFERROR(INDEX(_xlfn.SORTBY(_xlfn._xlws.FILTER(tblCarga[Dcc (n)],tblCarga[Jogador]=$B$4),_xlfn._xlws.FILTER(tblCarga[Data],tblCarga[Jogador]=$B$4),1),ROW()-11),"")</f>
        <v/>
      </c>
      <c r="K44" s="479">
        <f t="array" ref="K44">IFERROR(INDEX(_xlfn.SORTBY(_xlfn._xlws.FILTER(tblCarga[PSE Sessão],tblCarga[Jogador]=$B$4),_xlfn._xlws.FILTER(tblCarga[Data],tblCarga[Jogador]=$B$4),1),ROW()-11),"")</f>
        <v/>
      </c>
      <c r="L44" s="480">
        <f t="array" ref="L44">IFERROR(INDEX(_xlfn.SORTBY(_xlfn._xlws.FILTER(tblCarga[Vel. Máx (km/h)],tblCarga[Jogador]=$B$4),_xlfn._xlws.FILTER(tblCarga[Data],tblCarga[Jogador]=$B$4),1),ROW()-11),"")</f>
        <v/>
      </c>
      <c r="M44" s="481">
        <f>IF(L44="","",L44/_xlfn.MAXIFS(tblCarga[Vel. Máx (km/h)],tblCarga[Jogador],$B$4))</f>
        <v/>
      </c>
      <c r="N44" s="479">
        <f t="array" ref="N44">IF(A44="","",IFERROR(INDEX(_xlfn.SORTBY(_xlfn._xlws.FILTER(tblCarga[Nº ≥85% Vmáx],tblCarga[Jogador]=$B$4),_xlfn._xlws.FILTER(tblCarga[Data],tblCarga[Jogador]=$B$4),1),ROW()-11),""))</f>
        <v/>
      </c>
      <c r="O44" s="479">
        <f t="array" ref="O44">IF(A44="","",IFERROR(INDEX(_xlfn.SORTBY(_xlfn._xlws.FILTER(tblCarga[Nº ≥90% Vmáx],tblCarga[Jogador]=$B$4),_xlfn._xlws.FILTER(tblCarga[Data],tblCarga[Jogador]=$B$4),1),ROW()-11),""))</f>
        <v/>
      </c>
      <c r="P44" s="479">
        <f t="array" ref="P44">IF(A44="","",IFERROR(INDEX(_xlfn.SORTBY(_xlfn._xlws.FILTER(tblCarga[Nº ≥95% Vmáx],tblCarga[Jogador]=$B$4),_xlfn._xlws.FILTER(tblCarga[Data],tblCarga[Jogador]=$B$4),1),ROW()-11),""))</f>
        <v/>
      </c>
    </row>
    <row r="45" ht="21.95" customHeight="1">
      <c r="A45" s="482">
        <f t="array" ref="A45">IFERROR(INDEX(_xlfn._xlws.SORT(_xlfn._xlws.FILTER(tblCarga[Data],tblCarga[Jogador]=$B$4),1,1),ROW()-11),"")</f>
        <v/>
      </c>
      <c r="B45" s="483">
        <f t="array" ref="B45">IFERROR(INDEX(_xlfn.SORTBY(_xlfn._xlws.FILTER(tblCarga[Microciclo],tblCarga[Jogador]=$B$4),_xlfn._xlws.FILTER(tblCarga[Data],tblCarga[Jogador]=$B$4),1),ROW()-11),"")</f>
        <v/>
      </c>
      <c r="C45" s="483">
        <f t="array" ref="C45">IFERROR(INDEX(_xlfn.SORTBY(_xlfn._xlws.FILTER(tblCarga[Dia MD],tblCarga[Jogador]=$B$4),_xlfn._xlws.FILTER(tblCarga[Data],tblCarga[Jogador]=$B$4),1),ROW()-11),"")</f>
        <v/>
      </c>
      <c r="D45" s="483">
        <f t="array" ref="D45">IFERROR(INDEX(_xlfn.SORTBY(_xlfn._xlws.FILTER(tblCarga[Tipo],tblCarga[Jogador]=$B$4),_xlfn._xlws.FILTER(tblCarga[Data],tblCarga[Jogador]=$B$4),1),ROW()-11),"")</f>
        <v/>
      </c>
      <c r="E45" s="483">
        <f t="array" ref="E45">IFERROR(INDEX(_xlfn.SORTBY(_xlfn._xlws.FILTER(tblCarga[Duração (min)],tblCarga[Jogador]=$B$4),_xlfn._xlws.FILTER(tblCarga[Data],tblCarga[Jogador]=$B$4),1),ROW()-11),"")</f>
        <v/>
      </c>
      <c r="F45" s="483">
        <f t="array" ref="F45">IFERROR(INDEX(_xlfn.SORTBY(_xlfn._xlws.FILTER(tblCarga[Distância Total (m)],tblCarga[Jogador]=$B$4),_xlfn._xlws.FILTER(tblCarga[Data],tblCarga[Jogador]=$B$4),1),ROW()-11),"")</f>
        <v/>
      </c>
      <c r="G45" s="483">
        <f t="array" ref="G45">IFERROR(INDEX(_xlfn.SORTBY(_xlfn._xlws.FILTER(tblCarga[HSR (m)],tblCarga[Jogador]=$B$4),_xlfn._xlws.FILTER(tblCarga[Data],tblCarga[Jogador]=$B$4),1),ROW()-11),"")</f>
        <v/>
      </c>
      <c r="H45" s="483">
        <f t="array" ref="H45">IFERROR(INDEX(_xlfn.SORTBY(_xlfn._xlws.FILTER(tblCarga[Sprint (m)],tblCarga[Jogador]=$B$4),_xlfn._xlws.FILTER(tblCarga[Data],tblCarga[Jogador]=$B$4),1),ROW()-11),"")</f>
        <v/>
      </c>
      <c r="I45" s="483">
        <f t="array" ref="I45">IFERROR(INDEX(_xlfn.SORTBY(_xlfn._xlws.FILTER(tblCarga[Acc (n)],tblCarga[Jogador]=$B$4),_xlfn._xlws.FILTER(tblCarga[Data],tblCarga[Jogador]=$B$4),1),ROW()-11),"")</f>
        <v/>
      </c>
      <c r="J45" s="483">
        <f t="array" ref="J45">IFERROR(INDEX(_xlfn.SORTBY(_xlfn._xlws.FILTER(tblCarga[Dcc (n)],tblCarga[Jogador]=$B$4),_xlfn._xlws.FILTER(tblCarga[Data],tblCarga[Jogador]=$B$4),1),ROW()-11),"")</f>
        <v/>
      </c>
      <c r="K45" s="483">
        <f t="array" ref="K45">IFERROR(INDEX(_xlfn.SORTBY(_xlfn._xlws.FILTER(tblCarga[PSE Sessão],tblCarga[Jogador]=$B$4),_xlfn._xlws.FILTER(tblCarga[Data],tblCarga[Jogador]=$B$4),1),ROW()-11),"")</f>
        <v/>
      </c>
      <c r="L45" s="484">
        <f t="array" ref="L45">IFERROR(INDEX(_xlfn.SORTBY(_xlfn._xlws.FILTER(tblCarga[Vel. Máx (km/h)],tblCarga[Jogador]=$B$4),_xlfn._xlws.FILTER(tblCarga[Data],tblCarga[Jogador]=$B$4),1),ROW()-11),"")</f>
        <v/>
      </c>
      <c r="M45" s="485">
        <f>IF(L45="","",L45/_xlfn.MAXIFS(tblCarga[Vel. Máx (km/h)],tblCarga[Jogador],$B$4))</f>
        <v/>
      </c>
      <c r="N45" s="483">
        <f t="array" ref="N45">IF(A45="","",IFERROR(INDEX(_xlfn.SORTBY(_xlfn._xlws.FILTER(tblCarga[Nº ≥85% Vmáx],tblCarga[Jogador]=$B$4),_xlfn._xlws.FILTER(tblCarga[Data],tblCarga[Jogador]=$B$4),1),ROW()-11),""))</f>
        <v/>
      </c>
      <c r="O45" s="483">
        <f t="array" ref="O45">IF(A45="","",IFERROR(INDEX(_xlfn.SORTBY(_xlfn._xlws.FILTER(tblCarga[Nº ≥90% Vmáx],tblCarga[Jogador]=$B$4),_xlfn._xlws.FILTER(tblCarga[Data],tblCarga[Jogador]=$B$4),1),ROW()-11),""))</f>
        <v/>
      </c>
      <c r="P45" s="483">
        <f t="array" ref="P45">IF(A45="","",IFERROR(INDEX(_xlfn.SORTBY(_xlfn._xlws.FILTER(tblCarga[Nº ≥95% Vmáx],tblCarga[Jogador]=$B$4),_xlfn._xlws.FILTER(tblCarga[Data],tblCarga[Jogador]=$B$4),1),ROW()-11),""))</f>
        <v/>
      </c>
    </row>
    <row r="46" ht="21.95" customHeight="1">
      <c r="A46" s="478">
        <f t="array" ref="A46">IFERROR(INDEX(_xlfn._xlws.SORT(_xlfn._xlws.FILTER(tblCarga[Data],tblCarga[Jogador]=$B$4),1,1),ROW()-11),"")</f>
        <v/>
      </c>
      <c r="B46" s="479">
        <f t="array" ref="B46">IFERROR(INDEX(_xlfn.SORTBY(_xlfn._xlws.FILTER(tblCarga[Microciclo],tblCarga[Jogador]=$B$4),_xlfn._xlws.FILTER(tblCarga[Data],tblCarga[Jogador]=$B$4),1),ROW()-11),"")</f>
        <v/>
      </c>
      <c r="C46" s="479">
        <f t="array" ref="C46">IFERROR(INDEX(_xlfn.SORTBY(_xlfn._xlws.FILTER(tblCarga[Dia MD],tblCarga[Jogador]=$B$4),_xlfn._xlws.FILTER(tblCarga[Data],tblCarga[Jogador]=$B$4),1),ROW()-11),"")</f>
        <v/>
      </c>
      <c r="D46" s="479">
        <f t="array" ref="D46">IFERROR(INDEX(_xlfn.SORTBY(_xlfn._xlws.FILTER(tblCarga[Tipo],tblCarga[Jogador]=$B$4),_xlfn._xlws.FILTER(tblCarga[Data],tblCarga[Jogador]=$B$4),1),ROW()-11),"")</f>
        <v/>
      </c>
      <c r="E46" s="479">
        <f t="array" ref="E46">IFERROR(INDEX(_xlfn.SORTBY(_xlfn._xlws.FILTER(tblCarga[Duração (min)],tblCarga[Jogador]=$B$4),_xlfn._xlws.FILTER(tblCarga[Data],tblCarga[Jogador]=$B$4),1),ROW()-11),"")</f>
        <v/>
      </c>
      <c r="F46" s="479">
        <f t="array" ref="F46">IFERROR(INDEX(_xlfn.SORTBY(_xlfn._xlws.FILTER(tblCarga[Distância Total (m)],tblCarga[Jogador]=$B$4),_xlfn._xlws.FILTER(tblCarga[Data],tblCarga[Jogador]=$B$4),1),ROW()-11),"")</f>
        <v/>
      </c>
      <c r="G46" s="479">
        <f t="array" ref="G46">IFERROR(INDEX(_xlfn.SORTBY(_xlfn._xlws.FILTER(tblCarga[HSR (m)],tblCarga[Jogador]=$B$4),_xlfn._xlws.FILTER(tblCarga[Data],tblCarga[Jogador]=$B$4),1),ROW()-11),"")</f>
        <v/>
      </c>
      <c r="H46" s="479">
        <f t="array" ref="H46">IFERROR(INDEX(_xlfn.SORTBY(_xlfn._xlws.FILTER(tblCarga[Sprint (m)],tblCarga[Jogador]=$B$4),_xlfn._xlws.FILTER(tblCarga[Data],tblCarga[Jogador]=$B$4),1),ROW()-11),"")</f>
        <v/>
      </c>
      <c r="I46" s="479">
        <f t="array" ref="I46">IFERROR(INDEX(_xlfn.SORTBY(_xlfn._xlws.FILTER(tblCarga[Acc (n)],tblCarga[Jogador]=$B$4),_xlfn._xlws.FILTER(tblCarga[Data],tblCarga[Jogador]=$B$4),1),ROW()-11),"")</f>
        <v/>
      </c>
      <c r="J46" s="479">
        <f t="array" ref="J46">IFERROR(INDEX(_xlfn.SORTBY(_xlfn._xlws.FILTER(tblCarga[Dcc (n)],tblCarga[Jogador]=$B$4),_xlfn._xlws.FILTER(tblCarga[Data],tblCarga[Jogador]=$B$4),1),ROW()-11),"")</f>
        <v/>
      </c>
      <c r="K46" s="479">
        <f t="array" ref="K46">IFERROR(INDEX(_xlfn.SORTBY(_xlfn._xlws.FILTER(tblCarga[PSE Sessão],tblCarga[Jogador]=$B$4),_xlfn._xlws.FILTER(tblCarga[Data],tblCarga[Jogador]=$B$4),1),ROW()-11),"")</f>
        <v/>
      </c>
      <c r="L46" s="480">
        <f t="array" ref="L46">IFERROR(INDEX(_xlfn.SORTBY(_xlfn._xlws.FILTER(tblCarga[Vel. Máx (km/h)],tblCarga[Jogador]=$B$4),_xlfn._xlws.FILTER(tblCarga[Data],tblCarga[Jogador]=$B$4),1),ROW()-11),"")</f>
        <v/>
      </c>
      <c r="M46" s="481">
        <f>IF(L46="","",L46/_xlfn.MAXIFS(tblCarga[Vel. Máx (km/h)],tblCarga[Jogador],$B$4))</f>
        <v/>
      </c>
      <c r="N46" s="479">
        <f t="array" ref="N46">IF(A46="","",IFERROR(INDEX(_xlfn.SORTBY(_xlfn._xlws.FILTER(tblCarga[Nº ≥85% Vmáx],tblCarga[Jogador]=$B$4),_xlfn._xlws.FILTER(tblCarga[Data],tblCarga[Jogador]=$B$4),1),ROW()-11),""))</f>
        <v/>
      </c>
      <c r="O46" s="479">
        <f t="array" ref="O46">IF(A46="","",IFERROR(INDEX(_xlfn.SORTBY(_xlfn._xlws.FILTER(tblCarga[Nº ≥90% Vmáx],tblCarga[Jogador]=$B$4),_xlfn._xlws.FILTER(tblCarga[Data],tblCarga[Jogador]=$B$4),1),ROW()-11),""))</f>
        <v/>
      </c>
      <c r="P46" s="479">
        <f t="array" ref="P46">IF(A46="","",IFERROR(INDEX(_xlfn.SORTBY(_xlfn._xlws.FILTER(tblCarga[Nº ≥95% Vmáx],tblCarga[Jogador]=$B$4),_xlfn._xlws.FILTER(tblCarga[Data],tblCarga[Jogador]=$B$4),1),ROW()-11),""))</f>
        <v/>
      </c>
    </row>
    <row r="47" ht="21.95" customHeight="1">
      <c r="A47" s="482">
        <f t="array" ref="A47">IFERROR(INDEX(_xlfn._xlws.SORT(_xlfn._xlws.FILTER(tblCarga[Data],tblCarga[Jogador]=$B$4),1,1),ROW()-11),"")</f>
        <v/>
      </c>
      <c r="B47" s="483">
        <f t="array" ref="B47">IFERROR(INDEX(_xlfn.SORTBY(_xlfn._xlws.FILTER(tblCarga[Microciclo],tblCarga[Jogador]=$B$4),_xlfn._xlws.FILTER(tblCarga[Data],tblCarga[Jogador]=$B$4),1),ROW()-11),"")</f>
        <v/>
      </c>
      <c r="C47" s="483">
        <f t="array" ref="C47">IFERROR(INDEX(_xlfn.SORTBY(_xlfn._xlws.FILTER(tblCarga[Dia MD],tblCarga[Jogador]=$B$4),_xlfn._xlws.FILTER(tblCarga[Data],tblCarga[Jogador]=$B$4),1),ROW()-11),"")</f>
        <v/>
      </c>
      <c r="D47" s="483">
        <f t="array" ref="D47">IFERROR(INDEX(_xlfn.SORTBY(_xlfn._xlws.FILTER(tblCarga[Tipo],tblCarga[Jogador]=$B$4),_xlfn._xlws.FILTER(tblCarga[Data],tblCarga[Jogador]=$B$4),1),ROW()-11),"")</f>
        <v/>
      </c>
      <c r="E47" s="483">
        <f t="array" ref="E47">IFERROR(INDEX(_xlfn.SORTBY(_xlfn._xlws.FILTER(tblCarga[Duração (min)],tblCarga[Jogador]=$B$4),_xlfn._xlws.FILTER(tblCarga[Data],tblCarga[Jogador]=$B$4),1),ROW()-11),"")</f>
        <v/>
      </c>
      <c r="F47" s="483">
        <f t="array" ref="F47">IFERROR(INDEX(_xlfn.SORTBY(_xlfn._xlws.FILTER(tblCarga[Distância Total (m)],tblCarga[Jogador]=$B$4),_xlfn._xlws.FILTER(tblCarga[Data],tblCarga[Jogador]=$B$4),1),ROW()-11),"")</f>
        <v/>
      </c>
      <c r="G47" s="483">
        <f t="array" ref="G47">IFERROR(INDEX(_xlfn.SORTBY(_xlfn._xlws.FILTER(tblCarga[HSR (m)],tblCarga[Jogador]=$B$4),_xlfn._xlws.FILTER(tblCarga[Data],tblCarga[Jogador]=$B$4),1),ROW()-11),"")</f>
        <v/>
      </c>
      <c r="H47" s="483">
        <f t="array" ref="H47">IFERROR(INDEX(_xlfn.SORTBY(_xlfn._xlws.FILTER(tblCarga[Sprint (m)],tblCarga[Jogador]=$B$4),_xlfn._xlws.FILTER(tblCarga[Data],tblCarga[Jogador]=$B$4),1),ROW()-11),"")</f>
        <v/>
      </c>
      <c r="I47" s="483">
        <f t="array" ref="I47">IFERROR(INDEX(_xlfn.SORTBY(_xlfn._xlws.FILTER(tblCarga[Acc (n)],tblCarga[Jogador]=$B$4),_xlfn._xlws.FILTER(tblCarga[Data],tblCarga[Jogador]=$B$4),1),ROW()-11),"")</f>
        <v/>
      </c>
      <c r="J47" s="483">
        <f t="array" ref="J47">IFERROR(INDEX(_xlfn.SORTBY(_xlfn._xlws.FILTER(tblCarga[Dcc (n)],tblCarga[Jogador]=$B$4),_xlfn._xlws.FILTER(tblCarga[Data],tblCarga[Jogador]=$B$4),1),ROW()-11),"")</f>
        <v/>
      </c>
      <c r="K47" s="483">
        <f t="array" ref="K47">IFERROR(INDEX(_xlfn.SORTBY(_xlfn._xlws.FILTER(tblCarga[PSE Sessão],tblCarga[Jogador]=$B$4),_xlfn._xlws.FILTER(tblCarga[Data],tblCarga[Jogador]=$B$4),1),ROW()-11),"")</f>
        <v/>
      </c>
      <c r="L47" s="484">
        <f t="array" ref="L47">IFERROR(INDEX(_xlfn.SORTBY(_xlfn._xlws.FILTER(tblCarga[Vel. Máx (km/h)],tblCarga[Jogador]=$B$4),_xlfn._xlws.FILTER(tblCarga[Data],tblCarga[Jogador]=$B$4),1),ROW()-11),"")</f>
        <v/>
      </c>
      <c r="M47" s="485">
        <f>IF(L47="","",L47/_xlfn.MAXIFS(tblCarga[Vel. Máx (km/h)],tblCarga[Jogador],$B$4))</f>
        <v/>
      </c>
      <c r="N47" s="483">
        <f t="array" ref="N47">IF(A47="","",IFERROR(INDEX(_xlfn.SORTBY(_xlfn._xlws.FILTER(tblCarga[Nº ≥85% Vmáx],tblCarga[Jogador]=$B$4),_xlfn._xlws.FILTER(tblCarga[Data],tblCarga[Jogador]=$B$4),1),ROW()-11),""))</f>
        <v/>
      </c>
      <c r="O47" s="483">
        <f t="array" ref="O47">IF(A47="","",IFERROR(INDEX(_xlfn.SORTBY(_xlfn._xlws.FILTER(tblCarga[Nº ≥90% Vmáx],tblCarga[Jogador]=$B$4),_xlfn._xlws.FILTER(tblCarga[Data],tblCarga[Jogador]=$B$4),1),ROW()-11),""))</f>
        <v/>
      </c>
      <c r="P47" s="483">
        <f t="array" ref="P47">IF(A47="","",IFERROR(INDEX(_xlfn.SORTBY(_xlfn._xlws.FILTER(tblCarga[Nº ≥95% Vmáx],tblCarga[Jogador]=$B$4),_xlfn._xlws.FILTER(tblCarga[Data],tblCarga[Jogador]=$B$4),1),ROW()-11),""))</f>
        <v/>
      </c>
    </row>
    <row r="48" ht="21.95" customHeight="1">
      <c r="A48" s="478">
        <f t="array" ref="A48">IFERROR(INDEX(_xlfn._xlws.SORT(_xlfn._xlws.FILTER(tblCarga[Data],tblCarga[Jogador]=$B$4),1,1),ROW()-11),"")</f>
        <v/>
      </c>
      <c r="B48" s="479">
        <f t="array" ref="B48">IFERROR(INDEX(_xlfn.SORTBY(_xlfn._xlws.FILTER(tblCarga[Microciclo],tblCarga[Jogador]=$B$4),_xlfn._xlws.FILTER(tblCarga[Data],tblCarga[Jogador]=$B$4),1),ROW()-11),"")</f>
        <v/>
      </c>
      <c r="C48" s="479">
        <f t="array" ref="C48">IFERROR(INDEX(_xlfn.SORTBY(_xlfn._xlws.FILTER(tblCarga[Dia MD],tblCarga[Jogador]=$B$4),_xlfn._xlws.FILTER(tblCarga[Data],tblCarga[Jogador]=$B$4),1),ROW()-11),"")</f>
        <v/>
      </c>
      <c r="D48" s="479">
        <f t="array" ref="D48">IFERROR(INDEX(_xlfn.SORTBY(_xlfn._xlws.FILTER(tblCarga[Tipo],tblCarga[Jogador]=$B$4),_xlfn._xlws.FILTER(tblCarga[Data],tblCarga[Jogador]=$B$4),1),ROW()-11),"")</f>
        <v/>
      </c>
      <c r="E48" s="479">
        <f t="array" ref="E48">IFERROR(INDEX(_xlfn.SORTBY(_xlfn._xlws.FILTER(tblCarga[Duração (min)],tblCarga[Jogador]=$B$4),_xlfn._xlws.FILTER(tblCarga[Data],tblCarga[Jogador]=$B$4),1),ROW()-11),"")</f>
        <v/>
      </c>
      <c r="F48" s="479">
        <f t="array" ref="F48">IFERROR(INDEX(_xlfn.SORTBY(_xlfn._xlws.FILTER(tblCarga[Distância Total (m)],tblCarga[Jogador]=$B$4),_xlfn._xlws.FILTER(tblCarga[Data],tblCarga[Jogador]=$B$4),1),ROW()-11),"")</f>
        <v/>
      </c>
      <c r="G48" s="479">
        <f t="array" ref="G48">IFERROR(INDEX(_xlfn.SORTBY(_xlfn._xlws.FILTER(tblCarga[HSR (m)],tblCarga[Jogador]=$B$4),_xlfn._xlws.FILTER(tblCarga[Data],tblCarga[Jogador]=$B$4),1),ROW()-11),"")</f>
        <v/>
      </c>
      <c r="H48" s="479">
        <f t="array" ref="H48">IFERROR(INDEX(_xlfn.SORTBY(_xlfn._xlws.FILTER(tblCarga[Sprint (m)],tblCarga[Jogador]=$B$4),_xlfn._xlws.FILTER(tblCarga[Data],tblCarga[Jogador]=$B$4),1),ROW()-11),"")</f>
        <v/>
      </c>
      <c r="I48" s="479">
        <f t="array" ref="I48">IFERROR(INDEX(_xlfn.SORTBY(_xlfn._xlws.FILTER(tblCarga[Acc (n)],tblCarga[Jogador]=$B$4),_xlfn._xlws.FILTER(tblCarga[Data],tblCarga[Jogador]=$B$4),1),ROW()-11),"")</f>
        <v/>
      </c>
      <c r="J48" s="479">
        <f t="array" ref="J48">IFERROR(INDEX(_xlfn.SORTBY(_xlfn._xlws.FILTER(tblCarga[Dcc (n)],tblCarga[Jogador]=$B$4),_xlfn._xlws.FILTER(tblCarga[Data],tblCarga[Jogador]=$B$4),1),ROW()-11),"")</f>
        <v/>
      </c>
      <c r="K48" s="479">
        <f t="array" ref="K48">IFERROR(INDEX(_xlfn.SORTBY(_xlfn._xlws.FILTER(tblCarga[PSE Sessão],tblCarga[Jogador]=$B$4),_xlfn._xlws.FILTER(tblCarga[Data],tblCarga[Jogador]=$B$4),1),ROW()-11),"")</f>
        <v/>
      </c>
      <c r="L48" s="480">
        <f t="array" ref="L48">IFERROR(INDEX(_xlfn.SORTBY(_xlfn._xlws.FILTER(tblCarga[Vel. Máx (km/h)],tblCarga[Jogador]=$B$4),_xlfn._xlws.FILTER(tblCarga[Data],tblCarga[Jogador]=$B$4),1),ROW()-11),"")</f>
        <v/>
      </c>
      <c r="M48" s="481">
        <f>IF(L48="","",L48/_xlfn.MAXIFS(tblCarga[Vel. Máx (km/h)],tblCarga[Jogador],$B$4))</f>
        <v/>
      </c>
      <c r="N48" s="479">
        <f t="array" ref="N48">IF(A48="","",IFERROR(INDEX(_xlfn.SORTBY(_xlfn._xlws.FILTER(tblCarga[Nº ≥85% Vmáx],tblCarga[Jogador]=$B$4),_xlfn._xlws.FILTER(tblCarga[Data],tblCarga[Jogador]=$B$4),1),ROW()-11),""))</f>
        <v/>
      </c>
      <c r="O48" s="479">
        <f t="array" ref="O48">IF(A48="","",IFERROR(INDEX(_xlfn.SORTBY(_xlfn._xlws.FILTER(tblCarga[Nº ≥90% Vmáx],tblCarga[Jogador]=$B$4),_xlfn._xlws.FILTER(tblCarga[Data],tblCarga[Jogador]=$B$4),1),ROW()-11),""))</f>
        <v/>
      </c>
      <c r="P48" s="479">
        <f t="array" ref="P48">IF(A48="","",IFERROR(INDEX(_xlfn.SORTBY(_xlfn._xlws.FILTER(tblCarga[Nº ≥95% Vmáx],tblCarga[Jogador]=$B$4),_xlfn._xlws.FILTER(tblCarga[Data],tblCarga[Jogador]=$B$4),1),ROW()-11),""))</f>
        <v/>
      </c>
    </row>
    <row r="49" ht="21.95" customHeight="1">
      <c r="A49" s="482">
        <f t="array" ref="A49">IFERROR(INDEX(_xlfn._xlws.SORT(_xlfn._xlws.FILTER(tblCarga[Data],tblCarga[Jogador]=$B$4),1,1),ROW()-11),"")</f>
        <v/>
      </c>
      <c r="B49" s="483">
        <f t="array" ref="B49">IFERROR(INDEX(_xlfn.SORTBY(_xlfn._xlws.FILTER(tblCarga[Microciclo],tblCarga[Jogador]=$B$4),_xlfn._xlws.FILTER(tblCarga[Data],tblCarga[Jogador]=$B$4),1),ROW()-11),"")</f>
        <v/>
      </c>
      <c r="C49" s="483">
        <f t="array" ref="C49">IFERROR(INDEX(_xlfn.SORTBY(_xlfn._xlws.FILTER(tblCarga[Dia MD],tblCarga[Jogador]=$B$4),_xlfn._xlws.FILTER(tblCarga[Data],tblCarga[Jogador]=$B$4),1),ROW()-11),"")</f>
        <v/>
      </c>
      <c r="D49" s="483">
        <f t="array" ref="D49">IFERROR(INDEX(_xlfn.SORTBY(_xlfn._xlws.FILTER(tblCarga[Tipo],tblCarga[Jogador]=$B$4),_xlfn._xlws.FILTER(tblCarga[Data],tblCarga[Jogador]=$B$4),1),ROW()-11),"")</f>
        <v/>
      </c>
      <c r="E49" s="483">
        <f t="array" ref="E49">IFERROR(INDEX(_xlfn.SORTBY(_xlfn._xlws.FILTER(tblCarga[Duração (min)],tblCarga[Jogador]=$B$4),_xlfn._xlws.FILTER(tblCarga[Data],tblCarga[Jogador]=$B$4),1),ROW()-11),"")</f>
        <v/>
      </c>
      <c r="F49" s="483">
        <f t="array" ref="F49">IFERROR(INDEX(_xlfn.SORTBY(_xlfn._xlws.FILTER(tblCarga[Distância Total (m)],tblCarga[Jogador]=$B$4),_xlfn._xlws.FILTER(tblCarga[Data],tblCarga[Jogador]=$B$4),1),ROW()-11),"")</f>
        <v/>
      </c>
      <c r="G49" s="483">
        <f t="array" ref="G49">IFERROR(INDEX(_xlfn.SORTBY(_xlfn._xlws.FILTER(tblCarga[HSR (m)],tblCarga[Jogador]=$B$4),_xlfn._xlws.FILTER(tblCarga[Data],tblCarga[Jogador]=$B$4),1),ROW()-11),"")</f>
        <v/>
      </c>
      <c r="H49" s="483">
        <f t="array" ref="H49">IFERROR(INDEX(_xlfn.SORTBY(_xlfn._xlws.FILTER(tblCarga[Sprint (m)],tblCarga[Jogador]=$B$4),_xlfn._xlws.FILTER(tblCarga[Data],tblCarga[Jogador]=$B$4),1),ROW()-11),"")</f>
        <v/>
      </c>
      <c r="I49" s="483">
        <f t="array" ref="I49">IFERROR(INDEX(_xlfn.SORTBY(_xlfn._xlws.FILTER(tblCarga[Acc (n)],tblCarga[Jogador]=$B$4),_xlfn._xlws.FILTER(tblCarga[Data],tblCarga[Jogador]=$B$4),1),ROW()-11),"")</f>
        <v/>
      </c>
      <c r="J49" s="483">
        <f t="array" ref="J49">IFERROR(INDEX(_xlfn.SORTBY(_xlfn._xlws.FILTER(tblCarga[Dcc (n)],tblCarga[Jogador]=$B$4),_xlfn._xlws.FILTER(tblCarga[Data],tblCarga[Jogador]=$B$4),1),ROW()-11),"")</f>
        <v/>
      </c>
      <c r="K49" s="483">
        <f t="array" ref="K49">IFERROR(INDEX(_xlfn.SORTBY(_xlfn._xlws.FILTER(tblCarga[PSE Sessão],tblCarga[Jogador]=$B$4),_xlfn._xlws.FILTER(tblCarga[Data],tblCarga[Jogador]=$B$4),1),ROW()-11),"")</f>
        <v/>
      </c>
      <c r="L49" s="484">
        <f t="array" ref="L49">IFERROR(INDEX(_xlfn.SORTBY(_xlfn._xlws.FILTER(tblCarga[Vel. Máx (km/h)],tblCarga[Jogador]=$B$4),_xlfn._xlws.FILTER(tblCarga[Data],tblCarga[Jogador]=$B$4),1),ROW()-11),"")</f>
        <v/>
      </c>
      <c r="M49" s="485">
        <f>IF(L49="","",L49/_xlfn.MAXIFS(tblCarga[Vel. Máx (km/h)],tblCarga[Jogador],$B$4))</f>
        <v/>
      </c>
      <c r="N49" s="483">
        <f t="array" ref="N49">IF(A49="","",IFERROR(INDEX(_xlfn.SORTBY(_xlfn._xlws.FILTER(tblCarga[Nº ≥85% Vmáx],tblCarga[Jogador]=$B$4),_xlfn._xlws.FILTER(tblCarga[Data],tblCarga[Jogador]=$B$4),1),ROW()-11),""))</f>
        <v/>
      </c>
      <c r="O49" s="483">
        <f t="array" ref="O49">IF(A49="","",IFERROR(INDEX(_xlfn.SORTBY(_xlfn._xlws.FILTER(tblCarga[Nº ≥90% Vmáx],tblCarga[Jogador]=$B$4),_xlfn._xlws.FILTER(tblCarga[Data],tblCarga[Jogador]=$B$4),1),ROW()-11),""))</f>
        <v/>
      </c>
      <c r="P49" s="483">
        <f t="array" ref="P49">IF(A49="","",IFERROR(INDEX(_xlfn.SORTBY(_xlfn._xlws.FILTER(tblCarga[Nº ≥95% Vmáx],tblCarga[Jogador]=$B$4),_xlfn._xlws.FILTER(tblCarga[Data],tblCarga[Jogador]=$B$4),1),ROW()-11),""))</f>
        <v/>
      </c>
    </row>
    <row r="50" ht="21.95" customHeight="1">
      <c r="A50" s="478">
        <f t="array" ref="A50">IFERROR(INDEX(_xlfn._xlws.SORT(_xlfn._xlws.FILTER(tblCarga[Data],tblCarga[Jogador]=$B$4),1,1),ROW()-11),"")</f>
        <v/>
      </c>
      <c r="B50" s="479">
        <f t="array" ref="B50">IFERROR(INDEX(_xlfn.SORTBY(_xlfn._xlws.FILTER(tblCarga[Microciclo],tblCarga[Jogador]=$B$4),_xlfn._xlws.FILTER(tblCarga[Data],tblCarga[Jogador]=$B$4),1),ROW()-11),"")</f>
        <v/>
      </c>
      <c r="C50" s="479">
        <f t="array" ref="C50">IFERROR(INDEX(_xlfn.SORTBY(_xlfn._xlws.FILTER(tblCarga[Dia MD],tblCarga[Jogador]=$B$4),_xlfn._xlws.FILTER(tblCarga[Data],tblCarga[Jogador]=$B$4),1),ROW()-11),"")</f>
        <v/>
      </c>
      <c r="D50" s="479">
        <f t="array" ref="D50">IFERROR(INDEX(_xlfn.SORTBY(_xlfn._xlws.FILTER(tblCarga[Tipo],tblCarga[Jogador]=$B$4),_xlfn._xlws.FILTER(tblCarga[Data],tblCarga[Jogador]=$B$4),1),ROW()-11),"")</f>
        <v/>
      </c>
      <c r="E50" s="479">
        <f t="array" ref="E50">IFERROR(INDEX(_xlfn.SORTBY(_xlfn._xlws.FILTER(tblCarga[Duração (min)],tblCarga[Jogador]=$B$4),_xlfn._xlws.FILTER(tblCarga[Data],tblCarga[Jogador]=$B$4),1),ROW()-11),"")</f>
        <v/>
      </c>
      <c r="F50" s="479">
        <f t="array" ref="F50">IFERROR(INDEX(_xlfn.SORTBY(_xlfn._xlws.FILTER(tblCarga[Distância Total (m)],tblCarga[Jogador]=$B$4),_xlfn._xlws.FILTER(tblCarga[Data],tblCarga[Jogador]=$B$4),1),ROW()-11),"")</f>
        <v/>
      </c>
      <c r="G50" s="479">
        <f t="array" ref="G50">IFERROR(INDEX(_xlfn.SORTBY(_xlfn._xlws.FILTER(tblCarga[HSR (m)],tblCarga[Jogador]=$B$4),_xlfn._xlws.FILTER(tblCarga[Data],tblCarga[Jogador]=$B$4),1),ROW()-11),"")</f>
        <v/>
      </c>
      <c r="H50" s="479">
        <f t="array" ref="H50">IFERROR(INDEX(_xlfn.SORTBY(_xlfn._xlws.FILTER(tblCarga[Sprint (m)],tblCarga[Jogador]=$B$4),_xlfn._xlws.FILTER(tblCarga[Data],tblCarga[Jogador]=$B$4),1),ROW()-11),"")</f>
        <v/>
      </c>
      <c r="I50" s="479">
        <f t="array" ref="I50">IFERROR(INDEX(_xlfn.SORTBY(_xlfn._xlws.FILTER(tblCarga[Acc (n)],tblCarga[Jogador]=$B$4),_xlfn._xlws.FILTER(tblCarga[Data],tblCarga[Jogador]=$B$4),1),ROW()-11),"")</f>
        <v/>
      </c>
      <c r="J50" s="479">
        <f t="array" ref="J50">IFERROR(INDEX(_xlfn.SORTBY(_xlfn._xlws.FILTER(tblCarga[Dcc (n)],tblCarga[Jogador]=$B$4),_xlfn._xlws.FILTER(tblCarga[Data],tblCarga[Jogador]=$B$4),1),ROW()-11),"")</f>
        <v/>
      </c>
      <c r="K50" s="479">
        <f t="array" ref="K50">IFERROR(INDEX(_xlfn.SORTBY(_xlfn._xlws.FILTER(tblCarga[PSE Sessão],tblCarga[Jogador]=$B$4),_xlfn._xlws.FILTER(tblCarga[Data],tblCarga[Jogador]=$B$4),1),ROW()-11),"")</f>
        <v/>
      </c>
      <c r="L50" s="480">
        <f t="array" ref="L50">IFERROR(INDEX(_xlfn.SORTBY(_xlfn._xlws.FILTER(tblCarga[Vel. Máx (km/h)],tblCarga[Jogador]=$B$4),_xlfn._xlws.FILTER(tblCarga[Data],tblCarga[Jogador]=$B$4),1),ROW()-11),"")</f>
        <v/>
      </c>
      <c r="M50" s="481">
        <f>IF(L50="","",L50/_xlfn.MAXIFS(tblCarga[Vel. Máx (km/h)],tblCarga[Jogador],$B$4))</f>
        <v/>
      </c>
      <c r="N50" s="479">
        <f t="array" ref="N50">IF(A50="","",IFERROR(INDEX(_xlfn.SORTBY(_xlfn._xlws.FILTER(tblCarga[Nº ≥85% Vmáx],tblCarga[Jogador]=$B$4),_xlfn._xlws.FILTER(tblCarga[Data],tblCarga[Jogador]=$B$4),1),ROW()-11),""))</f>
        <v/>
      </c>
      <c r="O50" s="479">
        <f t="array" ref="O50">IF(A50="","",IFERROR(INDEX(_xlfn.SORTBY(_xlfn._xlws.FILTER(tblCarga[Nº ≥90% Vmáx],tblCarga[Jogador]=$B$4),_xlfn._xlws.FILTER(tblCarga[Data],tblCarga[Jogador]=$B$4),1),ROW()-11),""))</f>
        <v/>
      </c>
      <c r="P50" s="479">
        <f t="array" ref="P50">IF(A50="","",IFERROR(INDEX(_xlfn.SORTBY(_xlfn._xlws.FILTER(tblCarga[Nº ≥95% Vmáx],tblCarga[Jogador]=$B$4),_xlfn._xlws.FILTER(tblCarga[Data],tblCarga[Jogador]=$B$4),1),ROW()-11),""))</f>
        <v/>
      </c>
    </row>
    <row r="51" ht="21.95" customHeight="1">
      <c r="A51" s="482">
        <f t="array" ref="A51">IFERROR(INDEX(_xlfn._xlws.SORT(_xlfn._xlws.FILTER(tblCarga[Data],tblCarga[Jogador]=$B$4),1,1),ROW()-11),"")</f>
        <v/>
      </c>
      <c r="B51" s="483">
        <f t="array" ref="B51">IFERROR(INDEX(_xlfn.SORTBY(_xlfn._xlws.FILTER(tblCarga[Microciclo],tblCarga[Jogador]=$B$4),_xlfn._xlws.FILTER(tblCarga[Data],tblCarga[Jogador]=$B$4),1),ROW()-11),"")</f>
        <v/>
      </c>
      <c r="C51" s="483">
        <f t="array" ref="C51">IFERROR(INDEX(_xlfn.SORTBY(_xlfn._xlws.FILTER(tblCarga[Dia MD],tblCarga[Jogador]=$B$4),_xlfn._xlws.FILTER(tblCarga[Data],tblCarga[Jogador]=$B$4),1),ROW()-11),"")</f>
        <v/>
      </c>
      <c r="D51" s="483">
        <f t="array" ref="D51">IFERROR(INDEX(_xlfn.SORTBY(_xlfn._xlws.FILTER(tblCarga[Tipo],tblCarga[Jogador]=$B$4),_xlfn._xlws.FILTER(tblCarga[Data],tblCarga[Jogador]=$B$4),1),ROW()-11),"")</f>
        <v/>
      </c>
      <c r="E51" s="483">
        <f t="array" ref="E51">IFERROR(INDEX(_xlfn.SORTBY(_xlfn._xlws.FILTER(tblCarga[Duração (min)],tblCarga[Jogador]=$B$4),_xlfn._xlws.FILTER(tblCarga[Data],tblCarga[Jogador]=$B$4),1),ROW()-11),"")</f>
        <v/>
      </c>
      <c r="F51" s="483">
        <f t="array" ref="F51">IFERROR(INDEX(_xlfn.SORTBY(_xlfn._xlws.FILTER(tblCarga[Distância Total (m)],tblCarga[Jogador]=$B$4),_xlfn._xlws.FILTER(tblCarga[Data],tblCarga[Jogador]=$B$4),1),ROW()-11),"")</f>
        <v/>
      </c>
      <c r="G51" s="483">
        <f t="array" ref="G51">IFERROR(INDEX(_xlfn.SORTBY(_xlfn._xlws.FILTER(tblCarga[HSR (m)],tblCarga[Jogador]=$B$4),_xlfn._xlws.FILTER(tblCarga[Data],tblCarga[Jogador]=$B$4),1),ROW()-11),"")</f>
        <v/>
      </c>
      <c r="H51" s="483">
        <f t="array" ref="H51">IFERROR(INDEX(_xlfn.SORTBY(_xlfn._xlws.FILTER(tblCarga[Sprint (m)],tblCarga[Jogador]=$B$4),_xlfn._xlws.FILTER(tblCarga[Data],tblCarga[Jogador]=$B$4),1),ROW()-11),"")</f>
        <v/>
      </c>
      <c r="I51" s="483">
        <f t="array" ref="I51">IFERROR(INDEX(_xlfn.SORTBY(_xlfn._xlws.FILTER(tblCarga[Acc (n)],tblCarga[Jogador]=$B$4),_xlfn._xlws.FILTER(tblCarga[Data],tblCarga[Jogador]=$B$4),1),ROW()-11),"")</f>
        <v/>
      </c>
      <c r="J51" s="483">
        <f t="array" ref="J51">IFERROR(INDEX(_xlfn.SORTBY(_xlfn._xlws.FILTER(tblCarga[Dcc (n)],tblCarga[Jogador]=$B$4),_xlfn._xlws.FILTER(tblCarga[Data],tblCarga[Jogador]=$B$4),1),ROW()-11),"")</f>
        <v/>
      </c>
      <c r="K51" s="483">
        <f t="array" ref="K51">IFERROR(INDEX(_xlfn.SORTBY(_xlfn._xlws.FILTER(tblCarga[PSE Sessão],tblCarga[Jogador]=$B$4),_xlfn._xlws.FILTER(tblCarga[Data],tblCarga[Jogador]=$B$4),1),ROW()-11),"")</f>
        <v/>
      </c>
      <c r="L51" s="484">
        <f t="array" ref="L51">IFERROR(INDEX(_xlfn.SORTBY(_xlfn._xlws.FILTER(tblCarga[Vel. Máx (km/h)],tblCarga[Jogador]=$B$4),_xlfn._xlws.FILTER(tblCarga[Data],tblCarga[Jogador]=$B$4),1),ROW()-11),"")</f>
        <v/>
      </c>
      <c r="M51" s="485">
        <f>IF(L51="","",L51/_xlfn.MAXIFS(tblCarga[Vel. Máx (km/h)],tblCarga[Jogador],$B$4))</f>
        <v/>
      </c>
      <c r="N51" s="483">
        <f t="array" ref="N51">IF(A51="","",IFERROR(INDEX(_xlfn.SORTBY(_xlfn._xlws.FILTER(tblCarga[Nº ≥85% Vmáx],tblCarga[Jogador]=$B$4),_xlfn._xlws.FILTER(tblCarga[Data],tblCarga[Jogador]=$B$4),1),ROW()-11),""))</f>
        <v/>
      </c>
      <c r="O51" s="483">
        <f t="array" ref="O51">IF(A51="","",IFERROR(INDEX(_xlfn.SORTBY(_xlfn._xlws.FILTER(tblCarga[Nº ≥90% Vmáx],tblCarga[Jogador]=$B$4),_xlfn._xlws.FILTER(tblCarga[Data],tblCarga[Jogador]=$B$4),1),ROW()-11),""))</f>
        <v/>
      </c>
      <c r="P51" s="483">
        <f t="array" ref="P51">IF(A51="","",IFERROR(INDEX(_xlfn.SORTBY(_xlfn._xlws.FILTER(tblCarga[Nº ≥95% Vmáx],tblCarga[Jogador]=$B$4),_xlfn._xlws.FILTER(tblCarga[Data],tblCarga[Jogador]=$B$4),1),ROW()-11),""))</f>
        <v/>
      </c>
    </row>
    <row r="52" ht="21.95" customHeight="1">
      <c r="A52" s="478">
        <f t="array" ref="A52">IFERROR(INDEX(_xlfn._xlws.SORT(_xlfn._xlws.FILTER(tblCarga[Data],tblCarga[Jogador]=$B$4),1,1),ROW()-11),"")</f>
        <v/>
      </c>
      <c r="B52" s="479">
        <f t="array" ref="B52">IFERROR(INDEX(_xlfn.SORTBY(_xlfn._xlws.FILTER(tblCarga[Microciclo],tblCarga[Jogador]=$B$4),_xlfn._xlws.FILTER(tblCarga[Data],tblCarga[Jogador]=$B$4),1),ROW()-11),"")</f>
        <v/>
      </c>
      <c r="C52" s="479">
        <f t="array" ref="C52">IFERROR(INDEX(_xlfn.SORTBY(_xlfn._xlws.FILTER(tblCarga[Dia MD],tblCarga[Jogador]=$B$4),_xlfn._xlws.FILTER(tblCarga[Data],tblCarga[Jogador]=$B$4),1),ROW()-11),"")</f>
        <v/>
      </c>
      <c r="D52" s="479">
        <f t="array" ref="D52">IFERROR(INDEX(_xlfn.SORTBY(_xlfn._xlws.FILTER(tblCarga[Tipo],tblCarga[Jogador]=$B$4),_xlfn._xlws.FILTER(tblCarga[Data],tblCarga[Jogador]=$B$4),1),ROW()-11),"")</f>
        <v/>
      </c>
      <c r="E52" s="479">
        <f t="array" ref="E52">IFERROR(INDEX(_xlfn.SORTBY(_xlfn._xlws.FILTER(tblCarga[Duração (min)],tblCarga[Jogador]=$B$4),_xlfn._xlws.FILTER(tblCarga[Data],tblCarga[Jogador]=$B$4),1),ROW()-11),"")</f>
        <v/>
      </c>
      <c r="F52" s="479">
        <f t="array" ref="F52">IFERROR(INDEX(_xlfn.SORTBY(_xlfn._xlws.FILTER(tblCarga[Distância Total (m)],tblCarga[Jogador]=$B$4),_xlfn._xlws.FILTER(tblCarga[Data],tblCarga[Jogador]=$B$4),1),ROW()-11),"")</f>
        <v/>
      </c>
      <c r="G52" s="479">
        <f t="array" ref="G52">IFERROR(INDEX(_xlfn.SORTBY(_xlfn._xlws.FILTER(tblCarga[HSR (m)],tblCarga[Jogador]=$B$4),_xlfn._xlws.FILTER(tblCarga[Data],tblCarga[Jogador]=$B$4),1),ROW()-11),"")</f>
        <v/>
      </c>
      <c r="H52" s="479">
        <f t="array" ref="H52">IFERROR(INDEX(_xlfn.SORTBY(_xlfn._xlws.FILTER(tblCarga[Sprint (m)],tblCarga[Jogador]=$B$4),_xlfn._xlws.FILTER(tblCarga[Data],tblCarga[Jogador]=$B$4),1),ROW()-11),"")</f>
        <v/>
      </c>
      <c r="I52" s="479">
        <f t="array" ref="I52">IFERROR(INDEX(_xlfn.SORTBY(_xlfn._xlws.FILTER(tblCarga[Acc (n)],tblCarga[Jogador]=$B$4),_xlfn._xlws.FILTER(tblCarga[Data],tblCarga[Jogador]=$B$4),1),ROW()-11),"")</f>
        <v/>
      </c>
      <c r="J52" s="479">
        <f t="array" ref="J52">IFERROR(INDEX(_xlfn.SORTBY(_xlfn._xlws.FILTER(tblCarga[Dcc (n)],tblCarga[Jogador]=$B$4),_xlfn._xlws.FILTER(tblCarga[Data],tblCarga[Jogador]=$B$4),1),ROW()-11),"")</f>
        <v/>
      </c>
      <c r="K52" s="479">
        <f t="array" ref="K52">IFERROR(INDEX(_xlfn.SORTBY(_xlfn._xlws.FILTER(tblCarga[PSE Sessão],tblCarga[Jogador]=$B$4),_xlfn._xlws.FILTER(tblCarga[Data],tblCarga[Jogador]=$B$4),1),ROW()-11),"")</f>
        <v/>
      </c>
      <c r="L52" s="480">
        <f t="array" ref="L52">IFERROR(INDEX(_xlfn.SORTBY(_xlfn._xlws.FILTER(tblCarga[Vel. Máx (km/h)],tblCarga[Jogador]=$B$4),_xlfn._xlws.FILTER(tblCarga[Data],tblCarga[Jogador]=$B$4),1),ROW()-11),"")</f>
        <v/>
      </c>
      <c r="M52" s="481">
        <f>IF(L52="","",L52/_xlfn.MAXIFS(tblCarga[Vel. Máx (km/h)],tblCarga[Jogador],$B$4))</f>
        <v/>
      </c>
      <c r="N52" s="479">
        <f t="array" ref="N52">IF(A52="","",IFERROR(INDEX(_xlfn.SORTBY(_xlfn._xlws.FILTER(tblCarga[Nº ≥85% Vmáx],tblCarga[Jogador]=$B$4),_xlfn._xlws.FILTER(tblCarga[Data],tblCarga[Jogador]=$B$4),1),ROW()-11),""))</f>
        <v/>
      </c>
      <c r="O52" s="479">
        <f t="array" ref="O52">IF(A52="","",IFERROR(INDEX(_xlfn.SORTBY(_xlfn._xlws.FILTER(tblCarga[Nº ≥90% Vmáx],tblCarga[Jogador]=$B$4),_xlfn._xlws.FILTER(tblCarga[Data],tblCarga[Jogador]=$B$4),1),ROW()-11),""))</f>
        <v/>
      </c>
      <c r="P52" s="479">
        <f t="array" ref="P52">IF(A52="","",IFERROR(INDEX(_xlfn.SORTBY(_xlfn._xlws.FILTER(tblCarga[Nº ≥95% Vmáx],tblCarga[Jogador]=$B$4),_xlfn._xlws.FILTER(tblCarga[Data],tblCarga[Jogador]=$B$4),1),ROW()-11),""))</f>
        <v/>
      </c>
    </row>
    <row r="53" ht="21.95" customHeight="1">
      <c r="A53" s="482">
        <f t="array" ref="A53">IFERROR(INDEX(_xlfn._xlws.SORT(_xlfn._xlws.FILTER(tblCarga[Data],tblCarga[Jogador]=$B$4),1,1),ROW()-11),"")</f>
        <v/>
      </c>
      <c r="B53" s="483">
        <f t="array" ref="B53">IFERROR(INDEX(_xlfn.SORTBY(_xlfn._xlws.FILTER(tblCarga[Microciclo],tblCarga[Jogador]=$B$4),_xlfn._xlws.FILTER(tblCarga[Data],tblCarga[Jogador]=$B$4),1),ROW()-11),"")</f>
        <v/>
      </c>
      <c r="C53" s="483">
        <f t="array" ref="C53">IFERROR(INDEX(_xlfn.SORTBY(_xlfn._xlws.FILTER(tblCarga[Dia MD],tblCarga[Jogador]=$B$4),_xlfn._xlws.FILTER(tblCarga[Data],tblCarga[Jogador]=$B$4),1),ROW()-11),"")</f>
        <v/>
      </c>
      <c r="D53" s="483">
        <f t="array" ref="D53">IFERROR(INDEX(_xlfn.SORTBY(_xlfn._xlws.FILTER(tblCarga[Tipo],tblCarga[Jogador]=$B$4),_xlfn._xlws.FILTER(tblCarga[Data],tblCarga[Jogador]=$B$4),1),ROW()-11),"")</f>
        <v/>
      </c>
      <c r="E53" s="483">
        <f t="array" ref="E53">IFERROR(INDEX(_xlfn.SORTBY(_xlfn._xlws.FILTER(tblCarga[Duração (min)],tblCarga[Jogador]=$B$4),_xlfn._xlws.FILTER(tblCarga[Data],tblCarga[Jogador]=$B$4),1),ROW()-11),"")</f>
        <v/>
      </c>
      <c r="F53" s="483">
        <f t="array" ref="F53">IFERROR(INDEX(_xlfn.SORTBY(_xlfn._xlws.FILTER(tblCarga[Distância Total (m)],tblCarga[Jogador]=$B$4),_xlfn._xlws.FILTER(tblCarga[Data],tblCarga[Jogador]=$B$4),1),ROW()-11),"")</f>
        <v/>
      </c>
      <c r="G53" s="483">
        <f t="array" ref="G53">IFERROR(INDEX(_xlfn.SORTBY(_xlfn._xlws.FILTER(tblCarga[HSR (m)],tblCarga[Jogador]=$B$4),_xlfn._xlws.FILTER(tblCarga[Data],tblCarga[Jogador]=$B$4),1),ROW()-11),"")</f>
        <v/>
      </c>
      <c r="H53" s="483">
        <f t="array" ref="H53">IFERROR(INDEX(_xlfn.SORTBY(_xlfn._xlws.FILTER(tblCarga[Sprint (m)],tblCarga[Jogador]=$B$4),_xlfn._xlws.FILTER(tblCarga[Data],tblCarga[Jogador]=$B$4),1),ROW()-11),"")</f>
        <v/>
      </c>
      <c r="I53" s="483">
        <f t="array" ref="I53">IFERROR(INDEX(_xlfn.SORTBY(_xlfn._xlws.FILTER(tblCarga[Acc (n)],tblCarga[Jogador]=$B$4),_xlfn._xlws.FILTER(tblCarga[Data],tblCarga[Jogador]=$B$4),1),ROW()-11),"")</f>
        <v/>
      </c>
      <c r="J53" s="483">
        <f t="array" ref="J53">IFERROR(INDEX(_xlfn.SORTBY(_xlfn._xlws.FILTER(tblCarga[Dcc (n)],tblCarga[Jogador]=$B$4),_xlfn._xlws.FILTER(tblCarga[Data],tblCarga[Jogador]=$B$4),1),ROW()-11),"")</f>
        <v/>
      </c>
      <c r="K53" s="483">
        <f t="array" ref="K53">IFERROR(INDEX(_xlfn.SORTBY(_xlfn._xlws.FILTER(tblCarga[PSE Sessão],tblCarga[Jogador]=$B$4),_xlfn._xlws.FILTER(tblCarga[Data],tblCarga[Jogador]=$B$4),1),ROW()-11),"")</f>
        <v/>
      </c>
      <c r="L53" s="484">
        <f t="array" ref="L53">IFERROR(INDEX(_xlfn.SORTBY(_xlfn._xlws.FILTER(tblCarga[Vel. Máx (km/h)],tblCarga[Jogador]=$B$4),_xlfn._xlws.FILTER(tblCarga[Data],tblCarga[Jogador]=$B$4),1),ROW()-11),"")</f>
        <v/>
      </c>
      <c r="M53" s="485">
        <f>IF(L53="","",L53/_xlfn.MAXIFS(tblCarga[Vel. Máx (km/h)],tblCarga[Jogador],$B$4))</f>
        <v/>
      </c>
      <c r="N53" s="483">
        <f t="array" ref="N53">IF(A53="","",IFERROR(INDEX(_xlfn.SORTBY(_xlfn._xlws.FILTER(tblCarga[Nº ≥85% Vmáx],tblCarga[Jogador]=$B$4),_xlfn._xlws.FILTER(tblCarga[Data],tblCarga[Jogador]=$B$4),1),ROW()-11),""))</f>
        <v/>
      </c>
      <c r="O53" s="483">
        <f t="array" ref="O53">IF(A53="","",IFERROR(INDEX(_xlfn.SORTBY(_xlfn._xlws.FILTER(tblCarga[Nº ≥90% Vmáx],tblCarga[Jogador]=$B$4),_xlfn._xlws.FILTER(tblCarga[Data],tblCarga[Jogador]=$B$4),1),ROW()-11),""))</f>
        <v/>
      </c>
      <c r="P53" s="483">
        <f t="array" ref="P53">IF(A53="","",IFERROR(INDEX(_xlfn.SORTBY(_xlfn._xlws.FILTER(tblCarga[Nº ≥95% Vmáx],tblCarga[Jogador]=$B$4),_xlfn._xlws.FILTER(tblCarga[Data],tblCarga[Jogador]=$B$4),1),ROW()-11),""))</f>
        <v/>
      </c>
    </row>
    <row r="54" ht="21.95" customHeight="1">
      <c r="A54" s="478">
        <f t="array" ref="A54">IFERROR(INDEX(_xlfn._xlws.SORT(_xlfn._xlws.FILTER(tblCarga[Data],tblCarga[Jogador]=$B$4),1,1),ROW()-11),"")</f>
        <v/>
      </c>
      <c r="B54" s="479">
        <f t="array" ref="B54">IFERROR(INDEX(_xlfn.SORTBY(_xlfn._xlws.FILTER(tblCarga[Microciclo],tblCarga[Jogador]=$B$4),_xlfn._xlws.FILTER(tblCarga[Data],tblCarga[Jogador]=$B$4),1),ROW()-11),"")</f>
        <v/>
      </c>
      <c r="C54" s="479">
        <f t="array" ref="C54">IFERROR(INDEX(_xlfn.SORTBY(_xlfn._xlws.FILTER(tblCarga[Dia MD],tblCarga[Jogador]=$B$4),_xlfn._xlws.FILTER(tblCarga[Data],tblCarga[Jogador]=$B$4),1),ROW()-11),"")</f>
        <v/>
      </c>
      <c r="D54" s="479">
        <f t="array" ref="D54">IFERROR(INDEX(_xlfn.SORTBY(_xlfn._xlws.FILTER(tblCarga[Tipo],tblCarga[Jogador]=$B$4),_xlfn._xlws.FILTER(tblCarga[Data],tblCarga[Jogador]=$B$4),1),ROW()-11),"")</f>
        <v/>
      </c>
      <c r="E54" s="479">
        <f t="array" ref="E54">IFERROR(INDEX(_xlfn.SORTBY(_xlfn._xlws.FILTER(tblCarga[Duração (min)],tblCarga[Jogador]=$B$4),_xlfn._xlws.FILTER(tblCarga[Data],tblCarga[Jogador]=$B$4),1),ROW()-11),"")</f>
        <v/>
      </c>
      <c r="F54" s="479">
        <f t="array" ref="F54">IFERROR(INDEX(_xlfn.SORTBY(_xlfn._xlws.FILTER(tblCarga[Distância Total (m)],tblCarga[Jogador]=$B$4),_xlfn._xlws.FILTER(tblCarga[Data],tblCarga[Jogador]=$B$4),1),ROW()-11),"")</f>
        <v/>
      </c>
      <c r="G54" s="479">
        <f t="array" ref="G54">IFERROR(INDEX(_xlfn.SORTBY(_xlfn._xlws.FILTER(tblCarga[HSR (m)],tblCarga[Jogador]=$B$4),_xlfn._xlws.FILTER(tblCarga[Data],tblCarga[Jogador]=$B$4),1),ROW()-11),"")</f>
        <v/>
      </c>
      <c r="H54" s="479">
        <f t="array" ref="H54">IFERROR(INDEX(_xlfn.SORTBY(_xlfn._xlws.FILTER(tblCarga[Sprint (m)],tblCarga[Jogador]=$B$4),_xlfn._xlws.FILTER(tblCarga[Data],tblCarga[Jogador]=$B$4),1),ROW()-11),"")</f>
        <v/>
      </c>
      <c r="I54" s="479">
        <f t="array" ref="I54">IFERROR(INDEX(_xlfn.SORTBY(_xlfn._xlws.FILTER(tblCarga[Acc (n)],tblCarga[Jogador]=$B$4),_xlfn._xlws.FILTER(tblCarga[Data],tblCarga[Jogador]=$B$4),1),ROW()-11),"")</f>
        <v/>
      </c>
      <c r="J54" s="479">
        <f t="array" ref="J54">IFERROR(INDEX(_xlfn.SORTBY(_xlfn._xlws.FILTER(tblCarga[Dcc (n)],tblCarga[Jogador]=$B$4),_xlfn._xlws.FILTER(tblCarga[Data],tblCarga[Jogador]=$B$4),1),ROW()-11),"")</f>
        <v/>
      </c>
      <c r="K54" s="479">
        <f t="array" ref="K54">IFERROR(INDEX(_xlfn.SORTBY(_xlfn._xlws.FILTER(tblCarga[PSE Sessão],tblCarga[Jogador]=$B$4),_xlfn._xlws.FILTER(tblCarga[Data],tblCarga[Jogador]=$B$4),1),ROW()-11),"")</f>
        <v/>
      </c>
      <c r="L54" s="480">
        <f t="array" ref="L54">IFERROR(INDEX(_xlfn.SORTBY(_xlfn._xlws.FILTER(tblCarga[Vel. Máx (km/h)],tblCarga[Jogador]=$B$4),_xlfn._xlws.FILTER(tblCarga[Data],tblCarga[Jogador]=$B$4),1),ROW()-11),"")</f>
        <v/>
      </c>
      <c r="M54" s="481">
        <f>IF(L54="","",L54/_xlfn.MAXIFS(tblCarga[Vel. Máx (km/h)],tblCarga[Jogador],$B$4))</f>
        <v/>
      </c>
      <c r="N54" s="479">
        <f t="array" ref="N54">IF(A54="","",IFERROR(INDEX(_xlfn.SORTBY(_xlfn._xlws.FILTER(tblCarga[Nº ≥85% Vmáx],tblCarga[Jogador]=$B$4),_xlfn._xlws.FILTER(tblCarga[Data],tblCarga[Jogador]=$B$4),1),ROW()-11),""))</f>
        <v/>
      </c>
      <c r="O54" s="479">
        <f t="array" ref="O54">IF(A54="","",IFERROR(INDEX(_xlfn.SORTBY(_xlfn._xlws.FILTER(tblCarga[Nº ≥90% Vmáx],tblCarga[Jogador]=$B$4),_xlfn._xlws.FILTER(tblCarga[Data],tblCarga[Jogador]=$B$4),1),ROW()-11),""))</f>
        <v/>
      </c>
      <c r="P54" s="479">
        <f t="array" ref="P54">IF(A54="","",IFERROR(INDEX(_xlfn.SORTBY(_xlfn._xlws.FILTER(tblCarga[Nº ≥95% Vmáx],tblCarga[Jogador]=$B$4),_xlfn._xlws.FILTER(tblCarga[Data],tblCarga[Jogador]=$B$4),1),ROW()-11),""))</f>
        <v/>
      </c>
    </row>
    <row r="55" ht="21.95" customHeight="1">
      <c r="A55" s="482">
        <f t="array" ref="A55">IFERROR(INDEX(_xlfn._xlws.SORT(_xlfn._xlws.FILTER(tblCarga[Data],tblCarga[Jogador]=$B$4),1,1),ROW()-11),"")</f>
        <v/>
      </c>
      <c r="B55" s="483">
        <f t="array" ref="B55">IFERROR(INDEX(_xlfn.SORTBY(_xlfn._xlws.FILTER(tblCarga[Microciclo],tblCarga[Jogador]=$B$4),_xlfn._xlws.FILTER(tblCarga[Data],tblCarga[Jogador]=$B$4),1),ROW()-11),"")</f>
        <v/>
      </c>
      <c r="C55" s="483">
        <f t="array" ref="C55">IFERROR(INDEX(_xlfn.SORTBY(_xlfn._xlws.FILTER(tblCarga[Dia MD],tblCarga[Jogador]=$B$4),_xlfn._xlws.FILTER(tblCarga[Data],tblCarga[Jogador]=$B$4),1),ROW()-11),"")</f>
        <v/>
      </c>
      <c r="D55" s="483">
        <f t="array" ref="D55">IFERROR(INDEX(_xlfn.SORTBY(_xlfn._xlws.FILTER(tblCarga[Tipo],tblCarga[Jogador]=$B$4),_xlfn._xlws.FILTER(tblCarga[Data],tblCarga[Jogador]=$B$4),1),ROW()-11),"")</f>
        <v/>
      </c>
      <c r="E55" s="483">
        <f t="array" ref="E55">IFERROR(INDEX(_xlfn.SORTBY(_xlfn._xlws.FILTER(tblCarga[Duração (min)],tblCarga[Jogador]=$B$4),_xlfn._xlws.FILTER(tblCarga[Data],tblCarga[Jogador]=$B$4),1),ROW()-11),"")</f>
        <v/>
      </c>
      <c r="F55" s="483">
        <f t="array" ref="F55">IFERROR(INDEX(_xlfn.SORTBY(_xlfn._xlws.FILTER(tblCarga[Distância Total (m)],tblCarga[Jogador]=$B$4),_xlfn._xlws.FILTER(tblCarga[Data],tblCarga[Jogador]=$B$4),1),ROW()-11),"")</f>
        <v/>
      </c>
      <c r="G55" s="483">
        <f t="array" ref="G55">IFERROR(INDEX(_xlfn.SORTBY(_xlfn._xlws.FILTER(tblCarga[HSR (m)],tblCarga[Jogador]=$B$4),_xlfn._xlws.FILTER(tblCarga[Data],tblCarga[Jogador]=$B$4),1),ROW()-11),"")</f>
        <v/>
      </c>
      <c r="H55" s="483">
        <f t="array" ref="H55">IFERROR(INDEX(_xlfn.SORTBY(_xlfn._xlws.FILTER(tblCarga[Sprint (m)],tblCarga[Jogador]=$B$4),_xlfn._xlws.FILTER(tblCarga[Data],tblCarga[Jogador]=$B$4),1),ROW()-11),"")</f>
        <v/>
      </c>
      <c r="I55" s="483">
        <f t="array" ref="I55">IFERROR(INDEX(_xlfn.SORTBY(_xlfn._xlws.FILTER(tblCarga[Acc (n)],tblCarga[Jogador]=$B$4),_xlfn._xlws.FILTER(tblCarga[Data],tblCarga[Jogador]=$B$4),1),ROW()-11),"")</f>
        <v/>
      </c>
      <c r="J55" s="483">
        <f t="array" ref="J55">IFERROR(INDEX(_xlfn.SORTBY(_xlfn._xlws.FILTER(tblCarga[Dcc (n)],tblCarga[Jogador]=$B$4),_xlfn._xlws.FILTER(tblCarga[Data],tblCarga[Jogador]=$B$4),1),ROW()-11),"")</f>
        <v/>
      </c>
      <c r="K55" s="483">
        <f t="array" ref="K55">IFERROR(INDEX(_xlfn.SORTBY(_xlfn._xlws.FILTER(tblCarga[PSE Sessão],tblCarga[Jogador]=$B$4),_xlfn._xlws.FILTER(tblCarga[Data],tblCarga[Jogador]=$B$4),1),ROW()-11),"")</f>
        <v/>
      </c>
      <c r="L55" s="484">
        <f t="array" ref="L55">IFERROR(INDEX(_xlfn.SORTBY(_xlfn._xlws.FILTER(tblCarga[Vel. Máx (km/h)],tblCarga[Jogador]=$B$4),_xlfn._xlws.FILTER(tblCarga[Data],tblCarga[Jogador]=$B$4),1),ROW()-11),"")</f>
        <v/>
      </c>
      <c r="M55" s="485">
        <f>IF(L55="","",L55/_xlfn.MAXIFS(tblCarga[Vel. Máx (km/h)],tblCarga[Jogador],$B$4))</f>
        <v/>
      </c>
      <c r="N55" s="483">
        <f t="array" ref="N55">IF(A55="","",IFERROR(INDEX(_xlfn.SORTBY(_xlfn._xlws.FILTER(tblCarga[Nº ≥85% Vmáx],tblCarga[Jogador]=$B$4),_xlfn._xlws.FILTER(tblCarga[Data],tblCarga[Jogador]=$B$4),1),ROW()-11),""))</f>
        <v/>
      </c>
      <c r="O55" s="483">
        <f t="array" ref="O55">IF(A55="","",IFERROR(INDEX(_xlfn.SORTBY(_xlfn._xlws.FILTER(tblCarga[Nº ≥90% Vmáx],tblCarga[Jogador]=$B$4),_xlfn._xlws.FILTER(tblCarga[Data],tblCarga[Jogador]=$B$4),1),ROW()-11),""))</f>
        <v/>
      </c>
      <c r="P55" s="483">
        <f t="array" ref="P55">IF(A55="","",IFERROR(INDEX(_xlfn.SORTBY(_xlfn._xlws.FILTER(tblCarga[Nº ≥95% Vmáx],tblCarga[Jogador]=$B$4),_xlfn._xlws.FILTER(tblCarga[Data],tblCarga[Jogador]=$B$4),1),ROW()-11),""))</f>
        <v/>
      </c>
    </row>
    <row r="56" ht="21.95" customHeight="1">
      <c r="A56" s="478">
        <f t="array" ref="A56">IFERROR(INDEX(_xlfn._xlws.SORT(_xlfn._xlws.FILTER(tblCarga[Data],tblCarga[Jogador]=$B$4),1,1),ROW()-11),"")</f>
        <v/>
      </c>
      <c r="B56" s="479">
        <f t="array" ref="B56">IFERROR(INDEX(_xlfn.SORTBY(_xlfn._xlws.FILTER(tblCarga[Microciclo],tblCarga[Jogador]=$B$4),_xlfn._xlws.FILTER(tblCarga[Data],tblCarga[Jogador]=$B$4),1),ROW()-11),"")</f>
        <v/>
      </c>
      <c r="C56" s="479">
        <f t="array" ref="C56">IFERROR(INDEX(_xlfn.SORTBY(_xlfn._xlws.FILTER(tblCarga[Dia MD],tblCarga[Jogador]=$B$4),_xlfn._xlws.FILTER(tblCarga[Data],tblCarga[Jogador]=$B$4),1),ROW()-11),"")</f>
        <v/>
      </c>
      <c r="D56" s="479">
        <f t="array" ref="D56">IFERROR(INDEX(_xlfn.SORTBY(_xlfn._xlws.FILTER(tblCarga[Tipo],tblCarga[Jogador]=$B$4),_xlfn._xlws.FILTER(tblCarga[Data],tblCarga[Jogador]=$B$4),1),ROW()-11),"")</f>
        <v/>
      </c>
      <c r="E56" s="479">
        <f t="array" ref="E56">IFERROR(INDEX(_xlfn.SORTBY(_xlfn._xlws.FILTER(tblCarga[Duração (min)],tblCarga[Jogador]=$B$4),_xlfn._xlws.FILTER(tblCarga[Data],tblCarga[Jogador]=$B$4),1),ROW()-11),"")</f>
        <v/>
      </c>
      <c r="F56" s="479">
        <f t="array" ref="F56">IFERROR(INDEX(_xlfn.SORTBY(_xlfn._xlws.FILTER(tblCarga[Distância Total (m)],tblCarga[Jogador]=$B$4),_xlfn._xlws.FILTER(tblCarga[Data],tblCarga[Jogador]=$B$4),1),ROW()-11),"")</f>
        <v/>
      </c>
      <c r="G56" s="479">
        <f t="array" ref="G56">IFERROR(INDEX(_xlfn.SORTBY(_xlfn._xlws.FILTER(tblCarga[HSR (m)],tblCarga[Jogador]=$B$4),_xlfn._xlws.FILTER(tblCarga[Data],tblCarga[Jogador]=$B$4),1),ROW()-11),"")</f>
        <v/>
      </c>
      <c r="H56" s="479">
        <f t="array" ref="H56">IFERROR(INDEX(_xlfn.SORTBY(_xlfn._xlws.FILTER(tblCarga[Sprint (m)],tblCarga[Jogador]=$B$4),_xlfn._xlws.FILTER(tblCarga[Data],tblCarga[Jogador]=$B$4),1),ROW()-11),"")</f>
        <v/>
      </c>
      <c r="I56" s="479">
        <f t="array" ref="I56">IFERROR(INDEX(_xlfn.SORTBY(_xlfn._xlws.FILTER(tblCarga[Acc (n)],tblCarga[Jogador]=$B$4),_xlfn._xlws.FILTER(tblCarga[Data],tblCarga[Jogador]=$B$4),1),ROW()-11),"")</f>
        <v/>
      </c>
      <c r="J56" s="479">
        <f t="array" ref="J56">IFERROR(INDEX(_xlfn.SORTBY(_xlfn._xlws.FILTER(tblCarga[Dcc (n)],tblCarga[Jogador]=$B$4),_xlfn._xlws.FILTER(tblCarga[Data],tblCarga[Jogador]=$B$4),1),ROW()-11),"")</f>
        <v/>
      </c>
      <c r="K56" s="479">
        <f t="array" ref="K56">IFERROR(INDEX(_xlfn.SORTBY(_xlfn._xlws.FILTER(tblCarga[PSE Sessão],tblCarga[Jogador]=$B$4),_xlfn._xlws.FILTER(tblCarga[Data],tblCarga[Jogador]=$B$4),1),ROW()-11),"")</f>
        <v/>
      </c>
      <c r="L56" s="480">
        <f t="array" ref="L56">IFERROR(INDEX(_xlfn.SORTBY(_xlfn._xlws.FILTER(tblCarga[Vel. Máx (km/h)],tblCarga[Jogador]=$B$4),_xlfn._xlws.FILTER(tblCarga[Data],tblCarga[Jogador]=$B$4),1),ROW()-11),"")</f>
        <v/>
      </c>
      <c r="M56" s="481">
        <f>IF(L56="","",L56/_xlfn.MAXIFS(tblCarga[Vel. Máx (km/h)],tblCarga[Jogador],$B$4))</f>
        <v/>
      </c>
      <c r="N56" s="479">
        <f t="array" ref="N56">IF(A56="","",IFERROR(INDEX(_xlfn.SORTBY(_xlfn._xlws.FILTER(tblCarga[Nº ≥85% Vmáx],tblCarga[Jogador]=$B$4),_xlfn._xlws.FILTER(tblCarga[Data],tblCarga[Jogador]=$B$4),1),ROW()-11),""))</f>
        <v/>
      </c>
      <c r="O56" s="479">
        <f t="array" ref="O56">IF(A56="","",IFERROR(INDEX(_xlfn.SORTBY(_xlfn._xlws.FILTER(tblCarga[Nº ≥90% Vmáx],tblCarga[Jogador]=$B$4),_xlfn._xlws.FILTER(tblCarga[Data],tblCarga[Jogador]=$B$4),1),ROW()-11),""))</f>
        <v/>
      </c>
      <c r="P56" s="479">
        <f t="array" ref="P56">IF(A56="","",IFERROR(INDEX(_xlfn.SORTBY(_xlfn._xlws.FILTER(tblCarga[Nº ≥95% Vmáx],tblCarga[Jogador]=$B$4),_xlfn._xlws.FILTER(tblCarga[Data],tblCarga[Jogador]=$B$4),1),ROW()-11),""))</f>
        <v/>
      </c>
    </row>
    <row r="57" ht="21.95" customHeight="1">
      <c r="A57" s="482">
        <f t="array" ref="A57">IFERROR(INDEX(_xlfn._xlws.SORT(_xlfn._xlws.FILTER(tblCarga[Data],tblCarga[Jogador]=$B$4),1,1),ROW()-11),"")</f>
        <v/>
      </c>
      <c r="B57" s="483">
        <f t="array" ref="B57">IFERROR(INDEX(_xlfn.SORTBY(_xlfn._xlws.FILTER(tblCarga[Microciclo],tblCarga[Jogador]=$B$4),_xlfn._xlws.FILTER(tblCarga[Data],tblCarga[Jogador]=$B$4),1),ROW()-11),"")</f>
        <v/>
      </c>
      <c r="C57" s="483">
        <f t="array" ref="C57">IFERROR(INDEX(_xlfn.SORTBY(_xlfn._xlws.FILTER(tblCarga[Dia MD],tblCarga[Jogador]=$B$4),_xlfn._xlws.FILTER(tblCarga[Data],tblCarga[Jogador]=$B$4),1),ROW()-11),"")</f>
        <v/>
      </c>
      <c r="D57" s="483">
        <f t="array" ref="D57">IFERROR(INDEX(_xlfn.SORTBY(_xlfn._xlws.FILTER(tblCarga[Tipo],tblCarga[Jogador]=$B$4),_xlfn._xlws.FILTER(tblCarga[Data],tblCarga[Jogador]=$B$4),1),ROW()-11),"")</f>
        <v/>
      </c>
      <c r="E57" s="483">
        <f t="array" ref="E57">IFERROR(INDEX(_xlfn.SORTBY(_xlfn._xlws.FILTER(tblCarga[Duração (min)],tblCarga[Jogador]=$B$4),_xlfn._xlws.FILTER(tblCarga[Data],tblCarga[Jogador]=$B$4),1),ROW()-11),"")</f>
        <v/>
      </c>
      <c r="F57" s="483">
        <f t="array" ref="F57">IFERROR(INDEX(_xlfn.SORTBY(_xlfn._xlws.FILTER(tblCarga[Distância Total (m)],tblCarga[Jogador]=$B$4),_xlfn._xlws.FILTER(tblCarga[Data],tblCarga[Jogador]=$B$4),1),ROW()-11),"")</f>
        <v/>
      </c>
      <c r="G57" s="483">
        <f t="array" ref="G57">IFERROR(INDEX(_xlfn.SORTBY(_xlfn._xlws.FILTER(tblCarga[HSR (m)],tblCarga[Jogador]=$B$4),_xlfn._xlws.FILTER(tblCarga[Data],tblCarga[Jogador]=$B$4),1),ROW()-11),"")</f>
        <v/>
      </c>
      <c r="H57" s="483">
        <f t="array" ref="H57">IFERROR(INDEX(_xlfn.SORTBY(_xlfn._xlws.FILTER(tblCarga[Sprint (m)],tblCarga[Jogador]=$B$4),_xlfn._xlws.FILTER(tblCarga[Data],tblCarga[Jogador]=$B$4),1),ROW()-11),"")</f>
        <v/>
      </c>
      <c r="I57" s="483">
        <f t="array" ref="I57">IFERROR(INDEX(_xlfn.SORTBY(_xlfn._xlws.FILTER(tblCarga[Acc (n)],tblCarga[Jogador]=$B$4),_xlfn._xlws.FILTER(tblCarga[Data],tblCarga[Jogador]=$B$4),1),ROW()-11),"")</f>
        <v/>
      </c>
      <c r="J57" s="483">
        <f t="array" ref="J57">IFERROR(INDEX(_xlfn.SORTBY(_xlfn._xlws.FILTER(tblCarga[Dcc (n)],tblCarga[Jogador]=$B$4),_xlfn._xlws.FILTER(tblCarga[Data],tblCarga[Jogador]=$B$4),1),ROW()-11),"")</f>
        <v/>
      </c>
      <c r="K57" s="483">
        <f t="array" ref="K57">IFERROR(INDEX(_xlfn.SORTBY(_xlfn._xlws.FILTER(tblCarga[PSE Sessão],tblCarga[Jogador]=$B$4),_xlfn._xlws.FILTER(tblCarga[Data],tblCarga[Jogador]=$B$4),1),ROW()-11),"")</f>
        <v/>
      </c>
      <c r="L57" s="484">
        <f t="array" ref="L57">IFERROR(INDEX(_xlfn.SORTBY(_xlfn._xlws.FILTER(tblCarga[Vel. Máx (km/h)],tblCarga[Jogador]=$B$4),_xlfn._xlws.FILTER(tblCarga[Data],tblCarga[Jogador]=$B$4),1),ROW()-11),"")</f>
        <v/>
      </c>
      <c r="M57" s="485">
        <f>IF(L57="","",L57/_xlfn.MAXIFS(tblCarga[Vel. Máx (km/h)],tblCarga[Jogador],$B$4))</f>
        <v/>
      </c>
      <c r="N57" s="483">
        <f t="array" ref="N57">IF(A57="","",IFERROR(INDEX(_xlfn.SORTBY(_xlfn._xlws.FILTER(tblCarga[Nº ≥85% Vmáx],tblCarga[Jogador]=$B$4),_xlfn._xlws.FILTER(tblCarga[Data],tblCarga[Jogador]=$B$4),1),ROW()-11),""))</f>
        <v/>
      </c>
      <c r="O57" s="483">
        <f t="array" ref="O57">IF(A57="","",IFERROR(INDEX(_xlfn.SORTBY(_xlfn._xlws.FILTER(tblCarga[Nº ≥90% Vmáx],tblCarga[Jogador]=$B$4),_xlfn._xlws.FILTER(tblCarga[Data],tblCarga[Jogador]=$B$4),1),ROW()-11),""))</f>
        <v/>
      </c>
      <c r="P57" s="483">
        <f t="array" ref="P57">IF(A57="","",IFERROR(INDEX(_xlfn.SORTBY(_xlfn._xlws.FILTER(tblCarga[Nº ≥95% Vmáx],tblCarga[Jogador]=$B$4),_xlfn._xlws.FILTER(tblCarga[Data],tblCarga[Jogador]=$B$4),1),ROW()-11),""))</f>
        <v/>
      </c>
    </row>
    <row r="58" ht="21.95" customHeight="1">
      <c r="A58" s="478">
        <f t="array" ref="A58">IFERROR(INDEX(_xlfn._xlws.SORT(_xlfn._xlws.FILTER(tblCarga[Data],tblCarga[Jogador]=$B$4),1,1),ROW()-11),"")</f>
        <v/>
      </c>
      <c r="B58" s="479">
        <f t="array" ref="B58">IFERROR(INDEX(_xlfn.SORTBY(_xlfn._xlws.FILTER(tblCarga[Microciclo],tblCarga[Jogador]=$B$4),_xlfn._xlws.FILTER(tblCarga[Data],tblCarga[Jogador]=$B$4),1),ROW()-11),"")</f>
        <v/>
      </c>
      <c r="C58" s="479">
        <f t="array" ref="C58">IFERROR(INDEX(_xlfn.SORTBY(_xlfn._xlws.FILTER(tblCarga[Dia MD],tblCarga[Jogador]=$B$4),_xlfn._xlws.FILTER(tblCarga[Data],tblCarga[Jogador]=$B$4),1),ROW()-11),"")</f>
        <v/>
      </c>
      <c r="D58" s="479">
        <f t="array" ref="D58">IFERROR(INDEX(_xlfn.SORTBY(_xlfn._xlws.FILTER(tblCarga[Tipo],tblCarga[Jogador]=$B$4),_xlfn._xlws.FILTER(tblCarga[Data],tblCarga[Jogador]=$B$4),1),ROW()-11),"")</f>
        <v/>
      </c>
      <c r="E58" s="479">
        <f t="array" ref="E58">IFERROR(INDEX(_xlfn.SORTBY(_xlfn._xlws.FILTER(tblCarga[Duração (min)],tblCarga[Jogador]=$B$4),_xlfn._xlws.FILTER(tblCarga[Data],tblCarga[Jogador]=$B$4),1),ROW()-11),"")</f>
        <v/>
      </c>
      <c r="F58" s="479">
        <f t="array" ref="F58">IFERROR(INDEX(_xlfn.SORTBY(_xlfn._xlws.FILTER(tblCarga[Distância Total (m)],tblCarga[Jogador]=$B$4),_xlfn._xlws.FILTER(tblCarga[Data],tblCarga[Jogador]=$B$4),1),ROW()-11),"")</f>
        <v/>
      </c>
      <c r="G58" s="479">
        <f t="array" ref="G58">IFERROR(INDEX(_xlfn.SORTBY(_xlfn._xlws.FILTER(tblCarga[HSR (m)],tblCarga[Jogador]=$B$4),_xlfn._xlws.FILTER(tblCarga[Data],tblCarga[Jogador]=$B$4),1),ROW()-11),"")</f>
        <v/>
      </c>
      <c r="H58" s="479">
        <f t="array" ref="H58">IFERROR(INDEX(_xlfn.SORTBY(_xlfn._xlws.FILTER(tblCarga[Sprint (m)],tblCarga[Jogador]=$B$4),_xlfn._xlws.FILTER(tblCarga[Data],tblCarga[Jogador]=$B$4),1),ROW()-11),"")</f>
        <v/>
      </c>
      <c r="I58" s="479">
        <f t="array" ref="I58">IFERROR(INDEX(_xlfn.SORTBY(_xlfn._xlws.FILTER(tblCarga[Acc (n)],tblCarga[Jogador]=$B$4),_xlfn._xlws.FILTER(tblCarga[Data],tblCarga[Jogador]=$B$4),1),ROW()-11),"")</f>
        <v/>
      </c>
      <c r="J58" s="479">
        <f t="array" ref="J58">IFERROR(INDEX(_xlfn.SORTBY(_xlfn._xlws.FILTER(tblCarga[Dcc (n)],tblCarga[Jogador]=$B$4),_xlfn._xlws.FILTER(tblCarga[Data],tblCarga[Jogador]=$B$4),1),ROW()-11),"")</f>
        <v/>
      </c>
      <c r="K58" s="479">
        <f t="array" ref="K58">IFERROR(INDEX(_xlfn.SORTBY(_xlfn._xlws.FILTER(tblCarga[PSE Sessão],tblCarga[Jogador]=$B$4),_xlfn._xlws.FILTER(tblCarga[Data],tblCarga[Jogador]=$B$4),1),ROW()-11),"")</f>
        <v/>
      </c>
      <c r="L58" s="480">
        <f t="array" ref="L58">IFERROR(INDEX(_xlfn.SORTBY(_xlfn._xlws.FILTER(tblCarga[Vel. Máx (km/h)],tblCarga[Jogador]=$B$4),_xlfn._xlws.FILTER(tblCarga[Data],tblCarga[Jogador]=$B$4),1),ROW()-11),"")</f>
        <v/>
      </c>
      <c r="M58" s="481">
        <f>IF(L58="","",L58/_xlfn.MAXIFS(tblCarga[Vel. Máx (km/h)],tblCarga[Jogador],$B$4))</f>
        <v/>
      </c>
      <c r="N58" s="479">
        <f t="array" ref="N58">IF(A58="","",IFERROR(INDEX(_xlfn.SORTBY(_xlfn._xlws.FILTER(tblCarga[Nº ≥85% Vmáx],tblCarga[Jogador]=$B$4),_xlfn._xlws.FILTER(tblCarga[Data],tblCarga[Jogador]=$B$4),1),ROW()-11),""))</f>
        <v/>
      </c>
      <c r="O58" s="479">
        <f t="array" ref="O58">IF(A58="","",IFERROR(INDEX(_xlfn.SORTBY(_xlfn._xlws.FILTER(tblCarga[Nº ≥90% Vmáx],tblCarga[Jogador]=$B$4),_xlfn._xlws.FILTER(tblCarga[Data],tblCarga[Jogador]=$B$4),1),ROW()-11),""))</f>
        <v/>
      </c>
      <c r="P58" s="479">
        <f t="array" ref="P58">IF(A58="","",IFERROR(INDEX(_xlfn.SORTBY(_xlfn._xlws.FILTER(tblCarga[Nº ≥95% Vmáx],tblCarga[Jogador]=$B$4),_xlfn._xlws.FILTER(tblCarga[Data],tblCarga[Jogador]=$B$4),1),ROW()-11),""))</f>
        <v/>
      </c>
    </row>
    <row r="59" ht="21.95" customHeight="1">
      <c r="A59" s="482">
        <f t="array" ref="A59">IFERROR(INDEX(_xlfn._xlws.SORT(_xlfn._xlws.FILTER(tblCarga[Data],tblCarga[Jogador]=$B$4),1,1),ROW()-11),"")</f>
        <v/>
      </c>
      <c r="B59" s="483">
        <f t="array" ref="B59">IFERROR(INDEX(_xlfn.SORTBY(_xlfn._xlws.FILTER(tblCarga[Microciclo],tblCarga[Jogador]=$B$4),_xlfn._xlws.FILTER(tblCarga[Data],tblCarga[Jogador]=$B$4),1),ROW()-11),"")</f>
        <v/>
      </c>
      <c r="C59" s="483">
        <f t="array" ref="C59">IFERROR(INDEX(_xlfn.SORTBY(_xlfn._xlws.FILTER(tblCarga[Dia MD],tblCarga[Jogador]=$B$4),_xlfn._xlws.FILTER(tblCarga[Data],tblCarga[Jogador]=$B$4),1),ROW()-11),"")</f>
        <v/>
      </c>
      <c r="D59" s="483">
        <f t="array" ref="D59">IFERROR(INDEX(_xlfn.SORTBY(_xlfn._xlws.FILTER(tblCarga[Tipo],tblCarga[Jogador]=$B$4),_xlfn._xlws.FILTER(tblCarga[Data],tblCarga[Jogador]=$B$4),1),ROW()-11),"")</f>
        <v/>
      </c>
      <c r="E59" s="483">
        <f t="array" ref="E59">IFERROR(INDEX(_xlfn.SORTBY(_xlfn._xlws.FILTER(tblCarga[Duração (min)],tblCarga[Jogador]=$B$4),_xlfn._xlws.FILTER(tblCarga[Data],tblCarga[Jogador]=$B$4),1),ROW()-11),"")</f>
        <v/>
      </c>
      <c r="F59" s="483">
        <f t="array" ref="F59">IFERROR(INDEX(_xlfn.SORTBY(_xlfn._xlws.FILTER(tblCarga[Distância Total (m)],tblCarga[Jogador]=$B$4),_xlfn._xlws.FILTER(tblCarga[Data],tblCarga[Jogador]=$B$4),1),ROW()-11),"")</f>
        <v/>
      </c>
      <c r="G59" s="483">
        <f t="array" ref="G59">IFERROR(INDEX(_xlfn.SORTBY(_xlfn._xlws.FILTER(tblCarga[HSR (m)],tblCarga[Jogador]=$B$4),_xlfn._xlws.FILTER(tblCarga[Data],tblCarga[Jogador]=$B$4),1),ROW()-11),"")</f>
        <v/>
      </c>
      <c r="H59" s="483">
        <f t="array" ref="H59">IFERROR(INDEX(_xlfn.SORTBY(_xlfn._xlws.FILTER(tblCarga[Sprint (m)],tblCarga[Jogador]=$B$4),_xlfn._xlws.FILTER(tblCarga[Data],tblCarga[Jogador]=$B$4),1),ROW()-11),"")</f>
        <v/>
      </c>
      <c r="I59" s="483">
        <f t="array" ref="I59">IFERROR(INDEX(_xlfn.SORTBY(_xlfn._xlws.FILTER(tblCarga[Acc (n)],tblCarga[Jogador]=$B$4),_xlfn._xlws.FILTER(tblCarga[Data],tblCarga[Jogador]=$B$4),1),ROW()-11),"")</f>
        <v/>
      </c>
      <c r="J59" s="483">
        <f t="array" ref="J59">IFERROR(INDEX(_xlfn.SORTBY(_xlfn._xlws.FILTER(tblCarga[Dcc (n)],tblCarga[Jogador]=$B$4),_xlfn._xlws.FILTER(tblCarga[Data],tblCarga[Jogador]=$B$4),1),ROW()-11),"")</f>
        <v/>
      </c>
      <c r="K59" s="483">
        <f t="array" ref="K59">IFERROR(INDEX(_xlfn.SORTBY(_xlfn._xlws.FILTER(tblCarga[PSE Sessão],tblCarga[Jogador]=$B$4),_xlfn._xlws.FILTER(tblCarga[Data],tblCarga[Jogador]=$B$4),1),ROW()-11),"")</f>
        <v/>
      </c>
      <c r="L59" s="484">
        <f t="array" ref="L59">IFERROR(INDEX(_xlfn.SORTBY(_xlfn._xlws.FILTER(tblCarga[Vel. Máx (km/h)],tblCarga[Jogador]=$B$4),_xlfn._xlws.FILTER(tblCarga[Data],tblCarga[Jogador]=$B$4),1),ROW()-11),"")</f>
        <v/>
      </c>
      <c r="M59" s="485">
        <f>IF(L59="","",L59/_xlfn.MAXIFS(tblCarga[Vel. Máx (km/h)],tblCarga[Jogador],$B$4))</f>
        <v/>
      </c>
      <c r="N59" s="483">
        <f t="array" ref="N59">IF(A59="","",IFERROR(INDEX(_xlfn.SORTBY(_xlfn._xlws.FILTER(tblCarga[Nº ≥85% Vmáx],tblCarga[Jogador]=$B$4),_xlfn._xlws.FILTER(tblCarga[Data],tblCarga[Jogador]=$B$4),1),ROW()-11),""))</f>
        <v/>
      </c>
      <c r="O59" s="483">
        <f t="array" ref="O59">IF(A59="","",IFERROR(INDEX(_xlfn.SORTBY(_xlfn._xlws.FILTER(tblCarga[Nº ≥90% Vmáx],tblCarga[Jogador]=$B$4),_xlfn._xlws.FILTER(tblCarga[Data],tblCarga[Jogador]=$B$4),1),ROW()-11),""))</f>
        <v/>
      </c>
      <c r="P59" s="483">
        <f t="array" ref="P59">IF(A59="","",IFERROR(INDEX(_xlfn.SORTBY(_xlfn._xlws.FILTER(tblCarga[Nº ≥95% Vmáx],tblCarga[Jogador]=$B$4),_xlfn._xlws.FILTER(tblCarga[Data],tblCarga[Jogador]=$B$4),1),ROW()-11),""))</f>
        <v/>
      </c>
    </row>
    <row r="60" ht="21.95" customHeight="1">
      <c r="A60" s="478">
        <f t="array" ref="A60">IFERROR(INDEX(_xlfn._xlws.SORT(_xlfn._xlws.FILTER(tblCarga[Data],tblCarga[Jogador]=$B$4),1,1),ROW()-11),"")</f>
        <v/>
      </c>
      <c r="B60" s="479">
        <f t="array" ref="B60">IFERROR(INDEX(_xlfn.SORTBY(_xlfn._xlws.FILTER(tblCarga[Microciclo],tblCarga[Jogador]=$B$4),_xlfn._xlws.FILTER(tblCarga[Data],tblCarga[Jogador]=$B$4),1),ROW()-11),"")</f>
        <v/>
      </c>
      <c r="C60" s="479">
        <f t="array" ref="C60">IFERROR(INDEX(_xlfn.SORTBY(_xlfn._xlws.FILTER(tblCarga[Dia MD],tblCarga[Jogador]=$B$4),_xlfn._xlws.FILTER(tblCarga[Data],tblCarga[Jogador]=$B$4),1),ROW()-11),"")</f>
        <v/>
      </c>
      <c r="D60" s="479">
        <f t="array" ref="D60">IFERROR(INDEX(_xlfn.SORTBY(_xlfn._xlws.FILTER(tblCarga[Tipo],tblCarga[Jogador]=$B$4),_xlfn._xlws.FILTER(tblCarga[Data],tblCarga[Jogador]=$B$4),1),ROW()-11),"")</f>
        <v/>
      </c>
      <c r="E60" s="479">
        <f t="array" ref="E60">IFERROR(INDEX(_xlfn.SORTBY(_xlfn._xlws.FILTER(tblCarga[Duração (min)],tblCarga[Jogador]=$B$4),_xlfn._xlws.FILTER(tblCarga[Data],tblCarga[Jogador]=$B$4),1),ROW()-11),"")</f>
        <v/>
      </c>
      <c r="F60" s="479">
        <f t="array" ref="F60">IFERROR(INDEX(_xlfn.SORTBY(_xlfn._xlws.FILTER(tblCarga[Distância Total (m)],tblCarga[Jogador]=$B$4),_xlfn._xlws.FILTER(tblCarga[Data],tblCarga[Jogador]=$B$4),1),ROW()-11),"")</f>
        <v/>
      </c>
      <c r="G60" s="479">
        <f t="array" ref="G60">IFERROR(INDEX(_xlfn.SORTBY(_xlfn._xlws.FILTER(tblCarga[HSR (m)],tblCarga[Jogador]=$B$4),_xlfn._xlws.FILTER(tblCarga[Data],tblCarga[Jogador]=$B$4),1),ROW()-11),"")</f>
        <v/>
      </c>
      <c r="H60" s="479">
        <f t="array" ref="H60">IFERROR(INDEX(_xlfn.SORTBY(_xlfn._xlws.FILTER(tblCarga[Sprint (m)],tblCarga[Jogador]=$B$4),_xlfn._xlws.FILTER(tblCarga[Data],tblCarga[Jogador]=$B$4),1),ROW()-11),"")</f>
        <v/>
      </c>
      <c r="I60" s="479">
        <f t="array" ref="I60">IFERROR(INDEX(_xlfn.SORTBY(_xlfn._xlws.FILTER(tblCarga[Acc (n)],tblCarga[Jogador]=$B$4),_xlfn._xlws.FILTER(tblCarga[Data],tblCarga[Jogador]=$B$4),1),ROW()-11),"")</f>
        <v/>
      </c>
      <c r="J60" s="479">
        <f t="array" ref="J60">IFERROR(INDEX(_xlfn.SORTBY(_xlfn._xlws.FILTER(tblCarga[Dcc (n)],tblCarga[Jogador]=$B$4),_xlfn._xlws.FILTER(tblCarga[Data],tblCarga[Jogador]=$B$4),1),ROW()-11),"")</f>
        <v/>
      </c>
      <c r="K60" s="479">
        <f t="array" ref="K60">IFERROR(INDEX(_xlfn.SORTBY(_xlfn._xlws.FILTER(tblCarga[PSE Sessão],tblCarga[Jogador]=$B$4),_xlfn._xlws.FILTER(tblCarga[Data],tblCarga[Jogador]=$B$4),1),ROW()-11),"")</f>
        <v/>
      </c>
      <c r="L60" s="480">
        <f t="array" ref="L60">IFERROR(INDEX(_xlfn.SORTBY(_xlfn._xlws.FILTER(tblCarga[Vel. Máx (km/h)],tblCarga[Jogador]=$B$4),_xlfn._xlws.FILTER(tblCarga[Data],tblCarga[Jogador]=$B$4),1),ROW()-11),"")</f>
        <v/>
      </c>
      <c r="M60" s="481">
        <f>IF(L60="","",L60/_xlfn.MAXIFS(tblCarga[Vel. Máx (km/h)],tblCarga[Jogador],$B$4))</f>
        <v/>
      </c>
      <c r="N60" s="479">
        <f t="array" ref="N60">IF(A60="","",IFERROR(INDEX(_xlfn.SORTBY(_xlfn._xlws.FILTER(tblCarga[Nº ≥85% Vmáx],tblCarga[Jogador]=$B$4),_xlfn._xlws.FILTER(tblCarga[Data],tblCarga[Jogador]=$B$4),1),ROW()-11),""))</f>
        <v/>
      </c>
      <c r="O60" s="479">
        <f t="array" ref="O60">IF(A60="","",IFERROR(INDEX(_xlfn.SORTBY(_xlfn._xlws.FILTER(tblCarga[Nº ≥90% Vmáx],tblCarga[Jogador]=$B$4),_xlfn._xlws.FILTER(tblCarga[Data],tblCarga[Jogador]=$B$4),1),ROW()-11),""))</f>
        <v/>
      </c>
      <c r="P60" s="479">
        <f t="array" ref="P60">IF(A60="","",IFERROR(INDEX(_xlfn.SORTBY(_xlfn._xlws.FILTER(tblCarga[Nº ≥95% Vmáx],tblCarga[Jogador]=$B$4),_xlfn._xlws.FILTER(tblCarga[Data],tblCarga[Jogador]=$B$4),1),ROW()-11),""))</f>
        <v/>
      </c>
    </row>
    <row r="61" ht="21.95" customHeight="1">
      <c r="A61" s="482">
        <f t="array" ref="A61">IFERROR(INDEX(_xlfn._xlws.SORT(_xlfn._xlws.FILTER(tblCarga[Data],tblCarga[Jogador]=$B$4),1,1),ROW()-11),"")</f>
        <v/>
      </c>
      <c r="B61" s="483">
        <f t="array" ref="B61">IFERROR(INDEX(_xlfn.SORTBY(_xlfn._xlws.FILTER(tblCarga[Microciclo],tblCarga[Jogador]=$B$4),_xlfn._xlws.FILTER(tblCarga[Data],tblCarga[Jogador]=$B$4),1),ROW()-11),"")</f>
        <v/>
      </c>
      <c r="C61" s="483">
        <f t="array" ref="C61">IFERROR(INDEX(_xlfn.SORTBY(_xlfn._xlws.FILTER(tblCarga[Dia MD],tblCarga[Jogador]=$B$4),_xlfn._xlws.FILTER(tblCarga[Data],tblCarga[Jogador]=$B$4),1),ROW()-11),"")</f>
        <v/>
      </c>
      <c r="D61" s="483">
        <f t="array" ref="D61">IFERROR(INDEX(_xlfn.SORTBY(_xlfn._xlws.FILTER(tblCarga[Tipo],tblCarga[Jogador]=$B$4),_xlfn._xlws.FILTER(tblCarga[Data],tblCarga[Jogador]=$B$4),1),ROW()-11),"")</f>
        <v/>
      </c>
      <c r="E61" s="483">
        <f t="array" ref="E61">IFERROR(INDEX(_xlfn.SORTBY(_xlfn._xlws.FILTER(tblCarga[Duração (min)],tblCarga[Jogador]=$B$4),_xlfn._xlws.FILTER(tblCarga[Data],tblCarga[Jogador]=$B$4),1),ROW()-11),"")</f>
        <v/>
      </c>
      <c r="F61" s="483">
        <f t="array" ref="F61">IFERROR(INDEX(_xlfn.SORTBY(_xlfn._xlws.FILTER(tblCarga[Distância Total (m)],tblCarga[Jogador]=$B$4),_xlfn._xlws.FILTER(tblCarga[Data],tblCarga[Jogador]=$B$4),1),ROW()-11),"")</f>
        <v/>
      </c>
      <c r="G61" s="483">
        <f t="array" ref="G61">IFERROR(INDEX(_xlfn.SORTBY(_xlfn._xlws.FILTER(tblCarga[HSR (m)],tblCarga[Jogador]=$B$4),_xlfn._xlws.FILTER(tblCarga[Data],tblCarga[Jogador]=$B$4),1),ROW()-11),"")</f>
        <v/>
      </c>
      <c r="H61" s="483">
        <f t="array" ref="H61">IFERROR(INDEX(_xlfn.SORTBY(_xlfn._xlws.FILTER(tblCarga[Sprint (m)],tblCarga[Jogador]=$B$4),_xlfn._xlws.FILTER(tblCarga[Data],tblCarga[Jogador]=$B$4),1),ROW()-11),"")</f>
        <v/>
      </c>
      <c r="I61" s="483">
        <f t="array" ref="I61">IFERROR(INDEX(_xlfn.SORTBY(_xlfn._xlws.FILTER(tblCarga[Acc (n)],tblCarga[Jogador]=$B$4),_xlfn._xlws.FILTER(tblCarga[Data],tblCarga[Jogador]=$B$4),1),ROW()-11),"")</f>
        <v/>
      </c>
      <c r="J61" s="483">
        <f t="array" ref="J61">IFERROR(INDEX(_xlfn.SORTBY(_xlfn._xlws.FILTER(tblCarga[Dcc (n)],tblCarga[Jogador]=$B$4),_xlfn._xlws.FILTER(tblCarga[Data],tblCarga[Jogador]=$B$4),1),ROW()-11),"")</f>
        <v/>
      </c>
      <c r="K61" s="483">
        <f t="array" ref="K61">IFERROR(INDEX(_xlfn.SORTBY(_xlfn._xlws.FILTER(tblCarga[PSE Sessão],tblCarga[Jogador]=$B$4),_xlfn._xlws.FILTER(tblCarga[Data],tblCarga[Jogador]=$B$4),1),ROW()-11),"")</f>
        <v/>
      </c>
      <c r="L61" s="484">
        <f t="array" ref="L61">IFERROR(INDEX(_xlfn.SORTBY(_xlfn._xlws.FILTER(tblCarga[Vel. Máx (km/h)],tblCarga[Jogador]=$B$4),_xlfn._xlws.FILTER(tblCarga[Data],tblCarga[Jogador]=$B$4),1),ROW()-11),"")</f>
        <v/>
      </c>
      <c r="M61" s="485">
        <f>IF(L61="","",L61/_xlfn.MAXIFS(tblCarga[Vel. Máx (km/h)],tblCarga[Jogador],$B$4))</f>
        <v/>
      </c>
      <c r="N61" s="483">
        <f t="array" ref="N61">IF(A61="","",IFERROR(INDEX(_xlfn.SORTBY(_xlfn._xlws.FILTER(tblCarga[Nº ≥85% Vmáx],tblCarga[Jogador]=$B$4),_xlfn._xlws.FILTER(tblCarga[Data],tblCarga[Jogador]=$B$4),1),ROW()-11),""))</f>
        <v/>
      </c>
      <c r="O61" s="483">
        <f t="array" ref="O61">IF(A61="","",IFERROR(INDEX(_xlfn.SORTBY(_xlfn._xlws.FILTER(tblCarga[Nº ≥90% Vmáx],tblCarga[Jogador]=$B$4),_xlfn._xlws.FILTER(tblCarga[Data],tblCarga[Jogador]=$B$4),1),ROW()-11),""))</f>
        <v/>
      </c>
      <c r="P61" s="483">
        <f t="array" ref="P61">IF(A61="","",IFERROR(INDEX(_xlfn.SORTBY(_xlfn._xlws.FILTER(tblCarga[Nº ≥95% Vmáx],tblCarga[Jogador]=$B$4),_xlfn._xlws.FILTER(tblCarga[Data],tblCarga[Jogador]=$B$4),1),ROW()-11),""))</f>
        <v/>
      </c>
    </row>
    <row r="62" ht="21.95" customHeight="1">
      <c r="A62" s="478">
        <f t="array" ref="A62">IFERROR(INDEX(_xlfn._xlws.SORT(_xlfn._xlws.FILTER(tblCarga[Data],tblCarga[Jogador]=$B$4),1,1),ROW()-11),"")</f>
        <v/>
      </c>
      <c r="B62" s="479">
        <f t="array" ref="B62">IFERROR(INDEX(_xlfn.SORTBY(_xlfn._xlws.FILTER(tblCarga[Microciclo],tblCarga[Jogador]=$B$4),_xlfn._xlws.FILTER(tblCarga[Data],tblCarga[Jogador]=$B$4),1),ROW()-11),"")</f>
        <v/>
      </c>
      <c r="C62" s="479">
        <f t="array" ref="C62">IFERROR(INDEX(_xlfn.SORTBY(_xlfn._xlws.FILTER(tblCarga[Dia MD],tblCarga[Jogador]=$B$4),_xlfn._xlws.FILTER(tblCarga[Data],tblCarga[Jogador]=$B$4),1),ROW()-11),"")</f>
        <v/>
      </c>
      <c r="D62" s="479">
        <f t="array" ref="D62">IFERROR(INDEX(_xlfn.SORTBY(_xlfn._xlws.FILTER(tblCarga[Tipo],tblCarga[Jogador]=$B$4),_xlfn._xlws.FILTER(tblCarga[Data],tblCarga[Jogador]=$B$4),1),ROW()-11),"")</f>
        <v/>
      </c>
      <c r="E62" s="479">
        <f t="array" ref="E62">IFERROR(INDEX(_xlfn.SORTBY(_xlfn._xlws.FILTER(tblCarga[Duração (min)],tblCarga[Jogador]=$B$4),_xlfn._xlws.FILTER(tblCarga[Data],tblCarga[Jogador]=$B$4),1),ROW()-11),"")</f>
        <v/>
      </c>
      <c r="F62" s="479">
        <f t="array" ref="F62">IFERROR(INDEX(_xlfn.SORTBY(_xlfn._xlws.FILTER(tblCarga[Distância Total (m)],tblCarga[Jogador]=$B$4),_xlfn._xlws.FILTER(tblCarga[Data],tblCarga[Jogador]=$B$4),1),ROW()-11),"")</f>
        <v/>
      </c>
      <c r="G62" s="479">
        <f t="array" ref="G62">IFERROR(INDEX(_xlfn.SORTBY(_xlfn._xlws.FILTER(tblCarga[HSR (m)],tblCarga[Jogador]=$B$4),_xlfn._xlws.FILTER(tblCarga[Data],tblCarga[Jogador]=$B$4),1),ROW()-11),"")</f>
        <v/>
      </c>
      <c r="H62" s="479">
        <f t="array" ref="H62">IFERROR(INDEX(_xlfn.SORTBY(_xlfn._xlws.FILTER(tblCarga[Sprint (m)],tblCarga[Jogador]=$B$4),_xlfn._xlws.FILTER(tblCarga[Data],tblCarga[Jogador]=$B$4),1),ROW()-11),"")</f>
        <v/>
      </c>
      <c r="I62" s="479">
        <f t="array" ref="I62">IFERROR(INDEX(_xlfn.SORTBY(_xlfn._xlws.FILTER(tblCarga[Acc (n)],tblCarga[Jogador]=$B$4),_xlfn._xlws.FILTER(tblCarga[Data],tblCarga[Jogador]=$B$4),1),ROW()-11),"")</f>
        <v/>
      </c>
      <c r="J62" s="479">
        <f t="array" ref="J62">IFERROR(INDEX(_xlfn.SORTBY(_xlfn._xlws.FILTER(tblCarga[Dcc (n)],tblCarga[Jogador]=$B$4),_xlfn._xlws.FILTER(tblCarga[Data],tblCarga[Jogador]=$B$4),1),ROW()-11),"")</f>
        <v/>
      </c>
      <c r="K62" s="479">
        <f t="array" ref="K62">IFERROR(INDEX(_xlfn.SORTBY(_xlfn._xlws.FILTER(tblCarga[PSE Sessão],tblCarga[Jogador]=$B$4),_xlfn._xlws.FILTER(tblCarga[Data],tblCarga[Jogador]=$B$4),1),ROW()-11),"")</f>
        <v/>
      </c>
      <c r="L62" s="480">
        <f t="array" ref="L62">IFERROR(INDEX(_xlfn.SORTBY(_xlfn._xlws.FILTER(tblCarga[Vel. Máx (km/h)],tblCarga[Jogador]=$B$4),_xlfn._xlws.FILTER(tblCarga[Data],tblCarga[Jogador]=$B$4),1),ROW()-11),"")</f>
        <v/>
      </c>
      <c r="M62" s="481">
        <f>IF(L62="","",L62/_xlfn.MAXIFS(tblCarga[Vel. Máx (km/h)],tblCarga[Jogador],$B$4))</f>
        <v/>
      </c>
      <c r="N62" s="479">
        <f t="array" ref="N62">IF(A62="","",IFERROR(INDEX(_xlfn.SORTBY(_xlfn._xlws.FILTER(tblCarga[Nº ≥85% Vmáx],tblCarga[Jogador]=$B$4),_xlfn._xlws.FILTER(tblCarga[Data],tblCarga[Jogador]=$B$4),1),ROW()-11),""))</f>
        <v/>
      </c>
      <c r="O62" s="479">
        <f t="array" ref="O62">IF(A62="","",IFERROR(INDEX(_xlfn.SORTBY(_xlfn._xlws.FILTER(tblCarga[Nº ≥90% Vmáx],tblCarga[Jogador]=$B$4),_xlfn._xlws.FILTER(tblCarga[Data],tblCarga[Jogador]=$B$4),1),ROW()-11),""))</f>
        <v/>
      </c>
      <c r="P62" s="479">
        <f t="array" ref="P62">IF(A62="","",IFERROR(INDEX(_xlfn.SORTBY(_xlfn._xlws.FILTER(tblCarga[Nº ≥95% Vmáx],tblCarga[Jogador]=$B$4),_xlfn._xlws.FILTER(tblCarga[Data],tblCarga[Jogador]=$B$4),1),ROW()-11),""))</f>
        <v/>
      </c>
    </row>
    <row r="63" ht="21.95" customHeight="1">
      <c r="A63" s="482" t="n"/>
      <c r="B63" s="483" t="n"/>
      <c r="C63" s="483" t="n"/>
      <c r="D63" s="483" t="n"/>
      <c r="E63" s="483" t="n"/>
      <c r="F63" s="483" t="n"/>
      <c r="G63" s="483" t="n"/>
      <c r="H63" s="483" t="n"/>
      <c r="I63" s="483" t="n"/>
      <c r="J63" s="483" t="n"/>
      <c r="K63" s="483" t="n"/>
      <c r="L63" s="483" t="n"/>
      <c r="M63" s="485" t="n"/>
      <c r="N63" s="483" t="n"/>
      <c r="O63" s="483" t="n"/>
      <c r="P63" s="483" t="n"/>
    </row>
    <row r="64" ht="21.95" customHeight="1">
      <c r="A64" s="486" t="inlineStr">
        <is>
          <t>EVOLUÇÃO POR MICROCICLO</t>
        </is>
      </c>
      <c r="B64" s="479" t="n"/>
      <c r="C64" s="479" t="n"/>
      <c r="D64" s="479" t="n"/>
      <c r="E64" s="479" t="n"/>
      <c r="F64" s="479" t="n"/>
      <c r="G64" s="479" t="n"/>
      <c r="H64" s="479" t="n"/>
      <c r="I64" s="479" t="n"/>
      <c r="J64" s="479" t="n"/>
      <c r="K64" s="479" t="n"/>
      <c r="L64" s="479" t="n"/>
      <c r="M64" s="481" t="n"/>
      <c r="N64" s="479" t="n"/>
      <c r="O64" s="479" t="n"/>
      <c r="P64" s="479" t="n"/>
    </row>
    <row r="65" ht="21.95" customHeight="1">
      <c r="A65" s="487" t="inlineStr">
        <is>
          <t>MC</t>
        </is>
      </c>
      <c r="B65" s="488" t="inlineStr">
        <is>
          <t>Nº Treinos</t>
        </is>
      </c>
      <c r="C65" s="489" t="inlineStr">
        <is>
          <t>CI Média
(PSE×min)</t>
        </is>
      </c>
      <c r="D65" s="489" t="inlineStr">
        <is>
          <t>Dist Média
(m)</t>
        </is>
      </c>
      <c r="E65" s="489" t="inlineStr">
        <is>
          <t>HSR Média
(m)</t>
        </is>
      </c>
      <c r="F65" s="489" t="inlineStr">
        <is>
          <t>Sprint Média
(m)</t>
        </is>
      </c>
      <c r="G65" s="489" t="inlineStr">
        <is>
          <t>Vmáx Máx
(km/h)</t>
        </is>
      </c>
      <c r="H65" s="489" t="inlineStr">
        <is>
          <t>Δ CI
vs anterior</t>
        </is>
      </c>
      <c r="I65" s="489" t="inlineStr">
        <is>
          <t>CI Trend</t>
        </is>
      </c>
      <c r="J65" s="483" t="n"/>
      <c r="K65" s="483" t="n"/>
      <c r="L65" s="483" t="n"/>
      <c r="M65" s="485" t="n"/>
      <c r="N65" s="483" t="n"/>
      <c r="O65" s="483" t="n"/>
      <c r="P65" s="483" t="n"/>
    </row>
    <row r="66" ht="21.95" customHeight="1">
      <c r="A66" s="490" t="n">
        <v>4</v>
      </c>
      <c r="B66" s="491">
        <f>IFERROR(COUNTIFS(tblCarga[Jogador],$B$4,tblCarga[Microciclo (Nr)],A66,tblCarga[Tipo],"Treino"),"—")</f>
        <v/>
      </c>
      <c r="C66" s="492">
        <f>IFERROR(AVERAGEIFS(tblCarga[PSE Sessão],tblCarga[Jogador],$B$4,tblCarga[Microciclo (Nr)],A66,tblCarga[Tipo],"Treino")*AVERAGEIFS(tblCarga[Duração (min)],tblCarga[Jogador],$B$4,tblCarga[Microciclo (Nr)],A66,tblCarga[Tipo],"Treino"),"—")</f>
        <v/>
      </c>
      <c r="D66" s="492">
        <f>IFERROR(AVERAGEIFS(tblCarga[Distância Total (m)],tblCarga[Jogador],$B$4,tblCarga[Microciclo (Nr)],A66,tblCarga[Tipo],"Treino"),"—")</f>
        <v/>
      </c>
      <c r="E66" s="491">
        <f>IFERROR(AVERAGEIFS(tblCarga[HSR (m)],tblCarga[Jogador],$B$4,tblCarga[Microciclo (Nr)],A66,tblCarga[Tipo],"Treino"),"—")</f>
        <v/>
      </c>
      <c r="F66" s="491">
        <f>IFERROR(AVERAGEIFS(tblCarga[Sprint (m)],tblCarga[Jogador],$B$4,tblCarga[Microciclo (Nr)],A66,tblCarga[Tipo],"Treino"),"—")</f>
        <v/>
      </c>
      <c r="G66" s="493">
        <f>IFERROR(_xlfn.MAXIFS(tblCarga[Vel. Máx (km/h)],tblCarga[Jogador],$B$4,tblCarga[Microciclo (Nr)],A66),"—")</f>
        <v/>
      </c>
      <c r="H66" s="494" t="inlineStr">
        <is>
          <t>—</t>
        </is>
      </c>
      <c r="I66" s="495">
        <f>IF(C66="—","",REPT("█",ROUND(C66/MAX($C$66:$C$72)*15,0)))</f>
        <v/>
      </c>
      <c r="J66" s="479" t="n"/>
      <c r="K66" s="479" t="n"/>
      <c r="L66" s="479" t="n"/>
      <c r="M66" s="481" t="n"/>
      <c r="N66" s="479" t="n"/>
      <c r="O66" s="479" t="n"/>
      <c r="P66" s="479" t="n"/>
    </row>
    <row r="67" ht="21.95" customHeight="1">
      <c r="A67" s="487" t="n">
        <v>5</v>
      </c>
      <c r="B67" s="496">
        <f>IFERROR(COUNTIFS(tblCarga[Jogador],$B$4,tblCarga[Microciclo (Nr)],A67,tblCarga[Tipo],"Treino"),"—")</f>
        <v/>
      </c>
      <c r="C67" s="497">
        <f>IFERROR(AVERAGEIFS(tblCarga[PSE Sessão],tblCarga[Jogador],$B$4,tblCarga[Microciclo (Nr)],A67,tblCarga[Tipo],"Treino")*AVERAGEIFS(tblCarga[Duração (min)],tblCarga[Jogador],$B$4,tblCarga[Microciclo (Nr)],A67,tblCarga[Tipo],"Treino"),"—")</f>
        <v/>
      </c>
      <c r="D67" s="497">
        <f>IFERROR(AVERAGEIFS(tblCarga[Distância Total (m)],tblCarga[Jogador],$B$4,tblCarga[Microciclo (Nr)],A67,tblCarga[Tipo],"Treino"),"—")</f>
        <v/>
      </c>
      <c r="E67" s="496">
        <f>IFERROR(AVERAGEIFS(tblCarga[HSR (m)],tblCarga[Jogador],$B$4,tblCarga[Microciclo (Nr)],A67,tblCarga[Tipo],"Treino"),"—")</f>
        <v/>
      </c>
      <c r="F67" s="496">
        <f>IFERROR(AVERAGEIFS(tblCarga[Sprint (m)],tblCarga[Jogador],$B$4,tblCarga[Microciclo (Nr)],A67,tblCarga[Tipo],"Treino"),"—")</f>
        <v/>
      </c>
      <c r="G67" s="498">
        <f>IFERROR(_xlfn.MAXIFS(tblCarga[Vel. Máx (km/h)],tblCarga[Jogador],$B$4,tblCarga[Microciclo (Nr)],A67),"—")</f>
        <v/>
      </c>
      <c r="H67" s="499">
        <f>IF(OR(C67="—",C66="—"),"—",ROUND((C67-C66)/C66*100,0)&amp;"%")</f>
        <v/>
      </c>
      <c r="I67" s="500">
        <f>IF(C67="—","",REPT("█",ROUND(C67/MAX($C$66:$C$72)*15,0)))</f>
        <v/>
      </c>
      <c r="J67" s="483" t="n"/>
      <c r="K67" s="483" t="n"/>
      <c r="L67" s="483" t="n"/>
      <c r="M67" s="485" t="n"/>
      <c r="N67" s="483" t="n"/>
      <c r="O67" s="483" t="n"/>
      <c r="P67" s="483" t="n"/>
    </row>
    <row r="68" ht="21.95" customHeight="1">
      <c r="A68" s="490" t="n">
        <v>6</v>
      </c>
      <c r="B68" s="491">
        <f>IFERROR(COUNTIFS(tblCarga[Jogador],$B$4,tblCarga[Microciclo (Nr)],A68,tblCarga[Tipo],"Treino"),"—")</f>
        <v/>
      </c>
      <c r="C68" s="492">
        <f>IFERROR(AVERAGEIFS(tblCarga[PSE Sessão],tblCarga[Jogador],$B$4,tblCarga[Microciclo (Nr)],A68,tblCarga[Tipo],"Treino")*AVERAGEIFS(tblCarga[Duração (min)],tblCarga[Jogador],$B$4,tblCarga[Microciclo (Nr)],A68,tblCarga[Tipo],"Treino"),"—")</f>
        <v/>
      </c>
      <c r="D68" s="492">
        <f>IFERROR(AVERAGEIFS(tblCarga[Distância Total (m)],tblCarga[Jogador],$B$4,tblCarga[Microciclo (Nr)],A68,tblCarga[Tipo],"Treino"),"—")</f>
        <v/>
      </c>
      <c r="E68" s="491">
        <f>IFERROR(AVERAGEIFS(tblCarga[HSR (m)],tblCarga[Jogador],$B$4,tblCarga[Microciclo (Nr)],A68,tblCarga[Tipo],"Treino"),"—")</f>
        <v/>
      </c>
      <c r="F68" s="491">
        <f>IFERROR(AVERAGEIFS(tblCarga[Sprint (m)],tblCarga[Jogador],$B$4,tblCarga[Microciclo (Nr)],A68,tblCarga[Tipo],"Treino"),"—")</f>
        <v/>
      </c>
      <c r="G68" s="493">
        <f>IFERROR(_xlfn.MAXIFS(tblCarga[Vel. Máx (km/h)],tblCarga[Jogador],$B$4,tblCarga[Microciclo (Nr)],A68),"—")</f>
        <v/>
      </c>
      <c r="H68" s="494">
        <f>IF(OR(C68="—",C67="—"),"—",ROUND((C68-C67)/C67*100,0)&amp;"%")</f>
        <v/>
      </c>
      <c r="I68" s="495">
        <f>IF(C68="—","",REPT("█",ROUND(C68/MAX($C$66:$C$72)*15,0)))</f>
        <v/>
      </c>
      <c r="J68" s="479" t="n"/>
      <c r="K68" s="479" t="n"/>
      <c r="L68" s="479" t="n"/>
      <c r="M68" s="481" t="n"/>
      <c r="N68" s="479" t="n"/>
      <c r="O68" s="479" t="n"/>
      <c r="P68" s="479" t="n"/>
    </row>
    <row r="69" ht="21.95" customHeight="1">
      <c r="A69" s="487" t="n">
        <v>7</v>
      </c>
      <c r="B69" s="496">
        <f>IFERROR(COUNTIFS(tblCarga[Jogador],$B$4,tblCarga[Microciclo (Nr)],A69,tblCarga[Tipo],"Treino"),"—")</f>
        <v/>
      </c>
      <c r="C69" s="497">
        <f>IFERROR(AVERAGEIFS(tblCarga[PSE Sessão],tblCarga[Jogador],$B$4,tblCarga[Microciclo (Nr)],A69,tblCarga[Tipo],"Treino")*AVERAGEIFS(tblCarga[Duração (min)],tblCarga[Jogador],$B$4,tblCarga[Microciclo (Nr)],A69,tblCarga[Tipo],"Treino"),"—")</f>
        <v/>
      </c>
      <c r="D69" s="497">
        <f>IFERROR(AVERAGEIFS(tblCarga[Distância Total (m)],tblCarga[Jogador],$B$4,tblCarga[Microciclo (Nr)],A69,tblCarga[Tipo],"Treino"),"—")</f>
        <v/>
      </c>
      <c r="E69" s="496">
        <f>IFERROR(AVERAGEIFS(tblCarga[HSR (m)],tblCarga[Jogador],$B$4,tblCarga[Microciclo (Nr)],A69,tblCarga[Tipo],"Treino"),"—")</f>
        <v/>
      </c>
      <c r="F69" s="496">
        <f>IFERROR(AVERAGEIFS(tblCarga[Sprint (m)],tblCarga[Jogador],$B$4,tblCarga[Microciclo (Nr)],A69,tblCarga[Tipo],"Treino"),"—")</f>
        <v/>
      </c>
      <c r="G69" s="498">
        <f>IFERROR(_xlfn.MAXIFS(tblCarga[Vel. Máx (km/h)],tblCarga[Jogador],$B$4,tblCarga[Microciclo (Nr)],A69),"—")</f>
        <v/>
      </c>
      <c r="H69" s="499">
        <f>IF(OR(C69="—",C68="—"),"—",ROUND((C69-C68)/C68*100,0)&amp;"%")</f>
        <v/>
      </c>
      <c r="I69" s="500">
        <f>IF(C69="—","",REPT("█",ROUND(C69/MAX($C$66:$C$72)*15,0)))</f>
        <v/>
      </c>
      <c r="J69" s="483" t="n"/>
      <c r="K69" s="483" t="n"/>
      <c r="L69" s="483" t="n"/>
      <c r="M69" s="485" t="n"/>
      <c r="N69" s="483" t="n"/>
      <c r="O69" s="483" t="n"/>
      <c r="P69" s="483" t="n"/>
    </row>
    <row r="70" ht="21.95" customHeight="1">
      <c r="A70" s="490" t="n">
        <v>8</v>
      </c>
      <c r="B70" s="491">
        <f>IFERROR(COUNTIFS(tblCarga[Jogador],$B$4,tblCarga[Microciclo (Nr)],A70,tblCarga[Tipo],"Treino"),"—")</f>
        <v/>
      </c>
      <c r="C70" s="492">
        <f>IFERROR(AVERAGEIFS(tblCarga[PSE Sessão],tblCarga[Jogador],$B$4,tblCarga[Microciclo (Nr)],A70,tblCarga[Tipo],"Treino")*AVERAGEIFS(tblCarga[Duração (min)],tblCarga[Jogador],$B$4,tblCarga[Microciclo (Nr)],A70,tblCarga[Tipo],"Treino"),"—")</f>
        <v/>
      </c>
      <c r="D70" s="492">
        <f>IFERROR(AVERAGEIFS(tblCarga[Distância Total (m)],tblCarga[Jogador],$B$4,tblCarga[Microciclo (Nr)],A70,tblCarga[Tipo],"Treino"),"—")</f>
        <v/>
      </c>
      <c r="E70" s="491">
        <f>IFERROR(AVERAGEIFS(tblCarga[HSR (m)],tblCarga[Jogador],$B$4,tblCarga[Microciclo (Nr)],A70,tblCarga[Tipo],"Treino"),"—")</f>
        <v/>
      </c>
      <c r="F70" s="491">
        <f>IFERROR(AVERAGEIFS(tblCarga[Sprint (m)],tblCarga[Jogador],$B$4,tblCarga[Microciclo (Nr)],A70,tblCarga[Tipo],"Treino"),"—")</f>
        <v/>
      </c>
      <c r="G70" s="493">
        <f>IFERROR(_xlfn.MAXIFS(tblCarga[Vel. Máx (km/h)],tblCarga[Jogador],$B$4,tblCarga[Microciclo (Nr)],A70),"—")</f>
        <v/>
      </c>
      <c r="H70" s="494">
        <f>IF(OR(C70="—",C69="—"),"—",ROUND((C70-C69)/C69*100,0)&amp;"%")</f>
        <v/>
      </c>
      <c r="I70" s="495">
        <f>IF(C70="—","",REPT("█",ROUND(C70/MAX($C$66:$C$72)*15,0)))</f>
        <v/>
      </c>
      <c r="J70" s="479" t="n"/>
      <c r="K70" s="479" t="n"/>
      <c r="L70" s="479" t="n"/>
      <c r="M70" s="481" t="n"/>
      <c r="N70" s="479" t="n"/>
      <c r="O70" s="479" t="n"/>
      <c r="P70" s="479" t="n"/>
    </row>
    <row r="71" ht="21.95" customHeight="1">
      <c r="A71" s="487" t="n">
        <v>9</v>
      </c>
      <c r="B71" s="496">
        <f>IFERROR(COUNTIFS(tblCarga[Jogador],$B$4,tblCarga[Microciclo (Nr)],A71,tblCarga[Tipo],"Treino"),"—")</f>
        <v/>
      </c>
      <c r="C71" s="497">
        <f>IFERROR(AVERAGEIFS(tblCarga[PSE Sessão],tblCarga[Jogador],$B$4,tblCarga[Microciclo (Nr)],A71,tblCarga[Tipo],"Treino")*AVERAGEIFS(tblCarga[Duração (min)],tblCarga[Jogador],$B$4,tblCarga[Microciclo (Nr)],A71,tblCarga[Tipo],"Treino"),"—")</f>
        <v/>
      </c>
      <c r="D71" s="497">
        <f>IFERROR(AVERAGEIFS(tblCarga[Distância Total (m)],tblCarga[Jogador],$B$4,tblCarga[Microciclo (Nr)],A71,tblCarga[Tipo],"Treino"),"—")</f>
        <v/>
      </c>
      <c r="E71" s="496">
        <f>IFERROR(AVERAGEIFS(tblCarga[HSR (m)],tblCarga[Jogador],$B$4,tblCarga[Microciclo (Nr)],A71,tblCarga[Tipo],"Treino"),"—")</f>
        <v/>
      </c>
      <c r="F71" s="496">
        <f>IFERROR(AVERAGEIFS(tblCarga[Sprint (m)],tblCarga[Jogador],$B$4,tblCarga[Microciclo (Nr)],A71,tblCarga[Tipo],"Treino"),"—")</f>
        <v/>
      </c>
      <c r="G71" s="498">
        <f>IFERROR(_xlfn.MAXIFS(tblCarga[Vel. Máx (km/h)],tblCarga[Jogador],$B$4,tblCarga[Microciclo (Nr)],A71),"—")</f>
        <v/>
      </c>
      <c r="H71" s="499">
        <f>IF(OR(C71="—",C70="—"),"—",ROUND((C71-C70)/C70*100,0)&amp;"%")</f>
        <v/>
      </c>
      <c r="I71" s="500">
        <f>IF(C71="—","",REPT("█",ROUND(C71/MAX($C$66:$C$72)*15,0)))</f>
        <v/>
      </c>
      <c r="J71" s="483" t="n"/>
      <c r="K71" s="483" t="n"/>
      <c r="L71" s="483" t="n"/>
      <c r="M71" s="485" t="n"/>
      <c r="N71" s="483" t="n"/>
      <c r="O71" s="483" t="n"/>
      <c r="P71" s="483" t="n"/>
    </row>
    <row r="72" ht="21.95" customHeight="1">
      <c r="A72" s="490" t="n">
        <v>10</v>
      </c>
      <c r="B72" s="491">
        <f>IFERROR(COUNTIFS(tblCarga[Jogador],$B$4,tblCarga[Microciclo (Nr)],A72,tblCarga[Tipo],"Treino"),"—")</f>
        <v/>
      </c>
      <c r="C72" s="492">
        <f>IFERROR(AVERAGEIFS(tblCarga[PSE Sessão],tblCarga[Jogador],$B$4,tblCarga[Microciclo (Nr)],A72,tblCarga[Tipo],"Treino")*AVERAGEIFS(tblCarga[Duração (min)],tblCarga[Jogador],$B$4,tblCarga[Microciclo (Nr)],A72,tblCarga[Tipo],"Treino"),"—")</f>
        <v/>
      </c>
      <c r="D72" s="492">
        <f>IFERROR(AVERAGEIFS(tblCarga[Distância Total (m)],tblCarga[Jogador],$B$4,tblCarga[Microciclo (Nr)],A72,tblCarga[Tipo],"Treino"),"—")</f>
        <v/>
      </c>
      <c r="E72" s="491">
        <f>IFERROR(AVERAGEIFS(tblCarga[HSR (m)],tblCarga[Jogador],$B$4,tblCarga[Microciclo (Nr)],A72,tblCarga[Tipo],"Treino"),"—")</f>
        <v/>
      </c>
      <c r="F72" s="491">
        <f>IFERROR(AVERAGEIFS(tblCarga[Sprint (m)],tblCarga[Jogador],$B$4,tblCarga[Microciclo (Nr)],A72,tblCarga[Tipo],"Treino"),"—")</f>
        <v/>
      </c>
      <c r="G72" s="493">
        <f>IFERROR(_xlfn.MAXIFS(tblCarga[Vel. Máx (km/h)],tblCarga[Jogador],$B$4,tblCarga[Microciclo (Nr)],A72),"—")</f>
        <v/>
      </c>
      <c r="H72" s="494">
        <f>IF(OR(C72="—",C71="—"),"—",ROUND((C72-C71)/C71*100,0)&amp;"%")</f>
        <v/>
      </c>
      <c r="I72" s="495">
        <f>IF(C72="—","",REPT("█",ROUND(C72/MAX($C$66:$C$72)*15,0)))</f>
        <v/>
      </c>
      <c r="J72" s="479" t="n"/>
      <c r="K72" s="479" t="n"/>
      <c r="L72" s="479" t="n"/>
      <c r="M72" s="481" t="n"/>
      <c r="N72" s="479" t="n"/>
      <c r="O72" s="479" t="n"/>
      <c r="P72" s="479" t="n"/>
    </row>
    <row r="73" ht="21.95" customHeight="1">
      <c r="A73" s="501" t="inlineStr">
        <is>
          <t>TENDÊNCIA</t>
        </is>
      </c>
      <c r="B73" s="483" t="n"/>
      <c r="C73" s="502">
        <f>IF(C72&gt;C71,"⬆️ Subiu",IF(C72&lt;C71,"⬇️ Desceu","➡️ Estável"))</f>
        <v/>
      </c>
      <c r="D73" s="502">
        <f>IF(D72&gt;D71,"⬆️",IF(D72&lt;D71,"⬇️","➡️"))</f>
        <v/>
      </c>
      <c r="E73" s="503">
        <f>IF(E72&gt;E71,"⬆️",IF(E72&lt;E71,"⬇️","➡️"))</f>
        <v/>
      </c>
      <c r="F73" s="503">
        <f>IF(F72&gt;F71,"⬆️",IF(F72&lt;F71,"⬇️","➡️"))</f>
        <v/>
      </c>
      <c r="G73" s="504">
        <f>IF(G72&gt;G71,"⬆️",IF(G72&lt;G71,"⬇️","➡️"))</f>
        <v/>
      </c>
      <c r="H73" s="483" t="n"/>
      <c r="I73" s="505" t="n"/>
      <c r="J73" s="483" t="n"/>
      <c r="K73" s="483" t="n"/>
      <c r="L73" s="483" t="n"/>
      <c r="M73" s="485" t="n"/>
      <c r="N73" s="483" t="n"/>
      <c r="O73" s="483" t="n"/>
      <c r="P73" s="483" t="n"/>
    </row>
  </sheetData>
  <mergeCells count="4">
    <mergeCell ref="A6:P6"/>
    <mergeCell ref="A1:P1"/>
    <mergeCell ref="A10:P10"/>
    <mergeCell ref="A3:P3"/>
  </mergeCells>
  <conditionalFormatting sqref="C66:C72">
    <cfRule type="dataBar" priority="3">
      <dataBar>
        <cfvo type="min"/>
        <cfvo type="max"/>
        <color rgb="FF2F5496"/>
      </dataBar>
    </cfRule>
  </conditionalFormatting>
  <conditionalFormatting sqref="D66:D72">
    <cfRule type="dataBar" priority="4">
      <dataBar>
        <cfvo type="min"/>
        <cfvo type="max"/>
        <color rgb="FF00B050"/>
      </dataBar>
    </cfRule>
  </conditionalFormatting>
  <conditionalFormatting sqref="K12:K62">
    <cfRule type="colorScale" priority="1">
      <colorScale>
        <cfvo type="num" val="1"/>
        <cfvo type="num" val="6"/>
        <cfvo type="num" val="10"/>
        <color rgb="FF00B050"/>
        <color rgb="FFFFEB84"/>
        <color rgb="FFFF0000"/>
      </colorScale>
    </cfRule>
  </conditionalFormatting>
  <conditionalFormatting sqref="L12:L62">
    <cfRule type="colorScale" priority="2">
      <colorScale>
        <cfvo type="min"/>
        <cfvo type="percentile" val="50"/>
        <cfvo type="max"/>
        <color rgb="FFFFEB84"/>
        <color rgb="FF92D050"/>
        <color rgb="FF00B050"/>
      </colorScale>
    </cfRule>
  </conditionalFormatting>
  <dataValidations count="1">
    <dataValidation sqref="E4" showDropDown="0" showInputMessage="1" showErrorMessage="1" allowBlank="1" type="list">
      <formula1>"1,2,3,4,5,6,7,8,9,10,11,12,13,14,15,16,17,18,19,20,21,22,23,24,25,26,27,28,29,30,31,32,33,34,35,36,37,38,39,40,41,42,43,44,45,46,47,48,49,50,51,52"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52C41A"/>
    <outlinePr summaryBelow="1" summaryRight="1"/>
    <pageSetUpPr/>
  </sheetPr>
  <dimension ref="A1:Q34"/>
  <sheetViews>
    <sheetView zoomScale="84" workbookViewId="0">
      <pane xSplit="1" ySplit="4" topLeftCell="B10" activePane="bottomRight" state="frozen"/>
      <selection pane="topRight" activeCell="B1" sqref="B1"/>
      <selection pane="bottomLeft" activeCell="A5" sqref="A5"/>
      <selection pane="bottomRight" activeCell="A1" sqref="A1:Q1"/>
    </sheetView>
  </sheetViews>
  <sheetFormatPr baseColWidth="8" defaultRowHeight="15"/>
  <cols>
    <col width="13.42578125" bestFit="1" customWidth="1" min="1" max="1"/>
    <col width="10.85546875" bestFit="1" customWidth="1" min="2" max="2"/>
    <col width="10.5703125" bestFit="1" customWidth="1" min="3" max="3"/>
    <col width="8.5703125" bestFit="1" customWidth="1" min="4" max="4"/>
    <col width="11" bestFit="1" customWidth="1" min="5" max="5"/>
    <col width="9.28515625" bestFit="1" customWidth="1" min="6" max="6"/>
    <col width="12" bestFit="1" customWidth="1" min="8" max="8"/>
    <col width="10.28515625" bestFit="1" customWidth="1" min="9" max="9"/>
    <col width="10.5703125" bestFit="1" customWidth="1" min="10" max="10"/>
    <col width="8.85546875" bestFit="1" customWidth="1" min="11" max="11"/>
    <col width="7" bestFit="1" customWidth="1" min="12" max="12"/>
    <col width="5.85546875" bestFit="1" customWidth="1" min="13" max="14"/>
    <col width="8.7109375" bestFit="1" customWidth="1" min="15" max="15"/>
    <col width="8.85546875" bestFit="1" customWidth="1" min="16" max="16"/>
    <col width="6.42578125" bestFit="1" customWidth="1" min="17" max="17"/>
  </cols>
  <sheetData>
    <row r="1" ht="45" customHeight="1">
      <c r="A1" s="598" t="inlineStr">
        <is>
          <t>📅  COMPARAÇÃO ENTRE MICROCICLOS  |  Carga Média Equipa por MC — Belenenses</t>
        </is>
      </c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573" t="inlineStr">
        <is>
          <t>Posição:</t>
        </is>
      </c>
      <c r="O2" s="625" t="inlineStr">
        <is>
          <t>Todos</t>
        </is>
      </c>
      <c r="P2" s="9" t="n"/>
      <c r="Q2" s="9" t="n"/>
    </row>
    <row r="3" ht="27.95" customHeight="1">
      <c r="A3" s="596">
        <f>IF($O$2="Todos","A — MÉDIAS DE EQUIPA POR MICROCICLO  (apenas treinos)","A — MÉDIAS POR MICROCICLO  |  Posição: "&amp;$O$2&amp;"  (apenas treinos)")</f>
        <v/>
      </c>
    </row>
    <row r="4" ht="36" customHeight="1">
      <c r="A4" s="192" t="inlineStr">
        <is>
          <t>MC</t>
        </is>
      </c>
      <c r="B4" s="192" t="inlineStr">
        <is>
          <t>Nº Sessões</t>
        </is>
      </c>
      <c r="C4" s="192" t="inlineStr">
        <is>
          <t>Nº Jog</t>
        </is>
      </c>
      <c r="D4" s="192" t="inlineStr">
        <is>
          <t>Méd Dur (min)</t>
        </is>
      </c>
      <c r="E4" s="192" t="inlineStr">
        <is>
          <t>Méd Dist (m)</t>
        </is>
      </c>
      <c r="F4" s="192" t="inlineStr">
        <is>
          <t>Méd HSR (m)</t>
        </is>
      </c>
      <c r="G4" s="192" t="inlineStr">
        <is>
          <t>Méd Sprint (m)</t>
        </is>
      </c>
      <c r="H4" s="192" t="inlineStr">
        <is>
          <t>Méd Acc (n)</t>
        </is>
      </c>
      <c r="I4" s="192" t="inlineStr">
        <is>
          <t>Méd Dcc (n)</t>
        </is>
      </c>
      <c r="J4" s="192" t="inlineStr">
        <is>
          <t>Méd PSE</t>
        </is>
      </c>
      <c r="K4" s="192" t="inlineStr">
        <is>
          <t>Méd Vmáx (km/h)</t>
        </is>
      </c>
      <c r="L4" s="192" t="inlineStr">
        <is>
          <t>Vmáx Máx (km/h)</t>
        </is>
      </c>
      <c r="M4" s="192" t="inlineStr">
        <is>
          <t>≥90% (n/s)</t>
        </is>
      </c>
      <c r="N4" s="192" t="inlineStr">
        <is>
          <t>≥95% (n/s)</t>
        </is>
      </c>
      <c r="O4" s="192" t="inlineStr">
        <is>
          <t>Carga Tot</t>
        </is>
      </c>
      <c r="P4" s="506" t="inlineStr">
        <is>
          <t>Dist/min</t>
        </is>
      </c>
      <c r="Q4" s="476" t="inlineStr">
        <is>
          <t>HSR%</t>
        </is>
      </c>
    </row>
    <row r="5" ht="24" customHeight="1">
      <c r="A5" s="507" t="inlineStr">
        <is>
          <t>MC 4</t>
        </is>
      </c>
      <c r="B5" s="508">
        <f>IF($O$2="Todos",COUNTIFS(tblCarga[Microciclo (Nr)],4,tblCarga[Tipo],"Treino"),COUNTIFS(tblCarga[Microciclo (Nr)],4,tblCarga[Tipo],"Treino",tblCarga[Posição],$O$2))</f>
        <v/>
      </c>
      <c r="C5" s="508">
        <f t="array" ref="C5">IF($O$2="Todos",IFERROR(ROWS(_xlfn.UNIQUE(_xlfn._xlws.FILTER(tblCarga[Jogador],(tblCarga[Microciclo (Nr)]=4)*(tblCarga[Tipo]="Treino")))),"—"),IFERROR(ROWS(_xlfn.UNIQUE(_xlfn._xlws.FILTER(tblCarga[Jogador],(tblCarga[Microciclo (Nr)]=4)*(tblCarga[Tipo]="Treino")*(tblCarga[Posição]=$O$2)))),"—"))</f>
        <v/>
      </c>
      <c r="D5" s="480">
        <f>IFERROR(IF($O$2="Todos",AVERAGEIFS(tblCarga[Duração (min)],tblCarga[Microciclo (Nr)],4,tblCarga[Tipo],"Treino"),AVERAGEIFS(tblCarga[Duração (min)],tblCarga[Microciclo (Nr)],4,tblCarga[Tipo],"Treino",tblCarga[Posição],$O$2)),"—")</f>
        <v/>
      </c>
      <c r="E5" s="509">
        <f>IFERROR(IF($O$2="Todos",AVERAGEIFS(tblCarga[Distância Total (m)],tblCarga[Microciclo (Nr)],4,tblCarga[Tipo],"Treino"),AVERAGEIFS(tblCarga[Distância Total (m)],tblCarga[Microciclo (Nr)],4,tblCarga[Tipo],"Treino",tblCarga[Posição],$O$2)),"—")</f>
        <v/>
      </c>
      <c r="F5" s="509">
        <f>IFERROR(IF($O$2="Todos",AVERAGEIFS(tblCarga[HSR (m)],tblCarga[Microciclo (Nr)],4,tblCarga[Tipo],"Treino"),AVERAGEIFS(tblCarga[HSR (m)],tblCarga[Microciclo (Nr)],4,tblCarga[Tipo],"Treino",tblCarga[Posição],$O$2)),"—")</f>
        <v/>
      </c>
      <c r="G5" s="509">
        <f>IFERROR(IF($O$2="Todos",AVERAGEIFS(tblCarga[Sprint (m)],tblCarga[Microciclo (Nr)],4,tblCarga[Tipo],"Treino"),AVERAGEIFS(tblCarga[Sprint (m)],tblCarga[Microciclo (Nr)],4,tblCarga[Tipo],"Treino",tblCarga[Posição],$O$2)),"—")</f>
        <v/>
      </c>
      <c r="H5" s="509">
        <f>IFERROR(IF($O$2="Todos",AVERAGEIFS(tblCarga[Acc (n)],tblCarga[Microciclo (Nr)],4,tblCarga[Tipo],"Treino"),AVERAGEIFS(tblCarga[Acc (n)],tblCarga[Microciclo (Nr)],4,tblCarga[Tipo],"Treino",tblCarga[Posição],$O$2)),"—")</f>
        <v/>
      </c>
      <c r="I5" s="480">
        <f>IFERROR(IF($O$2="Todos",AVERAGEIFS(tblCarga[Dcc (n)],tblCarga[Microciclo (Nr)],4,tblCarga[Tipo],"Treino"),AVERAGEIFS(tblCarga[Dcc (n)],tblCarga[Microciclo (Nr)],4,tblCarga[Tipo],"Treino",tblCarga[Posição],$O$2)),"—")</f>
        <v/>
      </c>
      <c r="J5" s="480">
        <f>IFERROR(IF($O$2="Todos",AVERAGEIFS(tblCarga[PSE Sessão],tblCarga[Microciclo (Nr)],4,tblCarga[Tipo],"Treino"),AVERAGEIFS(tblCarga[PSE Sessão],tblCarga[Microciclo (Nr)],4,tblCarga[Tipo],"Treino",tblCarga[Posição],$O$2)),"—")</f>
        <v/>
      </c>
      <c r="K5" s="480">
        <f>IFERROR(IF($O$2="Todos",AVERAGEIFS(tblCarga[Vel. Máx (km/h)],tblCarga[Microciclo (Nr)],4,tblCarga[Tipo],"Treino"),AVERAGEIFS(tblCarga[Vel. Máx (km/h)],tblCarga[Microciclo (Nr)],4,tblCarga[Tipo],"Treino",tblCarga[Posição],$O$2)),"—")</f>
        <v/>
      </c>
      <c r="L5" s="480">
        <f>IF($O$2="Todos",_xlfn.MAXIFS(tblCarga[Vel. Máx (km/h)],tblCarga[Microciclo (Nr)],4,tblCarga[Tipo],"Treino"),_xlfn.MAXIFS(tblCarga[Vel. Máx (km/h)],tblCarga[Microciclo (Nr)],4,tblCarga[Tipo],"Treino",tblCarga[Posição],$O$2))</f>
        <v/>
      </c>
      <c r="M5" s="480">
        <f>IFERROR(IF($O$2="Todos",AVERAGEIFS(tblCarga[Nº ≥90% Vmáx],tblCarga[Microciclo (Nr)],4,tblCarga[Tipo],"Treino"),AVERAGEIFS(tblCarga[Nº ≥90% Vmáx],tblCarga[Microciclo (Nr)],4,tblCarga[Tipo],"Treino",tblCarga[Posição],$O$2)),"—")</f>
        <v/>
      </c>
      <c r="N5" s="480">
        <f>IFERROR(IF($O$2="Todos",AVERAGEIFS(tblCarga[Nº ≥95% Vmáx],tblCarga[Microciclo (Nr)],4,tblCarga[Tipo],"Treino"),AVERAGEIFS(tblCarga[Nº ≥95% Vmáx],tblCarga[Microciclo (Nr)],4,tblCarga[Tipo],"Treino",tblCarga[Posição],$O$2)),"—")</f>
        <v/>
      </c>
      <c r="O5" s="509">
        <f t="array" ref="O5">IF($O$2="Todos",SUMPRODUCT((tblCarga[Microciclo (Nr)]=4)*(tblCarga[Tipo]="Treino")*tblCarga[PSE Sessão]*tblCarga[Duração (min)]),SUMPRODUCT((tblCarga[Microciclo (Nr)]=4)*(tblCarga[Tipo]="Treino")*(tblCarga[Posição]=$O$2)*tblCarga[PSE Sessão]*tblCarga[Duração (min)]))</f>
        <v/>
      </c>
      <c r="P5" s="480">
        <f>IFERROR(E5/D5,"—")</f>
        <v/>
      </c>
      <c r="Q5" s="481">
        <f>IFERROR(F5/E5,"—")</f>
        <v/>
      </c>
    </row>
    <row r="6" ht="24" customHeight="1">
      <c r="A6" s="510" t="inlineStr">
        <is>
          <t>MC 5</t>
        </is>
      </c>
      <c r="B6" s="511">
        <f>IF($O$2="Todos",COUNTIFS(tblCarga[Microciclo (Nr)],5,tblCarga[Tipo],"Treino"),COUNTIFS(tblCarga[Microciclo (Nr)],5,tblCarga[Tipo],"Treino",tblCarga[Posição],$O$2))</f>
        <v/>
      </c>
      <c r="C6" s="511">
        <f t="array" ref="C6">IF($O$2="Todos",IFERROR(ROWS(_xlfn.UNIQUE(_xlfn._xlws.FILTER(tblCarga[Jogador],(tblCarga[Microciclo (Nr)]=5)*(tblCarga[Tipo]="Treino")))),"—"),IFERROR(ROWS(_xlfn.UNIQUE(_xlfn._xlws.FILTER(tblCarga[Jogador],(tblCarga[Microciclo (Nr)]=5)*(tblCarga[Tipo]="Treino")*(tblCarga[Posição]=$O$2)))),"—"))</f>
        <v/>
      </c>
      <c r="D6" s="512">
        <f>IFERROR(IF($O$2="Todos",AVERAGEIFS(tblCarga[Duração (min)],tblCarga[Microciclo (Nr)],5,tblCarga[Tipo],"Treino"),AVERAGEIFS(tblCarga[Duração (min)],tblCarga[Microciclo (Nr)],5,tblCarga[Tipo],"Treino",tblCarga[Posição],$O$2)),"—")</f>
        <v/>
      </c>
      <c r="E6" s="513">
        <f>IFERROR(IF($O$2="Todos",AVERAGEIFS(tblCarga[Distância Total (m)],tblCarga[Microciclo (Nr)],5,tblCarga[Tipo],"Treino"),AVERAGEIFS(tblCarga[Distância Total (m)],tblCarga[Microciclo (Nr)],5,tblCarga[Tipo],"Treino",tblCarga[Posição],$O$2)),"—")</f>
        <v/>
      </c>
      <c r="F6" s="513">
        <f>IFERROR(IF($O$2="Todos",AVERAGEIFS(tblCarga[HSR (m)],tblCarga[Microciclo (Nr)],5,tblCarga[Tipo],"Treino"),AVERAGEIFS(tblCarga[HSR (m)],tblCarga[Microciclo (Nr)],5,tblCarga[Tipo],"Treino",tblCarga[Posição],$O$2)),"—")</f>
        <v/>
      </c>
      <c r="G6" s="513">
        <f>IFERROR(IF($O$2="Todos",AVERAGEIFS(tblCarga[Sprint (m)],tblCarga[Microciclo (Nr)],5,tblCarga[Tipo],"Treino"),AVERAGEIFS(tblCarga[Sprint (m)],tblCarga[Microciclo (Nr)],5,tblCarga[Tipo],"Treino",tblCarga[Posição],$O$2)),"—")</f>
        <v/>
      </c>
      <c r="H6" s="513">
        <f>IFERROR(IF($O$2="Todos",AVERAGEIFS(tblCarga[Acc (n)],tblCarga[Microciclo (Nr)],5,tblCarga[Tipo],"Treino"),AVERAGEIFS(tblCarga[Acc (n)],tblCarga[Microciclo (Nr)],5,tblCarga[Tipo],"Treino",tblCarga[Posição],$O$2)),"—")</f>
        <v/>
      </c>
      <c r="I6" s="512">
        <f>IFERROR(IF($O$2="Todos",AVERAGEIFS(tblCarga[Dcc (n)],tblCarga[Microciclo (Nr)],5,tblCarga[Tipo],"Treino"),AVERAGEIFS(tblCarga[Dcc (n)],tblCarga[Microciclo (Nr)],5,tblCarga[Tipo],"Treino",tblCarga[Posição],$O$2)),"—")</f>
        <v/>
      </c>
      <c r="J6" s="512">
        <f>IFERROR(IF($O$2="Todos",AVERAGEIFS(tblCarga[PSE Sessão],tblCarga[Microciclo (Nr)],5,tblCarga[Tipo],"Treino"),AVERAGEIFS(tblCarga[PSE Sessão],tblCarga[Microciclo (Nr)],5,tblCarga[Tipo],"Treino",tblCarga[Posição],$O$2)),"—")</f>
        <v/>
      </c>
      <c r="K6" s="512">
        <f>IFERROR(IF($O$2="Todos",AVERAGEIFS(tblCarga[Vel. Máx (km/h)],tblCarga[Microciclo (Nr)],5,tblCarga[Tipo],"Treino"),AVERAGEIFS(tblCarga[Vel. Máx (km/h)],tblCarga[Microciclo (Nr)],5,tblCarga[Tipo],"Treino",tblCarga[Posição],$O$2)),"—")</f>
        <v/>
      </c>
      <c r="L6" s="512">
        <f>IF($O$2="Todos",_xlfn.MAXIFS(tblCarga[Vel. Máx (km/h)],tblCarga[Microciclo (Nr)],5,tblCarga[Tipo],"Treino"),_xlfn.MAXIFS(tblCarga[Vel. Máx (km/h)],tblCarga[Microciclo (Nr)],5,tblCarga[Tipo],"Treino",tblCarga[Posição],$O$2))</f>
        <v/>
      </c>
      <c r="M6" s="512">
        <f>IFERROR(IF($O$2="Todos",AVERAGEIFS(tblCarga[Nº ≥90% Vmáx],tblCarga[Microciclo (Nr)],5,tblCarga[Tipo],"Treino"),AVERAGEIFS(tblCarga[Nº ≥90% Vmáx],tblCarga[Microciclo (Nr)],5,tblCarga[Tipo],"Treino",tblCarga[Posição],$O$2)),"—")</f>
        <v/>
      </c>
      <c r="N6" s="512">
        <f>IFERROR(IF($O$2="Todos",AVERAGEIFS(tblCarga[Nº ≥95% Vmáx],tblCarga[Microciclo (Nr)],5,tblCarga[Tipo],"Treino"),AVERAGEIFS(tblCarga[Nº ≥95% Vmáx],tblCarga[Microciclo (Nr)],5,tblCarga[Tipo],"Treino",tblCarga[Posição],$O$2)),"—")</f>
        <v/>
      </c>
      <c r="O6" s="513">
        <f t="array" ref="O6">IF($O$2="Todos",SUMPRODUCT((tblCarga[Microciclo (Nr)]=5)*(tblCarga[Tipo]="Treino")*tblCarga[PSE Sessão]*tblCarga[Duração (min)]),SUMPRODUCT((tblCarga[Microciclo (Nr)]=5)*(tblCarga[Tipo]="Treino")*(tblCarga[Posição]=$O$2)*tblCarga[PSE Sessão]*tblCarga[Duração (min)]))</f>
        <v/>
      </c>
      <c r="P6" s="512">
        <f>IFERROR(E6/D6,"—")</f>
        <v/>
      </c>
      <c r="Q6" s="514">
        <f>IFERROR(F6/E6,"—")</f>
        <v/>
      </c>
    </row>
    <row r="7" ht="24" customHeight="1">
      <c r="A7" s="520" t="inlineStr">
        <is>
          <t>MC 6</t>
        </is>
      </c>
      <c r="B7" s="521">
        <f>IF($O$2="Todos",COUNTIFS(tblCarga[Microciclo (Nr)],6,tblCarga[Tipo],"Treino"),COUNTIFS(tblCarga[Microciclo (Nr)],6,tblCarga[Tipo],"Treino",tblCarga[Posição],$O$2))</f>
        <v/>
      </c>
      <c r="C7" s="521">
        <f t="array" ref="C7">IF($O$2="Todos",IFERROR(ROWS(_xlfn.UNIQUE(_xlfn._xlws.FILTER(tblCarga[Jogador],(tblCarga[Microciclo (Nr)]=6)*(tblCarga[Tipo]="Treino")))),"—"),IFERROR(ROWS(_xlfn.UNIQUE(_xlfn._xlws.FILTER(tblCarga[Jogador],(tblCarga[Microciclo (Nr)]=6)*(tblCarga[Tipo]="Treino")*(tblCarga[Posição]=$O$2)))),"—"))</f>
        <v/>
      </c>
      <c r="D7" s="522">
        <f>IFERROR(IF($O$2="Todos",AVERAGEIFS(tblCarga[Duração (min)],tblCarga[Microciclo (Nr)],6,tblCarga[Tipo],"Treino"),AVERAGEIFS(tblCarga[Duração (min)],tblCarga[Microciclo (Nr)],6,tblCarga[Tipo],"Treino",tblCarga[Posição],$O$2)),"—")</f>
        <v/>
      </c>
      <c r="E7" s="523">
        <f>IFERROR(IF($O$2="Todos",AVERAGEIFS(tblCarga[Distância Total (m)],tblCarga[Microciclo (Nr)],6,tblCarga[Tipo],"Treino"),AVERAGEIFS(tblCarga[Distância Total (m)],tblCarga[Microciclo (Nr)],6,tblCarga[Tipo],"Treino",tblCarga[Posição],$O$2)),"—")</f>
        <v/>
      </c>
      <c r="F7" s="523">
        <f>IFERROR(IF($O$2="Todos",AVERAGEIFS(tblCarga[HSR (m)],tblCarga[Microciclo (Nr)],6,tblCarga[Tipo],"Treino"),AVERAGEIFS(tblCarga[HSR (m)],tblCarga[Microciclo (Nr)],6,tblCarga[Tipo],"Treino",tblCarga[Posição],$O$2)),"—")</f>
        <v/>
      </c>
      <c r="G7" s="523">
        <f>IFERROR(IF($O$2="Todos",AVERAGEIFS(tblCarga[Sprint (m)],tblCarga[Microciclo (Nr)],6,tblCarga[Tipo],"Treino"),AVERAGEIFS(tblCarga[Sprint (m)],tblCarga[Microciclo (Nr)],6,tblCarga[Tipo],"Treino",tblCarga[Posição],$O$2)),"—")</f>
        <v/>
      </c>
      <c r="H7" s="523">
        <f>IFERROR(IF($O$2="Todos",AVERAGEIFS(tblCarga[Acc (n)],tblCarga[Microciclo (Nr)],6,tblCarga[Tipo],"Treino"),AVERAGEIFS(tblCarga[Acc (n)],tblCarga[Microciclo (Nr)],6,tblCarga[Tipo],"Treino",tblCarga[Posição],$O$2)),"—")</f>
        <v/>
      </c>
      <c r="I7" s="522">
        <f>IFERROR(IF($O$2="Todos",AVERAGEIFS(tblCarga[Dcc (n)],tblCarga[Microciclo (Nr)],6,tblCarga[Tipo],"Treino"),AVERAGEIFS(tblCarga[Dcc (n)],tblCarga[Microciclo (Nr)],6,tblCarga[Tipo],"Treino",tblCarga[Posição],$O$2)),"—")</f>
        <v/>
      </c>
      <c r="J7" s="522">
        <f>IFERROR(IF($O$2="Todos",AVERAGEIFS(tblCarga[PSE Sessão],tblCarga[Microciclo (Nr)],6,tblCarga[Tipo],"Treino"),AVERAGEIFS(tblCarga[PSE Sessão],tblCarga[Microciclo (Nr)],6,tblCarga[Tipo],"Treino",tblCarga[Posição],$O$2)),"—")</f>
        <v/>
      </c>
      <c r="K7" s="522">
        <f>IFERROR(IF($O$2="Todos",AVERAGEIFS(tblCarga[Vel. Máx (km/h)],tblCarga[Microciclo (Nr)],6,tblCarga[Tipo],"Treino"),AVERAGEIFS(tblCarga[Vel. Máx (km/h)],tblCarga[Microciclo (Nr)],6,tblCarga[Tipo],"Treino",tblCarga[Posição],$O$2)),"—")</f>
        <v/>
      </c>
      <c r="L7" s="522">
        <f>IF($O$2="Todos",_xlfn.MAXIFS(tblCarga[Vel. Máx (km/h)],tblCarga[Microciclo (Nr)],6,tblCarga[Tipo],"Treino"),_xlfn.MAXIFS(tblCarga[Vel. Máx (km/h)],tblCarga[Microciclo (Nr)],6,tblCarga[Tipo],"Treino",tblCarga[Posição],$O$2))</f>
        <v/>
      </c>
      <c r="M7" s="522">
        <f>IFERROR(IF($O$2="Todos",AVERAGEIFS(tblCarga[Nº ≥90% Vmáx],tblCarga[Microciclo (Nr)],6,tblCarga[Tipo],"Treino"),AVERAGEIFS(tblCarga[Nº ≥90% Vmáx],tblCarga[Microciclo (Nr)],6,tblCarga[Tipo],"Treino",tblCarga[Posição],$O$2)),"—")</f>
        <v/>
      </c>
      <c r="N7" s="522">
        <f>IFERROR(IF($O$2="Todos",AVERAGEIFS(tblCarga[Nº ≥95% Vmáx],tblCarga[Microciclo (Nr)],6,tblCarga[Tipo],"Treino"),AVERAGEIFS(tblCarga[Nº ≥95% Vmáx],tblCarga[Microciclo (Nr)],6,tblCarga[Tipo],"Treino",tblCarga[Posição],$O$2)),"—")</f>
        <v/>
      </c>
      <c r="O7" s="523">
        <f t="array" ref="O7">IF($O$2="Todos",SUMPRODUCT((tblCarga[Microciclo (Nr)]=6)*(tblCarga[Tipo]="Treino")*tblCarga[PSE Sessão]*tblCarga[Duração (min)]),SUMPRODUCT((tblCarga[Microciclo (Nr)]=6)*(tblCarga[Tipo]="Treino")*(tblCarga[Posição]=$O$2)*tblCarga[PSE Sessão]*tblCarga[Duração (min)]))</f>
        <v/>
      </c>
      <c r="P7" s="522">
        <f>IFERROR(E7/D7,"—")</f>
        <v/>
      </c>
      <c r="Q7" s="524">
        <f>IFERROR(F7/E7,"—")</f>
        <v/>
      </c>
    </row>
    <row r="8" ht="24" customHeight="1">
      <c r="A8" s="510" t="inlineStr">
        <is>
          <t>MC 7</t>
        </is>
      </c>
      <c r="B8" s="511">
        <f>IF($O$2="Todos",COUNTIFS(tblCarga[Microciclo (Nr)],7,tblCarga[Tipo],"Treino"),COUNTIFS(tblCarga[Microciclo (Nr)],7,tblCarga[Tipo],"Treino",tblCarga[Posição],$O$2))</f>
        <v/>
      </c>
      <c r="C8" s="511">
        <f t="array" ref="C8">IF($O$2="Todos",IFERROR(ROWS(_xlfn.UNIQUE(_xlfn._xlws.FILTER(tblCarga[Jogador],(tblCarga[Microciclo (Nr)]=7)*(tblCarga[Tipo]="Treino")))),"—"),IFERROR(ROWS(_xlfn.UNIQUE(_xlfn._xlws.FILTER(tblCarga[Jogador],(tblCarga[Microciclo (Nr)]=7)*(tblCarga[Tipo]="Treino")*(tblCarga[Posição]=$O$2)))),"—"))</f>
        <v/>
      </c>
      <c r="D8" s="512">
        <f>IFERROR(IF($O$2="Todos",AVERAGEIFS(tblCarga[Duração (min)],tblCarga[Microciclo (Nr)],7,tblCarga[Tipo],"Treino"),AVERAGEIFS(tblCarga[Duração (min)],tblCarga[Microciclo (Nr)],7,tblCarga[Tipo],"Treino",tblCarga[Posição],$O$2)),"—")</f>
        <v/>
      </c>
      <c r="E8" s="513">
        <f>IFERROR(IF($O$2="Todos",AVERAGEIFS(tblCarga[Distância Total (m)],tblCarga[Microciclo (Nr)],7,tblCarga[Tipo],"Treino"),AVERAGEIFS(tblCarga[Distância Total (m)],tblCarga[Microciclo (Nr)],7,tblCarga[Tipo],"Treino",tblCarga[Posição],$O$2)),"—")</f>
        <v/>
      </c>
      <c r="F8" s="513">
        <f>IFERROR(IF($O$2="Todos",AVERAGEIFS(tblCarga[HSR (m)],tblCarga[Microciclo (Nr)],7,tblCarga[Tipo],"Treino"),AVERAGEIFS(tblCarga[HSR (m)],tblCarga[Microciclo (Nr)],7,tblCarga[Tipo],"Treino",tblCarga[Posição],$O$2)),"—")</f>
        <v/>
      </c>
      <c r="G8" s="513">
        <f>IFERROR(IF($O$2="Todos",AVERAGEIFS(tblCarga[Sprint (m)],tblCarga[Microciclo (Nr)],7,tblCarga[Tipo],"Treino"),AVERAGEIFS(tblCarga[Sprint (m)],tblCarga[Microciclo (Nr)],7,tblCarga[Tipo],"Treino",tblCarga[Posição],$O$2)),"—")</f>
        <v/>
      </c>
      <c r="H8" s="513">
        <f>IFERROR(IF($O$2="Todos",AVERAGEIFS(tblCarga[Acc (n)],tblCarga[Microciclo (Nr)],7,tblCarga[Tipo],"Treino"),AVERAGEIFS(tblCarga[Acc (n)],tblCarga[Microciclo (Nr)],7,tblCarga[Tipo],"Treino",tblCarga[Posição],$O$2)),"—")</f>
        <v/>
      </c>
      <c r="I8" s="512">
        <f>IFERROR(IF($O$2="Todos",AVERAGEIFS(tblCarga[Dcc (n)],tblCarga[Microciclo (Nr)],7,tblCarga[Tipo],"Treino"),AVERAGEIFS(tblCarga[Dcc (n)],tblCarga[Microciclo (Nr)],7,tblCarga[Tipo],"Treino",tblCarga[Posição],$O$2)),"—")</f>
        <v/>
      </c>
      <c r="J8" s="512">
        <f>IFERROR(IF($O$2="Todos",AVERAGEIFS(tblCarga[PSE Sessão],tblCarga[Microciclo (Nr)],7,tblCarga[Tipo],"Treino"),AVERAGEIFS(tblCarga[PSE Sessão],tblCarga[Microciclo (Nr)],7,tblCarga[Tipo],"Treino",tblCarga[Posição],$O$2)),"—")</f>
        <v/>
      </c>
      <c r="K8" s="512">
        <f>IFERROR(IF($O$2="Todos",AVERAGEIFS(tblCarga[Vel. Máx (km/h)],tblCarga[Microciclo (Nr)],7,tblCarga[Tipo],"Treino"),AVERAGEIFS(tblCarga[Vel. Máx (km/h)],tblCarga[Microciclo (Nr)],7,tblCarga[Tipo],"Treino",tblCarga[Posição],$O$2)),"—")</f>
        <v/>
      </c>
      <c r="L8" s="512">
        <f>IF($O$2="Todos",_xlfn.MAXIFS(tblCarga[Vel. Máx (km/h)],tblCarga[Microciclo (Nr)],7,tblCarga[Tipo],"Treino"),_xlfn.MAXIFS(tblCarga[Vel. Máx (km/h)],tblCarga[Microciclo (Nr)],7,tblCarga[Tipo],"Treino",tblCarga[Posição],$O$2))</f>
        <v/>
      </c>
      <c r="M8" s="512">
        <f>IFERROR(IF($O$2="Todos",AVERAGEIFS(tblCarga[Nº ≥90% Vmáx],tblCarga[Microciclo (Nr)],7,tblCarga[Tipo],"Treino"),AVERAGEIFS(tblCarga[Nº ≥90% Vmáx],tblCarga[Microciclo (Nr)],7,tblCarga[Tipo],"Treino",tblCarga[Posição],$O$2)),"—")</f>
        <v/>
      </c>
      <c r="N8" s="512">
        <f>IFERROR(IF($O$2="Todos",AVERAGEIFS(tblCarga[Nº ≥95% Vmáx],tblCarga[Microciclo (Nr)],7,tblCarga[Tipo],"Treino"),AVERAGEIFS(tblCarga[Nº ≥95% Vmáx],tblCarga[Microciclo (Nr)],7,tblCarga[Tipo],"Treino",tblCarga[Posição],$O$2)),"—")</f>
        <v/>
      </c>
      <c r="O8" s="513">
        <f t="array" ref="O8">IF($O$2="Todos",SUMPRODUCT((tblCarga[Microciclo (Nr)]=7)*(tblCarga[Tipo]="Treino")*tblCarga[PSE Sessão]*tblCarga[Duração (min)]),SUMPRODUCT((tblCarga[Microciclo (Nr)]=7)*(tblCarga[Tipo]="Treino")*(tblCarga[Posição]=$O$2)*tblCarga[PSE Sessão]*tblCarga[Duração (min)]))</f>
        <v/>
      </c>
      <c r="P8" s="512">
        <f>IFERROR(E8/D8,"—")</f>
        <v/>
      </c>
      <c r="Q8" s="514">
        <f>IFERROR(F8/E8,"—")</f>
        <v/>
      </c>
    </row>
    <row r="9" ht="24" customHeight="1">
      <c r="A9" s="520" t="inlineStr">
        <is>
          <t>MC 8</t>
        </is>
      </c>
      <c r="B9" s="521">
        <f>IF($O$2="Todos",COUNTIFS(tblCarga[Microciclo (Nr)],8,tblCarga[Tipo],"Treino"),COUNTIFS(tblCarga[Microciclo (Nr)],8,tblCarga[Tipo],"Treino",tblCarga[Posição],$O$2))</f>
        <v/>
      </c>
      <c r="C9" s="521">
        <f t="array" ref="C9">IF($O$2="Todos",IFERROR(ROWS(_xlfn.UNIQUE(_xlfn._xlws.FILTER(tblCarga[Jogador],(tblCarga[Microciclo (Nr)]=8)*(tblCarga[Tipo]="Treino")))),"—"),IFERROR(ROWS(_xlfn.UNIQUE(_xlfn._xlws.FILTER(tblCarga[Jogador],(tblCarga[Microciclo (Nr)]=8)*(tblCarga[Tipo]="Treino")*(tblCarga[Posição]=$O$2)))),"—"))</f>
        <v/>
      </c>
      <c r="D9" s="522">
        <f>IFERROR(IF($O$2="Todos",AVERAGEIFS(tblCarga[Duração (min)],tblCarga[Microciclo (Nr)],8,tblCarga[Tipo],"Treino"),AVERAGEIFS(tblCarga[Duração (min)],tblCarga[Microciclo (Nr)],8,tblCarga[Tipo],"Treino",tblCarga[Posição],$O$2)),"—")</f>
        <v/>
      </c>
      <c r="E9" s="523">
        <f>IFERROR(IF($O$2="Todos",AVERAGEIFS(tblCarga[Distância Total (m)],tblCarga[Microciclo (Nr)],8,tblCarga[Tipo],"Treino"),AVERAGEIFS(tblCarga[Distância Total (m)],tblCarga[Microciclo (Nr)],8,tblCarga[Tipo],"Treino",tblCarga[Posição],$O$2)),"—")</f>
        <v/>
      </c>
      <c r="F9" s="523">
        <f>IFERROR(IF($O$2="Todos",AVERAGEIFS(tblCarga[HSR (m)],tblCarga[Microciclo (Nr)],8,tblCarga[Tipo],"Treino"),AVERAGEIFS(tblCarga[HSR (m)],tblCarga[Microciclo (Nr)],8,tblCarga[Tipo],"Treino",tblCarga[Posição],$O$2)),"—")</f>
        <v/>
      </c>
      <c r="G9" s="523">
        <f>IFERROR(IF($O$2="Todos",AVERAGEIFS(tblCarga[Sprint (m)],tblCarga[Microciclo (Nr)],8,tblCarga[Tipo],"Treino"),AVERAGEIFS(tblCarga[Sprint (m)],tblCarga[Microciclo (Nr)],8,tblCarga[Tipo],"Treino",tblCarga[Posição],$O$2)),"—")</f>
        <v/>
      </c>
      <c r="H9" s="523">
        <f>IFERROR(IF($O$2="Todos",AVERAGEIFS(tblCarga[Acc (n)],tblCarga[Microciclo (Nr)],8,tblCarga[Tipo],"Treino"),AVERAGEIFS(tblCarga[Acc (n)],tblCarga[Microciclo (Nr)],8,tblCarga[Tipo],"Treino",tblCarga[Posição],$O$2)),"—")</f>
        <v/>
      </c>
      <c r="I9" s="522">
        <f>IFERROR(IF($O$2="Todos",AVERAGEIFS(tblCarga[Dcc (n)],tblCarga[Microciclo (Nr)],8,tblCarga[Tipo],"Treino"),AVERAGEIFS(tblCarga[Dcc (n)],tblCarga[Microciclo (Nr)],8,tblCarga[Tipo],"Treino",tblCarga[Posição],$O$2)),"—")</f>
        <v/>
      </c>
      <c r="J9" s="522">
        <f>IFERROR(IF($O$2="Todos",AVERAGEIFS(tblCarga[PSE Sessão],tblCarga[Microciclo (Nr)],8,tblCarga[Tipo],"Treino"),AVERAGEIFS(tblCarga[PSE Sessão],tblCarga[Microciclo (Nr)],8,tblCarga[Tipo],"Treino",tblCarga[Posição],$O$2)),"—")</f>
        <v/>
      </c>
      <c r="K9" s="522">
        <f>IFERROR(IF($O$2="Todos",AVERAGEIFS(tblCarga[Vel. Máx (km/h)],tblCarga[Microciclo (Nr)],8,tblCarga[Tipo],"Treino"),AVERAGEIFS(tblCarga[Vel. Máx (km/h)],tblCarga[Microciclo (Nr)],8,tblCarga[Tipo],"Treino",tblCarga[Posição],$O$2)),"—")</f>
        <v/>
      </c>
      <c r="L9" s="522">
        <f>IF($O$2="Todos",_xlfn.MAXIFS(tblCarga[Vel. Máx (km/h)],tblCarga[Microciclo (Nr)],8,tblCarga[Tipo],"Treino"),_xlfn.MAXIFS(tblCarga[Vel. Máx (km/h)],tblCarga[Microciclo (Nr)],8,tblCarga[Tipo],"Treino",tblCarga[Posição],$O$2))</f>
        <v/>
      </c>
      <c r="M9" s="522">
        <f>IFERROR(IF($O$2="Todos",AVERAGEIFS(tblCarga[Nº ≥90% Vmáx],tblCarga[Microciclo (Nr)],8,tblCarga[Tipo],"Treino"),AVERAGEIFS(tblCarga[Nº ≥90% Vmáx],tblCarga[Microciclo (Nr)],8,tblCarga[Tipo],"Treino",tblCarga[Posição],$O$2)),"—")</f>
        <v/>
      </c>
      <c r="N9" s="522">
        <f>IFERROR(IF($O$2="Todos",AVERAGEIFS(tblCarga[Nº ≥95% Vmáx],tblCarga[Microciclo (Nr)],8,tblCarga[Tipo],"Treino"),AVERAGEIFS(tblCarga[Nº ≥95% Vmáx],tblCarga[Microciclo (Nr)],8,tblCarga[Tipo],"Treino",tblCarga[Posição],$O$2)),"—")</f>
        <v/>
      </c>
      <c r="O9" s="523">
        <f t="array" ref="O9">IF($O$2="Todos",SUMPRODUCT((tblCarga[Microciclo (Nr)]=8)*(tblCarga[Tipo]="Treino")*tblCarga[PSE Sessão]*tblCarga[Duração (min)]),SUMPRODUCT((tblCarga[Microciclo (Nr)]=8)*(tblCarga[Tipo]="Treino")*(tblCarga[Posição]=$O$2)*tblCarga[PSE Sessão]*tblCarga[Duração (min)]))</f>
        <v/>
      </c>
      <c r="P9" s="522">
        <f>IFERROR(E9/D9,"—")</f>
        <v/>
      </c>
      <c r="Q9" s="524">
        <f>IFERROR(F9/E9,"—")</f>
        <v/>
      </c>
    </row>
    <row r="10" ht="24" customHeight="1">
      <c r="A10" s="510" t="inlineStr">
        <is>
          <t>MC 9</t>
        </is>
      </c>
      <c r="B10" s="511">
        <f>IF($O$2="Todos",COUNTIFS(tblCarga[Microciclo (Nr)],9,tblCarga[Tipo],"Treino"),COUNTIFS(tblCarga[Microciclo (Nr)],9,tblCarga[Tipo],"Treino",tblCarga[Posição],$O$2))</f>
        <v/>
      </c>
      <c r="C10" s="511">
        <f t="array" ref="C10">IF($O$2="Todos",IFERROR(ROWS(_xlfn.UNIQUE(_xlfn._xlws.FILTER(tblCarga[Jogador],(tblCarga[Microciclo (Nr)]=9)*(tblCarga[Tipo]="Treino")))),"—"),IFERROR(ROWS(_xlfn.UNIQUE(_xlfn._xlws.FILTER(tblCarga[Jogador],(tblCarga[Microciclo (Nr)]=9)*(tblCarga[Tipo]="Treino")*(tblCarga[Posição]=$O$2)))),"—"))</f>
        <v/>
      </c>
      <c r="D10" s="512">
        <f>IFERROR(IF($O$2="Todos",AVERAGEIFS(tblCarga[Duração (min)],tblCarga[Microciclo (Nr)],9,tblCarga[Tipo],"Treino"),AVERAGEIFS(tblCarga[Duração (min)],tblCarga[Microciclo (Nr)],9,tblCarga[Tipo],"Treino",tblCarga[Posição],$O$2)),"—")</f>
        <v/>
      </c>
      <c r="E10" s="513">
        <f>IFERROR(IF($O$2="Todos",AVERAGEIFS(tblCarga[Distância Total (m)],tblCarga[Microciclo (Nr)],9,tblCarga[Tipo],"Treino"),AVERAGEIFS(tblCarga[Distância Total (m)],tblCarga[Microciclo (Nr)],9,tblCarga[Tipo],"Treino",tblCarga[Posição],$O$2)),"—")</f>
        <v/>
      </c>
      <c r="F10" s="513">
        <f>IFERROR(IF($O$2="Todos",AVERAGEIFS(tblCarga[HSR (m)],tblCarga[Microciclo (Nr)],9,tblCarga[Tipo],"Treino"),AVERAGEIFS(tblCarga[HSR (m)],tblCarga[Microciclo (Nr)],9,tblCarga[Tipo],"Treino",tblCarga[Posição],$O$2)),"—")</f>
        <v/>
      </c>
      <c r="G10" s="513">
        <f>IFERROR(IF($O$2="Todos",AVERAGEIFS(tblCarga[Sprint (m)],tblCarga[Microciclo (Nr)],9,tblCarga[Tipo],"Treino"),AVERAGEIFS(tblCarga[Sprint (m)],tblCarga[Microciclo (Nr)],9,tblCarga[Tipo],"Treino",tblCarga[Posição],$O$2)),"—")</f>
        <v/>
      </c>
      <c r="H10" s="513">
        <f>IFERROR(IF($O$2="Todos",AVERAGEIFS(tblCarga[Acc (n)],tblCarga[Microciclo (Nr)],9,tblCarga[Tipo],"Treino"),AVERAGEIFS(tblCarga[Acc (n)],tblCarga[Microciclo (Nr)],9,tblCarga[Tipo],"Treino",tblCarga[Posição],$O$2)),"—")</f>
        <v/>
      </c>
      <c r="I10" s="512">
        <f>IFERROR(IF($O$2="Todos",AVERAGEIFS(tblCarga[Dcc (n)],tblCarga[Microciclo (Nr)],9,tblCarga[Tipo],"Treino"),AVERAGEIFS(tblCarga[Dcc (n)],tblCarga[Microciclo (Nr)],9,tblCarga[Tipo],"Treino",tblCarga[Posição],$O$2)),"—")</f>
        <v/>
      </c>
      <c r="J10" s="512">
        <f>IFERROR(IF($O$2="Todos",AVERAGEIFS(tblCarga[PSE Sessão],tblCarga[Microciclo (Nr)],9,tblCarga[Tipo],"Treino"),AVERAGEIFS(tblCarga[PSE Sessão],tblCarga[Microciclo (Nr)],9,tblCarga[Tipo],"Treino",tblCarga[Posição],$O$2)),"—")</f>
        <v/>
      </c>
      <c r="K10" s="512">
        <f>IFERROR(IF($O$2="Todos",AVERAGEIFS(tblCarga[Vel. Máx (km/h)],tblCarga[Microciclo (Nr)],9,tblCarga[Tipo],"Treino"),AVERAGEIFS(tblCarga[Vel. Máx (km/h)],tblCarga[Microciclo (Nr)],9,tblCarga[Tipo],"Treino",tblCarga[Posição],$O$2)),"—")</f>
        <v/>
      </c>
      <c r="L10" s="512">
        <f>IF($O$2="Todos",_xlfn.MAXIFS(tblCarga[Vel. Máx (km/h)],tblCarga[Microciclo (Nr)],9,tblCarga[Tipo],"Treino"),_xlfn.MAXIFS(tblCarga[Vel. Máx (km/h)],tblCarga[Microciclo (Nr)],9,tblCarga[Tipo],"Treino",tblCarga[Posição],$O$2))</f>
        <v/>
      </c>
      <c r="M10" s="512">
        <f>IFERROR(IF($O$2="Todos",AVERAGEIFS(tblCarga[Nº ≥90% Vmáx],tblCarga[Microciclo (Nr)],9,tblCarga[Tipo],"Treino"),AVERAGEIFS(tblCarga[Nº ≥90% Vmáx],tblCarga[Microciclo (Nr)],9,tblCarga[Tipo],"Treino",tblCarga[Posição],$O$2)),"—")</f>
        <v/>
      </c>
      <c r="N10" s="512">
        <f>IFERROR(IF($O$2="Todos",AVERAGEIFS(tblCarga[Nº ≥95% Vmáx],tblCarga[Microciclo (Nr)],9,tblCarga[Tipo],"Treino"),AVERAGEIFS(tblCarga[Nº ≥95% Vmáx],tblCarga[Microciclo (Nr)],9,tblCarga[Tipo],"Treino",tblCarga[Posição],$O$2)),"—")</f>
        <v/>
      </c>
      <c r="O10" s="513">
        <f t="array" ref="O10">IF($O$2="Todos",SUMPRODUCT((tblCarga[Microciclo (Nr)]=9)*(tblCarga[Tipo]="Treino")*tblCarga[PSE Sessão]*tblCarga[Duração (min)]),SUMPRODUCT((tblCarga[Microciclo (Nr)]=9)*(tblCarga[Tipo]="Treino")*(tblCarga[Posição]=$O$2)*tblCarga[PSE Sessão]*tblCarga[Duração (min)]))</f>
        <v/>
      </c>
      <c r="P10" s="512">
        <f>IFERROR(E10/D10,"—")</f>
        <v/>
      </c>
      <c r="Q10" s="514">
        <f>IFERROR(F10/E10,"—")</f>
        <v/>
      </c>
    </row>
    <row r="11" ht="24" customHeight="1">
      <c r="A11" s="515" t="inlineStr">
        <is>
          <t>MC 10</t>
        </is>
      </c>
      <c r="B11" s="516">
        <f>IF($O$2="Todos",COUNTIFS(tblCarga[Microciclo (Nr)],10,tblCarga[Tipo],"Treino"),COUNTIFS(tblCarga[Microciclo (Nr)],10,tblCarga[Tipo],"Treino",tblCarga[Posição],$O$2))</f>
        <v/>
      </c>
      <c r="C11" s="516">
        <f t="array" ref="C11">IF($O$2="Todos",IFERROR(ROWS(_xlfn.UNIQUE(_xlfn._xlws.FILTER(tblCarga[Jogador],(tblCarga[Microciclo (Nr)]=10)*(tblCarga[Tipo]="Treino")))),"—"),IFERROR(ROWS(_xlfn.UNIQUE(_xlfn._xlws.FILTER(tblCarga[Jogador],(tblCarga[Microciclo (Nr)]=10)*(tblCarga[Tipo]="Treino")*(tblCarga[Posição]=$O$2)))),"—"))</f>
        <v/>
      </c>
      <c r="D11" s="517">
        <f>IFERROR(IF($O$2="Todos",AVERAGEIFS(tblCarga[Duração (min)],tblCarga[Microciclo (Nr)],10,tblCarga[Tipo],"Treino"),AVERAGEIFS(tblCarga[Duração (min)],tblCarga[Microciclo (Nr)],10,tblCarga[Tipo],"Treino",tblCarga[Posição],$O$2)),"—")</f>
        <v/>
      </c>
      <c r="E11" s="518">
        <f>IFERROR(IF($O$2="Todos",AVERAGEIFS(tblCarga[Distância Total (m)],tblCarga[Microciclo (Nr)],10,tblCarga[Tipo],"Treino"),AVERAGEIFS(tblCarga[Distância Total (m)],tblCarga[Microciclo (Nr)],10,tblCarga[Tipo],"Treino",tblCarga[Posição],$O$2)),"—")</f>
        <v/>
      </c>
      <c r="F11" s="518">
        <f>IFERROR(IF($O$2="Todos",AVERAGEIFS(tblCarga[HSR (m)],tblCarga[Microciclo (Nr)],10,tblCarga[Tipo],"Treino"),AVERAGEIFS(tblCarga[HSR (m)],tblCarga[Microciclo (Nr)],10,tblCarga[Tipo],"Treino",tblCarga[Posição],$O$2)),"—")</f>
        <v/>
      </c>
      <c r="G11" s="518">
        <f>IFERROR(IF($O$2="Todos",AVERAGEIFS(tblCarga[Sprint (m)],tblCarga[Microciclo (Nr)],10,tblCarga[Tipo],"Treino"),AVERAGEIFS(tblCarga[Sprint (m)],tblCarga[Microciclo (Nr)],10,tblCarga[Tipo],"Treino",tblCarga[Posição],$O$2)),"—")</f>
        <v/>
      </c>
      <c r="H11" s="518">
        <f>IFERROR(IF($O$2="Todos",AVERAGEIFS(tblCarga[Acc (n)],tblCarga[Microciclo (Nr)],10,tblCarga[Tipo],"Treino"),AVERAGEIFS(tblCarga[Acc (n)],tblCarga[Microciclo (Nr)],10,tblCarga[Tipo],"Treino",tblCarga[Posição],$O$2)),"—")</f>
        <v/>
      </c>
      <c r="I11" s="517">
        <f>IFERROR(IF($O$2="Todos",AVERAGEIFS(tblCarga[Dcc (n)],tblCarga[Microciclo (Nr)],10,tblCarga[Tipo],"Treino"),AVERAGEIFS(tblCarga[Dcc (n)],tblCarga[Microciclo (Nr)],10,tblCarga[Tipo],"Treino",tblCarga[Posição],$O$2)),"—")</f>
        <v/>
      </c>
      <c r="J11" s="517">
        <f>IFERROR(IF($O$2="Todos",AVERAGEIFS(tblCarga[PSE Sessão],tblCarga[Microciclo (Nr)],10,tblCarga[Tipo],"Treino"),AVERAGEIFS(tblCarga[PSE Sessão],tblCarga[Microciclo (Nr)],10,tblCarga[Tipo],"Treino",tblCarga[Posição],$O$2)),"—")</f>
        <v/>
      </c>
      <c r="K11" s="517">
        <f>IFERROR(IF($O$2="Todos",AVERAGEIFS(tblCarga[Vel. Máx (km/h)],tblCarga[Microciclo (Nr)],10,tblCarga[Tipo],"Treino"),AVERAGEIFS(tblCarga[Vel. Máx (km/h)],tblCarga[Microciclo (Nr)],10,tblCarga[Tipo],"Treino",tblCarga[Posição],$O$2)),"—")</f>
        <v/>
      </c>
      <c r="L11" s="517">
        <f>IF($O$2="Todos",_xlfn.MAXIFS(tblCarga[Vel. Máx (km/h)],tblCarga[Microciclo (Nr)],10,tblCarga[Tipo],"Treino"),_xlfn.MAXIFS(tblCarga[Vel. Máx (km/h)],tblCarga[Microciclo (Nr)],10,tblCarga[Tipo],"Treino",tblCarga[Posição],$O$2))</f>
        <v/>
      </c>
      <c r="M11" s="517">
        <f>IFERROR(IF($O$2="Todos",AVERAGEIFS(tblCarga[Nº ≥90% Vmáx],tblCarga[Microciclo (Nr)],10,tblCarga[Tipo],"Treino"),AVERAGEIFS(tblCarga[Nº ≥90% Vmáx],tblCarga[Microciclo (Nr)],10,tblCarga[Tipo],"Treino",tblCarga[Posição],$O$2)),"—")</f>
        <v/>
      </c>
      <c r="N11" s="517">
        <f>IFERROR(IF($O$2="Todos",AVERAGEIFS(tblCarga[Nº ≥95% Vmáx],tblCarga[Microciclo (Nr)],10,tblCarga[Tipo],"Treino"),AVERAGEIFS(tblCarga[Nº ≥95% Vmáx],tblCarga[Microciclo (Nr)],10,tblCarga[Tipo],"Treino",tblCarga[Posição],$O$2)),"—")</f>
        <v/>
      </c>
      <c r="O11" s="518">
        <f t="array" ref="O11">IF($O$2="Todos",SUMPRODUCT((tblCarga[Microciclo (Nr)]=10)*(tblCarga[Tipo]="Treino")*tblCarga[PSE Sessão]*tblCarga[Duração (min)]),SUMPRODUCT((tblCarga[Microciclo (Nr)]=10)*(tblCarga[Tipo]="Treino")*(tblCarga[Posição]=$O$2)*tblCarga[PSE Sessão]*tblCarga[Duração (min)]))</f>
        <v/>
      </c>
      <c r="P11" s="517">
        <f>IFERROR(E11/D11,"—")</f>
        <v/>
      </c>
      <c r="Q11" s="519">
        <f>IFERROR(F11/E11,"—")</f>
        <v/>
      </c>
    </row>
    <row r="13" ht="26.1" customHeight="1">
      <c r="A13" s="120" t="inlineStr">
        <is>
          <t>MÉDIA GERAL</t>
        </is>
      </c>
      <c r="B13" s="525">
        <f>AVERAGE(B5:B11)</f>
        <v/>
      </c>
      <c r="C13" s="525">
        <f>AVERAGE(C5:C11)</f>
        <v/>
      </c>
      <c r="D13" s="526">
        <f>AVERAGE(D5:D11)</f>
        <v/>
      </c>
      <c r="E13" s="527">
        <f>AVERAGE(E5:E11)</f>
        <v/>
      </c>
      <c r="F13" s="527">
        <f>AVERAGE(F5:F11)</f>
        <v/>
      </c>
      <c r="G13" s="527">
        <f>AVERAGE(G5:G11)</f>
        <v/>
      </c>
      <c r="H13" s="527">
        <f>AVERAGE(H5:H11)</f>
        <v/>
      </c>
      <c r="I13" s="526">
        <f>AVERAGE(I5:I11)</f>
        <v/>
      </c>
      <c r="J13" s="526">
        <f>AVERAGE(J5:J11)</f>
        <v/>
      </c>
      <c r="K13" s="526">
        <f>AVERAGE(K5:K11)</f>
        <v/>
      </c>
      <c r="L13" s="526">
        <f>AVERAGE(L5:L11)</f>
        <v/>
      </c>
      <c r="M13" s="526">
        <f>AVERAGE(M5:M11)</f>
        <v/>
      </c>
      <c r="N13" s="526">
        <f>AVERAGE(N5:N11)</f>
        <v/>
      </c>
      <c r="O13" s="527">
        <f>AVERAGE(O5:O11)</f>
        <v/>
      </c>
      <c r="P13" s="526">
        <f>AVERAGE(P5:P11)</f>
        <v/>
      </c>
      <c r="Q13" s="528">
        <f>AVERAGE(Q5:Q11)</f>
        <v/>
      </c>
    </row>
    <row r="16" ht="27.95" customHeight="1">
      <c r="A16" s="596" t="inlineStr">
        <is>
          <t>B — VARIAÇÃO % MC A MC  (Δ relativamente ao MC anterior)</t>
        </is>
      </c>
      <c r="K16" s="601" t="n"/>
      <c r="L16" s="601" t="n"/>
      <c r="M16" s="601" t="n"/>
      <c r="N16" s="601" t="n"/>
      <c r="O16" s="601" t="n"/>
      <c r="P16" s="601" t="n"/>
      <c r="Q16" s="601" t="n"/>
    </row>
    <row r="17" ht="30" customHeight="1">
      <c r="A17" s="473" t="inlineStr">
        <is>
          <t>MC</t>
        </is>
      </c>
      <c r="B17" s="473" t="inlineStr">
        <is>
          <t>ΔDuração</t>
        </is>
      </c>
      <c r="C17" s="473" t="inlineStr">
        <is>
          <t>ΔDistância</t>
        </is>
      </c>
      <c r="D17" s="473" t="inlineStr">
        <is>
          <t>ΔHSR</t>
        </is>
      </c>
      <c r="E17" s="473" t="inlineStr">
        <is>
          <t>ΔSprint</t>
        </is>
      </c>
      <c r="F17" s="473" t="inlineStr">
        <is>
          <t>ΔAcc</t>
        </is>
      </c>
      <c r="G17" s="473" t="inlineStr">
        <is>
          <t>ΔDcc</t>
        </is>
      </c>
      <c r="H17" s="473" t="inlineStr">
        <is>
          <t>ΔPSE</t>
        </is>
      </c>
      <c r="I17" s="473" t="inlineStr">
        <is>
          <t>ΔVmáx</t>
        </is>
      </c>
      <c r="J17" s="473" t="inlineStr">
        <is>
          <t>ΔCarga</t>
        </is>
      </c>
      <c r="K17" s="473" t="n"/>
    </row>
    <row r="18" ht="24" customHeight="1">
      <c r="A18" s="529" t="inlineStr">
        <is>
          <t>MC4→5</t>
        </is>
      </c>
      <c r="B18" s="530">
        <f>IFERROR(D6/D5-1,"—")</f>
        <v/>
      </c>
      <c r="C18" s="530">
        <f>IFERROR(E6/E5-1,"—")</f>
        <v/>
      </c>
      <c r="D18" s="530">
        <f>IFERROR(F6/F5-1,"—")</f>
        <v/>
      </c>
      <c r="E18" s="530">
        <f>IFERROR(G6/G5-1,"—")</f>
        <v/>
      </c>
      <c r="F18" s="530">
        <f>IFERROR(H6/H5-1,"—")</f>
        <v/>
      </c>
      <c r="G18" s="530">
        <f>IFERROR(I6/I5-1,"—")</f>
        <v/>
      </c>
      <c r="H18" s="530">
        <f>IFERROR(J6/J5-1,"—")</f>
        <v/>
      </c>
      <c r="I18" s="530">
        <f>IFERROR(K6/K5-1,"—")</f>
        <v/>
      </c>
      <c r="J18" s="530">
        <f>IFERROR(O6/O5-1,"—")</f>
        <v/>
      </c>
      <c r="K18" s="194" t="n"/>
    </row>
    <row r="19" ht="24" customHeight="1">
      <c r="A19" s="290" t="inlineStr">
        <is>
          <t>MC5→6</t>
        </is>
      </c>
      <c r="B19" s="531">
        <f>IFERROR(D7/D6-1,"—")</f>
        <v/>
      </c>
      <c r="C19" s="531">
        <f>IFERROR(E7/E6-1,"—")</f>
        <v/>
      </c>
      <c r="D19" s="531">
        <f>IFERROR(F7/F6-1,"—")</f>
        <v/>
      </c>
      <c r="E19" s="531">
        <f>IFERROR(G7/G6-1,"—")</f>
        <v/>
      </c>
      <c r="F19" s="531">
        <f>IFERROR(H7/H6-1,"—")</f>
        <v/>
      </c>
      <c r="G19" s="531">
        <f>IFERROR(I7/I6-1,"—")</f>
        <v/>
      </c>
      <c r="H19" s="531">
        <f>IFERROR(J7/J6-1,"—")</f>
        <v/>
      </c>
      <c r="I19" s="531">
        <f>IFERROR(K7/K6-1,"—")</f>
        <v/>
      </c>
      <c r="J19" s="531">
        <f>IFERROR(O7/O6-1,"—")</f>
        <v/>
      </c>
      <c r="K19" s="81" t="n"/>
    </row>
    <row r="20" ht="24" customHeight="1">
      <c r="A20" s="529" t="inlineStr">
        <is>
          <t>MC6→7</t>
        </is>
      </c>
      <c r="B20" s="530">
        <f>IFERROR(D8/D7-1,"—")</f>
        <v/>
      </c>
      <c r="C20" s="530">
        <f>IFERROR(E8/E7-1,"—")</f>
        <v/>
      </c>
      <c r="D20" s="530">
        <f>IFERROR(F8/F7-1,"—")</f>
        <v/>
      </c>
      <c r="E20" s="530">
        <f>IFERROR(G8/G7-1,"—")</f>
        <v/>
      </c>
      <c r="F20" s="530">
        <f>IFERROR(H8/H7-1,"—")</f>
        <v/>
      </c>
      <c r="G20" s="530">
        <f>IFERROR(I8/I7-1,"—")</f>
        <v/>
      </c>
      <c r="H20" s="530">
        <f>IFERROR(J8/J7-1,"—")</f>
        <v/>
      </c>
      <c r="I20" s="530">
        <f>IFERROR(K8/K7-1,"—")</f>
        <v/>
      </c>
      <c r="J20" s="530">
        <f>IFERROR(O8/O7-1,"—")</f>
        <v/>
      </c>
      <c r="K20" s="194" t="n"/>
    </row>
    <row r="21" ht="24" customHeight="1">
      <c r="A21" s="290" t="inlineStr">
        <is>
          <t>MC7→8</t>
        </is>
      </c>
      <c r="B21" s="531">
        <f>IFERROR(D9/D8-1,"—")</f>
        <v/>
      </c>
      <c r="C21" s="531">
        <f>IFERROR(E9/E8-1,"—")</f>
        <v/>
      </c>
      <c r="D21" s="531">
        <f>IFERROR(F9/F8-1,"—")</f>
        <v/>
      </c>
      <c r="E21" s="531">
        <f>IFERROR(G9/G8-1,"—")</f>
        <v/>
      </c>
      <c r="F21" s="531">
        <f>IFERROR(H9/H8-1,"—")</f>
        <v/>
      </c>
      <c r="G21" s="531">
        <f>IFERROR(I9/I8-1,"—")</f>
        <v/>
      </c>
      <c r="H21" s="531">
        <f>IFERROR(J9/J8-1,"—")</f>
        <v/>
      </c>
      <c r="I21" s="531">
        <f>IFERROR(K9/K8-1,"—")</f>
        <v/>
      </c>
      <c r="J21" s="531">
        <f>IFERROR(O9/O8-1,"—")</f>
        <v/>
      </c>
      <c r="K21" s="81" t="n"/>
    </row>
    <row r="22" ht="24" customHeight="1">
      <c r="A22" s="529" t="inlineStr">
        <is>
          <t>MC8→9</t>
        </is>
      </c>
      <c r="B22" s="530">
        <f>IFERROR(D10/D9-1,"—")</f>
        <v/>
      </c>
      <c r="C22" s="530">
        <f>IFERROR(E10/E9-1,"—")</f>
        <v/>
      </c>
      <c r="D22" s="530">
        <f>IFERROR(F10/F9-1,"—")</f>
        <v/>
      </c>
      <c r="E22" s="530">
        <f>IFERROR(G10/G9-1,"—")</f>
        <v/>
      </c>
      <c r="F22" s="530">
        <f>IFERROR(H10/H9-1,"—")</f>
        <v/>
      </c>
      <c r="G22" s="530">
        <f>IFERROR(I10/I9-1,"—")</f>
        <v/>
      </c>
      <c r="H22" s="530">
        <f>IFERROR(J10/J9-1,"—")</f>
        <v/>
      </c>
      <c r="I22" s="530">
        <f>IFERROR(K10/K9-1,"—")</f>
        <v/>
      </c>
      <c r="J22" s="530">
        <f>IFERROR(O10/O9-1,"—")</f>
        <v/>
      </c>
      <c r="K22" s="194" t="n"/>
    </row>
    <row r="23" ht="24" customHeight="1">
      <c r="A23" s="290" t="inlineStr">
        <is>
          <t>MC9→10</t>
        </is>
      </c>
      <c r="B23" s="532">
        <f>IFERROR(D11/D10-1,"—")</f>
        <v/>
      </c>
      <c r="C23" s="532">
        <f>IFERROR(E11/E10-1,"—")</f>
        <v/>
      </c>
      <c r="D23" s="532">
        <f>IFERROR(F11/F10-1,"—")</f>
        <v/>
      </c>
      <c r="E23" s="532">
        <f>IFERROR(G11/G10-1,"—")</f>
        <v/>
      </c>
      <c r="F23" s="532">
        <f>IFERROR(H11/H10-1,"—")</f>
        <v/>
      </c>
      <c r="G23" s="532">
        <f>IFERROR(I11/I10-1,"—")</f>
        <v/>
      </c>
      <c r="H23" s="532">
        <f>IFERROR(J11/J10-1,"—")</f>
        <v/>
      </c>
      <c r="I23" s="532">
        <f>IFERROR(K11/K10-1,"—")</f>
        <v/>
      </c>
      <c r="J23" s="531">
        <f>IFERROR(O11/O10-1,"—")</f>
        <v/>
      </c>
      <c r="K23" s="8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</row>
    <row r="26" ht="27.95" customHeight="1">
      <c r="A26" s="596" t="inlineStr">
        <is>
          <t>C — JOGO vs TREINO POR MICROCICLO</t>
        </is>
      </c>
      <c r="L26" s="601" t="n"/>
      <c r="M26" s="601" t="n"/>
      <c r="N26" s="601" t="n"/>
      <c r="O26" s="601" t="n"/>
      <c r="P26" s="601" t="n"/>
      <c r="Q26" s="601" t="n"/>
    </row>
    <row r="27" ht="30" customHeight="1">
      <c r="A27" s="192" t="inlineStr">
        <is>
          <t>MC</t>
        </is>
      </c>
      <c r="B27" s="476" t="inlineStr">
        <is>
          <t>Dist Treino</t>
        </is>
      </c>
      <c r="C27" s="476" t="inlineStr">
        <is>
          <t>Dist Jogo</t>
        </is>
      </c>
      <c r="D27" s="476" t="inlineStr">
        <is>
          <t>ΔDist</t>
        </is>
      </c>
      <c r="E27" s="476" t="inlineStr">
        <is>
          <t>HSR Treino</t>
        </is>
      </c>
      <c r="F27" s="476" t="inlineStr">
        <is>
          <t>HSR Jogo</t>
        </is>
      </c>
      <c r="G27" s="476" t="inlineStr">
        <is>
          <t>ΔHSR</t>
        </is>
      </c>
      <c r="H27" s="476" t="inlineStr">
        <is>
          <t>Vmáx Treino</t>
        </is>
      </c>
      <c r="I27" s="476" t="inlineStr">
        <is>
          <t>Vmáx Jogo</t>
        </is>
      </c>
      <c r="J27" s="192" t="inlineStr">
        <is>
          <t>PSE Treino</t>
        </is>
      </c>
      <c r="K27" s="192" t="inlineStr">
        <is>
          <t>PSE Jogo</t>
        </is>
      </c>
    </row>
    <row r="28" ht="24" customHeight="1">
      <c r="A28" s="529" t="inlineStr">
        <is>
          <t>MC 4</t>
        </is>
      </c>
      <c r="B28" s="533">
        <f>IFERROR(AVERAGEIFS(tblCarga[Distância Total (m)],tblCarga[Microciclo (Nr)],4,tblCarga[Tipo],"Treino"),"—")</f>
        <v/>
      </c>
      <c r="C28" s="533">
        <f>IFERROR(AVERAGEIFS(tblCarga[Distância Total (m)],tblCarga[Microciclo (Nr)],4,tblCarga[Tipo],"Jogo"),"—")</f>
        <v/>
      </c>
      <c r="D28" s="533">
        <f>IFERROR(C28/B28-1,"—")</f>
        <v/>
      </c>
      <c r="E28" s="533">
        <f>IFERROR(AVERAGEIFS(tblCarga[HSR (m)],tblCarga[Microciclo (Nr)],4,tblCarga[Tipo],"Treino"),"—")</f>
        <v/>
      </c>
      <c r="F28" s="533">
        <f>IFERROR(AVERAGEIFS(tblCarga[HSR (m)],tblCarga[Microciclo (Nr)],4,tblCarga[Tipo],"Jogo"),"—")</f>
        <v/>
      </c>
      <c r="G28" s="533">
        <f>IFERROR(F28/E28-1,"—")</f>
        <v/>
      </c>
      <c r="H28" s="533">
        <f>IFERROR(AVERAGEIFS(tblCarga[Vel. Máx (km/h)],tblCarga[Microciclo (Nr)],4,tblCarga[Tipo],"Treino"),"—")</f>
        <v/>
      </c>
      <c r="I28" s="533">
        <f>IFERROR(AVERAGEIFS(tblCarga[Vel. Máx (km/h)],tblCarga[Microciclo (Nr)],4,tblCarga[Tipo],"Jogo"),"—")</f>
        <v/>
      </c>
      <c r="J28" s="534">
        <f>IFERROR(AVERAGEIFS(tblCarga[PSE Sessão],tblCarga[Microciclo (Nr)],4,tblCarga[Tipo],"Treino"),"—")</f>
        <v/>
      </c>
      <c r="K28" s="534">
        <f>IFERROR(AVERAGEIFS(tblCarga[PSE Sessão],tblCarga[Microciclo (Nr)],4,tblCarga[Tipo],"Jogo"),"—")</f>
        <v/>
      </c>
    </row>
    <row r="29" ht="24" customHeight="1">
      <c r="A29" s="290" t="inlineStr">
        <is>
          <t>MC 5</t>
        </is>
      </c>
      <c r="B29" s="535">
        <f>IFERROR(AVERAGEIFS(tblCarga[Distância Total (m)],tblCarga[Microciclo (Nr)],5,tblCarga[Tipo],"Treino"),"—")</f>
        <v/>
      </c>
      <c r="C29" s="535">
        <f>IFERROR(AVERAGEIFS(tblCarga[Distância Total (m)],tblCarga[Microciclo (Nr)],5,tblCarga[Tipo],"Jogo"),"—")</f>
        <v/>
      </c>
      <c r="D29" s="531">
        <f>IFERROR(C29/B29-1,"—")</f>
        <v/>
      </c>
      <c r="E29" s="535">
        <f>IFERROR(AVERAGEIFS(tblCarga[HSR (m)],tblCarga[Microciclo (Nr)],5,tblCarga[Tipo],"Treino"),"—")</f>
        <v/>
      </c>
      <c r="F29" s="535">
        <f>IFERROR(AVERAGEIFS(tblCarga[HSR (m)],tblCarga[Microciclo (Nr)],5,tblCarga[Tipo],"Jogo"),"—")</f>
        <v/>
      </c>
      <c r="G29" s="531">
        <f>IFERROR(F29/E29-1,"—")</f>
        <v/>
      </c>
      <c r="H29" s="536">
        <f>IFERROR(AVERAGEIFS(tblCarga[Vel. Máx (km/h)],tblCarga[Microciclo (Nr)],5,tblCarga[Tipo],"Treino"),"—")</f>
        <v/>
      </c>
      <c r="I29" s="536">
        <f>IFERROR(AVERAGEIFS(tblCarga[Vel. Máx (km/h)],tblCarga[Microciclo (Nr)],5,tblCarga[Tipo],"Jogo"),"—")</f>
        <v/>
      </c>
      <c r="J29" s="536">
        <f>IFERROR(AVERAGEIFS(tblCarga[PSE Sessão],tblCarga[Microciclo (Nr)],5,tblCarga[Tipo],"Treino"),"—")</f>
        <v/>
      </c>
      <c r="K29" s="536">
        <f>IFERROR(AVERAGEIFS(tblCarga[PSE Sessão],tblCarga[Microciclo (Nr)],5,tblCarga[Tipo],"Jogo"),"—")</f>
        <v/>
      </c>
    </row>
    <row r="30" ht="24" customHeight="1">
      <c r="A30" s="529" t="inlineStr">
        <is>
          <t>MC 6</t>
        </is>
      </c>
      <c r="B30" s="537">
        <f>IFERROR(AVERAGEIFS(tblCarga[Distância Total (m)],tblCarga[Microciclo (Nr)],6,tblCarga[Tipo],"Treino"),"—")</f>
        <v/>
      </c>
      <c r="C30" s="537">
        <f>IFERROR(AVERAGEIFS(tblCarga[Distância Total (m)],tblCarga[Microciclo (Nr)],6,tblCarga[Tipo],"Jogo"),"—")</f>
        <v/>
      </c>
      <c r="D30" s="533">
        <f>IFERROR(C30/B30-1,"—")</f>
        <v/>
      </c>
      <c r="E30" s="537">
        <f>IFERROR(AVERAGEIFS(tblCarga[HSR (m)],tblCarga[Microciclo (Nr)],6,tblCarga[Tipo],"Treino"),"—")</f>
        <v/>
      </c>
      <c r="F30" s="537">
        <f>IFERROR(AVERAGEIFS(tblCarga[HSR (m)],tblCarga[Microciclo (Nr)],6,tblCarga[Tipo],"Jogo"),"—")</f>
        <v/>
      </c>
      <c r="G30" s="533">
        <f>IFERROR(F30/E30-1,"—")</f>
        <v/>
      </c>
      <c r="H30" s="534">
        <f>IFERROR(AVERAGEIFS(tblCarga[Vel. Máx (km/h)],tblCarga[Microciclo (Nr)],6,tblCarga[Tipo],"Treino"),"—")</f>
        <v/>
      </c>
      <c r="I30" s="534">
        <f>IFERROR(AVERAGEIFS(tblCarga[Vel. Máx (km/h)],tblCarga[Microciclo (Nr)],6,tblCarga[Tipo],"Jogo"),"—")</f>
        <v/>
      </c>
      <c r="J30" s="534">
        <f>IFERROR(AVERAGEIFS(tblCarga[PSE Sessão],tblCarga[Microciclo (Nr)],6,tblCarga[Tipo],"Treino"),"—")</f>
        <v/>
      </c>
      <c r="K30" s="534">
        <f>IFERROR(AVERAGEIFS(tblCarga[PSE Sessão],tblCarga[Microciclo (Nr)],6,tblCarga[Tipo],"Jogo"),"—")</f>
        <v/>
      </c>
    </row>
    <row r="31" ht="24" customHeight="1">
      <c r="A31" s="290" t="inlineStr">
        <is>
          <t>MC 7</t>
        </is>
      </c>
      <c r="B31" s="535">
        <f>IFERROR(AVERAGEIFS(tblCarga[Distância Total (m)],tblCarga[Microciclo (Nr)],7,tblCarga[Tipo],"Treino"),"—")</f>
        <v/>
      </c>
      <c r="C31" s="535">
        <f>IFERROR(AVERAGEIFS(tblCarga[Distância Total (m)],tblCarga[Microciclo (Nr)],7,tblCarga[Tipo],"Jogo"),"—")</f>
        <v/>
      </c>
      <c r="D31" s="532">
        <f>IFERROR(C31/B31-1,"—")</f>
        <v/>
      </c>
      <c r="E31" s="535">
        <f>IFERROR(AVERAGEIFS(tblCarga[HSR (m)],tblCarga[Microciclo (Nr)],7,tblCarga[Tipo],"Treino"),"—")</f>
        <v/>
      </c>
      <c r="F31" s="535">
        <f>IFERROR(AVERAGEIFS(tblCarga[HSR (m)],tblCarga[Microciclo (Nr)],7,tblCarga[Tipo],"Jogo"),"—")</f>
        <v/>
      </c>
      <c r="G31" s="532">
        <f>IFERROR(F31/E31-1,"—")</f>
        <v/>
      </c>
      <c r="H31" s="536">
        <f>IFERROR(AVERAGEIFS(tblCarga[Vel. Máx (km/h)],tblCarga[Microciclo (Nr)],7,tblCarga[Tipo],"Treino"),"—")</f>
        <v/>
      </c>
      <c r="I31" s="536">
        <f>IFERROR(AVERAGEIFS(tblCarga[Vel. Máx (km/h)],tblCarga[Microciclo (Nr)],7,tblCarga[Tipo],"Jogo"),"—")</f>
        <v/>
      </c>
      <c r="J31" s="536">
        <f>IFERROR(AVERAGEIFS(tblCarga[PSE Sessão],tblCarga[Microciclo (Nr)],7,tblCarga[Tipo],"Treino"),"—")</f>
        <v/>
      </c>
      <c r="K31" s="536">
        <f>IFERROR(AVERAGEIFS(tblCarga[PSE Sessão],tblCarga[Microciclo (Nr)],7,tblCarga[Tipo],"Jogo"),"—")</f>
        <v/>
      </c>
    </row>
    <row r="32" ht="24" customHeight="1">
      <c r="A32" s="529" t="inlineStr">
        <is>
          <t>MC 8</t>
        </is>
      </c>
      <c r="B32" s="537">
        <f>IFERROR(AVERAGEIFS(tblCarga[Distância Total (m)],tblCarga[Microciclo (Nr)],8,tblCarga[Tipo],"Treino"),"—")</f>
        <v/>
      </c>
      <c r="C32" s="537">
        <f>IFERROR(AVERAGEIFS(tblCarga[Distância Total (m)],tblCarga[Microciclo (Nr)],8,tblCarga[Tipo],"Jogo"),"—")</f>
        <v/>
      </c>
      <c r="D32" s="533">
        <f>IFERROR(C32/B32-1,"—")</f>
        <v/>
      </c>
      <c r="E32" s="537">
        <f>IFERROR(AVERAGEIFS(tblCarga[HSR (m)],tblCarga[Microciclo (Nr)],8,tblCarga[Tipo],"Treino"),"—")</f>
        <v/>
      </c>
      <c r="F32" s="537">
        <f>IFERROR(AVERAGEIFS(tblCarga[HSR (m)],tblCarga[Microciclo (Nr)],8,tblCarga[Tipo],"Jogo"),"—")</f>
        <v/>
      </c>
      <c r="G32" s="533">
        <f>IFERROR(F32/E32-1,"—")</f>
        <v/>
      </c>
      <c r="H32" s="534">
        <f>IFERROR(AVERAGEIFS(tblCarga[Vel. Máx (km/h)],tblCarga[Microciclo (Nr)],8,tblCarga[Tipo],"Treino"),"—")</f>
        <v/>
      </c>
      <c r="I32" s="534">
        <f>IFERROR(AVERAGEIFS(tblCarga[Vel. Máx (km/h)],tblCarga[Microciclo (Nr)],8,tblCarga[Tipo],"Jogo"),"—")</f>
        <v/>
      </c>
      <c r="J32" s="534">
        <f>IFERROR(AVERAGEIFS(tblCarga[PSE Sessão],tblCarga[Microciclo (Nr)],8,tblCarga[Tipo],"Treino"),"—")</f>
        <v/>
      </c>
      <c r="K32" s="534">
        <f>IFERROR(AVERAGEIFS(tblCarga[PSE Sessão],tblCarga[Microciclo (Nr)],8,tblCarga[Tipo],"Jogo"),"—")</f>
        <v/>
      </c>
    </row>
    <row r="33" ht="24" customHeight="1">
      <c r="A33" s="290" t="inlineStr">
        <is>
          <t>MC 9</t>
        </is>
      </c>
      <c r="B33" s="535">
        <f>IFERROR(AVERAGEIFS(tblCarga[Distância Total (m)],tblCarga[Microciclo (Nr)],9,tblCarga[Tipo],"Treino"),"—")</f>
        <v/>
      </c>
      <c r="C33" s="535">
        <f>IFERROR(AVERAGEIFS(tblCarga[Distância Total (m)],tblCarga[Microciclo (Nr)],9,tblCarga[Tipo],"Jogo"),"—")</f>
        <v/>
      </c>
      <c r="D33" s="532">
        <f>IFERROR(C33/B33-1,"—")</f>
        <v/>
      </c>
      <c r="E33" s="535">
        <f>IFERROR(AVERAGEIFS(tblCarga[HSR (m)],tblCarga[Microciclo (Nr)],9,tblCarga[Tipo],"Treino"),"—")</f>
        <v/>
      </c>
      <c r="F33" s="535">
        <f>IFERROR(AVERAGEIFS(tblCarga[HSR (m)],tblCarga[Microciclo (Nr)],9,tblCarga[Tipo],"Jogo"),"—")</f>
        <v/>
      </c>
      <c r="G33" s="532">
        <f>IFERROR(F33/E33-1,"—")</f>
        <v/>
      </c>
      <c r="H33" s="536">
        <f>IFERROR(AVERAGEIFS(tblCarga[Vel. Máx (km/h)],tblCarga[Microciclo (Nr)],9,tblCarga[Tipo],"Treino"),"—")</f>
        <v/>
      </c>
      <c r="I33" s="536">
        <f>IFERROR(AVERAGEIFS(tblCarga[Vel. Máx (km/h)],tblCarga[Microciclo (Nr)],9,tblCarga[Tipo],"Jogo"),"—")</f>
        <v/>
      </c>
      <c r="J33" s="536">
        <f>IFERROR(AVERAGEIFS(tblCarga[PSE Sessão],tblCarga[Microciclo (Nr)],9,tblCarga[Tipo],"Treino"),"—")</f>
        <v/>
      </c>
      <c r="K33" s="536">
        <f>IFERROR(AVERAGEIFS(tblCarga[PSE Sessão],tblCarga[Microciclo (Nr)],9,tblCarga[Tipo],"Jogo"),"—")</f>
        <v/>
      </c>
    </row>
    <row r="34" ht="24" customHeight="1">
      <c r="A34" s="529" t="inlineStr">
        <is>
          <t>MC 10</t>
        </is>
      </c>
      <c r="B34" s="537">
        <f>IFERROR(AVERAGEIFS(tblCarga[Distância Total (m)],tblCarga[Microciclo (Nr)],10,tblCarga[Tipo],"Treino"),"—")</f>
        <v/>
      </c>
      <c r="C34" s="537">
        <f>IFERROR(AVERAGEIFS(tblCarga[Distância Total (m)],tblCarga[Microciclo (Nr)],10,tblCarga[Tipo],"Jogo"),"—")</f>
        <v/>
      </c>
      <c r="D34" s="533">
        <f>IFERROR(C34/B34-1,"—")</f>
        <v/>
      </c>
      <c r="E34" s="537">
        <f>IFERROR(AVERAGEIFS(tblCarga[HSR (m)],tblCarga[Microciclo (Nr)],10,tblCarga[Tipo],"Treino"),"—")</f>
        <v/>
      </c>
      <c r="F34" s="537">
        <f>IFERROR(AVERAGEIFS(tblCarga[HSR (m)],tblCarga[Microciclo (Nr)],10,tblCarga[Tipo],"Jogo"),"—")</f>
        <v/>
      </c>
      <c r="G34" s="533">
        <f>IFERROR(F34/E34-1,"—")</f>
        <v/>
      </c>
      <c r="H34" s="534">
        <f>IFERROR(AVERAGEIFS(tblCarga[Vel. Máx (km/h)],tblCarga[Microciclo (Nr)],10,tblCarga[Tipo],"Treino"),"—")</f>
        <v/>
      </c>
      <c r="I34" s="534">
        <f>IFERROR(AVERAGEIFS(tblCarga[Vel. Máx (km/h)],tblCarga[Microciclo (Nr)],10,tblCarga[Tipo],"Jogo"),"—")</f>
        <v/>
      </c>
      <c r="J34" s="534">
        <f>IFERROR(AVERAGEIFS(tblCarga[PSE Sessão],tblCarga[Microciclo (Nr)],10,tblCarga[Tipo],"Treino"),"—")</f>
        <v/>
      </c>
      <c r="K34" s="534">
        <f>IFERROR(AVERAGEIFS(tblCarga[PSE Sessão],tblCarga[Microciclo (Nr)],10,tblCarga[Tipo],"Jogo"),"—")</f>
        <v/>
      </c>
    </row>
  </sheetData>
  <mergeCells count="4">
    <mergeCell ref="A3:Q3"/>
    <mergeCell ref="A16:J16"/>
    <mergeCell ref="A1:Q1"/>
    <mergeCell ref="A26:K26"/>
  </mergeCells>
  <conditionalFormatting sqref="B18:J23">
    <cfRule type="cellIs" priority="1" operator="greaterThan" dxfId="15">
      <formula>0</formula>
    </cfRule>
    <cfRule type="cellIs" priority="2" operator="lessThan" dxfId="14">
      <formula>0</formula>
    </cfRule>
  </conditionalFormatting>
  <dataValidations count="1">
    <dataValidation sqref="M1 O2" showDropDown="0" showInputMessage="1" showErrorMessage="1" allowBlank="1" type="list">
      <formula1>"Todos,Lateral,Central,Médio,Extremo,Avançado,Guarda-Redes"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FF52C41A"/>
    <outlinePr summaryBelow="1" summaryRight="1"/>
    <pageSetUpPr/>
  </sheetPr>
  <dimension ref="A1:O44"/>
  <sheetViews>
    <sheetView zoomScale="66" workbookViewId="0">
      <pane xSplit="1" ySplit="6" topLeftCell="B36" activePane="bottomRight" state="frozen"/>
      <selection pane="topRight" activeCell="B1" sqref="B1"/>
      <selection pane="bottomLeft" activeCell="A7" sqref="A7"/>
      <selection pane="bottomRight" activeCell="H3" sqref="H3"/>
    </sheetView>
  </sheetViews>
  <sheetFormatPr baseColWidth="8" defaultRowHeight="15" outlineLevelRow="1"/>
  <cols>
    <col width="12.140625" bestFit="1" customWidth="1" min="1" max="1"/>
    <col width="17.85546875" bestFit="1" customWidth="1" min="2" max="2"/>
    <col width="15.85546875" bestFit="1" customWidth="1" min="3" max="3"/>
    <col width="16.5703125" bestFit="1" customWidth="1" min="4" max="4"/>
    <col width="18.7109375" bestFit="1" customWidth="1" min="5" max="5"/>
    <col width="11.85546875" bestFit="1" customWidth="1" min="6" max="7"/>
    <col width="12.140625" bestFit="1" customWidth="1" min="8" max="8"/>
    <col width="21.7109375" bestFit="1" customWidth="1" min="9" max="9"/>
    <col width="13.42578125" bestFit="1" customWidth="1" min="10" max="10"/>
    <col width="14" bestFit="1" customWidth="1" min="11" max="12"/>
    <col width="15.42578125" bestFit="1" customWidth="1" min="13" max="13"/>
    <col width="11.28515625" bestFit="1" customWidth="1" min="14" max="14"/>
  </cols>
  <sheetData>
    <row r="1" ht="45" customHeight="1">
      <c r="A1" s="598" t="inlineStr">
        <is>
          <t>👥  COMPARAÇÃO POR POSIÇÃO  |  Métricas por Jogador dentro da mesma Posição — Belenenses</t>
        </is>
      </c>
    </row>
    <row r="2" ht="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27.95" customHeight="1">
      <c r="A3" s="133" t="inlineStr">
        <is>
          <t>Posição:</t>
        </is>
      </c>
      <c r="B3" s="66" t="inlineStr">
        <is>
          <t>Lateral</t>
        </is>
      </c>
      <c r="C3" s="134" t="n"/>
      <c r="D3" s="553" t="inlineStr">
        <is>
          <t>Microciclo:</t>
        </is>
      </c>
      <c r="E3" s="625" t="inlineStr">
        <is>
          <t>Todos</t>
        </is>
      </c>
      <c r="F3" s="134" t="n"/>
      <c r="G3" s="553" t="inlineStr">
        <is>
          <t>Dia MD:</t>
        </is>
      </c>
      <c r="H3" s="625" t="inlineStr">
        <is>
          <t>Todos</t>
        </is>
      </c>
      <c r="I3" s="134" t="n"/>
      <c r="J3" s="134" t="n"/>
      <c r="K3" s="134" t="n"/>
      <c r="L3" s="134" t="n"/>
      <c r="M3" s="134" t="n"/>
      <c r="N3" s="134" t="n"/>
    </row>
    <row r="4" ht="6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27.95" customHeight="1">
      <c r="A5" s="596" t="inlineStr">
        <is>
          <t>A — MÉTRICAS MÉDIAS POR JOGADOR  (apenas treinos)</t>
        </is>
      </c>
    </row>
    <row r="6" ht="36" customHeight="1" thickBot="1">
      <c r="A6" s="191" t="inlineStr">
        <is>
          <t>Jogador</t>
        </is>
      </c>
      <c r="B6" s="191" t="inlineStr">
        <is>
          <t>Méd Dur (min)</t>
        </is>
      </c>
      <c r="C6" s="191" t="inlineStr">
        <is>
          <t>Méd Dist (m)</t>
        </is>
      </c>
      <c r="D6" s="191" t="inlineStr">
        <is>
          <t>Méd HSR (m)</t>
        </is>
      </c>
      <c r="E6" s="191" t="inlineStr">
        <is>
          <t>Méd Sprint (m)</t>
        </is>
      </c>
      <c r="F6" s="191" t="inlineStr">
        <is>
          <t>Méd Acc</t>
        </is>
      </c>
      <c r="G6" s="191" t="inlineStr">
        <is>
          <t>Méd Dcc</t>
        </is>
      </c>
      <c r="H6" s="191" t="inlineStr">
        <is>
          <t>Méd PSE</t>
        </is>
      </c>
      <c r="I6" s="191" t="inlineStr">
        <is>
          <t>Méd Vmáx (km/h)</t>
        </is>
      </c>
      <c r="J6" s="191" t="inlineStr">
        <is>
          <t>Vmáx Máx</t>
        </is>
      </c>
      <c r="K6" s="191" t="inlineStr">
        <is>
          <t>Méd ≥90%</t>
        </is>
      </c>
      <c r="L6" s="191" t="inlineStr">
        <is>
          <t>Méd ≥95%</t>
        </is>
      </c>
      <c r="M6" s="191" t="inlineStr">
        <is>
          <t>Carga Total</t>
        </is>
      </c>
      <c r="N6" s="191" t="inlineStr">
        <is>
          <t>Dist/min</t>
        </is>
      </c>
    </row>
    <row r="7" ht="26.1" customHeight="1">
      <c r="A7" s="554">
        <f t="array" ref="A7">IFERROR(INDEX(_xlfn._xlws.SORT(_xlfn.UNIQUE(_xlfn._xlws.FILTER(tblCarga[Jogador],(tblCarga[Posição]=$B$3)*(tblCarga[Tipo]="Treino")*(IF($E$3="Todos",TRUE,tblCarga[Microciclo (Nr)]=VALUE($E$3)))*(IF($H$3="Todos",TRUE,tblCarga[Dia MD]=$H$3))))),1),"")</f>
        <v/>
      </c>
      <c r="B7" s="555">
        <f>IF(A7="","",AVERAGEIFS(tblCarga[Duração (min)],tblCarga[Jogador],A7,tblCarga[Tipo],"Treino",IF($E$3="Todos",tblCarga[Tipo],tblCarga[Microciclo (Nr)]),IF($E$3="Todos","Treino",VALUE($E$3)),IF($H$3="Todos",tblCarga[Tipo],tblCarga[Dia MD]),IF($H$3="Todos","Treino",$H$3)))</f>
        <v/>
      </c>
      <c r="C7" s="556">
        <f>IF(A7="","",AVERAGEIFS(tblCarga[Distância Total (m)],tblCarga[Jogador],A7,tblCarga[Tipo],"Treino",IF($E$3="Todos",tblCarga[Tipo],tblCarga[Microciclo (Nr)]),IF($E$3="Todos","Treino",VALUE($E$3)),IF($H$3="Todos",tblCarga[Tipo],tblCarga[Dia MD]),IF($H$3="Todos","Treino",$H$3)))</f>
        <v/>
      </c>
      <c r="D7" s="556">
        <f>IF(A7="","",AVERAGEIFS(tblCarga[HSR (m)],tblCarga[Jogador],A7,tblCarga[Tipo],"Treino",IF($E$3="Todos",tblCarga[Tipo],tblCarga[Microciclo (Nr)]),IF($E$3="Todos","Treino",VALUE($E$3)),IF($H$3="Todos",tblCarga[Tipo],tblCarga[Dia MD]),IF($H$3="Todos","Treino",$H$3)))</f>
        <v/>
      </c>
      <c r="E7" s="556">
        <f>IF(A7="","",AVERAGEIFS(tblCarga[Sprint (m)],tblCarga[Jogador],A7,tblCarga[Tipo],"Treino",IF($E$3="Todos",tblCarga[Tipo],tblCarga[Microciclo (Nr)]),IF($E$3="Todos","Treino",VALUE($E$3)),IF($H$3="Todos",tblCarga[Tipo],tblCarga[Dia MD]),IF($H$3="Todos","Treino",$H$3)))</f>
        <v/>
      </c>
      <c r="F7" s="555">
        <f>IF(A7="","",AVERAGEIFS(tblCarga[Acc (n)],tblCarga[Jogador],A7,tblCarga[Tipo],"Treino",IF($E$3="Todos",tblCarga[Tipo],tblCarga[Microciclo (Nr)]),IF($E$3="Todos","Treino",VALUE($E$3)),IF($H$3="Todos",tblCarga[Tipo],tblCarga[Dia MD]),IF($H$3="Todos","Treino",$H$3)))</f>
        <v/>
      </c>
      <c r="G7" s="555">
        <f>IF(A7="","",AVERAGEIFS(tblCarga[Dcc (n)],tblCarga[Jogador],A7,tblCarga[Tipo],"Treino",IF($E$3="Todos",tblCarga[Tipo],tblCarga[Microciclo (Nr)]),IF($E$3="Todos","Treino",VALUE($E$3)),IF($H$3="Todos",tblCarga[Tipo],tblCarga[Dia MD]),IF($H$3="Todos","Treino",$H$3)))</f>
        <v/>
      </c>
      <c r="H7" s="555">
        <f>IF(A7="","",AVERAGEIFS(tblCarga[PSE Sessão],tblCarga[Jogador],A7,tblCarga[Tipo],"Treino",IF($E$3="Todos",tblCarga[Tipo],tblCarga[Microciclo (Nr)]),IF($E$3="Todos","Treino",VALUE($E$3)),IF($H$3="Todos",tblCarga[Tipo],tblCarga[Dia MD]),IF($H$3="Todos","Treino",$H$3)))</f>
        <v/>
      </c>
      <c r="I7" s="555">
        <f>IF(A7="","",AVERAGEIFS(tblCarga[Vel. Máx (km/h)],tblCarga[Jogador],A7,tblCarga[Tipo],"Treino",IF($E$3="Todos",tblCarga[Tipo],tblCarga[Microciclo (Nr)]),IF($E$3="Todos","Treino",VALUE($E$3)),IF($H$3="Todos",tblCarga[Tipo],tblCarga[Dia MD]),IF($H$3="Todos","Treino",$H$3)))</f>
        <v/>
      </c>
      <c r="J7" s="555">
        <f>IF(A7="","",_xlfn.MAXIFS(tblCarga[Vel. Máx (km/h)],tblCarga[Jogador],A7,IF($E$3="Todos",tblCarga[Tipo],tblCarga[Microciclo (Nr)]),IF($E$3="Todos","Treino",VALUE($E$3)),IF($H$3="Todos",tblCarga[Tipo],tblCarga[Dia MD]),IF($H$3="Todos","Treino",$H$3)))</f>
        <v/>
      </c>
      <c r="K7" s="555">
        <f>IF(A7="","",AVERAGEIFS(tblCarga[Nº ≥90% Vmáx],tblCarga[Jogador],A7,tblCarga[Tipo],"Treino",IF($E$3="Todos",tblCarga[Tipo],tblCarga[Microciclo (Nr)]),IF($E$3="Todos","Treino",VALUE($E$3)),IF($H$3="Todos",tblCarga[Tipo],tblCarga[Dia MD]),IF($H$3="Todos","Treino",$H$3)))</f>
        <v/>
      </c>
      <c r="L7" s="555">
        <f>IF(A7="","",AVERAGEIFS(tblCarga[Nº ≥95% Vmáx],tblCarga[Jogador],A7,tblCarga[Tipo],"Treino",IF($E$3="Todos",tblCarga[Tipo],tblCarga[Microciclo (Nr)]),IF($E$3="Todos","Treino",VALUE($E$3)),IF($H$3="Todos",tblCarga[Tipo],tblCarga[Dia MD]),IF($H$3="Todos","Treino",$H$3)))</f>
        <v/>
      </c>
      <c r="M7" s="556">
        <f t="array" ref="M7">IF(A7="","",SUMPRODUCT((tblCarga[Jogador]=A7)*(tblCarga[Tipo]="Treino")*(IF($E$3="Todos",1,tblCarga[Microciclo (Nr)]=VALUE($E$3)))*(IF($H$3="Todos",1,tblCarga[Dia MD]=$H$3))*tblCarga[PSE Sessão]*tblCarga[Duração (min)]))</f>
        <v/>
      </c>
      <c r="N7" s="555">
        <f>IF(A7="","",IFERROR(C7/B7,"—"))</f>
        <v/>
      </c>
    </row>
    <row r="8" ht="26.1" customHeight="1">
      <c r="A8" s="557">
        <f t="array" ref="A8">IFERROR(INDEX(_xlfn._xlws.SORT(_xlfn.UNIQUE(_xlfn._xlws.FILTER(tblCarga[Jogador],(tblCarga[Posição]=$B$3)*(tblCarga[Tipo]="Treino")*(IF($E$3="Todos",TRUE,tblCarga[Microciclo (Nr)]=VALUE($E$3)))*(IF($H$3="Todos",TRUE,tblCarga[Dia MD]=$H$3))))),2),"")</f>
        <v/>
      </c>
      <c r="B8" s="558">
        <f>IF(A8="","",AVERAGEIFS(tblCarga[Duração (min)],tblCarga[Jogador],A8,tblCarga[Tipo],"Treino",IF($E$3="Todos",tblCarga[Tipo],tblCarga[Microciclo (Nr)]),IF($E$3="Todos","Treino",VALUE($E$3)),IF($H$3="Todos",tblCarga[Tipo],tblCarga[Dia MD]),IF($H$3="Todos","Treino",$H$3)))</f>
        <v/>
      </c>
      <c r="C8" s="559">
        <f>IF(A8="","",AVERAGEIFS(tblCarga[Distância Total (m)],tblCarga[Jogador],A8,tblCarga[Tipo],"Treino",IF($E$3="Todos",tblCarga[Tipo],tblCarga[Microciclo (Nr)]),IF($E$3="Todos","Treino",VALUE($E$3)),IF($H$3="Todos",tblCarga[Tipo],tblCarga[Dia MD]),IF($H$3="Todos","Treino",$H$3)))</f>
        <v/>
      </c>
      <c r="D8" s="559">
        <f>IF(A8="","",AVERAGEIFS(tblCarga[HSR (m)],tblCarga[Jogador],A8,tblCarga[Tipo],"Treino",IF($E$3="Todos",tblCarga[Tipo],tblCarga[Microciclo (Nr)]),IF($E$3="Todos","Treino",VALUE($E$3)),IF($H$3="Todos",tblCarga[Tipo],tblCarga[Dia MD]),IF($H$3="Todos","Treino",$H$3)))</f>
        <v/>
      </c>
      <c r="E8" s="559">
        <f>IF(A8="","",AVERAGEIFS(tblCarga[Sprint (m)],tblCarga[Jogador],A8,tblCarga[Tipo],"Treino",IF($E$3="Todos",tblCarga[Tipo],tblCarga[Microciclo (Nr)]),IF($E$3="Todos","Treino",VALUE($E$3)),IF($H$3="Todos",tblCarga[Tipo],tblCarga[Dia MD]),IF($H$3="Todos","Treino",$H$3)))</f>
        <v/>
      </c>
      <c r="F8" s="558">
        <f>IF(A8="","",AVERAGEIFS(tblCarga[Acc (n)],tblCarga[Jogador],A8,tblCarga[Tipo],"Treino",IF($E$3="Todos",tblCarga[Tipo],tblCarga[Microciclo (Nr)]),IF($E$3="Todos","Treino",VALUE($E$3)),IF($H$3="Todos",tblCarga[Tipo],tblCarga[Dia MD]),IF($H$3="Todos","Treino",$H$3)))</f>
        <v/>
      </c>
      <c r="G8" s="558">
        <f>IF(A8="","",AVERAGEIFS(tblCarga[Dcc (n)],tblCarga[Jogador],A8,tblCarga[Tipo],"Treino",IF($E$3="Todos",tblCarga[Tipo],tblCarga[Microciclo (Nr)]),IF($E$3="Todos","Treino",VALUE($E$3)),IF($H$3="Todos",tblCarga[Tipo],tblCarga[Dia MD]),IF($H$3="Todos","Treino",$H$3)))</f>
        <v/>
      </c>
      <c r="H8" s="558">
        <f>IF(A8="","",AVERAGEIFS(tblCarga[PSE Sessão],tblCarga[Jogador],A8,tblCarga[Tipo],"Treino",IF($E$3="Todos",tblCarga[Tipo],tblCarga[Microciclo (Nr)]),IF($E$3="Todos","Treino",VALUE($E$3)),IF($H$3="Todos",tblCarga[Tipo],tblCarga[Dia MD]),IF($H$3="Todos","Treino",$H$3)))</f>
        <v/>
      </c>
      <c r="I8" s="558">
        <f>IF(A8="","",AVERAGEIFS(tblCarga[Vel. Máx (km/h)],tblCarga[Jogador],A8,tblCarga[Tipo],"Treino",IF($E$3="Todos",tblCarga[Tipo],tblCarga[Microciclo (Nr)]),IF($E$3="Todos","Treino",VALUE($E$3)),IF($H$3="Todos",tblCarga[Tipo],tblCarga[Dia MD]),IF($H$3="Todos","Treino",$H$3)))</f>
        <v/>
      </c>
      <c r="J8" s="558">
        <f>IF(A8="","",_xlfn.MAXIFS(tblCarga[Vel. Máx (km/h)],tblCarga[Jogador],A8,IF($E$3="Todos",tblCarga[Tipo],tblCarga[Microciclo (Nr)]),IF($E$3="Todos","Treino",VALUE($E$3)),IF($H$3="Todos",tblCarga[Tipo],tblCarga[Dia MD]),IF($H$3="Todos","Treino",$H$3)))</f>
        <v/>
      </c>
      <c r="K8" s="558">
        <f>IF(A8="","",AVERAGEIFS(tblCarga[Nº ≥90% Vmáx],tblCarga[Jogador],A8,tblCarga[Tipo],"Treino",IF($E$3="Todos",tblCarga[Tipo],tblCarga[Microciclo (Nr)]),IF($E$3="Todos","Treino",VALUE($E$3)),IF($H$3="Todos",tblCarga[Tipo],tblCarga[Dia MD]),IF($H$3="Todos","Treino",$H$3)))</f>
        <v/>
      </c>
      <c r="L8" s="558">
        <f>IF(A8="","",AVERAGEIFS(tblCarga[Nº ≥95% Vmáx],tblCarga[Jogador],A8,tblCarga[Tipo],"Treino",IF($E$3="Todos",tblCarga[Tipo],tblCarga[Microciclo (Nr)]),IF($E$3="Todos","Treino",VALUE($E$3)),IF($H$3="Todos",tblCarga[Tipo],tblCarga[Dia MD]),IF($H$3="Todos","Treino",$H$3)))</f>
        <v/>
      </c>
      <c r="M8" s="559">
        <f t="array" ref="M8">IF(A8="","",SUMPRODUCT((tblCarga[Jogador]=A8)*(tblCarga[Tipo]="Treino")*(IF($E$3="Todos",1,tblCarga[Microciclo (Nr)]=VALUE($E$3)))*(IF($H$3="Todos",1,tblCarga[Dia MD]=$H$3))*tblCarga[PSE Sessão]*tblCarga[Duração (min)]))</f>
        <v/>
      </c>
      <c r="N8" s="558">
        <f>IF(A8="","",IFERROR(C8/B8,"—"))</f>
        <v/>
      </c>
    </row>
    <row r="9" ht="26.1" customHeight="1">
      <c r="A9" s="470">
        <f t="array" ref="A9">IFERROR(INDEX(_xlfn._xlws.SORT(_xlfn.UNIQUE(_xlfn._xlws.FILTER(tblCarga[Jogador],(tblCarga[Posição]=$B$3)*(tblCarga[Tipo]="Treino")*(IF($E$3="Todos",TRUE,tblCarga[Microciclo (Nr)]=VALUE($E$3)))*(IF($H$3="Todos",TRUE,tblCarga[Dia MD]=$H$3))))),3),"")</f>
        <v/>
      </c>
      <c r="B9" s="471">
        <f>IF(A9="","",AVERAGEIFS(tblCarga[Duração (min)],tblCarga[Jogador],A9,tblCarga[Tipo],"Treino",IF($E$3="Todos",tblCarga[Tipo],tblCarga[Microciclo (Nr)]),IF($E$3="Todos","Treino",VALUE($E$3)),IF($H$3="Todos",tblCarga[Tipo],tblCarga[Dia MD]),IF($H$3="Todos","Treino",$H$3)))</f>
        <v/>
      </c>
      <c r="C9" s="341">
        <f>IF(A9="","",AVERAGEIFS(tblCarga[Distância Total (m)],tblCarga[Jogador],A9,tblCarga[Tipo],"Treino",IF($E$3="Todos",tblCarga[Tipo],tblCarga[Microciclo (Nr)]),IF($E$3="Todos","Treino",VALUE($E$3)),IF($H$3="Todos",tblCarga[Tipo],tblCarga[Dia MD]),IF($H$3="Todos","Treino",$H$3)))</f>
        <v/>
      </c>
      <c r="D9" s="341">
        <f>IF(A9="","",AVERAGEIFS(tblCarga[HSR (m)],tblCarga[Jogador],A9,tblCarga[Tipo],"Treino",IF($E$3="Todos",tblCarga[Tipo],tblCarga[Microciclo (Nr)]),IF($E$3="Todos","Treino",VALUE($E$3)),IF($H$3="Todos",tblCarga[Tipo],tblCarga[Dia MD]),IF($H$3="Todos","Treino",$H$3)))</f>
        <v/>
      </c>
      <c r="E9" s="341">
        <f>IF(A9="","",AVERAGEIFS(tblCarga[Sprint (m)],tblCarga[Jogador],A9,tblCarga[Tipo],"Treino",IF($E$3="Todos",tblCarga[Tipo],tblCarga[Microciclo (Nr)]),IF($E$3="Todos","Treino",VALUE($E$3)),IF($H$3="Todos",tblCarga[Tipo],tblCarga[Dia MD]),IF($H$3="Todos","Treino",$H$3)))</f>
        <v/>
      </c>
      <c r="F9" s="471">
        <f>IF(A9="","",AVERAGEIFS(tblCarga[Acc (n)],tblCarga[Jogador],A9,tblCarga[Tipo],"Treino",IF($E$3="Todos",tblCarga[Tipo],tblCarga[Microciclo (Nr)]),IF($E$3="Todos","Treino",VALUE($E$3)),IF($H$3="Todos",tblCarga[Tipo],tblCarga[Dia MD]),IF($H$3="Todos","Treino",$H$3)))</f>
        <v/>
      </c>
      <c r="G9" s="471">
        <f>IF(A9="","",AVERAGEIFS(tblCarga[Dcc (n)],tblCarga[Jogador],A9,tblCarga[Tipo],"Treino",IF($E$3="Todos",tblCarga[Tipo],tblCarga[Microciclo (Nr)]),IF($E$3="Todos","Treino",VALUE($E$3)),IF($H$3="Todos",tblCarga[Tipo],tblCarga[Dia MD]),IF($H$3="Todos","Treino",$H$3)))</f>
        <v/>
      </c>
      <c r="H9" s="471">
        <f>IF(A9="","",AVERAGEIFS(tblCarga[PSE Sessão],tblCarga[Jogador],A9,tblCarga[Tipo],"Treino",IF($E$3="Todos",tblCarga[Tipo],tblCarga[Microciclo (Nr)]),IF($E$3="Todos","Treino",VALUE($E$3)),IF($H$3="Todos",tblCarga[Tipo],tblCarga[Dia MD]),IF($H$3="Todos","Treino",$H$3)))</f>
        <v/>
      </c>
      <c r="I9" s="471">
        <f>IF(A9="","",AVERAGEIFS(tblCarga[Vel. Máx (km/h)],tblCarga[Jogador],A9,tblCarga[Tipo],"Treino",IF($E$3="Todos",tblCarga[Tipo],tblCarga[Microciclo (Nr)]),IF($E$3="Todos","Treino",VALUE($E$3)),IF($H$3="Todos",tblCarga[Tipo],tblCarga[Dia MD]),IF($H$3="Todos","Treino",$H$3)))</f>
        <v/>
      </c>
      <c r="J9" s="471">
        <f>IF(A9="","",_xlfn.MAXIFS(tblCarga[Vel. Máx (km/h)],tblCarga[Jogador],A9,IF($E$3="Todos",tblCarga[Tipo],tblCarga[Microciclo (Nr)]),IF($E$3="Todos","Treino",VALUE($E$3)),IF($H$3="Todos",tblCarga[Tipo],tblCarga[Dia MD]),IF($H$3="Todos","Treino",$H$3)))</f>
        <v/>
      </c>
      <c r="K9" s="471">
        <f>IF(A9="","",AVERAGEIFS(tblCarga[Nº ≥90% Vmáx],tblCarga[Jogador],A9,tblCarga[Tipo],"Treino",IF($E$3="Todos",tblCarga[Tipo],tblCarga[Microciclo (Nr)]),IF($E$3="Todos","Treino",VALUE($E$3)),IF($H$3="Todos",tblCarga[Tipo],tblCarga[Dia MD]),IF($H$3="Todos","Treino",$H$3)))</f>
        <v/>
      </c>
      <c r="L9" s="471">
        <f>IF(A9="","",AVERAGEIFS(tblCarga[Nº ≥95% Vmáx],tblCarga[Jogador],A9,tblCarga[Tipo],"Treino",IF($E$3="Todos",tblCarga[Tipo],tblCarga[Microciclo (Nr)]),IF($E$3="Todos","Treino",VALUE($E$3)),IF($H$3="Todos",tblCarga[Tipo],tblCarga[Dia MD]),IF($H$3="Todos","Treino",$H$3)))</f>
        <v/>
      </c>
      <c r="M9" s="341">
        <f t="array" ref="M9">IF(A9="","",SUMPRODUCT((tblCarga[Jogador]=A9)*(tblCarga[Tipo]="Treino")*(IF($E$3="Todos",1,tblCarga[Microciclo (Nr)]=VALUE($E$3)))*(IF($H$3="Todos",1,tblCarga[Dia MD]=$H$3))*tblCarga[PSE Sessão]*tblCarga[Duração (min)]))</f>
        <v/>
      </c>
      <c r="N9" s="471">
        <f>IF(A9="","",IFERROR(C9/B9,"—"))</f>
        <v/>
      </c>
    </row>
    <row r="10" ht="26.1" customHeight="1">
      <c r="A10" s="466">
        <f t="array" ref="A10">IFERROR(INDEX(_xlfn._xlws.SORT(_xlfn.UNIQUE(_xlfn._xlws.FILTER(tblCarga[Jogador],(tblCarga[Posição]=$B$3)*(tblCarga[Tipo]="Treino")*(IF($E$3="Todos",TRUE,tblCarga[Microciclo (Nr)]=VALUE($E$3)))*(IF($H$3="Todos",TRUE,tblCarga[Dia MD]=$H$3))))),4),"")</f>
        <v/>
      </c>
      <c r="B10" s="467">
        <f>IF(A10="","",AVERAGEIFS(tblCarga[Duração (min)],tblCarga[Jogador],A10,tblCarga[Tipo],"Treino",IF($E$3="Todos",tblCarga[Tipo],tblCarga[Microciclo (Nr)]),IF($E$3="Todos","Treino",VALUE($E$3)),IF($H$3="Todos",tblCarga[Tipo],tblCarga[Dia MD]),IF($H$3="Todos","Treino",$H$3)))</f>
        <v/>
      </c>
      <c r="C10" s="333">
        <f>IF(A10="","",AVERAGEIFS(tblCarga[Distância Total (m)],tblCarga[Jogador],A10,tblCarga[Tipo],"Treino",IF($E$3="Todos",tblCarga[Tipo],tblCarga[Microciclo (Nr)]),IF($E$3="Todos","Treino",VALUE($E$3)),IF($H$3="Todos",tblCarga[Tipo],tblCarga[Dia MD]),IF($H$3="Todos","Treino",$H$3)))</f>
        <v/>
      </c>
      <c r="D10" s="333">
        <f>IF(A10="","",AVERAGEIFS(tblCarga[HSR (m)],tblCarga[Jogador],A10,tblCarga[Tipo],"Treino",IF($E$3="Todos",tblCarga[Tipo],tblCarga[Microciclo (Nr)]),IF($E$3="Todos","Treino",VALUE($E$3)),IF($H$3="Todos",tblCarga[Tipo],tblCarga[Dia MD]),IF($H$3="Todos","Treino",$H$3)))</f>
        <v/>
      </c>
      <c r="E10" s="333">
        <f>IF(A10="","",AVERAGEIFS(tblCarga[Sprint (m)],tblCarga[Jogador],A10,tblCarga[Tipo],"Treino",IF($E$3="Todos",tblCarga[Tipo],tblCarga[Microciclo (Nr)]),IF($E$3="Todos","Treino",VALUE($E$3)),IF($H$3="Todos",tblCarga[Tipo],tblCarga[Dia MD]),IF($H$3="Todos","Treino",$H$3)))</f>
        <v/>
      </c>
      <c r="F10" s="467">
        <f>IF(A10="","",AVERAGEIFS(tblCarga[Acc (n)],tblCarga[Jogador],A10,tblCarga[Tipo],"Treino",IF($E$3="Todos",tblCarga[Tipo],tblCarga[Microciclo (Nr)]),IF($E$3="Todos","Treino",VALUE($E$3)),IF($H$3="Todos",tblCarga[Tipo],tblCarga[Dia MD]),IF($H$3="Todos","Treino",$H$3)))</f>
        <v/>
      </c>
      <c r="G10" s="467">
        <f>IF(A10="","",AVERAGEIFS(tblCarga[Dcc (n)],tblCarga[Jogador],A10,tblCarga[Tipo],"Treino",IF($E$3="Todos",tblCarga[Tipo],tblCarga[Microciclo (Nr)]),IF($E$3="Todos","Treino",VALUE($E$3)),IF($H$3="Todos",tblCarga[Tipo],tblCarga[Dia MD]),IF($H$3="Todos","Treino",$H$3)))</f>
        <v/>
      </c>
      <c r="H10" s="467">
        <f>IF(A10="","",AVERAGEIFS(tblCarga[PSE Sessão],tblCarga[Jogador],A10,tblCarga[Tipo],"Treino",IF($E$3="Todos",tblCarga[Tipo],tblCarga[Microciclo (Nr)]),IF($E$3="Todos","Treino",VALUE($E$3)),IF($H$3="Todos",tblCarga[Tipo],tblCarga[Dia MD]),IF($H$3="Todos","Treino",$H$3)))</f>
        <v/>
      </c>
      <c r="I10" s="467">
        <f>IF(A10="","",AVERAGEIFS(tblCarga[Vel. Máx (km/h)],tblCarga[Jogador],A10,tblCarga[Tipo],"Treino",IF($E$3="Todos",tblCarga[Tipo],tblCarga[Microciclo (Nr)]),IF($E$3="Todos","Treino",VALUE($E$3)),IF($H$3="Todos",tblCarga[Tipo],tblCarga[Dia MD]),IF($H$3="Todos","Treino",$H$3)))</f>
        <v/>
      </c>
      <c r="J10" s="467">
        <f>IF(A10="","",_xlfn.MAXIFS(tblCarga[Vel. Máx (km/h)],tblCarga[Jogador],A10,IF($E$3="Todos",tblCarga[Tipo],tblCarga[Microciclo (Nr)]),IF($E$3="Todos","Treino",VALUE($E$3)),IF($H$3="Todos",tblCarga[Tipo],tblCarga[Dia MD]),IF($H$3="Todos","Treino",$H$3)))</f>
        <v/>
      </c>
      <c r="K10" s="467">
        <f>IF(A10="","",AVERAGEIFS(tblCarga[Nº ≥90% Vmáx],tblCarga[Jogador],A10,tblCarga[Tipo],"Treino",IF($E$3="Todos",tblCarga[Tipo],tblCarga[Microciclo (Nr)]),IF($E$3="Todos","Treino",VALUE($E$3)),IF($H$3="Todos",tblCarga[Tipo],tblCarga[Dia MD]),IF($H$3="Todos","Treino",$H$3)))</f>
        <v/>
      </c>
      <c r="L10" s="467">
        <f>IF(A10="","",AVERAGEIFS(tblCarga[Nº ≥95% Vmáx],tblCarga[Jogador],A10,tblCarga[Tipo],"Treino",IF($E$3="Todos",tblCarga[Tipo],tblCarga[Microciclo (Nr)]),IF($E$3="Todos","Treino",VALUE($E$3)),IF($H$3="Todos",tblCarga[Tipo],tblCarga[Dia MD]),IF($H$3="Todos","Treino",$H$3)))</f>
        <v/>
      </c>
      <c r="M10" s="333">
        <f t="array" ref="M10">IF(A10="","",SUMPRODUCT((tblCarga[Jogador]=A10)*(tblCarga[Tipo]="Treino")*(IF($E$3="Todos",1,tblCarga[Microciclo (Nr)]=VALUE($E$3)))*(IF($H$3="Todos",1,tblCarga[Dia MD]=$H$3))*tblCarga[PSE Sessão]*tblCarga[Duração (min)]))</f>
        <v/>
      </c>
      <c r="N10" s="467">
        <f>IF(A10="","",IFERROR(C10/B10,"—"))</f>
        <v/>
      </c>
    </row>
    <row r="11" outlineLevel="1" ht="26.1" customHeight="1">
      <c r="A11" s="470">
        <f t="array" ref="A11">IFERROR(INDEX(_xlfn._xlws.SORT(_xlfn.UNIQUE(_xlfn._xlws.FILTER(tblCarga[Jogador],(tblCarga[Posição]=$B$3)*(tblCarga[Tipo]="Treino")*(IF($E$3="Todos",TRUE,tblCarga[Microciclo (Nr)]=VALUE($E$3)))*(IF($H$3="Todos",TRUE,tblCarga[Dia MD]=$H$3))))),5),"")</f>
        <v/>
      </c>
      <c r="B11" s="471">
        <f>IF(A11="","",AVERAGEIFS(tblCarga[Duração (min)],tblCarga[Jogador],A11,tblCarga[Tipo],"Treino",IF($E$3="Todos",tblCarga[Tipo],tblCarga[Microciclo (Nr)]),IF($E$3="Todos","Treino",VALUE($E$3)),IF($H$3="Todos",tblCarga[Tipo],tblCarga[Dia MD]),IF($H$3="Todos","Treino",$H$3)))</f>
        <v/>
      </c>
      <c r="C11" s="341">
        <f>IF(A11="","",AVERAGEIFS(tblCarga[Distância Total (m)],tblCarga[Jogador],A11,tblCarga[Tipo],"Treino",IF($E$3="Todos",tblCarga[Tipo],tblCarga[Microciclo (Nr)]),IF($E$3="Todos","Treino",VALUE($E$3)),IF($H$3="Todos",tblCarga[Tipo],tblCarga[Dia MD]),IF($H$3="Todos","Treino",$H$3)))</f>
        <v/>
      </c>
      <c r="D11" s="341">
        <f>IF(A11="","",AVERAGEIFS(tblCarga[HSR (m)],tblCarga[Jogador],A11,tblCarga[Tipo],"Treino",IF($E$3="Todos",tblCarga[Tipo],tblCarga[Microciclo (Nr)]),IF($E$3="Todos","Treino",VALUE($E$3)),IF($H$3="Todos",tblCarga[Tipo],tblCarga[Dia MD]),IF($H$3="Todos","Treino",$H$3)))</f>
        <v/>
      </c>
      <c r="E11" s="341">
        <f>IF(A11="","",AVERAGEIFS(tblCarga[Sprint (m)],tblCarga[Jogador],A11,tblCarga[Tipo],"Treino",IF($E$3="Todos",tblCarga[Tipo],tblCarga[Microciclo (Nr)]),IF($E$3="Todos","Treino",VALUE($E$3)),IF($H$3="Todos",tblCarga[Tipo],tblCarga[Dia MD]),IF($H$3="Todos","Treino",$H$3)))</f>
        <v/>
      </c>
      <c r="F11" s="471">
        <f>IF(A11="","",AVERAGEIFS(tblCarga[Acc (n)],tblCarga[Jogador],A11,tblCarga[Tipo],"Treino",IF($E$3="Todos",tblCarga[Tipo],tblCarga[Microciclo (Nr)]),IF($E$3="Todos","Treino",VALUE($E$3)),IF($H$3="Todos",tblCarga[Tipo],tblCarga[Dia MD]),IF($H$3="Todos","Treino",$H$3)))</f>
        <v/>
      </c>
      <c r="G11" s="471">
        <f>IF(A11="","",AVERAGEIFS(tblCarga[Dcc (n)],tblCarga[Jogador],A11,tblCarga[Tipo],"Treino",IF($E$3="Todos",tblCarga[Tipo],tblCarga[Microciclo (Nr)]),IF($E$3="Todos","Treino",VALUE($E$3)),IF($H$3="Todos",tblCarga[Tipo],tblCarga[Dia MD]),IF($H$3="Todos","Treino",$H$3)))</f>
        <v/>
      </c>
      <c r="H11" s="471">
        <f>IF(A11="","",AVERAGEIFS(tblCarga[PSE Sessão],tblCarga[Jogador],A11,tblCarga[Tipo],"Treino",IF($E$3="Todos",tblCarga[Tipo],tblCarga[Microciclo (Nr)]),IF($E$3="Todos","Treino",VALUE($E$3)),IF($H$3="Todos",tblCarga[Tipo],tblCarga[Dia MD]),IF($H$3="Todos","Treino",$H$3)))</f>
        <v/>
      </c>
      <c r="I11" s="471">
        <f>IF(A11="","",AVERAGEIFS(tblCarga[Vel. Máx (km/h)],tblCarga[Jogador],A11,tblCarga[Tipo],"Treino",IF($E$3="Todos",tblCarga[Tipo],tblCarga[Microciclo (Nr)]),IF($E$3="Todos","Treino",VALUE($E$3)),IF($H$3="Todos",tblCarga[Tipo],tblCarga[Dia MD]),IF($H$3="Todos","Treino",$H$3)))</f>
        <v/>
      </c>
      <c r="J11" s="471">
        <f>IF(A11="","",_xlfn.MAXIFS(tblCarga[Vel. Máx (km/h)],tblCarga[Jogador],A11,IF($E$3="Todos",tblCarga[Tipo],tblCarga[Microciclo (Nr)]),IF($E$3="Todos","Treino",VALUE($E$3)),IF($H$3="Todos",tblCarga[Tipo],tblCarga[Dia MD]),IF($H$3="Todos","Treino",$H$3)))</f>
        <v/>
      </c>
      <c r="K11" s="471">
        <f>IF(A11="","",AVERAGEIFS(tblCarga[Nº ≥90% Vmáx],tblCarga[Jogador],A11,tblCarga[Tipo],"Treino",IF($E$3="Todos",tblCarga[Tipo],tblCarga[Microciclo (Nr)]),IF($E$3="Todos","Treino",VALUE($E$3)),IF($H$3="Todos",tblCarga[Tipo],tblCarga[Dia MD]),IF($H$3="Todos","Treino",$H$3)))</f>
        <v/>
      </c>
      <c r="L11" s="471">
        <f>IF(A11="","",AVERAGEIFS(tblCarga[Nº ≥95% Vmáx],tblCarga[Jogador],A11,tblCarga[Tipo],"Treino",IF($E$3="Todos",tblCarga[Tipo],tblCarga[Microciclo (Nr)]),IF($E$3="Todos","Treino",VALUE($E$3)),IF($H$3="Todos",tblCarga[Tipo],tblCarga[Dia MD]),IF($H$3="Todos","Treino",$H$3)))</f>
        <v/>
      </c>
      <c r="M11" s="341">
        <f t="array" ref="M11">IF(A11="","",SUMPRODUCT((tblCarga[Jogador]=A11)*(tblCarga[Tipo]="Treino")*(IF($E$3="Todos",1,tblCarga[Microciclo (Nr)]=VALUE($E$3)))*(IF($H$3="Todos",1,tblCarga[Dia MD]=$H$3))*tblCarga[PSE Sessão]*tblCarga[Duração (min)]))</f>
        <v/>
      </c>
      <c r="N11" s="471">
        <f>IF(A11="","",IFERROR(C11/B11,"—"))</f>
        <v/>
      </c>
    </row>
    <row r="12" outlineLevel="1" ht="26.1" customHeight="1">
      <c r="A12" s="466">
        <f t="array" ref="A12">IFERROR(INDEX(_xlfn._xlws.SORT(_xlfn.UNIQUE(_xlfn._xlws.FILTER(tblCarga[Jogador],(tblCarga[Posição]=$B$3)*(tblCarga[Tipo]="Treino")*(IF($E$3="Todos",TRUE,tblCarga[Microciclo (Nr)]=VALUE($E$3)))*(IF($H$3="Todos",TRUE,tblCarga[Dia MD]=$H$3))))),6),"")</f>
        <v/>
      </c>
      <c r="B12" s="467">
        <f>IF(A12="","",AVERAGEIFS(tblCarga[Duração (min)],tblCarga[Jogador],A12,tblCarga[Tipo],"Treino",IF($E$3="Todos",tblCarga[Tipo],tblCarga[Microciclo (Nr)]),IF($E$3="Todos","Treino",VALUE($E$3)),IF($H$3="Todos",tblCarga[Tipo],tblCarga[Dia MD]),IF($H$3="Todos","Treino",$H$3)))</f>
        <v/>
      </c>
      <c r="C12" s="333">
        <f>IF(A12="","",AVERAGEIFS(tblCarga[Distância Total (m)],tblCarga[Jogador],A12,tblCarga[Tipo],"Treino",IF($E$3="Todos",tblCarga[Tipo],tblCarga[Microciclo (Nr)]),IF($E$3="Todos","Treino",VALUE($E$3)),IF($H$3="Todos",tblCarga[Tipo],tblCarga[Dia MD]),IF($H$3="Todos","Treino",$H$3)))</f>
        <v/>
      </c>
      <c r="D12" s="333">
        <f>IF(A12="","",AVERAGEIFS(tblCarga[HSR (m)],tblCarga[Jogador],A12,tblCarga[Tipo],"Treino",IF($E$3="Todos",tblCarga[Tipo],tblCarga[Microciclo (Nr)]),IF($E$3="Todos","Treino",VALUE($E$3)),IF($H$3="Todos",tblCarga[Tipo],tblCarga[Dia MD]),IF($H$3="Todos","Treino",$H$3)))</f>
        <v/>
      </c>
      <c r="E12" s="333">
        <f>IF(A12="","",AVERAGEIFS(tblCarga[Sprint (m)],tblCarga[Jogador],A12,tblCarga[Tipo],"Treino",IF($E$3="Todos",tblCarga[Tipo],tblCarga[Microciclo (Nr)]),IF($E$3="Todos","Treino",VALUE($E$3)),IF($H$3="Todos",tblCarga[Tipo],tblCarga[Dia MD]),IF($H$3="Todos","Treino",$H$3)))</f>
        <v/>
      </c>
      <c r="F12" s="467">
        <f>IF(A12="","",AVERAGEIFS(tblCarga[Acc (n)],tblCarga[Jogador],A12,tblCarga[Tipo],"Treino",IF($E$3="Todos",tblCarga[Tipo],tblCarga[Microciclo (Nr)]),IF($E$3="Todos","Treino",VALUE($E$3)),IF($H$3="Todos",tblCarga[Tipo],tblCarga[Dia MD]),IF($H$3="Todos","Treino",$H$3)))</f>
        <v/>
      </c>
      <c r="G12" s="467">
        <f>IF(A12="","",AVERAGEIFS(tblCarga[Dcc (n)],tblCarga[Jogador],A12,tblCarga[Tipo],"Treino",IF($E$3="Todos",tblCarga[Tipo],tblCarga[Microciclo (Nr)]),IF($E$3="Todos","Treino",VALUE($E$3)),IF($H$3="Todos",tblCarga[Tipo],tblCarga[Dia MD]),IF($H$3="Todos","Treino",$H$3)))</f>
        <v/>
      </c>
      <c r="H12" s="467">
        <f>IF(A12="","",AVERAGEIFS(tblCarga[PSE Sessão],tblCarga[Jogador],A12,tblCarga[Tipo],"Treino",IF($E$3="Todos",tblCarga[Tipo],tblCarga[Microciclo (Nr)]),IF($E$3="Todos","Treino",VALUE($E$3)),IF($H$3="Todos",tblCarga[Tipo],tblCarga[Dia MD]),IF($H$3="Todos","Treino",$H$3)))</f>
        <v/>
      </c>
      <c r="I12" s="467">
        <f>IF(A12="","",AVERAGEIFS(tblCarga[Vel. Máx (km/h)],tblCarga[Jogador],A12,tblCarga[Tipo],"Treino",IF($E$3="Todos",tblCarga[Tipo],tblCarga[Microciclo (Nr)]),IF($E$3="Todos","Treino",VALUE($E$3)),IF($H$3="Todos",tblCarga[Tipo],tblCarga[Dia MD]),IF($H$3="Todos","Treino",$H$3)))</f>
        <v/>
      </c>
      <c r="J12" s="467">
        <f>IF(A12="","",_xlfn.MAXIFS(tblCarga[Vel. Máx (km/h)],tblCarga[Jogador],A12,IF($E$3="Todos",tblCarga[Tipo],tblCarga[Microciclo (Nr)]),IF($E$3="Todos","Treino",VALUE($E$3)),IF($H$3="Todos",tblCarga[Tipo],tblCarga[Dia MD]),IF($H$3="Todos","Treino",$H$3)))</f>
        <v/>
      </c>
      <c r="K12" s="467">
        <f>IF(A12="","",AVERAGEIFS(tblCarga[Nº ≥90% Vmáx],tblCarga[Jogador],A12,tblCarga[Tipo],"Treino",IF($E$3="Todos",tblCarga[Tipo],tblCarga[Microciclo (Nr)]),IF($E$3="Todos","Treino",VALUE($E$3)),IF($H$3="Todos",tblCarga[Tipo],tblCarga[Dia MD]),IF($H$3="Todos","Treino",$H$3)))</f>
        <v/>
      </c>
      <c r="L12" s="467">
        <f>IF(A12="","",AVERAGEIFS(tblCarga[Nº ≥95% Vmáx],tblCarga[Jogador],A12,tblCarga[Tipo],"Treino",IF($E$3="Todos",tblCarga[Tipo],tblCarga[Microciclo (Nr)]),IF($E$3="Todos","Treino",VALUE($E$3)),IF($H$3="Todos",tblCarga[Tipo],tblCarga[Dia MD]),IF($H$3="Todos","Treino",$H$3)))</f>
        <v/>
      </c>
      <c r="M12" s="333">
        <f t="array" ref="M12">IF(A12="","",SUMPRODUCT((tblCarga[Jogador]=A12)*(tblCarga[Tipo]="Treino")*(IF($E$3="Todos",1,tblCarga[Microciclo (Nr)]=VALUE($E$3)))*(IF($H$3="Todos",1,tblCarga[Dia MD]=$H$3))*tblCarga[PSE Sessão]*tblCarga[Duração (min)]))</f>
        <v/>
      </c>
      <c r="N12" s="467">
        <f>IF(A12="","",IFERROR(C12/B12,"—"))</f>
        <v/>
      </c>
    </row>
    <row r="13" outlineLevel="1" ht="26.1" customHeight="1">
      <c r="A13" s="470">
        <f t="array" ref="A13">IFERROR(INDEX(_xlfn._xlws.SORT(_xlfn.UNIQUE(_xlfn._xlws.FILTER(tblCarga[Jogador],(tblCarga[Posição]=$B$3)*(tblCarga[Tipo]="Treino")*(IF($E$3="Todos",TRUE,tblCarga[Microciclo (Nr)]=VALUE($E$3)))*(IF($H$3="Todos",TRUE,tblCarga[Dia MD]=$H$3))))),7),"")</f>
        <v/>
      </c>
      <c r="B13" s="471">
        <f>IF(A13="","",AVERAGEIFS(tblCarga[Duração (min)],tblCarga[Jogador],A13,tblCarga[Tipo],"Treino",IF($E$3="Todos",tblCarga[Tipo],tblCarga[Microciclo (Nr)]),IF($E$3="Todos","Treino",VALUE($E$3)),IF($H$3="Todos",tblCarga[Tipo],tblCarga[Dia MD]),IF($H$3="Todos","Treino",$H$3)))</f>
        <v/>
      </c>
      <c r="C13" s="341">
        <f>IF(A13="","",AVERAGEIFS(tblCarga[Distância Total (m)],tblCarga[Jogador],A13,tblCarga[Tipo],"Treino",IF($E$3="Todos",tblCarga[Tipo],tblCarga[Microciclo (Nr)]),IF($E$3="Todos","Treino",VALUE($E$3)),IF($H$3="Todos",tblCarga[Tipo],tblCarga[Dia MD]),IF($H$3="Todos","Treino",$H$3)))</f>
        <v/>
      </c>
      <c r="D13" s="341">
        <f>IF(A13="","",AVERAGEIFS(tblCarga[HSR (m)],tblCarga[Jogador],A13,tblCarga[Tipo],"Treino",IF($E$3="Todos",tblCarga[Tipo],tblCarga[Microciclo (Nr)]),IF($E$3="Todos","Treino",VALUE($E$3)),IF($H$3="Todos",tblCarga[Tipo],tblCarga[Dia MD]),IF($H$3="Todos","Treino",$H$3)))</f>
        <v/>
      </c>
      <c r="E13" s="341">
        <f>IF(A13="","",AVERAGEIFS(tblCarga[Sprint (m)],tblCarga[Jogador],A13,tblCarga[Tipo],"Treino",IF($E$3="Todos",tblCarga[Tipo],tblCarga[Microciclo (Nr)]),IF($E$3="Todos","Treino",VALUE($E$3)),IF($H$3="Todos",tblCarga[Tipo],tblCarga[Dia MD]),IF($H$3="Todos","Treino",$H$3)))</f>
        <v/>
      </c>
      <c r="F13" s="471">
        <f>IF(A13="","",AVERAGEIFS(tblCarga[Acc (n)],tblCarga[Jogador],A13,tblCarga[Tipo],"Treino",IF($E$3="Todos",tblCarga[Tipo],tblCarga[Microciclo (Nr)]),IF($E$3="Todos","Treino",VALUE($E$3)),IF($H$3="Todos",tblCarga[Tipo],tblCarga[Dia MD]),IF($H$3="Todos","Treino",$H$3)))</f>
        <v/>
      </c>
      <c r="G13" s="471">
        <f>IF(A13="","",AVERAGEIFS(tblCarga[Dcc (n)],tblCarga[Jogador],A13,tblCarga[Tipo],"Treino",IF($E$3="Todos",tblCarga[Tipo],tblCarga[Microciclo (Nr)]),IF($E$3="Todos","Treino",VALUE($E$3)),IF($H$3="Todos",tblCarga[Tipo],tblCarga[Dia MD]),IF($H$3="Todos","Treino",$H$3)))</f>
        <v/>
      </c>
      <c r="H13" s="471">
        <f>IF(A13="","",AVERAGEIFS(tblCarga[PSE Sessão],tblCarga[Jogador],A13,tblCarga[Tipo],"Treino",IF($E$3="Todos",tblCarga[Tipo],tblCarga[Microciclo (Nr)]),IF($E$3="Todos","Treino",VALUE($E$3)),IF($H$3="Todos",tblCarga[Tipo],tblCarga[Dia MD]),IF($H$3="Todos","Treino",$H$3)))</f>
        <v/>
      </c>
      <c r="I13" s="471">
        <f>IF(A13="","",AVERAGEIFS(tblCarga[Vel. Máx (km/h)],tblCarga[Jogador],A13,tblCarga[Tipo],"Treino",IF($E$3="Todos",tblCarga[Tipo],tblCarga[Microciclo (Nr)]),IF($E$3="Todos","Treino",VALUE($E$3)),IF($H$3="Todos",tblCarga[Tipo],tblCarga[Dia MD]),IF($H$3="Todos","Treino",$H$3)))</f>
        <v/>
      </c>
      <c r="J13" s="471">
        <f>IF(A13="","",_xlfn.MAXIFS(tblCarga[Vel. Máx (km/h)],tblCarga[Jogador],A13,IF($E$3="Todos",tblCarga[Tipo],tblCarga[Microciclo (Nr)]),IF($E$3="Todos","Treino",VALUE($E$3)),IF($H$3="Todos",tblCarga[Tipo],tblCarga[Dia MD]),IF($H$3="Todos","Treino",$H$3)))</f>
        <v/>
      </c>
      <c r="K13" s="471">
        <f>IF(A13="","",AVERAGEIFS(tblCarga[Nº ≥90% Vmáx],tblCarga[Jogador],A13,tblCarga[Tipo],"Treino",IF($E$3="Todos",tblCarga[Tipo],tblCarga[Microciclo (Nr)]),IF($E$3="Todos","Treino",VALUE($E$3)),IF($H$3="Todos",tblCarga[Tipo],tblCarga[Dia MD]),IF($H$3="Todos","Treino",$H$3)))</f>
        <v/>
      </c>
      <c r="L13" s="471">
        <f>IF(A13="","",AVERAGEIFS(tblCarga[Nº ≥95% Vmáx],tblCarga[Jogador],A13,tblCarga[Tipo],"Treino",IF($E$3="Todos",tblCarga[Tipo],tblCarga[Microciclo (Nr)]),IF($E$3="Todos","Treino",VALUE($E$3)),IF($H$3="Todos",tblCarga[Tipo],tblCarga[Dia MD]),IF($H$3="Todos","Treino",$H$3)))</f>
        <v/>
      </c>
      <c r="M13" s="341">
        <f t="array" ref="M13">IF(A13="","",SUMPRODUCT((tblCarga[Jogador]=A13)*(tblCarga[Tipo]="Treino")*(IF($E$3="Todos",1,tblCarga[Microciclo (Nr)]=VALUE($E$3)))*(IF($H$3="Todos",1,tblCarga[Dia MD]=$H$3))*tblCarga[PSE Sessão]*tblCarga[Duração (min)]))</f>
        <v/>
      </c>
      <c r="N13" s="471">
        <f>IF(A13="","",IFERROR(C13/B13,"—"))</f>
        <v/>
      </c>
    </row>
    <row r="14" outlineLevel="1" ht="26.1" customHeight="1">
      <c r="A14" s="466">
        <f t="array" ref="A14">IFERROR(INDEX(_xlfn._xlws.SORT(_xlfn.UNIQUE(_xlfn._xlws.FILTER(tblCarga[Jogador],(tblCarga[Posição]=$B$3)*(tblCarga[Tipo]="Treino")*(IF($E$3="Todos",TRUE,tblCarga[Microciclo (Nr)]=VALUE($E$3)))*(IF($H$3="Todos",TRUE,tblCarga[Dia MD]=$H$3))))),8),"")</f>
        <v/>
      </c>
      <c r="B14" s="467">
        <f>IF(A14="","",AVERAGEIFS(tblCarga[Duração (min)],tblCarga[Jogador],A14,tblCarga[Tipo],"Treino",IF($E$3="Todos",tblCarga[Tipo],tblCarga[Microciclo (Nr)]),IF($E$3="Todos","Treino",VALUE($E$3)),IF($H$3="Todos",tblCarga[Tipo],tblCarga[Dia MD]),IF($H$3="Todos","Treino",$H$3)))</f>
        <v/>
      </c>
      <c r="C14" s="333">
        <f>IF(A14="","",AVERAGEIFS(tblCarga[Distância Total (m)],tblCarga[Jogador],A14,tblCarga[Tipo],"Treino",IF($E$3="Todos",tblCarga[Tipo],tblCarga[Microciclo (Nr)]),IF($E$3="Todos","Treino",VALUE($E$3)),IF($H$3="Todos",tblCarga[Tipo],tblCarga[Dia MD]),IF($H$3="Todos","Treino",$H$3)))</f>
        <v/>
      </c>
      <c r="D14" s="333">
        <f>IF(A14="","",AVERAGEIFS(tblCarga[HSR (m)],tblCarga[Jogador],A14,tblCarga[Tipo],"Treino",IF($E$3="Todos",tblCarga[Tipo],tblCarga[Microciclo (Nr)]),IF($E$3="Todos","Treino",VALUE($E$3)),IF($H$3="Todos",tblCarga[Tipo],tblCarga[Dia MD]),IF($H$3="Todos","Treino",$H$3)))</f>
        <v/>
      </c>
      <c r="E14" s="333">
        <f>IF(A14="","",AVERAGEIFS(tblCarga[Sprint (m)],tblCarga[Jogador],A14,tblCarga[Tipo],"Treino",IF($E$3="Todos",tblCarga[Tipo],tblCarga[Microciclo (Nr)]),IF($E$3="Todos","Treino",VALUE($E$3)),IF($H$3="Todos",tblCarga[Tipo],tblCarga[Dia MD]),IF($H$3="Todos","Treino",$H$3)))</f>
        <v/>
      </c>
      <c r="F14" s="467">
        <f>IF(A14="","",AVERAGEIFS(tblCarga[Acc (n)],tblCarga[Jogador],A14,tblCarga[Tipo],"Treino",IF($E$3="Todos",tblCarga[Tipo],tblCarga[Microciclo (Nr)]),IF($E$3="Todos","Treino",VALUE($E$3)),IF($H$3="Todos",tblCarga[Tipo],tblCarga[Dia MD]),IF($H$3="Todos","Treino",$H$3)))</f>
        <v/>
      </c>
      <c r="G14" s="467">
        <f>IF(A14="","",AVERAGEIFS(tblCarga[Dcc (n)],tblCarga[Jogador],A14,tblCarga[Tipo],"Treino",IF($E$3="Todos",tblCarga[Tipo],tblCarga[Microciclo (Nr)]),IF($E$3="Todos","Treino",VALUE($E$3)),IF($H$3="Todos",tblCarga[Tipo],tblCarga[Dia MD]),IF($H$3="Todos","Treino",$H$3)))</f>
        <v/>
      </c>
      <c r="H14" s="467">
        <f>IF(A14="","",AVERAGEIFS(tblCarga[PSE Sessão],tblCarga[Jogador],A14,tblCarga[Tipo],"Treino",IF($E$3="Todos",tblCarga[Tipo],tblCarga[Microciclo (Nr)]),IF($E$3="Todos","Treino",VALUE($E$3)),IF($H$3="Todos",tblCarga[Tipo],tblCarga[Dia MD]),IF($H$3="Todos","Treino",$H$3)))</f>
        <v/>
      </c>
      <c r="I14" s="467">
        <f>IF(A14="","",AVERAGEIFS(tblCarga[Vel. Máx (km/h)],tblCarga[Jogador],A14,tblCarga[Tipo],"Treino",IF($E$3="Todos",tblCarga[Tipo],tblCarga[Microciclo (Nr)]),IF($E$3="Todos","Treino",VALUE($E$3)),IF($H$3="Todos",tblCarga[Tipo],tblCarga[Dia MD]),IF($H$3="Todos","Treino",$H$3)))</f>
        <v/>
      </c>
      <c r="J14" s="467">
        <f>IF(A14="","",_xlfn.MAXIFS(tblCarga[Vel. Máx (km/h)],tblCarga[Jogador],A14,IF($E$3="Todos",tblCarga[Tipo],tblCarga[Microciclo (Nr)]),IF($E$3="Todos","Treino",VALUE($E$3)),IF($H$3="Todos",tblCarga[Tipo],tblCarga[Dia MD]),IF($H$3="Todos","Treino",$H$3)))</f>
        <v/>
      </c>
      <c r="K14" s="467">
        <f>IF(A14="","",AVERAGEIFS(tblCarga[Nº ≥90% Vmáx],tblCarga[Jogador],A14,tblCarga[Tipo],"Treino",IF($E$3="Todos",tblCarga[Tipo],tblCarga[Microciclo (Nr)]),IF($E$3="Todos","Treino",VALUE($E$3)),IF($H$3="Todos",tblCarga[Tipo],tblCarga[Dia MD]),IF($H$3="Todos","Treino",$H$3)))</f>
        <v/>
      </c>
      <c r="L14" s="467">
        <f>IF(A14="","",AVERAGEIFS(tblCarga[Nº ≥95% Vmáx],tblCarga[Jogador],A14,tblCarga[Tipo],"Treino",IF($E$3="Todos",tblCarga[Tipo],tblCarga[Microciclo (Nr)]),IF($E$3="Todos","Treino",VALUE($E$3)),IF($H$3="Todos",tblCarga[Tipo],tblCarga[Dia MD]),IF($H$3="Todos","Treino",$H$3)))</f>
        <v/>
      </c>
      <c r="M14" s="333">
        <f t="array" ref="M14">IF(A14="","",SUMPRODUCT((tblCarga[Jogador]=A14)*(tblCarga[Tipo]="Treino")*(IF($E$3="Todos",1,tblCarga[Microciclo (Nr)]=VALUE($E$3)))*(IF($H$3="Todos",1,tblCarga[Dia MD]=$H$3))*tblCarga[PSE Sessão]*tblCarga[Duração (min)]))</f>
        <v/>
      </c>
      <c r="N14" s="467">
        <f>IF(A14="","",IFERROR(C14/B14,"—"))</f>
        <v/>
      </c>
    </row>
    <row r="15" outlineLevel="1" ht="26.1" customHeight="1">
      <c r="A15" s="470">
        <f t="array" ref="A15">IFERROR(INDEX(_xlfn._xlws.SORT(_xlfn.UNIQUE(_xlfn._xlws.FILTER(tblCarga[Jogador],(tblCarga[Posição]=$B$3)*(tblCarga[Tipo]="Treino")*(IF($E$3="Todos",TRUE,tblCarga[Microciclo (Nr)]=VALUE($E$3)))*(IF($H$3="Todos",TRUE,tblCarga[Dia MD]=$H$3))))),9),"")</f>
        <v/>
      </c>
      <c r="B15" s="471">
        <f>IF(A15="","",AVERAGEIFS(tblCarga[Duração (min)],tblCarga[Jogador],A15,tblCarga[Tipo],"Treino",IF($E$3="Todos",tblCarga[Tipo],tblCarga[Microciclo (Nr)]),IF($E$3="Todos","Treino",VALUE($E$3)),IF($H$3="Todos",tblCarga[Tipo],tblCarga[Dia MD]),IF($H$3="Todos","Treino",$H$3)))</f>
        <v/>
      </c>
      <c r="C15" s="341">
        <f>IF(A15="","",AVERAGEIFS(tblCarga[Distância Total (m)],tblCarga[Jogador],A15,tblCarga[Tipo],"Treino",IF($E$3="Todos",tblCarga[Tipo],tblCarga[Microciclo (Nr)]),IF($E$3="Todos","Treino",VALUE($E$3)),IF($H$3="Todos",tblCarga[Tipo],tblCarga[Dia MD]),IF($H$3="Todos","Treino",$H$3)))</f>
        <v/>
      </c>
      <c r="D15" s="341">
        <f>IF(A15="","",AVERAGEIFS(tblCarga[HSR (m)],tblCarga[Jogador],A15,tblCarga[Tipo],"Treino",IF($E$3="Todos",tblCarga[Tipo],tblCarga[Microciclo (Nr)]),IF($E$3="Todos","Treino",VALUE($E$3)),IF($H$3="Todos",tblCarga[Tipo],tblCarga[Dia MD]),IF($H$3="Todos","Treino",$H$3)))</f>
        <v/>
      </c>
      <c r="E15" s="341">
        <f>IF(A15="","",AVERAGEIFS(tblCarga[Sprint (m)],tblCarga[Jogador],A15,tblCarga[Tipo],"Treino",IF($E$3="Todos",tblCarga[Tipo],tblCarga[Microciclo (Nr)]),IF($E$3="Todos","Treino",VALUE($E$3)),IF($H$3="Todos",tblCarga[Tipo],tblCarga[Dia MD]),IF($H$3="Todos","Treino",$H$3)))</f>
        <v/>
      </c>
      <c r="F15" s="471">
        <f>IF(A15="","",AVERAGEIFS(tblCarga[Acc (n)],tblCarga[Jogador],A15,tblCarga[Tipo],"Treino",IF($E$3="Todos",tblCarga[Tipo],tblCarga[Microciclo (Nr)]),IF($E$3="Todos","Treino",VALUE($E$3)),IF($H$3="Todos",tblCarga[Tipo],tblCarga[Dia MD]),IF($H$3="Todos","Treino",$H$3)))</f>
        <v/>
      </c>
      <c r="G15" s="471">
        <f>IF(A15="","",AVERAGEIFS(tblCarga[Dcc (n)],tblCarga[Jogador],A15,tblCarga[Tipo],"Treino",IF($E$3="Todos",tblCarga[Tipo],tblCarga[Microciclo (Nr)]),IF($E$3="Todos","Treino",VALUE($E$3)),IF($H$3="Todos",tblCarga[Tipo],tblCarga[Dia MD]),IF($H$3="Todos","Treino",$H$3)))</f>
        <v/>
      </c>
      <c r="H15" s="471">
        <f>IF(A15="","",AVERAGEIFS(tblCarga[PSE Sessão],tblCarga[Jogador],A15,tblCarga[Tipo],"Treino",IF($E$3="Todos",tblCarga[Tipo],tblCarga[Microciclo (Nr)]),IF($E$3="Todos","Treino",VALUE($E$3)),IF($H$3="Todos",tblCarga[Tipo],tblCarga[Dia MD]),IF($H$3="Todos","Treino",$H$3)))</f>
        <v/>
      </c>
      <c r="I15" s="471">
        <f>IF(A15="","",AVERAGEIFS(tblCarga[Vel. Máx (km/h)],tblCarga[Jogador],A15,tblCarga[Tipo],"Treino",IF($E$3="Todos",tblCarga[Tipo],tblCarga[Microciclo (Nr)]),IF($E$3="Todos","Treino",VALUE($E$3)),IF($H$3="Todos",tblCarga[Tipo],tblCarga[Dia MD]),IF($H$3="Todos","Treino",$H$3)))</f>
        <v/>
      </c>
      <c r="J15" s="471">
        <f>IF(A15="","",_xlfn.MAXIFS(tblCarga[Vel. Máx (km/h)],tblCarga[Jogador],A15,IF($E$3="Todos",tblCarga[Tipo],tblCarga[Microciclo (Nr)]),IF($E$3="Todos","Treino",VALUE($E$3)),IF($H$3="Todos",tblCarga[Tipo],tblCarga[Dia MD]),IF($H$3="Todos","Treino",$H$3)))</f>
        <v/>
      </c>
      <c r="K15" s="471">
        <f>IF(A15="","",AVERAGEIFS(tblCarga[Nº ≥90% Vmáx],tblCarga[Jogador],A15,tblCarga[Tipo],"Treino",IF($E$3="Todos",tblCarga[Tipo],tblCarga[Microciclo (Nr)]),IF($E$3="Todos","Treino",VALUE($E$3)),IF($H$3="Todos",tblCarga[Tipo],tblCarga[Dia MD]),IF($H$3="Todos","Treino",$H$3)))</f>
        <v/>
      </c>
      <c r="L15" s="471">
        <f>IF(A15="","",AVERAGEIFS(tblCarga[Nº ≥95% Vmáx],tblCarga[Jogador],A15,tblCarga[Tipo],"Treino",IF($E$3="Todos",tblCarga[Tipo],tblCarga[Microciclo (Nr)]),IF($E$3="Todos","Treino",VALUE($E$3)),IF($H$3="Todos",tblCarga[Tipo],tblCarga[Dia MD]),IF($H$3="Todos","Treino",$H$3)))</f>
        <v/>
      </c>
      <c r="M15" s="341">
        <f t="array" ref="M15">IF(A15="","",SUMPRODUCT((tblCarga[Jogador]=A15)*(tblCarga[Tipo]="Treino")*(IF($E$3="Todos",1,tblCarga[Microciclo (Nr)]=VALUE($E$3)))*(IF($H$3="Todos",1,tblCarga[Dia MD]=$H$3))*tblCarga[PSE Sessão]*tblCarga[Duração (min)]))</f>
        <v/>
      </c>
      <c r="N15" s="471">
        <f>IF(A15="","",IFERROR(C15/B15,"—"))</f>
        <v/>
      </c>
    </row>
    <row r="16" hidden="1" outlineLevel="1">
      <c r="A16" s="560">
        <f t="array" ref="A16">IFERROR(INDEX(_xlfn._xlws.SORT(_xlfn.UNIQUE(_xlfn._xlws.FILTER(tblCarga[Jogador],(tblCarga[Posição]=$B$3)*(tblCarga[Tipo]="Treino")*(IF($E$3="Todos",TRUE,tblCarga[Microciclo (Nr)]=VALUE($E$3)))*(IF($H$3="Todos",TRUE,tblCarga[Dia MD]=$H$3))))),10),"")</f>
        <v/>
      </c>
      <c r="B16" s="465">
        <f>IF(A16="","",AVERAGEIFS(tblCarga[Duração (min)],tblCarga[Jogador],A16,tblCarga[Tipo],"Treino",IF($E$3="Todos",tblCarga[Tipo],tblCarga[Microciclo (Nr)]),IF($E$3="Todos","Treino",VALUE($E$3)),IF($H$3="Todos",tblCarga[Tipo],tblCarga[Dia MD]),IF($H$3="Todos","Treino",$H$3)))</f>
        <v/>
      </c>
      <c r="C16" s="331">
        <f>IF(A16="","",AVERAGEIFS(tblCarga[Distância Total (m)],tblCarga[Jogador],A16,tblCarga[Tipo],"Treino",IF($E$3="Todos",tblCarga[Tipo],tblCarga[Microciclo (Nr)]),IF($E$3="Todos","Treino",VALUE($E$3)),IF($H$3="Todos",tblCarga[Tipo],tblCarga[Dia MD]),IF($H$3="Todos","Treino",$H$3)))</f>
        <v/>
      </c>
      <c r="D16" s="331">
        <f>IF(A16="","",AVERAGEIFS(tblCarga[HSR (m)],tblCarga[Jogador],A16,tblCarga[Tipo],"Treino",IF($E$3="Todos",tblCarga[Tipo],tblCarga[Microciclo (Nr)]),IF($E$3="Todos","Treino",VALUE($E$3)),IF($H$3="Todos",tblCarga[Tipo],tblCarga[Dia MD]),IF($H$3="Todos","Treino",$H$3)))</f>
        <v/>
      </c>
      <c r="E16" s="331">
        <f>IF(A16="","",AVERAGEIFS(tblCarga[Sprint (m)],tblCarga[Jogador],A16,tblCarga[Tipo],"Treino",IF($E$3="Todos",tblCarga[Tipo],tblCarga[Microciclo (Nr)]),IF($E$3="Todos","Treino",VALUE($E$3)),IF($H$3="Todos",tblCarga[Tipo],tblCarga[Dia MD]),IF($H$3="Todos","Treino",$H$3)))</f>
        <v/>
      </c>
      <c r="F16" s="465">
        <f>IF(A16="","",AVERAGEIFS(tblCarga[Acc (n)],tblCarga[Jogador],A16,tblCarga[Tipo],"Treino",IF($E$3="Todos",tblCarga[Tipo],tblCarga[Microciclo (Nr)]),IF($E$3="Todos","Treino",VALUE($E$3)),IF($H$3="Todos",tblCarga[Tipo],tblCarga[Dia MD]),IF($H$3="Todos","Treino",$H$3)))</f>
        <v/>
      </c>
      <c r="G16" s="465">
        <f>IF(A16="","",AVERAGEIFS(tblCarga[Dcc (n)],tblCarga[Jogador],A16,tblCarga[Tipo],"Treino",IF($E$3="Todos",tblCarga[Tipo],tblCarga[Microciclo (Nr)]),IF($E$3="Todos","Treino",VALUE($E$3)),IF($H$3="Todos",tblCarga[Tipo],tblCarga[Dia MD]),IF($H$3="Todos","Treino",$H$3)))</f>
        <v/>
      </c>
      <c r="H16" s="465">
        <f>IF(A16="","",AVERAGEIFS(tblCarga[PSE Sessão],tblCarga[Jogador],A16,tblCarga[Tipo],"Treino",IF($E$3="Todos",tblCarga[Tipo],tblCarga[Microciclo (Nr)]),IF($E$3="Todos","Treino",VALUE($E$3)),IF($H$3="Todos",tblCarga[Tipo],tblCarga[Dia MD]),IF($H$3="Todos","Treino",$H$3)))</f>
        <v/>
      </c>
      <c r="I16" s="465">
        <f>IF(A16="","",AVERAGEIFS(tblCarga[Vel. Máx (km/h)],tblCarga[Jogador],A16,tblCarga[Tipo],"Treino",IF($E$3="Todos",tblCarga[Tipo],tblCarga[Microciclo (Nr)]),IF($E$3="Todos","Treino",VALUE($E$3)),IF($H$3="Todos",tblCarga[Tipo],tblCarga[Dia MD]),IF($H$3="Todos","Treino",$H$3)))</f>
        <v/>
      </c>
      <c r="J16" s="465">
        <f>IF(A16="","",_xlfn.MAXIFS(tblCarga[Vel. Máx (km/h)],tblCarga[Jogador],A16,IF($E$3="Todos",tblCarga[Tipo],tblCarga[Microciclo (Nr)]),IF($E$3="Todos","Treino",VALUE($E$3)),IF($H$3="Todos",tblCarga[Tipo],tblCarga[Dia MD]),IF($H$3="Todos","Treino",$H$3)))</f>
        <v/>
      </c>
      <c r="K16" s="465">
        <f>IF(A16="","",AVERAGEIFS(tblCarga[Nº ≥90% Vmáx],tblCarga[Jogador],A16,tblCarga[Tipo],"Treino",IF($E$3="Todos",tblCarga[Tipo],tblCarga[Microciclo (Nr)]),IF($E$3="Todos","Treino",VALUE($E$3)),IF($H$3="Todos",tblCarga[Tipo],tblCarga[Dia MD]),IF($H$3="Todos","Treino",$H$3)))</f>
        <v/>
      </c>
      <c r="L16" s="465">
        <f>IF(A16="","",AVERAGEIFS(tblCarga[Nº ≥95% Vmáx],tblCarga[Jogador],A16,tblCarga[Tipo],"Treino",IF($E$3="Todos",tblCarga[Tipo],tblCarga[Microciclo (Nr)]),IF($E$3="Todos","Treino",VALUE($E$3)),IF($H$3="Todos",tblCarga[Tipo],tblCarga[Dia MD]),IF($H$3="Todos","Treino",$H$3)))</f>
        <v/>
      </c>
      <c r="M16" s="331">
        <f t="array" ref="M16">IF(A16="","",SUMPRODUCT((tblCarga[Jogador]=A16)*(tblCarga[Tipo]="Treino")*(IF($E$3="Todos",1,tblCarga[Microciclo (Nr)]=VALUE($E$3)))*(IF($H$3="Todos",1,tblCarga[Dia MD]=$H$3))*tblCarga[PSE Sessão]*tblCarga[Duração (min)]))</f>
        <v/>
      </c>
      <c r="N16" s="465">
        <f>IF(A16="","",IFERROR(C16/B16,"—"))</f>
        <v/>
      </c>
    </row>
    <row r="17" hidden="1" outlineLevel="1">
      <c r="A17" s="9">
        <f t="array" ref="A17">IFERROR(INDEX(_xlfn._xlws.SORT(_xlfn.UNIQUE(_xlfn._xlws.FILTER(tblCarga[Jogador],tblCarga[Posição]=$B$3))),11),"")</f>
        <v/>
      </c>
      <c r="B17" s="9">
        <f>IF(A17="","",AVERAGEIFS(tblCarga[Duração (min)],tblCarga[Jogador],A17,tblCarga[Tipo],"Treino"))</f>
        <v/>
      </c>
      <c r="C17" s="9">
        <f>IF(A17="","",AVERAGEIFS(tblCarga[Distância Total (m)],tblCarga[Jogador],A17,tblCarga[Tipo],"Treino"))</f>
        <v/>
      </c>
      <c r="D17" s="9">
        <f>IF(A17="","",AVERAGEIFS(tblCarga[HSR (m)],tblCarga[Jogador],A17,tblCarga[Tipo],"Treino"))</f>
        <v/>
      </c>
      <c r="E17" s="9">
        <f>IF(A17="","",AVERAGEIFS(tblCarga[Sprint (m)],tblCarga[Jogador],A17,tblCarga[Tipo],"Treino"))</f>
        <v/>
      </c>
      <c r="F17" s="9">
        <f>IF(A17="","",AVERAGEIFS(tblCarga[Acc (n)],tblCarga[Jogador],A17,tblCarga[Tipo],"Treino"))</f>
        <v/>
      </c>
      <c r="G17" s="9">
        <f>IF(A17="","",AVERAGEIFS(tblCarga[Dcc (n)],tblCarga[Jogador],A17,tblCarga[Tipo],"Treino"))</f>
        <v/>
      </c>
      <c r="H17" s="9">
        <f>IF(A17="","",AVERAGEIFS(tblCarga[PSE Sessão],tblCarga[Jogador],A17,tblCarga[Tipo],"Treino"))</f>
        <v/>
      </c>
      <c r="I17" s="9">
        <f>IF(A17="","",AVERAGEIFS(tblCarga[Vel. Máx (km/h)],tblCarga[Jogador],A17,tblCarga[Tipo],"Treino"))</f>
        <v/>
      </c>
      <c r="J17" s="9">
        <f>IF(A17="","",_xlfn.MAXIFS(tblCarga[Vel. Máx (km/h)],tblCarga[Jogador],A17))</f>
        <v/>
      </c>
      <c r="K17" s="9">
        <f>IF(A17="","",AVERAGEIFS(tblCarga[Nº ≥90% Vmáx],tblCarga[Jogador],A17,tblCarga[Tipo],"Treino"))</f>
        <v/>
      </c>
      <c r="L17" s="9">
        <f>IF(A17="","",AVERAGEIFS(tblCarga[Nº ≥95% Vmáx],tblCarga[Jogador],A17,tblCarga[Tipo],"Treino"))</f>
        <v/>
      </c>
      <c r="M17" s="9">
        <f t="array" ref="M17">IF(A17="","",SUMPRODUCT((tblCarga[Jogador]=A17)*(tblCarga[Tipo]="Treino")*tblCarga[PSE Sessão]*tblCarga[Duração (min)]))</f>
        <v/>
      </c>
      <c r="N17" s="10">
        <f>IF(A17="","",IFERROR(C17/B17,"—"))</f>
        <v/>
      </c>
    </row>
    <row r="18" hidden="1" outlineLevel="1">
      <c r="A18" s="600" t="inlineStr">
        <is>
          <t>B — COMPARAÇÃO ENTRE TODOS OS JOGADORES  (filtrado por MC / Dia)</t>
        </is>
      </c>
      <c r="B18" s="601" t="n"/>
      <c r="C18" s="601" t="n"/>
      <c r="D18" s="601" t="n"/>
      <c r="E18" s="601" t="n"/>
      <c r="F18" s="601" t="n"/>
      <c r="G18" s="601" t="n"/>
      <c r="H18" s="601" t="n"/>
      <c r="I18" s="601" t="n"/>
      <c r="J18" s="601" t="n"/>
      <c r="K18" s="601" t="n"/>
      <c r="L18" s="601" t="n"/>
      <c r="M18" s="601" t="n"/>
      <c r="N18" s="561" t="n"/>
    </row>
    <row r="19" hidden="1" outlineLevel="1" ht="15.75" customHeight="1" thickBot="1">
      <c r="A19" s="627" t="inlineStr">
        <is>
          <t>Jogador</t>
        </is>
      </c>
      <c r="B19" s="634" t="n"/>
      <c r="C19" s="634" t="n"/>
      <c r="D19" s="634" t="n"/>
      <c r="E19" s="634" t="n"/>
      <c r="F19" s="634" t="n"/>
      <c r="G19" s="634" t="n"/>
      <c r="H19" s="634" t="n"/>
      <c r="I19" s="634" t="n"/>
      <c r="J19" s="634" t="n"/>
      <c r="K19" s="634" t="n"/>
      <c r="L19" s="634" t="n"/>
      <c r="M19" s="634" t="n"/>
      <c r="N19" s="634" t="n"/>
    </row>
    <row r="20" hidden="1" outlineLevel="1">
      <c r="A20" s="562">
        <f t="array" ref="A20">IFERROR(INDEX(_xlfn._xlws.SORT(_xlfn.UNIQUE(_xlfn._xlws.FILTER(tblCarga[Jogador],(tblCarga[Tipo]="Treino")*(IF($E$3="Todos",TRUE,tblCarga[Microciclo (Nr)]=VALUE($E$3)))*(IF($H$3="Todos",TRUE,tblCarga[Dia MD]=$H$3))))),1),"")</f>
        <v/>
      </c>
      <c r="B20" s="563">
        <f>IF(A20="","",_xlfn.XLOOKUP(A20,Plantel!$A$3:$A$14,Plantel!$B$3:$B$14,""))</f>
        <v/>
      </c>
      <c r="C20" s="564">
        <f>IF(A20="","",AVERAGEIFS(tblCarga[Distância Total (m)],tblCarga[Jogador],A20,tblCarga[Tipo],"Treino",IF($E$3="Todos",tblCarga[Tipo],tblCarga[Microciclo (Nr)]),IF($E$3="Todos","Treino",VALUE($E$3)),IF($H$3="Todos",tblCarga[Tipo],tblCarga[Dia MD]),IF($H$3="Todos","Treino",$H$3)))</f>
        <v/>
      </c>
      <c r="D20" s="564">
        <f>IF(A20="","",AVERAGEIFS(tblCarga[HSR (m)],tblCarga[Jogador],A20,tblCarga[Tipo],"Treino",IF($E$3="Todos",tblCarga[Tipo],tblCarga[Microciclo (Nr)]),IF($E$3="Todos","Treino",VALUE($E$3)),IF($H$3="Todos",tblCarga[Tipo],tblCarga[Dia MD]),IF($H$3="Todos","Treino",$H$3)))</f>
        <v/>
      </c>
      <c r="E20" s="564">
        <f>IF(A20="","",AVERAGEIFS(tblCarga[Sprint (m)],tblCarga[Jogador],A20,tblCarga[Tipo],"Treino",IF($E$3="Todos",tblCarga[Tipo],tblCarga[Microciclo (Nr)]),IF($E$3="Todos","Treino",VALUE($E$3)),IF($H$3="Todos",tblCarga[Tipo],tblCarga[Dia MD]),IF($H$3="Todos","Treino",$H$3)))</f>
        <v/>
      </c>
      <c r="F20" s="565">
        <f>IF(A20="","",AVERAGEIFS(tblCarga[Acc (n)],tblCarga[Jogador],A20,tblCarga[Tipo],"Treino",IF($E$3="Todos",tblCarga[Tipo],tblCarga[Microciclo (Nr)]),IF($E$3="Todos","Treino",VALUE($E$3)),IF($H$3="Todos",tblCarga[Tipo],tblCarga[Dia MD]),IF($H$3="Todos","Treino",$H$3)))</f>
        <v/>
      </c>
      <c r="G20" s="565">
        <f>IF(A20="","",AVERAGEIFS(tblCarga[Dcc (n)],tblCarga[Jogador],A20,tblCarga[Tipo],"Treino",IF($E$3="Todos",tblCarga[Tipo],tblCarga[Microciclo (Nr)]),IF($E$3="Todos","Treino",VALUE($E$3)),IF($H$3="Todos",tblCarga[Tipo],tblCarga[Dia MD]),IF($H$3="Todos","Treino",$H$3)))</f>
        <v/>
      </c>
      <c r="H20" s="565">
        <f>IF(A20="","",AVERAGEIFS(tblCarga[PSE Sessão],tblCarga[Jogador],A20,tblCarga[Tipo],"Treino",IF($E$3="Todos",tblCarga[Tipo],tblCarga[Microciclo (Nr)]),IF($E$3="Todos","Treino",VALUE($E$3)),IF($H$3="Todos",tblCarga[Tipo],tblCarga[Dia MD]),IF($H$3="Todos","Treino",$H$3)))</f>
        <v/>
      </c>
      <c r="I20" s="566">
        <f>IF(A20="","",AVERAGEIFS(tblCarga[Vel. Máx (km/h)],tblCarga[Jogador],A20,tblCarga[Tipo],"Treino",IF($E$3="Todos",tblCarga[Tipo],tblCarga[Microciclo (Nr)]),IF($E$3="Todos","Treino",VALUE($E$3)),IF($H$3="Todos",tblCarga[Tipo],tblCarga[Dia MD]),IF($H$3="Todos","Treino",$H$3)))</f>
        <v/>
      </c>
      <c r="J20" s="566">
        <f>IF(A20="","",_xlfn.MAXIFS(tblCarga[Vel. Máx (km/h)],tblCarga[Jogador],A20,IF($E$3="Todos",tblCarga[Tipo],tblCarga[Microciclo (Nr)]),IF($E$3="Todos","Treino",VALUE($E$3)),IF($H$3="Todos",tblCarga[Tipo],tblCarga[Dia MD]),IF($H$3="Todos","Treino",$H$3)))</f>
        <v/>
      </c>
      <c r="K20" s="567">
        <f t="array" ref="K20">IF(A20="","",SUMPRODUCT((tblCarga[Jogador]=A20)*(tblCarga[Tipo]="Treino")*(IF($E$3="Todos",1,tblCarga[Microciclo (Nr)]=VALUE($E$3)))*(IF($H$3="Todos",1,tblCarga[Dia MD]=$H$3))*tblCarga[PSE Sessão]*tblCarga[Duração (min)]))</f>
        <v/>
      </c>
      <c r="L20" s="566">
        <f>IF(A20="","",IFERROR(C20/AVERAGEIFS(tblCarga[Duração (min)],tblCarga[Jogador],A20,tblCarga[Tipo],"Treino",IF($E$3="Todos",tblCarga[Tipo],tblCarga[Microciclo (Nr)]),IF($E$3="Todos","Treino",VALUE($E$3)),IF($H$3="Todos",tblCarga[Tipo],tblCarga[Dia MD]),IF($H$3="Todos","Treino",$H$3)),"—"))</f>
        <v/>
      </c>
      <c r="M20" s="568">
        <f>IF(A20="","",RANK(C20,C$20:C$34,0))</f>
        <v/>
      </c>
      <c r="N20" s="568">
        <f>IF(A20="","",RANK(K20,K$20:K$34,0))</f>
        <v/>
      </c>
    </row>
    <row r="21" hidden="1" outlineLevel="1">
      <c r="A21" s="557">
        <f t="array" ref="A21">IFERROR(INDEX(_xlfn._xlws.SORT(_xlfn.UNIQUE(_xlfn._xlws.FILTER(tblCarga[Jogador],(tblCarga[Tipo]="Treino")*(IF($E$3="Todos",TRUE,tblCarga[Microciclo (Nr)]=VALUE($E$3)))*(IF($H$3="Todos",TRUE,tblCarga[Dia MD]=$H$3))))),2),"")</f>
        <v/>
      </c>
      <c r="B21" s="127">
        <f>IF(A21="","",_xlfn.XLOOKUP(A21,Plantel!$A$3:$A$14,Plantel!$B$3:$B$14,""))</f>
        <v/>
      </c>
      <c r="C21" s="559">
        <f>IF(A21="","",AVERAGEIFS(tblCarga[Distância Total (m)],tblCarga[Jogador],A21,tblCarga[Tipo],"Treino",IF($E$3="Todos",tblCarga[Tipo],tblCarga[Microciclo (Nr)]),IF($E$3="Todos","Treino",VALUE($E$3)),IF($H$3="Todos",tblCarga[Tipo],tblCarga[Dia MD]),IF($H$3="Todos","Treino",$H$3)))</f>
        <v/>
      </c>
      <c r="D21" s="559">
        <f>IF(A21="","",AVERAGEIFS(tblCarga[HSR (m)],tblCarga[Jogador],A21,tblCarga[Tipo],"Treino",IF($E$3="Todos",tblCarga[Tipo],tblCarga[Microciclo (Nr)]),IF($E$3="Todos","Treino",VALUE($E$3)),IF($H$3="Todos",tblCarga[Tipo],tblCarga[Dia MD]),IF($H$3="Todos","Treino",$H$3)))</f>
        <v/>
      </c>
      <c r="E21" s="559">
        <f>IF(A21="","",AVERAGEIFS(tblCarga[Sprint (m)],tblCarga[Jogador],A21,tblCarga[Tipo],"Treino",IF($E$3="Todos",tblCarga[Tipo],tblCarga[Microciclo (Nr)]),IF($E$3="Todos","Treino",VALUE($E$3)),IF($H$3="Todos",tblCarga[Tipo],tblCarga[Dia MD]),IF($H$3="Todos","Treino",$H$3)))</f>
        <v/>
      </c>
      <c r="F21" s="558">
        <f>IF(A21="","",AVERAGEIFS(tblCarga[Acc (n)],tblCarga[Jogador],A21,tblCarga[Tipo],"Treino",IF($E$3="Todos",tblCarga[Tipo],tblCarga[Microciclo (Nr)]),IF($E$3="Todos","Treino",VALUE($E$3)),IF($H$3="Todos",tblCarga[Tipo],tblCarga[Dia MD]),IF($H$3="Todos","Treino",$H$3)))</f>
        <v/>
      </c>
      <c r="G21" s="558">
        <f>IF(A21="","",AVERAGEIFS(tblCarga[Dcc (n)],tblCarga[Jogador],A21,tblCarga[Tipo],"Treino",IF($E$3="Todos",tblCarga[Tipo],tblCarga[Microciclo (Nr)]),IF($E$3="Todos","Treino",VALUE($E$3)),IF($H$3="Todos",tblCarga[Tipo],tblCarga[Dia MD]),IF($H$3="Todos","Treino",$H$3)))</f>
        <v/>
      </c>
      <c r="H21" s="558">
        <f>IF(A21="","",AVERAGEIFS(tblCarga[PSE Sessão],tblCarga[Jogador],A21,tblCarga[Tipo],"Treino",IF($E$3="Todos",tblCarga[Tipo],tblCarga[Microciclo (Nr)]),IF($E$3="Todos","Treino",VALUE($E$3)),IF($H$3="Todos",tblCarga[Tipo],tblCarga[Dia MD]),IF($H$3="Todos","Treino",$H$3)))</f>
        <v/>
      </c>
      <c r="I21" s="558">
        <f>IF(A21="","",AVERAGEIFS(tblCarga[Vel. Máx (km/h)],tblCarga[Jogador],A21,tblCarga[Tipo],"Treino",IF($E$3="Todos",tblCarga[Tipo],tblCarga[Microciclo (Nr)]),IF($E$3="Todos","Treino",VALUE($E$3)),IF($H$3="Todos",tblCarga[Tipo],tblCarga[Dia MD]),IF($H$3="Todos","Treino",$H$3)))</f>
        <v/>
      </c>
      <c r="J21" s="558">
        <f>IF(A21="","",_xlfn.MAXIFS(tblCarga[Vel. Máx (km/h)],tblCarga[Jogador],A21,IF($E$3="Todos",tblCarga[Tipo],tblCarga[Microciclo (Nr)]),IF($E$3="Todos","Treino",VALUE($E$3)),IF($H$3="Todos",tblCarga[Tipo],tblCarga[Dia MD]),IF($H$3="Todos","Treino",$H$3)))</f>
        <v/>
      </c>
      <c r="K21" s="559">
        <f t="array" ref="K21">IF(A21="","",SUMPRODUCT((tblCarga[Jogador]=A21)*(tblCarga[Tipo]="Treino")*(IF($E$3="Todos",1,tblCarga[Microciclo (Nr)]=VALUE($E$3)))*(IF($H$3="Todos",1,tblCarga[Dia MD]=$H$3))*tblCarga[PSE Sessão]*tblCarga[Duração (min)]))</f>
        <v/>
      </c>
      <c r="L21" s="558">
        <f>IF(A21="","",IFERROR(C21/AVERAGEIFS(tblCarga[Duração (min)],tblCarga[Jogador],A21,tblCarga[Tipo],"Treino",IF($E$3="Todos",tblCarga[Tipo],tblCarga[Microciclo (Nr)]),IF($E$3="Todos","Treino",VALUE($E$3)),IF($H$3="Todos",tblCarga[Tipo],tblCarga[Dia MD]),IF($H$3="Todos","Treino",$H$3)),"—"))</f>
        <v/>
      </c>
      <c r="M21" s="570">
        <f>IF(A21="","",RANK(C21,C$20:C$34,0))</f>
        <v/>
      </c>
      <c r="N21" s="570">
        <f>IF(A21="","",RANK(K21,K$20:K$34,0))</f>
        <v/>
      </c>
    </row>
    <row r="22" hidden="1" outlineLevel="1">
      <c r="A22" s="470">
        <f t="array" ref="A22">IFERROR(INDEX(_xlfn._xlws.SORT(_xlfn.UNIQUE(_xlfn._xlws.FILTER(tblCarga[Jogador],(tblCarga[Tipo]="Treino")*(IF($E$3="Todos",TRUE,tblCarga[Microciclo (Nr)]=VALUE($E$3)))*(IF($H$3="Todos",TRUE,tblCarga[Dia MD]=$H$3))))),3),"")</f>
        <v/>
      </c>
      <c r="B22" s="147">
        <f>IF(A22="","",_xlfn.XLOOKUP(A22,Plantel!$A$3:$A$14,Plantel!$B$3:$B$14,""))</f>
        <v/>
      </c>
      <c r="C22" s="341">
        <f>IF(A22="","",AVERAGEIFS(tblCarga[Distância Total (m)],tblCarga[Jogador],A22,tblCarga[Tipo],"Treino",IF($E$3="Todos",tblCarga[Tipo],tblCarga[Microciclo (Nr)]),IF($E$3="Todos","Treino",VALUE($E$3)),IF($H$3="Todos",tblCarga[Tipo],tblCarga[Dia MD]),IF($H$3="Todos","Treino",$H$3)))</f>
        <v/>
      </c>
      <c r="D22" s="341">
        <f>IF(A22="","",AVERAGEIFS(tblCarga[HSR (m)],tblCarga[Jogador],A22,tblCarga[Tipo],"Treino",IF($E$3="Todos",tblCarga[Tipo],tblCarga[Microciclo (Nr)]),IF($E$3="Todos","Treino",VALUE($E$3)),IF($H$3="Todos",tblCarga[Tipo],tblCarga[Dia MD]),IF($H$3="Todos","Treino",$H$3)))</f>
        <v/>
      </c>
      <c r="E22" s="341">
        <f>IF(A22="","",AVERAGEIFS(tblCarga[Sprint (m)],tblCarga[Jogador],A22,tblCarga[Tipo],"Treino",IF($E$3="Todos",tblCarga[Tipo],tblCarga[Microciclo (Nr)]),IF($E$3="Todos","Treino",VALUE($E$3)),IF($H$3="Todos",tblCarga[Tipo],tblCarga[Dia MD]),IF($H$3="Todos","Treino",$H$3)))</f>
        <v/>
      </c>
      <c r="F22" s="471">
        <f>IF(A22="","",AVERAGEIFS(tblCarga[Acc (n)],tblCarga[Jogador],A22,tblCarga[Tipo],"Treino",IF($E$3="Todos",tblCarga[Tipo],tblCarga[Microciclo (Nr)]),IF($E$3="Todos","Treino",VALUE($E$3)),IF($H$3="Todos",tblCarga[Tipo],tblCarga[Dia MD]),IF($H$3="Todos","Treino",$H$3)))</f>
        <v/>
      </c>
      <c r="G22" s="471">
        <f>IF(A22="","",AVERAGEIFS(tblCarga[Dcc (n)],tblCarga[Jogador],A22,tblCarga[Tipo],"Treino",IF($E$3="Todos",tblCarga[Tipo],tblCarga[Microciclo (Nr)]),IF($E$3="Todos","Treino",VALUE($E$3)),IF($H$3="Todos",tblCarga[Tipo],tblCarga[Dia MD]),IF($H$3="Todos","Treino",$H$3)))</f>
        <v/>
      </c>
      <c r="H22" s="471">
        <f>IF(A22="","",AVERAGEIFS(tblCarga[PSE Sessão],tblCarga[Jogador],A22,tblCarga[Tipo],"Treino",IF($E$3="Todos",tblCarga[Tipo],tblCarga[Microciclo (Nr)]),IF($E$3="Todos","Treino",VALUE($E$3)),IF($H$3="Todos",tblCarga[Tipo],tblCarga[Dia MD]),IF($H$3="Todos","Treino",$H$3)))</f>
        <v/>
      </c>
      <c r="I22" s="471">
        <f>IF(A22="","",AVERAGEIFS(tblCarga[Vel. Máx (km/h)],tblCarga[Jogador],A22,tblCarga[Tipo],"Treino",IF($E$3="Todos",tblCarga[Tipo],tblCarga[Microciclo (Nr)]),IF($E$3="Todos","Treino",VALUE($E$3)),IF($H$3="Todos",tblCarga[Tipo],tblCarga[Dia MD]),IF($H$3="Todos","Treino",$H$3)))</f>
        <v/>
      </c>
      <c r="J22" s="471">
        <f>IF(A22="","",_xlfn.MAXIFS(tblCarga[Vel. Máx (km/h)],tblCarga[Jogador],A22,IF($E$3="Todos",tblCarga[Tipo],tblCarga[Microciclo (Nr)]),IF($E$3="Todos","Treino",VALUE($E$3)),IF($H$3="Todos",tblCarga[Tipo],tblCarga[Dia MD]),IF($H$3="Todos","Treino",$H$3)))</f>
        <v/>
      </c>
      <c r="K22" s="341">
        <f t="array" ref="K22">IF(A22="","",SUMPRODUCT((tblCarga[Jogador]=A22)*(tblCarga[Tipo]="Treino")*(IF($E$3="Todos",1,tblCarga[Microciclo (Nr)]=VALUE($E$3)))*(IF($H$3="Todos",1,tblCarga[Dia MD]=$H$3))*tblCarga[PSE Sessão]*tblCarga[Duração (min)]))</f>
        <v/>
      </c>
      <c r="L22" s="471">
        <f>IF(A22="","",IFERROR(C22/AVERAGEIFS(tblCarga[Duração (min)],tblCarga[Jogador],A22,tblCarga[Tipo],"Treino",IF($E$3="Todos",tblCarga[Tipo],tblCarga[Microciclo (Nr)]),IF($E$3="Todos","Treino",VALUE($E$3)),IF($H$3="Todos",tblCarga[Tipo],tblCarga[Dia MD]),IF($H$3="Todos","Treino",$H$3)),"—"))</f>
        <v/>
      </c>
      <c r="M22" s="340">
        <f>IF(A22="","",RANK(C22,C$20:C$34,0))</f>
        <v/>
      </c>
      <c r="N22" s="340">
        <f>IF(A22="","",RANK(K22,K$20:K$34,0))</f>
        <v/>
      </c>
    </row>
    <row r="23" hidden="1" outlineLevel="1">
      <c r="A23" s="466">
        <f t="array" ref="A23">IFERROR(INDEX(_xlfn._xlws.SORT(_xlfn.UNIQUE(_xlfn._xlws.FILTER(tblCarga[Jogador],(tblCarga[Tipo]="Treino")*(IF($E$3="Todos",TRUE,tblCarga[Microciclo (Nr)]=VALUE($E$3)))*(IF($H$3="Todos",TRUE,tblCarga[Dia MD]=$H$3))))),4),"")</f>
        <v/>
      </c>
      <c r="B23" s="142">
        <f>IF(A23="","",_xlfn.XLOOKUP(A23,Plantel!$A$3:$A$14,Plantel!$B$3:$B$14,""))</f>
        <v/>
      </c>
      <c r="C23" s="333">
        <f>IF(A23="","",AVERAGEIFS(tblCarga[Distância Total (m)],tblCarga[Jogador],A23,tblCarga[Tipo],"Treino",IF($E$3="Todos",tblCarga[Tipo],tblCarga[Microciclo (Nr)]),IF($E$3="Todos","Treino",VALUE($E$3)),IF($H$3="Todos",tblCarga[Tipo],tblCarga[Dia MD]),IF($H$3="Todos","Treino",$H$3)))</f>
        <v/>
      </c>
      <c r="D23" s="333">
        <f>IF(A23="","",AVERAGEIFS(tblCarga[HSR (m)],tblCarga[Jogador],A23,tblCarga[Tipo],"Treino",IF($E$3="Todos",tblCarga[Tipo],tblCarga[Microciclo (Nr)]),IF($E$3="Todos","Treino",VALUE($E$3)),IF($H$3="Todos",tblCarga[Tipo],tblCarga[Dia MD]),IF($H$3="Todos","Treino",$H$3)))</f>
        <v/>
      </c>
      <c r="E23" s="333">
        <f>IF(A23="","",AVERAGEIFS(tblCarga[Sprint (m)],tblCarga[Jogador],A23,tblCarga[Tipo],"Treino",IF($E$3="Todos",tblCarga[Tipo],tblCarga[Microciclo (Nr)]),IF($E$3="Todos","Treino",VALUE($E$3)),IF($H$3="Todos",tblCarga[Tipo],tblCarga[Dia MD]),IF($H$3="Todos","Treino",$H$3)))</f>
        <v/>
      </c>
      <c r="F23" s="467">
        <f>IF(A23="","",AVERAGEIFS(tblCarga[Acc (n)],tblCarga[Jogador],A23,tblCarga[Tipo],"Treino",IF($E$3="Todos",tblCarga[Tipo],tblCarga[Microciclo (Nr)]),IF($E$3="Todos","Treino",VALUE($E$3)),IF($H$3="Todos",tblCarga[Tipo],tblCarga[Dia MD]),IF($H$3="Todos","Treino",$H$3)))</f>
        <v/>
      </c>
      <c r="G23" s="467">
        <f>IF(A23="","",AVERAGEIFS(tblCarga[Dcc (n)],tblCarga[Jogador],A23,tblCarga[Tipo],"Treino",IF($E$3="Todos",tblCarga[Tipo],tblCarga[Microciclo (Nr)]),IF($E$3="Todos","Treino",VALUE($E$3)),IF($H$3="Todos",tblCarga[Tipo],tblCarga[Dia MD]),IF($H$3="Todos","Treino",$H$3)))</f>
        <v/>
      </c>
      <c r="H23" s="467">
        <f>IF(A23="","",AVERAGEIFS(tblCarga[PSE Sessão],tblCarga[Jogador],A23,tblCarga[Tipo],"Treino",IF($E$3="Todos",tblCarga[Tipo],tblCarga[Microciclo (Nr)]),IF($E$3="Todos","Treino",VALUE($E$3)),IF($H$3="Todos",tblCarga[Tipo],tblCarga[Dia MD]),IF($H$3="Todos","Treino",$H$3)))</f>
        <v/>
      </c>
      <c r="I23" s="467">
        <f>IF(A23="","",AVERAGEIFS(tblCarga[Vel. Máx (km/h)],tblCarga[Jogador],A23,tblCarga[Tipo],"Treino",IF($E$3="Todos",tblCarga[Tipo],tblCarga[Microciclo (Nr)]),IF($E$3="Todos","Treino",VALUE($E$3)),IF($H$3="Todos",tblCarga[Tipo],tblCarga[Dia MD]),IF($H$3="Todos","Treino",$H$3)))</f>
        <v/>
      </c>
      <c r="J23" s="467">
        <f>IF(A23="","",_xlfn.MAXIFS(tblCarga[Vel. Máx (km/h)],tblCarga[Jogador],A23,IF($E$3="Todos",tblCarga[Tipo],tblCarga[Microciclo (Nr)]),IF($E$3="Todos","Treino",VALUE($E$3)),IF($H$3="Todos",tblCarga[Tipo],tblCarga[Dia MD]),IF($H$3="Todos","Treino",$H$3)))</f>
        <v/>
      </c>
      <c r="K23" s="333">
        <f t="array" ref="K23">IF(A23="","",SUMPRODUCT((tblCarga[Jogador]=A23)*(tblCarga[Tipo]="Treino")*(IF($E$3="Todos",1,tblCarga[Microciclo (Nr)]=VALUE($E$3)))*(IF($H$3="Todos",1,tblCarga[Dia MD]=$H$3))*tblCarga[PSE Sessão]*tblCarga[Duração (min)]))</f>
        <v/>
      </c>
      <c r="L23" s="467">
        <f>IF(A23="","",IFERROR(C23/AVERAGEIFS(tblCarga[Duração (min)],tblCarga[Jogador],A23,tblCarga[Tipo],"Treino",IF($E$3="Todos",tblCarga[Tipo],tblCarga[Microciclo (Nr)]),IF($E$3="Todos","Treino",VALUE($E$3)),IF($H$3="Todos",tblCarga[Tipo],tblCarga[Dia MD]),IF($H$3="Todos","Treino",$H$3)),"—"))</f>
        <v/>
      </c>
      <c r="M23" s="332">
        <f>IF(A23="","",RANK(C23,C$20:C$34,0))</f>
        <v/>
      </c>
      <c r="N23" s="332">
        <f>IF(A23="","",RANK(K23,K$20:K$34,0))</f>
        <v/>
      </c>
    </row>
    <row r="24" hidden="1" outlineLevel="1">
      <c r="A24" s="470">
        <f t="array" ref="A24">IFERROR(INDEX(_xlfn._xlws.SORT(_xlfn.UNIQUE(_xlfn._xlws.FILTER(tblCarga[Jogador],(tblCarga[Tipo]="Treino")*(IF($E$3="Todos",TRUE,tblCarga[Microciclo (Nr)]=VALUE($E$3)))*(IF($H$3="Todos",TRUE,tblCarga[Dia MD]=$H$3))))),5),"")</f>
        <v/>
      </c>
      <c r="B24" s="147">
        <f>IF(A24="","",_xlfn.XLOOKUP(A24,Plantel!$A$3:$A$14,Plantel!$B$3:$B$14,""))</f>
        <v/>
      </c>
      <c r="C24" s="341">
        <f>IF(A24="","",AVERAGEIFS(tblCarga[Distância Total (m)],tblCarga[Jogador],A24,tblCarga[Tipo],"Treino",IF($E$3="Todos",tblCarga[Tipo],tblCarga[Microciclo (Nr)]),IF($E$3="Todos","Treino",VALUE($E$3)),IF($H$3="Todos",tblCarga[Tipo],tblCarga[Dia MD]),IF($H$3="Todos","Treino",$H$3)))</f>
        <v/>
      </c>
      <c r="D24" s="341">
        <f>IF(A24="","",AVERAGEIFS(tblCarga[HSR (m)],tblCarga[Jogador],A24,tblCarga[Tipo],"Treino",IF($E$3="Todos",tblCarga[Tipo],tblCarga[Microciclo (Nr)]),IF($E$3="Todos","Treino",VALUE($E$3)),IF($H$3="Todos",tblCarga[Tipo],tblCarga[Dia MD]),IF($H$3="Todos","Treino",$H$3)))</f>
        <v/>
      </c>
      <c r="E24" s="341">
        <f>IF(A24="","",AVERAGEIFS(tblCarga[Sprint (m)],tblCarga[Jogador],A24,tblCarga[Tipo],"Treino",IF($E$3="Todos",tblCarga[Tipo],tblCarga[Microciclo (Nr)]),IF($E$3="Todos","Treino",VALUE($E$3)),IF($H$3="Todos",tblCarga[Tipo],tblCarga[Dia MD]),IF($H$3="Todos","Treino",$H$3)))</f>
        <v/>
      </c>
      <c r="F24" s="471">
        <f>IF(A24="","",AVERAGEIFS(tblCarga[Acc (n)],tblCarga[Jogador],A24,tblCarga[Tipo],"Treino",IF($E$3="Todos",tblCarga[Tipo],tblCarga[Microciclo (Nr)]),IF($E$3="Todos","Treino",VALUE($E$3)),IF($H$3="Todos",tblCarga[Tipo],tblCarga[Dia MD]),IF($H$3="Todos","Treino",$H$3)))</f>
        <v/>
      </c>
      <c r="G24" s="471">
        <f>IF(A24="","",AVERAGEIFS(tblCarga[Dcc (n)],tblCarga[Jogador],A24,tblCarga[Tipo],"Treino",IF($E$3="Todos",tblCarga[Tipo],tblCarga[Microciclo (Nr)]),IF($E$3="Todos","Treino",VALUE($E$3)),IF($H$3="Todos",tblCarga[Tipo],tblCarga[Dia MD]),IF($H$3="Todos","Treino",$H$3)))</f>
        <v/>
      </c>
      <c r="H24" s="471">
        <f>IF(A24="","",AVERAGEIFS(tblCarga[PSE Sessão],tblCarga[Jogador],A24,tblCarga[Tipo],"Treino",IF($E$3="Todos",tblCarga[Tipo],tblCarga[Microciclo (Nr)]),IF($E$3="Todos","Treino",VALUE($E$3)),IF($H$3="Todos",tblCarga[Tipo],tblCarga[Dia MD]),IF($H$3="Todos","Treino",$H$3)))</f>
        <v/>
      </c>
      <c r="I24" s="471">
        <f>IF(A24="","",AVERAGEIFS(tblCarga[Vel. Máx (km/h)],tblCarga[Jogador],A24,tblCarga[Tipo],"Treino",IF($E$3="Todos",tblCarga[Tipo],tblCarga[Microciclo (Nr)]),IF($E$3="Todos","Treino",VALUE($E$3)),IF($H$3="Todos",tblCarga[Tipo],tblCarga[Dia MD]),IF($H$3="Todos","Treino",$H$3)))</f>
        <v/>
      </c>
      <c r="J24" s="471">
        <f>IF(A24="","",_xlfn.MAXIFS(tblCarga[Vel. Máx (km/h)],tblCarga[Jogador],A24,IF($E$3="Todos",tblCarga[Tipo],tblCarga[Microciclo (Nr)]),IF($E$3="Todos","Treino",VALUE($E$3)),IF($H$3="Todos",tblCarga[Tipo],tblCarga[Dia MD]),IF($H$3="Todos","Treino",$H$3)))</f>
        <v/>
      </c>
      <c r="K24" s="341">
        <f t="array" ref="K24">IF(A24="","",SUMPRODUCT((tblCarga[Jogador]=A24)*(tblCarga[Tipo]="Treino")*(IF($E$3="Todos",1,tblCarga[Microciclo (Nr)]=VALUE($E$3)))*(IF($H$3="Todos",1,tblCarga[Dia MD]=$H$3))*tblCarga[PSE Sessão]*tblCarga[Duração (min)]))</f>
        <v/>
      </c>
      <c r="L24" s="471">
        <f>IF(A24="","",IFERROR(C24/AVERAGEIFS(tblCarga[Duração (min)],tblCarga[Jogador],A24,tblCarga[Tipo],"Treino",IF($E$3="Todos",tblCarga[Tipo],tblCarga[Microciclo (Nr)]),IF($E$3="Todos","Treino",VALUE($E$3)),IF($H$3="Todos",tblCarga[Tipo],tblCarga[Dia MD]),IF($H$3="Todos","Treino",$H$3)),"—"))</f>
        <v/>
      </c>
      <c r="M24" s="340">
        <f>IF(A24="","",RANK(C24,C$20:C$34,0))</f>
        <v/>
      </c>
      <c r="N24" s="340">
        <f>IF(A24="","",RANK(K24,K$20:K$34,0))</f>
        <v/>
      </c>
    </row>
    <row r="25" hidden="1" outlineLevel="1">
      <c r="A25" s="466">
        <f t="array" ref="A25">IFERROR(INDEX(_xlfn._xlws.SORT(_xlfn.UNIQUE(_xlfn._xlws.FILTER(tblCarga[Jogador],(tblCarga[Tipo]="Treino")*(IF($E$3="Todos",TRUE,tblCarga[Microciclo (Nr)]=VALUE($E$3)))*(IF($H$3="Todos",TRUE,tblCarga[Dia MD]=$H$3))))),6),"")</f>
        <v/>
      </c>
      <c r="B25" s="142">
        <f>IF(A25="","",_xlfn.XLOOKUP(A25,Plantel!$A$3:$A$14,Plantel!$B$3:$B$14,""))</f>
        <v/>
      </c>
      <c r="C25" s="333">
        <f>IF(A25="","",AVERAGEIFS(tblCarga[Distância Total (m)],tblCarga[Jogador],A25,tblCarga[Tipo],"Treino",IF($E$3="Todos",tblCarga[Tipo],tblCarga[Microciclo (Nr)]),IF($E$3="Todos","Treino",VALUE($E$3)),IF($H$3="Todos",tblCarga[Tipo],tblCarga[Dia MD]),IF($H$3="Todos","Treino",$H$3)))</f>
        <v/>
      </c>
      <c r="D25" s="333">
        <f>IF(A25="","",AVERAGEIFS(tblCarga[HSR (m)],tblCarga[Jogador],A25,tblCarga[Tipo],"Treino",IF($E$3="Todos",tblCarga[Tipo],tblCarga[Microciclo (Nr)]),IF($E$3="Todos","Treino",VALUE($E$3)),IF($H$3="Todos",tblCarga[Tipo],tblCarga[Dia MD]),IF($H$3="Todos","Treino",$H$3)))</f>
        <v/>
      </c>
      <c r="E25" s="333">
        <f>IF(A25="","",AVERAGEIFS(tblCarga[Sprint (m)],tblCarga[Jogador],A25,tblCarga[Tipo],"Treino",IF($E$3="Todos",tblCarga[Tipo],tblCarga[Microciclo (Nr)]),IF($E$3="Todos","Treino",VALUE($E$3)),IF($H$3="Todos",tblCarga[Tipo],tblCarga[Dia MD]),IF($H$3="Todos","Treino",$H$3)))</f>
        <v/>
      </c>
      <c r="F25" s="467">
        <f>IF(A25="","",AVERAGEIFS(tblCarga[Acc (n)],tblCarga[Jogador],A25,tblCarga[Tipo],"Treino",IF($E$3="Todos",tblCarga[Tipo],tblCarga[Microciclo (Nr)]),IF($E$3="Todos","Treino",VALUE($E$3)),IF($H$3="Todos",tblCarga[Tipo],tblCarga[Dia MD]),IF($H$3="Todos","Treino",$H$3)))</f>
        <v/>
      </c>
      <c r="G25" s="467">
        <f>IF(A25="","",AVERAGEIFS(tblCarga[Dcc (n)],tblCarga[Jogador],A25,tblCarga[Tipo],"Treino",IF($E$3="Todos",tblCarga[Tipo],tblCarga[Microciclo (Nr)]),IF($E$3="Todos","Treino",VALUE($E$3)),IF($H$3="Todos",tblCarga[Tipo],tblCarga[Dia MD]),IF($H$3="Todos","Treino",$H$3)))</f>
        <v/>
      </c>
      <c r="H25" s="467">
        <f>IF(A25="","",AVERAGEIFS(tblCarga[PSE Sessão],tblCarga[Jogador],A25,tblCarga[Tipo],"Treino",IF($E$3="Todos",tblCarga[Tipo],tblCarga[Microciclo (Nr)]),IF($E$3="Todos","Treino",VALUE($E$3)),IF($H$3="Todos",tblCarga[Tipo],tblCarga[Dia MD]),IF($H$3="Todos","Treino",$H$3)))</f>
        <v/>
      </c>
      <c r="I25" s="467">
        <f>IF(A25="","",AVERAGEIFS(tblCarga[Vel. Máx (km/h)],tblCarga[Jogador],A25,tblCarga[Tipo],"Treino",IF($E$3="Todos",tblCarga[Tipo],tblCarga[Microciclo (Nr)]),IF($E$3="Todos","Treino",VALUE($E$3)),IF($H$3="Todos",tblCarga[Tipo],tblCarga[Dia MD]),IF($H$3="Todos","Treino",$H$3)))</f>
        <v/>
      </c>
      <c r="J25" s="467">
        <f>IF(A25="","",_xlfn.MAXIFS(tblCarga[Vel. Máx (km/h)],tblCarga[Jogador],A25,IF($E$3="Todos",tblCarga[Tipo],tblCarga[Microciclo (Nr)]),IF($E$3="Todos","Treino",VALUE($E$3)),IF($H$3="Todos",tblCarga[Tipo],tblCarga[Dia MD]),IF($H$3="Todos","Treino",$H$3)))</f>
        <v/>
      </c>
      <c r="K25" s="333">
        <f t="array" ref="K25">IF(A25="","",SUMPRODUCT((tblCarga[Jogador]=A25)*(tblCarga[Tipo]="Treino")*(IF($E$3="Todos",1,tblCarga[Microciclo (Nr)]=VALUE($E$3)))*(IF($H$3="Todos",1,tblCarga[Dia MD]=$H$3))*tblCarga[PSE Sessão]*tblCarga[Duração (min)]))</f>
        <v/>
      </c>
      <c r="L25" s="467">
        <f>IF(A25="","",IFERROR(C25/AVERAGEIFS(tblCarga[Duração (min)],tblCarga[Jogador],A25,tblCarga[Tipo],"Treino",IF($E$3="Todos",tblCarga[Tipo],tblCarga[Microciclo (Nr)]),IF($E$3="Todos","Treino",VALUE($E$3)),IF($H$3="Todos",tblCarga[Tipo],tblCarga[Dia MD]),IF($H$3="Todos","Treino",$H$3)),"—"))</f>
        <v/>
      </c>
      <c r="M25" s="332">
        <f>IF(A25="","",RANK(C25,C$20:C$34,0))</f>
        <v/>
      </c>
      <c r="N25" s="332">
        <f>IF(A25="","",RANK(K25,K$20:K$34,0))</f>
        <v/>
      </c>
    </row>
    <row r="26" hidden="1" outlineLevel="1">
      <c r="A26" s="470">
        <f t="array" ref="A26">IFERROR(INDEX(_xlfn._xlws.SORT(_xlfn.UNIQUE(_xlfn._xlws.FILTER(tblCarga[Jogador],(tblCarga[Tipo]="Treino")*(IF($E$3="Todos",TRUE,tblCarga[Microciclo (Nr)]=VALUE($E$3)))*(IF($H$3="Todos",TRUE,tblCarga[Dia MD]=$H$3))))),7),"")</f>
        <v/>
      </c>
      <c r="B26" s="147">
        <f>IF(A26="","",_xlfn.XLOOKUP(A26,Plantel!$A$3:$A$14,Plantel!$B$3:$B$14,""))</f>
        <v/>
      </c>
      <c r="C26" s="341">
        <f>IF(A26="","",AVERAGEIFS(tblCarga[Distância Total (m)],tblCarga[Jogador],A26,tblCarga[Tipo],"Treino",IF($E$3="Todos",tblCarga[Tipo],tblCarga[Microciclo (Nr)]),IF($E$3="Todos","Treino",VALUE($E$3)),IF($H$3="Todos",tblCarga[Tipo],tblCarga[Dia MD]),IF($H$3="Todos","Treino",$H$3)))</f>
        <v/>
      </c>
      <c r="D26" s="341">
        <f>IF(A26="","",AVERAGEIFS(tblCarga[HSR (m)],tblCarga[Jogador],A26,tblCarga[Tipo],"Treino",IF($E$3="Todos",tblCarga[Tipo],tblCarga[Microciclo (Nr)]),IF($E$3="Todos","Treino",VALUE($E$3)),IF($H$3="Todos",tblCarga[Tipo],tblCarga[Dia MD]),IF($H$3="Todos","Treino",$H$3)))</f>
        <v/>
      </c>
      <c r="E26" s="341">
        <f>IF(A26="","",AVERAGEIFS(tblCarga[Sprint (m)],tblCarga[Jogador],A26,tblCarga[Tipo],"Treino",IF($E$3="Todos",tblCarga[Tipo],tblCarga[Microciclo (Nr)]),IF($E$3="Todos","Treino",VALUE($E$3)),IF($H$3="Todos",tblCarga[Tipo],tblCarga[Dia MD]),IF($H$3="Todos","Treino",$H$3)))</f>
        <v/>
      </c>
      <c r="F26" s="471">
        <f>IF(A26="","",AVERAGEIFS(tblCarga[Acc (n)],tblCarga[Jogador],A26,tblCarga[Tipo],"Treino",IF($E$3="Todos",tblCarga[Tipo],tblCarga[Microciclo (Nr)]),IF($E$3="Todos","Treino",VALUE($E$3)),IF($H$3="Todos",tblCarga[Tipo],tblCarga[Dia MD]),IF($H$3="Todos","Treino",$H$3)))</f>
        <v/>
      </c>
      <c r="G26" s="471">
        <f>IF(A26="","",AVERAGEIFS(tblCarga[Dcc (n)],tblCarga[Jogador],A26,tblCarga[Tipo],"Treino",IF($E$3="Todos",tblCarga[Tipo],tblCarga[Microciclo (Nr)]),IF($E$3="Todos","Treino",VALUE($E$3)),IF($H$3="Todos",tblCarga[Tipo],tblCarga[Dia MD]),IF($H$3="Todos","Treino",$H$3)))</f>
        <v/>
      </c>
      <c r="H26" s="471">
        <f>IF(A26="","",AVERAGEIFS(tblCarga[PSE Sessão],tblCarga[Jogador],A26,tblCarga[Tipo],"Treino",IF($E$3="Todos",tblCarga[Tipo],tblCarga[Microciclo (Nr)]),IF($E$3="Todos","Treino",VALUE($E$3)),IF($H$3="Todos",tblCarga[Tipo],tblCarga[Dia MD]),IF($H$3="Todos","Treino",$H$3)))</f>
        <v/>
      </c>
      <c r="I26" s="471">
        <f>IF(A26="","",AVERAGEIFS(tblCarga[Vel. Máx (km/h)],tblCarga[Jogador],A26,tblCarga[Tipo],"Treino",IF($E$3="Todos",tblCarga[Tipo],tblCarga[Microciclo (Nr)]),IF($E$3="Todos","Treino",VALUE($E$3)),IF($H$3="Todos",tblCarga[Tipo],tblCarga[Dia MD]),IF($H$3="Todos","Treino",$H$3)))</f>
        <v/>
      </c>
      <c r="J26" s="471">
        <f>IF(A26="","",_xlfn.MAXIFS(tblCarga[Vel. Máx (km/h)],tblCarga[Jogador],A26,IF($E$3="Todos",tblCarga[Tipo],tblCarga[Microciclo (Nr)]),IF($E$3="Todos","Treino",VALUE($E$3)),IF($H$3="Todos",tblCarga[Tipo],tblCarga[Dia MD]),IF($H$3="Todos","Treino",$H$3)))</f>
        <v/>
      </c>
      <c r="K26" s="341">
        <f t="array" ref="K26">IF(A26="","",SUMPRODUCT((tblCarga[Jogador]=A26)*(tblCarga[Tipo]="Treino")*(IF($E$3="Todos",1,tblCarga[Microciclo (Nr)]=VALUE($E$3)))*(IF($H$3="Todos",1,tblCarga[Dia MD]=$H$3))*tblCarga[PSE Sessão]*tblCarga[Duração (min)]))</f>
        <v/>
      </c>
      <c r="L26" s="471">
        <f>IF(A26="","",IFERROR(C26/AVERAGEIFS(tblCarga[Duração (min)],tblCarga[Jogador],A26,tblCarga[Tipo],"Treino",IF($E$3="Todos",tblCarga[Tipo],tblCarga[Microciclo (Nr)]),IF($E$3="Todos","Treino",VALUE($E$3)),IF($H$3="Todos",tblCarga[Tipo],tblCarga[Dia MD]),IF($H$3="Todos","Treino",$H$3)),"—"))</f>
        <v/>
      </c>
      <c r="M26" s="340">
        <f>IF(A26="","",RANK(C26,C$20:C$34,0))</f>
        <v/>
      </c>
      <c r="N26" s="340">
        <f>IF(A26="","",RANK(K26,K$20:K$34,0))</f>
        <v/>
      </c>
    </row>
    <row r="27" hidden="1" outlineLevel="1">
      <c r="A27" s="466">
        <f t="array" ref="A27">IFERROR(INDEX(_xlfn._xlws.SORT(_xlfn.UNIQUE(_xlfn._xlws.FILTER(tblCarga[Jogador],(tblCarga[Tipo]="Treino")*(IF($E$3="Todos",TRUE,tblCarga[Microciclo (Nr)]=VALUE($E$3)))*(IF($H$3="Todos",TRUE,tblCarga[Dia MD]=$H$3))))),8),"")</f>
        <v/>
      </c>
      <c r="B27" s="142">
        <f>IF(A27="","",_xlfn.XLOOKUP(A27,Plantel!$A$3:$A$14,Plantel!$B$3:$B$14,""))</f>
        <v/>
      </c>
      <c r="C27" s="333">
        <f>IF(A27="","",AVERAGEIFS(tblCarga[Distância Total (m)],tblCarga[Jogador],A27,tblCarga[Tipo],"Treino",IF($E$3="Todos",tblCarga[Tipo],tblCarga[Microciclo (Nr)]),IF($E$3="Todos","Treino",VALUE($E$3)),IF($H$3="Todos",tblCarga[Tipo],tblCarga[Dia MD]),IF($H$3="Todos","Treino",$H$3)))</f>
        <v/>
      </c>
      <c r="D27" s="333">
        <f>IF(A27="","",AVERAGEIFS(tblCarga[HSR (m)],tblCarga[Jogador],A27,tblCarga[Tipo],"Treino",IF($E$3="Todos",tblCarga[Tipo],tblCarga[Microciclo (Nr)]),IF($E$3="Todos","Treino",VALUE($E$3)),IF($H$3="Todos",tblCarga[Tipo],tblCarga[Dia MD]),IF($H$3="Todos","Treino",$H$3)))</f>
        <v/>
      </c>
      <c r="E27" s="333">
        <f>IF(A27="","",AVERAGEIFS(tblCarga[Sprint (m)],tblCarga[Jogador],A27,tblCarga[Tipo],"Treino",IF($E$3="Todos",tblCarga[Tipo],tblCarga[Microciclo (Nr)]),IF($E$3="Todos","Treino",VALUE($E$3)),IF($H$3="Todos",tblCarga[Tipo],tblCarga[Dia MD]),IF($H$3="Todos","Treino",$H$3)))</f>
        <v/>
      </c>
      <c r="F27" s="467">
        <f>IF(A27="","",AVERAGEIFS(tblCarga[Acc (n)],tblCarga[Jogador],A27,tblCarga[Tipo],"Treino",IF($E$3="Todos",tblCarga[Tipo],tblCarga[Microciclo (Nr)]),IF($E$3="Todos","Treino",VALUE($E$3)),IF($H$3="Todos",tblCarga[Tipo],tblCarga[Dia MD]),IF($H$3="Todos","Treino",$H$3)))</f>
        <v/>
      </c>
      <c r="G27" s="467">
        <f>IF(A27="","",AVERAGEIFS(tblCarga[Dcc (n)],tblCarga[Jogador],A27,tblCarga[Tipo],"Treino",IF($E$3="Todos",tblCarga[Tipo],tblCarga[Microciclo (Nr)]),IF($E$3="Todos","Treino",VALUE($E$3)),IF($H$3="Todos",tblCarga[Tipo],tblCarga[Dia MD]),IF($H$3="Todos","Treino",$H$3)))</f>
        <v/>
      </c>
      <c r="H27" s="467">
        <f>IF(A27="","",AVERAGEIFS(tblCarga[PSE Sessão],tblCarga[Jogador],A27,tblCarga[Tipo],"Treino",IF($E$3="Todos",tblCarga[Tipo],tblCarga[Microciclo (Nr)]),IF($E$3="Todos","Treino",VALUE($E$3)),IF($H$3="Todos",tblCarga[Tipo],tblCarga[Dia MD]),IF($H$3="Todos","Treino",$H$3)))</f>
        <v/>
      </c>
      <c r="I27" s="467">
        <f>IF(A27="","",AVERAGEIFS(tblCarga[Vel. Máx (km/h)],tblCarga[Jogador],A27,tblCarga[Tipo],"Treino",IF($E$3="Todos",tblCarga[Tipo],tblCarga[Microciclo (Nr)]),IF($E$3="Todos","Treino",VALUE($E$3)),IF($H$3="Todos",tblCarga[Tipo],tblCarga[Dia MD]),IF($H$3="Todos","Treino",$H$3)))</f>
        <v/>
      </c>
      <c r="J27" s="467">
        <f>IF(A27="","",_xlfn.MAXIFS(tblCarga[Vel. Máx (km/h)],tblCarga[Jogador],A27,IF($E$3="Todos",tblCarga[Tipo],tblCarga[Microciclo (Nr)]),IF($E$3="Todos","Treino",VALUE($E$3)),IF($H$3="Todos",tblCarga[Tipo],tblCarga[Dia MD]),IF($H$3="Todos","Treino",$H$3)))</f>
        <v/>
      </c>
      <c r="K27" s="333">
        <f t="array" ref="K27">IF(A27="","",SUMPRODUCT((tblCarga[Jogador]=A27)*(tblCarga[Tipo]="Treino")*(IF($E$3="Todos",1,tblCarga[Microciclo (Nr)]=VALUE($E$3)))*(IF($H$3="Todos",1,tblCarga[Dia MD]=$H$3))*tblCarga[PSE Sessão]*tblCarga[Duração (min)]))</f>
        <v/>
      </c>
      <c r="L27" s="467">
        <f>IF(A27="","",IFERROR(C27/AVERAGEIFS(tblCarga[Duração (min)],tblCarga[Jogador],A27,tblCarga[Tipo],"Treino",IF($E$3="Todos",tblCarga[Tipo],tblCarga[Microciclo (Nr)]),IF($E$3="Todos","Treino",VALUE($E$3)),IF($H$3="Todos",tblCarga[Tipo],tblCarga[Dia MD]),IF($H$3="Todos","Treino",$H$3)),"—"))</f>
        <v/>
      </c>
      <c r="M27" s="332">
        <f>IF(A27="","",RANK(C27,C$20:C$34,0))</f>
        <v/>
      </c>
      <c r="N27" s="332">
        <f>IF(A27="","",RANK(K27,K$20:K$34,0))</f>
        <v/>
      </c>
    </row>
    <row r="28" hidden="1" outlineLevel="1">
      <c r="A28" s="470">
        <f t="array" ref="A28">IFERROR(INDEX(_xlfn._xlws.SORT(_xlfn.UNIQUE(_xlfn._xlws.FILTER(tblCarga[Jogador],(tblCarga[Tipo]="Treino")*(IF($E$3="Todos",TRUE,tblCarga[Microciclo (Nr)]=VALUE($E$3)))*(IF($H$3="Todos",TRUE,tblCarga[Dia MD]=$H$3))))),9),"")</f>
        <v/>
      </c>
      <c r="B28" s="147">
        <f>IF(A28="","",_xlfn.XLOOKUP(A28,Plantel!$A$3:$A$14,Plantel!$B$3:$B$14,""))</f>
        <v/>
      </c>
      <c r="C28" s="341">
        <f>IF(A28="","",AVERAGEIFS(tblCarga[Distância Total (m)],tblCarga[Jogador],A28,tblCarga[Tipo],"Treino",IF($E$3="Todos",tblCarga[Tipo],tblCarga[Microciclo (Nr)]),IF($E$3="Todos","Treino",VALUE($E$3)),IF($H$3="Todos",tblCarga[Tipo],tblCarga[Dia MD]),IF($H$3="Todos","Treino",$H$3)))</f>
        <v/>
      </c>
      <c r="D28" s="341">
        <f>IF(A28="","",AVERAGEIFS(tblCarga[HSR (m)],tblCarga[Jogador],A28,tblCarga[Tipo],"Treino",IF($E$3="Todos",tblCarga[Tipo],tblCarga[Microciclo (Nr)]),IF($E$3="Todos","Treino",VALUE($E$3)),IF($H$3="Todos",tblCarga[Tipo],tblCarga[Dia MD]),IF($H$3="Todos","Treino",$H$3)))</f>
        <v/>
      </c>
      <c r="E28" s="341">
        <f>IF(A28="","",AVERAGEIFS(tblCarga[Sprint (m)],tblCarga[Jogador],A28,tblCarga[Tipo],"Treino",IF($E$3="Todos",tblCarga[Tipo],tblCarga[Microciclo (Nr)]),IF($E$3="Todos","Treino",VALUE($E$3)),IF($H$3="Todos",tblCarga[Tipo],tblCarga[Dia MD]),IF($H$3="Todos","Treino",$H$3)))</f>
        <v/>
      </c>
      <c r="F28" s="471">
        <f>IF(A28="","",AVERAGEIFS(tblCarga[Acc (n)],tblCarga[Jogador],A28,tblCarga[Tipo],"Treino",IF($E$3="Todos",tblCarga[Tipo],tblCarga[Microciclo (Nr)]),IF($E$3="Todos","Treino",VALUE($E$3)),IF($H$3="Todos",tblCarga[Tipo],tblCarga[Dia MD]),IF($H$3="Todos","Treino",$H$3)))</f>
        <v/>
      </c>
      <c r="G28" s="471">
        <f>IF(A28="","",AVERAGEIFS(tblCarga[Dcc (n)],tblCarga[Jogador],A28,tblCarga[Tipo],"Treino",IF($E$3="Todos",tblCarga[Tipo],tblCarga[Microciclo (Nr)]),IF($E$3="Todos","Treino",VALUE($E$3)),IF($H$3="Todos",tblCarga[Tipo],tblCarga[Dia MD]),IF($H$3="Todos","Treino",$H$3)))</f>
        <v/>
      </c>
      <c r="H28" s="471">
        <f>IF(A28="","",AVERAGEIFS(tblCarga[PSE Sessão],tblCarga[Jogador],A28,tblCarga[Tipo],"Treino",IF($E$3="Todos",tblCarga[Tipo],tblCarga[Microciclo (Nr)]),IF($E$3="Todos","Treino",VALUE($E$3)),IF($H$3="Todos",tblCarga[Tipo],tblCarga[Dia MD]),IF($H$3="Todos","Treino",$H$3)))</f>
        <v/>
      </c>
      <c r="I28" s="471">
        <f>IF(A28="","",AVERAGEIFS(tblCarga[Vel. Máx (km/h)],tblCarga[Jogador],A28,tblCarga[Tipo],"Treino",IF($E$3="Todos",tblCarga[Tipo],tblCarga[Microciclo (Nr)]),IF($E$3="Todos","Treino",VALUE($E$3)),IF($H$3="Todos",tblCarga[Tipo],tblCarga[Dia MD]),IF($H$3="Todos","Treino",$H$3)))</f>
        <v/>
      </c>
      <c r="J28" s="471">
        <f>IF(A28="","",_xlfn.MAXIFS(tblCarga[Vel. Máx (km/h)],tblCarga[Jogador],A28,IF($E$3="Todos",tblCarga[Tipo],tblCarga[Microciclo (Nr)]),IF($E$3="Todos","Treino",VALUE($E$3)),IF($H$3="Todos",tblCarga[Tipo],tblCarga[Dia MD]),IF($H$3="Todos","Treino",$H$3)))</f>
        <v/>
      </c>
      <c r="K28" s="341">
        <f t="array" ref="K28">IF(A28="","",SUMPRODUCT((tblCarga[Jogador]=A28)*(tblCarga[Tipo]="Treino")*(IF($E$3="Todos",1,tblCarga[Microciclo (Nr)]=VALUE($E$3)))*(IF($H$3="Todos",1,tblCarga[Dia MD]=$H$3))*tblCarga[PSE Sessão]*tblCarga[Duração (min)]))</f>
        <v/>
      </c>
      <c r="L28" s="471">
        <f>IF(A28="","",IFERROR(C28/AVERAGEIFS(tblCarga[Duração (min)],tblCarga[Jogador],A28,tblCarga[Tipo],"Treino",IF($E$3="Todos",tblCarga[Tipo],tblCarga[Microciclo (Nr)]),IF($E$3="Todos","Treino",VALUE($E$3)),IF($H$3="Todos",tblCarga[Tipo],tblCarga[Dia MD]),IF($H$3="Todos","Treino",$H$3)),"—"))</f>
        <v/>
      </c>
      <c r="M28" s="340">
        <f>IF(A28="","",RANK(C28,C$20:C$34,0))</f>
        <v/>
      </c>
      <c r="N28" s="340">
        <f>IF(A28="","",RANK(K28,K$20:K$34,0))</f>
        <v/>
      </c>
    </row>
    <row r="29" hidden="1" outlineLevel="1">
      <c r="A29" s="466">
        <f t="array" ref="A29">IFERROR(INDEX(_xlfn._xlws.SORT(_xlfn.UNIQUE(_xlfn._xlws.FILTER(tblCarga[Jogador],(tblCarga[Tipo]="Treino")*(IF($E$3="Todos",TRUE,tblCarga[Microciclo (Nr)]=VALUE($E$3)))*(IF($H$3="Todos",TRUE,tblCarga[Dia MD]=$H$3))))),10),"")</f>
        <v/>
      </c>
      <c r="B29" s="142">
        <f>IF(A29="","",_xlfn.XLOOKUP(A29,Plantel!$A$3:$A$14,Plantel!$B$3:$B$14,""))</f>
        <v/>
      </c>
      <c r="C29" s="333">
        <f>IF(A29="","",AVERAGEIFS(tblCarga[Distância Total (m)],tblCarga[Jogador],A29,tblCarga[Tipo],"Treino",IF($E$3="Todos",tblCarga[Tipo],tblCarga[Microciclo (Nr)]),IF($E$3="Todos","Treino",VALUE($E$3)),IF($H$3="Todos",tblCarga[Tipo],tblCarga[Dia MD]),IF($H$3="Todos","Treino",$H$3)))</f>
        <v/>
      </c>
      <c r="D29" s="333">
        <f>IF(A29="","",AVERAGEIFS(tblCarga[HSR (m)],tblCarga[Jogador],A29,tblCarga[Tipo],"Treino",IF($E$3="Todos",tblCarga[Tipo],tblCarga[Microciclo (Nr)]),IF($E$3="Todos","Treino",VALUE($E$3)),IF($H$3="Todos",tblCarga[Tipo],tblCarga[Dia MD]),IF($H$3="Todos","Treino",$H$3)))</f>
        <v/>
      </c>
      <c r="E29" s="333">
        <f>IF(A29="","",AVERAGEIFS(tblCarga[Sprint (m)],tblCarga[Jogador],A29,tblCarga[Tipo],"Treino",IF($E$3="Todos",tblCarga[Tipo],tblCarga[Microciclo (Nr)]),IF($E$3="Todos","Treino",VALUE($E$3)),IF($H$3="Todos",tblCarga[Tipo],tblCarga[Dia MD]),IF($H$3="Todos","Treino",$H$3)))</f>
        <v/>
      </c>
      <c r="F29" s="467">
        <f>IF(A29="","",AVERAGEIFS(tblCarga[Acc (n)],tblCarga[Jogador],A29,tblCarga[Tipo],"Treino",IF($E$3="Todos",tblCarga[Tipo],tblCarga[Microciclo (Nr)]),IF($E$3="Todos","Treino",VALUE($E$3)),IF($H$3="Todos",tblCarga[Tipo],tblCarga[Dia MD]),IF($H$3="Todos","Treino",$H$3)))</f>
        <v/>
      </c>
      <c r="G29" s="467">
        <f>IF(A29="","",AVERAGEIFS(tblCarga[Dcc (n)],tblCarga[Jogador],A29,tblCarga[Tipo],"Treino",IF($E$3="Todos",tblCarga[Tipo],tblCarga[Microciclo (Nr)]),IF($E$3="Todos","Treino",VALUE($E$3)),IF($H$3="Todos",tblCarga[Tipo],tblCarga[Dia MD]),IF($H$3="Todos","Treino",$H$3)))</f>
        <v/>
      </c>
      <c r="H29" s="467">
        <f>IF(A29="","",AVERAGEIFS(tblCarga[PSE Sessão],tblCarga[Jogador],A29,tblCarga[Tipo],"Treino",IF($E$3="Todos",tblCarga[Tipo],tblCarga[Microciclo (Nr)]),IF($E$3="Todos","Treino",VALUE($E$3)),IF($H$3="Todos",tblCarga[Tipo],tblCarga[Dia MD]),IF($H$3="Todos","Treino",$H$3)))</f>
        <v/>
      </c>
      <c r="I29" s="467">
        <f>IF(A29="","",AVERAGEIFS(tblCarga[Vel. Máx (km/h)],tblCarga[Jogador],A29,tblCarga[Tipo],"Treino",IF($E$3="Todos",tblCarga[Tipo],tblCarga[Microciclo (Nr)]),IF($E$3="Todos","Treino",VALUE($E$3)),IF($H$3="Todos",tblCarga[Tipo],tblCarga[Dia MD]),IF($H$3="Todos","Treino",$H$3)))</f>
        <v/>
      </c>
      <c r="J29" s="467">
        <f>IF(A29="","",_xlfn.MAXIFS(tblCarga[Vel. Máx (km/h)],tblCarga[Jogador],A29,IF($E$3="Todos",tblCarga[Tipo],tblCarga[Microciclo (Nr)]),IF($E$3="Todos","Treino",VALUE($E$3)),IF($H$3="Todos",tblCarga[Tipo],tblCarga[Dia MD]),IF($H$3="Todos","Treino",$H$3)))</f>
        <v/>
      </c>
      <c r="K29" s="333">
        <f t="array" ref="K29">IF(A29="","",SUMPRODUCT((tblCarga[Jogador]=A29)*(tblCarga[Tipo]="Treino")*(IF($E$3="Todos",1,tblCarga[Microciclo (Nr)]=VALUE($E$3)))*(IF($H$3="Todos",1,tblCarga[Dia MD]=$H$3))*tblCarga[PSE Sessão]*tblCarga[Duração (min)]))</f>
        <v/>
      </c>
      <c r="L29" s="467">
        <f>IF(A29="","",IFERROR(C29/AVERAGEIFS(tblCarga[Duração (min)],tblCarga[Jogador],A29,tblCarga[Tipo],"Treino",IF($E$3="Todos",tblCarga[Tipo],tblCarga[Microciclo (Nr)]),IF($E$3="Todos","Treino",VALUE($E$3)),IF($H$3="Todos",tblCarga[Tipo],tblCarga[Dia MD]),IF($H$3="Todos","Treino",$H$3)),"—"))</f>
        <v/>
      </c>
      <c r="M29" s="332">
        <f>IF(A29="","",RANK(C29,C$20:C$34,0))</f>
        <v/>
      </c>
      <c r="N29" s="332">
        <f>IF(A29="","",RANK(K29,K$20:K$34,0))</f>
        <v/>
      </c>
    </row>
    <row r="30" hidden="1" outlineLevel="1">
      <c r="A30" s="470">
        <f t="array" ref="A30">IFERROR(INDEX(_xlfn._xlws.SORT(_xlfn.UNIQUE(_xlfn._xlws.FILTER(tblCarga[Jogador],(tblCarga[Tipo]="Treino")*(IF($E$3="Todos",TRUE,tblCarga[Microciclo (Nr)]=VALUE($E$3)))*(IF($H$3="Todos",TRUE,tblCarga[Dia MD]=$H$3))))),11),"")</f>
        <v/>
      </c>
      <c r="B30" s="147">
        <f>IF(A30="","",_xlfn.XLOOKUP(A30,Plantel!$A$3:$A$14,Plantel!$B$3:$B$14,""))</f>
        <v/>
      </c>
      <c r="C30" s="341">
        <f>IF(A30="","",AVERAGEIFS(tblCarga[Distância Total (m)],tblCarga[Jogador],A30,tblCarga[Tipo],"Treino",IF($E$3="Todos",tblCarga[Tipo],tblCarga[Microciclo (Nr)]),IF($E$3="Todos","Treino",VALUE($E$3)),IF($H$3="Todos",tblCarga[Tipo],tblCarga[Dia MD]),IF($H$3="Todos","Treino",$H$3)))</f>
        <v/>
      </c>
      <c r="D30" s="341">
        <f>IF(A30="","",AVERAGEIFS(tblCarga[HSR (m)],tblCarga[Jogador],A30,tblCarga[Tipo],"Treino",IF($E$3="Todos",tblCarga[Tipo],tblCarga[Microciclo (Nr)]),IF($E$3="Todos","Treino",VALUE($E$3)),IF($H$3="Todos",tblCarga[Tipo],tblCarga[Dia MD]),IF($H$3="Todos","Treino",$H$3)))</f>
        <v/>
      </c>
      <c r="E30" s="341">
        <f>IF(A30="","",AVERAGEIFS(tblCarga[Sprint (m)],tblCarga[Jogador],A30,tblCarga[Tipo],"Treino",IF($E$3="Todos",tblCarga[Tipo],tblCarga[Microciclo (Nr)]),IF($E$3="Todos","Treino",VALUE($E$3)),IF($H$3="Todos",tblCarga[Tipo],tblCarga[Dia MD]),IF($H$3="Todos","Treino",$H$3)))</f>
        <v/>
      </c>
      <c r="F30" s="471">
        <f>IF(A30="","",AVERAGEIFS(tblCarga[Acc (n)],tblCarga[Jogador],A30,tblCarga[Tipo],"Treino",IF($E$3="Todos",tblCarga[Tipo],tblCarga[Microciclo (Nr)]),IF($E$3="Todos","Treino",VALUE($E$3)),IF($H$3="Todos",tblCarga[Tipo],tblCarga[Dia MD]),IF($H$3="Todos","Treino",$H$3)))</f>
        <v/>
      </c>
      <c r="G30" s="471">
        <f>IF(A30="","",AVERAGEIFS(tblCarga[Dcc (n)],tblCarga[Jogador],A30,tblCarga[Tipo],"Treino",IF($E$3="Todos",tblCarga[Tipo],tblCarga[Microciclo (Nr)]),IF($E$3="Todos","Treino",VALUE($E$3)),IF($H$3="Todos",tblCarga[Tipo],tblCarga[Dia MD]),IF($H$3="Todos","Treino",$H$3)))</f>
        <v/>
      </c>
      <c r="H30" s="471">
        <f>IF(A30="","",AVERAGEIFS(tblCarga[PSE Sessão],tblCarga[Jogador],A30,tblCarga[Tipo],"Treino",IF($E$3="Todos",tblCarga[Tipo],tblCarga[Microciclo (Nr)]),IF($E$3="Todos","Treino",VALUE($E$3)),IF($H$3="Todos",tblCarga[Tipo],tblCarga[Dia MD]),IF($H$3="Todos","Treino",$H$3)))</f>
        <v/>
      </c>
      <c r="I30" s="471">
        <f>IF(A30="","",AVERAGEIFS(tblCarga[Vel. Máx (km/h)],tblCarga[Jogador],A30,tblCarga[Tipo],"Treino",IF($E$3="Todos",tblCarga[Tipo],tblCarga[Microciclo (Nr)]),IF($E$3="Todos","Treino",VALUE($E$3)),IF($H$3="Todos",tblCarga[Tipo],tblCarga[Dia MD]),IF($H$3="Todos","Treino",$H$3)))</f>
        <v/>
      </c>
      <c r="J30" s="471">
        <f>IF(A30="","",_xlfn.MAXIFS(tblCarga[Vel. Máx (km/h)],tblCarga[Jogador],A30,IF($E$3="Todos",tblCarga[Tipo],tblCarga[Microciclo (Nr)]),IF($E$3="Todos","Treino",VALUE($E$3)),IF($H$3="Todos",tblCarga[Tipo],tblCarga[Dia MD]),IF($H$3="Todos","Treino",$H$3)))</f>
        <v/>
      </c>
      <c r="K30" s="341">
        <f t="array" ref="K30">IF(A30="","",SUMPRODUCT((tblCarga[Jogador]=A30)*(tblCarga[Tipo]="Treino")*(IF($E$3="Todos",1,tblCarga[Microciclo (Nr)]=VALUE($E$3)))*(IF($H$3="Todos",1,tblCarga[Dia MD]=$H$3))*tblCarga[PSE Sessão]*tblCarga[Duração (min)]))</f>
        <v/>
      </c>
      <c r="L30" s="471">
        <f>IF(A30="","",IFERROR(C30/AVERAGEIFS(tblCarga[Duração (min)],tblCarga[Jogador],A30,tblCarga[Tipo],"Treino",IF($E$3="Todos",tblCarga[Tipo],tblCarga[Microciclo (Nr)]),IF($E$3="Todos","Treino",VALUE($E$3)),IF($H$3="Todos",tblCarga[Tipo],tblCarga[Dia MD]),IF($H$3="Todos","Treino",$H$3)),"—"))</f>
        <v/>
      </c>
      <c r="M30" s="340">
        <f>IF(A30="","",RANK(C30,C$20:C$34,0))</f>
        <v/>
      </c>
      <c r="N30" s="340">
        <f>IF(A30="","",RANK(K30,K$20:K$34,0))</f>
        <v/>
      </c>
    </row>
    <row r="31" hidden="1" outlineLevel="1">
      <c r="A31" s="466">
        <f t="array" ref="A31">IFERROR(INDEX(_xlfn._xlws.SORT(_xlfn.UNIQUE(_xlfn._xlws.FILTER(tblCarga[Jogador],(tblCarga[Tipo]="Treino")*(IF($E$3="Todos",TRUE,tblCarga[Microciclo (Nr)]=VALUE($E$3)))*(IF($H$3="Todos",TRUE,tblCarga[Dia MD]=$H$3))))),12),"")</f>
        <v/>
      </c>
      <c r="B31" s="142">
        <f>IF(A31="","",_xlfn.XLOOKUP(A31,Plantel!$A$3:$A$14,Plantel!$B$3:$B$14,""))</f>
        <v/>
      </c>
      <c r="C31" s="333">
        <f>IF(A31="","",AVERAGEIFS(tblCarga[Distância Total (m)],tblCarga[Jogador],A31,tblCarga[Tipo],"Treino",IF($E$3="Todos",tblCarga[Tipo],tblCarga[Microciclo (Nr)]),IF($E$3="Todos","Treino",VALUE($E$3)),IF($H$3="Todos",tblCarga[Tipo],tblCarga[Dia MD]),IF($H$3="Todos","Treino",$H$3)))</f>
        <v/>
      </c>
      <c r="D31" s="333">
        <f>IF(A31="","",AVERAGEIFS(tblCarga[HSR (m)],tblCarga[Jogador],A31,tblCarga[Tipo],"Treino",IF($E$3="Todos",tblCarga[Tipo],tblCarga[Microciclo (Nr)]),IF($E$3="Todos","Treino",VALUE($E$3)),IF($H$3="Todos",tblCarga[Tipo],tblCarga[Dia MD]),IF($H$3="Todos","Treino",$H$3)))</f>
        <v/>
      </c>
      <c r="E31" s="333">
        <f>IF(A31="","",AVERAGEIFS(tblCarga[Sprint (m)],tblCarga[Jogador],A31,tblCarga[Tipo],"Treino",IF($E$3="Todos",tblCarga[Tipo],tblCarga[Microciclo (Nr)]),IF($E$3="Todos","Treino",VALUE($E$3)),IF($H$3="Todos",tblCarga[Tipo],tblCarga[Dia MD]),IF($H$3="Todos","Treino",$H$3)))</f>
        <v/>
      </c>
      <c r="F31" s="467">
        <f>IF(A31="","",AVERAGEIFS(tblCarga[Acc (n)],tblCarga[Jogador],A31,tblCarga[Tipo],"Treino",IF($E$3="Todos",tblCarga[Tipo],tblCarga[Microciclo (Nr)]),IF($E$3="Todos","Treino",VALUE($E$3)),IF($H$3="Todos",tblCarga[Tipo],tblCarga[Dia MD]),IF($H$3="Todos","Treino",$H$3)))</f>
        <v/>
      </c>
      <c r="G31" s="467">
        <f>IF(A31="","",AVERAGEIFS(tblCarga[Dcc (n)],tblCarga[Jogador],A31,tblCarga[Tipo],"Treino",IF($E$3="Todos",tblCarga[Tipo],tblCarga[Microciclo (Nr)]),IF($E$3="Todos","Treino",VALUE($E$3)),IF($H$3="Todos",tblCarga[Tipo],tblCarga[Dia MD]),IF($H$3="Todos","Treino",$H$3)))</f>
        <v/>
      </c>
      <c r="H31" s="467">
        <f>IF(A31="","",AVERAGEIFS(tblCarga[PSE Sessão],tblCarga[Jogador],A31,tblCarga[Tipo],"Treino",IF($E$3="Todos",tblCarga[Tipo],tblCarga[Microciclo (Nr)]),IF($E$3="Todos","Treino",VALUE($E$3)),IF($H$3="Todos",tblCarga[Tipo],tblCarga[Dia MD]),IF($H$3="Todos","Treino",$H$3)))</f>
        <v/>
      </c>
      <c r="I31" s="467">
        <f>IF(A31="","",AVERAGEIFS(tblCarga[Vel. Máx (km/h)],tblCarga[Jogador],A31,tblCarga[Tipo],"Treino",IF($E$3="Todos",tblCarga[Tipo],tblCarga[Microciclo (Nr)]),IF($E$3="Todos","Treino",VALUE($E$3)),IF($H$3="Todos",tblCarga[Tipo],tblCarga[Dia MD]),IF($H$3="Todos","Treino",$H$3)))</f>
        <v/>
      </c>
      <c r="J31" s="467">
        <f>IF(A31="","",_xlfn.MAXIFS(tblCarga[Vel. Máx (km/h)],tblCarga[Jogador],A31,IF($E$3="Todos",tblCarga[Tipo],tblCarga[Microciclo (Nr)]),IF($E$3="Todos","Treino",VALUE($E$3)),IF($H$3="Todos",tblCarga[Tipo],tblCarga[Dia MD]),IF($H$3="Todos","Treino",$H$3)))</f>
        <v/>
      </c>
      <c r="K31" s="333">
        <f t="array" ref="K31">IF(A31="","",SUMPRODUCT((tblCarga[Jogador]=A31)*(tblCarga[Tipo]="Treino")*(IF($E$3="Todos",1,tblCarga[Microciclo (Nr)]=VALUE($E$3)))*(IF($H$3="Todos",1,tblCarga[Dia MD]=$H$3))*tblCarga[PSE Sessão]*tblCarga[Duração (min)]))</f>
        <v/>
      </c>
      <c r="L31" s="467">
        <f>IF(A31="","",IFERROR(C31/AVERAGEIFS(tblCarga[Duração (min)],tblCarga[Jogador],A31,tblCarga[Tipo],"Treino",IF($E$3="Todos",tblCarga[Tipo],tblCarga[Microciclo (Nr)]),IF($E$3="Todos","Treino",VALUE($E$3)),IF($H$3="Todos",tblCarga[Tipo],tblCarga[Dia MD]),IF($H$3="Todos","Treino",$H$3)),"—"))</f>
        <v/>
      </c>
      <c r="M31" s="332">
        <f>IF(A31="","",RANK(C31,C$20:C$34,0))</f>
        <v/>
      </c>
      <c r="N31" s="332">
        <f>IF(A31="","",RANK(K31,K$20:K$34,0))</f>
        <v/>
      </c>
    </row>
    <row r="32">
      <c r="A32" s="470">
        <f t="array" ref="A32">IFERROR(INDEX(_xlfn._xlws.SORT(_xlfn.UNIQUE(_xlfn._xlws.FILTER(tblCarga[Jogador],(tblCarga[Tipo]="Treino")*(IF($E$3="Todos",TRUE,tblCarga[Microciclo (Nr)]=VALUE($E$3)))*(IF($H$3="Todos",TRUE,tblCarga[Dia MD]=$H$3))))),13),"")</f>
        <v/>
      </c>
      <c r="B32" s="147">
        <f>IF(A32="","",_xlfn.XLOOKUP(A32,Plantel!$A$3:$A$14,Plantel!$B$3:$B$14,""))</f>
        <v/>
      </c>
      <c r="C32" s="341">
        <f>IF(A32="","",AVERAGEIFS(tblCarga[Distância Total (m)],tblCarga[Jogador],A32,tblCarga[Tipo],"Treino",IF($E$3="Todos",tblCarga[Tipo],tblCarga[Microciclo (Nr)]),IF($E$3="Todos","Treino",VALUE($E$3)),IF($H$3="Todos",tblCarga[Tipo],tblCarga[Dia MD]),IF($H$3="Todos","Treino",$H$3)))</f>
        <v/>
      </c>
      <c r="D32" s="341">
        <f>IF(A32="","",AVERAGEIFS(tblCarga[HSR (m)],tblCarga[Jogador],A32,tblCarga[Tipo],"Treino",IF($E$3="Todos",tblCarga[Tipo],tblCarga[Microciclo (Nr)]),IF($E$3="Todos","Treino",VALUE($E$3)),IF($H$3="Todos",tblCarga[Tipo],tblCarga[Dia MD]),IF($H$3="Todos","Treino",$H$3)))</f>
        <v/>
      </c>
      <c r="E32" s="341">
        <f>IF(A32="","",AVERAGEIFS(tblCarga[Sprint (m)],tblCarga[Jogador],A32,tblCarga[Tipo],"Treino",IF($E$3="Todos",tblCarga[Tipo],tblCarga[Microciclo (Nr)]),IF($E$3="Todos","Treino",VALUE($E$3)),IF($H$3="Todos",tblCarga[Tipo],tblCarga[Dia MD]),IF($H$3="Todos","Treino",$H$3)))</f>
        <v/>
      </c>
      <c r="F32" s="471">
        <f>IF(A32="","",AVERAGEIFS(tblCarga[Acc (n)],tblCarga[Jogador],A32,tblCarga[Tipo],"Treino",IF($E$3="Todos",tblCarga[Tipo],tblCarga[Microciclo (Nr)]),IF($E$3="Todos","Treino",VALUE($E$3)),IF($H$3="Todos",tblCarga[Tipo],tblCarga[Dia MD]),IF($H$3="Todos","Treino",$H$3)))</f>
        <v/>
      </c>
      <c r="G32" s="471">
        <f>IF(A32="","",AVERAGEIFS(tblCarga[Dcc (n)],tblCarga[Jogador],A32,tblCarga[Tipo],"Treino",IF($E$3="Todos",tblCarga[Tipo],tblCarga[Microciclo (Nr)]),IF($E$3="Todos","Treino",VALUE($E$3)),IF($H$3="Todos",tblCarga[Tipo],tblCarga[Dia MD]),IF($H$3="Todos","Treino",$H$3)))</f>
        <v/>
      </c>
      <c r="H32" s="471">
        <f>IF(A32="","",AVERAGEIFS(tblCarga[PSE Sessão],tblCarga[Jogador],A32,tblCarga[Tipo],"Treino",IF($E$3="Todos",tblCarga[Tipo],tblCarga[Microciclo (Nr)]),IF($E$3="Todos","Treino",VALUE($E$3)),IF($H$3="Todos",tblCarga[Tipo],tblCarga[Dia MD]),IF($H$3="Todos","Treino",$H$3)))</f>
        <v/>
      </c>
      <c r="I32" s="471">
        <f>IF(A32="","",AVERAGEIFS(tblCarga[Vel. Máx (km/h)],tblCarga[Jogador],A32,tblCarga[Tipo],"Treino",IF($E$3="Todos",tblCarga[Tipo],tblCarga[Microciclo (Nr)]),IF($E$3="Todos","Treino",VALUE($E$3)),IF($H$3="Todos",tblCarga[Tipo],tblCarga[Dia MD]),IF($H$3="Todos","Treino",$H$3)))</f>
        <v/>
      </c>
      <c r="J32" s="471">
        <f>IF(A32="","",_xlfn.MAXIFS(tblCarga[Vel. Máx (km/h)],tblCarga[Jogador],A32,IF($E$3="Todos",tblCarga[Tipo],tblCarga[Microciclo (Nr)]),IF($E$3="Todos","Treino",VALUE($E$3)),IF($H$3="Todos",tblCarga[Tipo],tblCarga[Dia MD]),IF($H$3="Todos","Treino",$H$3)))</f>
        <v/>
      </c>
      <c r="K32" s="341">
        <f t="array" ref="K32">IF(A32="","",SUMPRODUCT((tblCarga[Jogador]=A32)*(tblCarga[Tipo]="Treino")*(IF($E$3="Todos",1,tblCarga[Microciclo (Nr)]=VALUE($E$3)))*(IF($H$3="Todos",1,tblCarga[Dia MD]=$H$3))*tblCarga[PSE Sessão]*tblCarga[Duração (min)]))</f>
        <v/>
      </c>
      <c r="L32" s="471">
        <f>IF(A32="","",IFERROR(C32/AVERAGEIFS(tblCarga[Duração (min)],tblCarga[Jogador],A32,tblCarga[Tipo],"Treino",IF($E$3="Todos",tblCarga[Tipo],tblCarga[Microciclo (Nr)]),IF($E$3="Todos","Treino",VALUE($E$3)),IF($H$3="Todos",tblCarga[Tipo],tblCarga[Dia MD]),IF($H$3="Todos","Treino",$H$3)),"—"))</f>
        <v/>
      </c>
      <c r="M32" s="340">
        <f>IF(A32="","",RANK(C32,C$20:C$34,0))</f>
        <v/>
      </c>
      <c r="N32" s="340">
        <f>IF(A32="","",RANK(K32,K$20:K$34,0))</f>
        <v/>
      </c>
    </row>
    <row r="33">
      <c r="A33" s="466">
        <f t="array" ref="A33">IFERROR(INDEX(_xlfn._xlws.SORT(_xlfn.UNIQUE(_xlfn._xlws.FILTER(tblCarga[Jogador],(tblCarga[Tipo]="Treino")*(IF($E$3="Todos",TRUE,tblCarga[Microciclo (Nr)]=VALUE($E$3)))*(IF($H$3="Todos",TRUE,tblCarga[Dia MD]=$H$3))))),14),"")</f>
        <v/>
      </c>
      <c r="B33" s="142">
        <f>IF(A33="","",_xlfn.XLOOKUP(A33,Plantel!$A$3:$A$14,Plantel!$B$3:$B$14,""))</f>
        <v/>
      </c>
      <c r="C33" s="333">
        <f>IF(A33="","",AVERAGEIFS(tblCarga[Distância Total (m)],tblCarga[Jogador],A33,tblCarga[Tipo],"Treino",IF($E$3="Todos",tblCarga[Tipo],tblCarga[Microciclo (Nr)]),IF($E$3="Todos","Treino",VALUE($E$3)),IF($H$3="Todos",tblCarga[Tipo],tblCarga[Dia MD]),IF($H$3="Todos","Treino",$H$3)))</f>
        <v/>
      </c>
      <c r="D33" s="333">
        <f>IF(A33="","",AVERAGEIFS(tblCarga[HSR (m)],tblCarga[Jogador],A33,tblCarga[Tipo],"Treino",IF($E$3="Todos",tblCarga[Tipo],tblCarga[Microciclo (Nr)]),IF($E$3="Todos","Treino",VALUE($E$3)),IF($H$3="Todos",tblCarga[Tipo],tblCarga[Dia MD]),IF($H$3="Todos","Treino",$H$3)))</f>
        <v/>
      </c>
      <c r="E33" s="333">
        <f>IF(A33="","",AVERAGEIFS(tblCarga[Sprint (m)],tblCarga[Jogador],A33,tblCarga[Tipo],"Treino",IF($E$3="Todos",tblCarga[Tipo],tblCarga[Microciclo (Nr)]),IF($E$3="Todos","Treino",VALUE($E$3)),IF($H$3="Todos",tblCarga[Tipo],tblCarga[Dia MD]),IF($H$3="Todos","Treino",$H$3)))</f>
        <v/>
      </c>
      <c r="F33" s="467">
        <f>IF(A33="","",AVERAGEIFS(tblCarga[Acc (n)],tblCarga[Jogador],A33,tblCarga[Tipo],"Treino",IF($E$3="Todos",tblCarga[Tipo],tblCarga[Microciclo (Nr)]),IF($E$3="Todos","Treino",VALUE($E$3)),IF($H$3="Todos",tblCarga[Tipo],tblCarga[Dia MD]),IF($H$3="Todos","Treino",$H$3)))</f>
        <v/>
      </c>
      <c r="G33" s="467">
        <f>IF(A33="","",AVERAGEIFS(tblCarga[Dcc (n)],tblCarga[Jogador],A33,tblCarga[Tipo],"Treino",IF($E$3="Todos",tblCarga[Tipo],tblCarga[Microciclo (Nr)]),IF($E$3="Todos","Treino",VALUE($E$3)),IF($H$3="Todos",tblCarga[Tipo],tblCarga[Dia MD]),IF($H$3="Todos","Treino",$H$3)))</f>
        <v/>
      </c>
      <c r="H33" s="467">
        <f>IF(A33="","",AVERAGEIFS(tblCarga[PSE Sessão],tblCarga[Jogador],A33,tblCarga[Tipo],"Treino",IF($E$3="Todos",tblCarga[Tipo],tblCarga[Microciclo (Nr)]),IF($E$3="Todos","Treino",VALUE($E$3)),IF($H$3="Todos",tblCarga[Tipo],tblCarga[Dia MD]),IF($H$3="Todos","Treino",$H$3)))</f>
        <v/>
      </c>
      <c r="I33" s="467">
        <f>IF(A33="","",AVERAGEIFS(tblCarga[Vel. Máx (km/h)],tblCarga[Jogador],A33,tblCarga[Tipo],"Treino",IF($E$3="Todos",tblCarga[Tipo],tblCarga[Microciclo (Nr)]),IF($E$3="Todos","Treino",VALUE($E$3)),IF($H$3="Todos",tblCarga[Tipo],tblCarga[Dia MD]),IF($H$3="Todos","Treino",$H$3)))</f>
        <v/>
      </c>
      <c r="J33" s="467">
        <f>IF(A33="","",_xlfn.MAXIFS(tblCarga[Vel. Máx (km/h)],tblCarga[Jogador],A33,IF($E$3="Todos",tblCarga[Tipo],tblCarga[Microciclo (Nr)]),IF($E$3="Todos","Treino",VALUE($E$3)),IF($H$3="Todos",tblCarga[Tipo],tblCarga[Dia MD]),IF($H$3="Todos","Treino",$H$3)))</f>
        <v/>
      </c>
      <c r="K33" s="333">
        <f t="array" ref="K33">IF(A33="","",SUMPRODUCT((tblCarga[Jogador]=A33)*(tblCarga[Tipo]="Treino")*(IF($E$3="Todos",1,tblCarga[Microciclo (Nr)]=VALUE($E$3)))*(IF($H$3="Todos",1,tblCarga[Dia MD]=$H$3))*tblCarga[PSE Sessão]*tblCarga[Duração (min)]))</f>
        <v/>
      </c>
      <c r="L33" s="467">
        <f>IF(A33="","",IFERROR(C33/AVERAGEIFS(tblCarga[Duração (min)],tblCarga[Jogador],A33,tblCarga[Tipo],"Treino",IF($E$3="Todos",tblCarga[Tipo],tblCarga[Microciclo (Nr)]),IF($E$3="Todos","Treino",VALUE($E$3)),IF($H$3="Todos",tblCarga[Tipo],tblCarga[Dia MD]),IF($H$3="Todos","Treino",$H$3)),"—"))</f>
        <v/>
      </c>
      <c r="M33" s="332">
        <f>IF(A33="","",RANK(C33,C$20:C$34,0))</f>
        <v/>
      </c>
      <c r="N33" s="332">
        <f>IF(A33="","",RANK(K33,K$20:K$34,0))</f>
        <v/>
      </c>
    </row>
    <row r="34">
      <c r="A34" s="469">
        <f t="array" ref="A34">IFERROR(INDEX(_xlfn._xlws.SORT(_xlfn.UNIQUE(_xlfn._xlws.FILTER(tblCarga[Jogador],(tblCarga[Tipo]="Treino")*(IF($E$3="Todos",TRUE,tblCarga[Microciclo (Nr)]=VALUE($E$3)))*(IF($H$3="Todos",TRUE,tblCarga[Dia MD]=$H$3))))),15),"")</f>
        <v/>
      </c>
      <c r="B34" s="145">
        <f>IF(A34="","",_xlfn.XLOOKUP(A34,Plantel!$A$3:$A$14,Plantel!$B$3:$B$14,""))</f>
        <v/>
      </c>
      <c r="C34" s="337">
        <f>IF(A34="","",AVERAGEIFS(tblCarga[Distância Total (m)],tblCarga[Jogador],A34,tblCarga[Tipo],"Treino",IF($E$3="Todos",tblCarga[Tipo],tblCarga[Microciclo (Nr)]),IF($E$3="Todos","Treino",VALUE($E$3)),IF($H$3="Todos",tblCarga[Tipo],tblCarga[Dia MD]),IF($H$3="Todos","Treino",$H$3)))</f>
        <v/>
      </c>
      <c r="D34" s="337">
        <f>IF(A34="","",AVERAGEIFS(tblCarga[HSR (m)],tblCarga[Jogador],A34,tblCarga[Tipo],"Treino",IF($E$3="Todos",tblCarga[Tipo],tblCarga[Microciclo (Nr)]),IF($E$3="Todos","Treino",VALUE($E$3)),IF($H$3="Todos",tblCarga[Tipo],tblCarga[Dia MD]),IF($H$3="Todos","Treino",$H$3)))</f>
        <v/>
      </c>
      <c r="E34" s="337">
        <f>IF(A34="","",AVERAGEIFS(tblCarga[Sprint (m)],tblCarga[Jogador],A34,tblCarga[Tipo],"Treino",IF($E$3="Todos",tblCarga[Tipo],tblCarga[Microciclo (Nr)]),IF($E$3="Todos","Treino",VALUE($E$3)),IF($H$3="Todos",tblCarga[Tipo],tblCarga[Dia MD]),IF($H$3="Todos","Treino",$H$3)))</f>
        <v/>
      </c>
      <c r="F34" s="468">
        <f>IF(A34="","",AVERAGEIFS(tblCarga[Acc (n)],tblCarga[Jogador],A34,tblCarga[Tipo],"Treino",IF($E$3="Todos",tblCarga[Tipo],tblCarga[Microciclo (Nr)]),IF($E$3="Todos","Treino",VALUE($E$3)),IF($H$3="Todos",tblCarga[Tipo],tblCarga[Dia MD]),IF($H$3="Todos","Treino",$H$3)))</f>
        <v/>
      </c>
      <c r="G34" s="468">
        <f>IF(A34="","",AVERAGEIFS(tblCarga[Dcc (n)],tblCarga[Jogador],A34,tblCarga[Tipo],"Treino",IF($E$3="Todos",tblCarga[Tipo],tblCarga[Microciclo (Nr)]),IF($E$3="Todos","Treino",VALUE($E$3)),IF($H$3="Todos",tblCarga[Tipo],tblCarga[Dia MD]),IF($H$3="Todos","Treino",$H$3)))</f>
        <v/>
      </c>
      <c r="H34" s="468">
        <f>IF(A34="","",AVERAGEIFS(tblCarga[PSE Sessão],tblCarga[Jogador],A34,tblCarga[Tipo],"Treino",IF($E$3="Todos",tblCarga[Tipo],tblCarga[Microciclo (Nr)]),IF($E$3="Todos","Treino",VALUE($E$3)),IF($H$3="Todos",tblCarga[Tipo],tblCarga[Dia MD]),IF($H$3="Todos","Treino",$H$3)))</f>
        <v/>
      </c>
      <c r="I34" s="468">
        <f>IF(A34="","",AVERAGEIFS(tblCarga[Vel. Máx (km/h)],tblCarga[Jogador],A34,tblCarga[Tipo],"Treino",IF($E$3="Todos",tblCarga[Tipo],tblCarga[Microciclo (Nr)]),IF($E$3="Todos","Treino",VALUE($E$3)),IF($H$3="Todos",tblCarga[Tipo],tblCarga[Dia MD]),IF($H$3="Todos","Treino",$H$3)))</f>
        <v/>
      </c>
      <c r="J34" s="468">
        <f>IF(A34="","",_xlfn.MAXIFS(tblCarga[Vel. Máx (km/h)],tblCarga[Jogador],A34,IF($E$3="Todos",tblCarga[Tipo],tblCarga[Microciclo (Nr)]),IF($E$3="Todos","Treino",VALUE($E$3)),IF($H$3="Todos",tblCarga[Tipo],tblCarga[Dia MD]),IF($H$3="Todos","Treino",$H$3)))</f>
        <v/>
      </c>
      <c r="K34" s="337">
        <f t="array" ref="K34">IF(A34="","",SUMPRODUCT((tblCarga[Jogador]=A34)*(tblCarga[Tipo]="Treino")*(IF($E$3="Todos",1,tblCarga[Microciclo (Nr)]=VALUE($E$3)))*(IF($H$3="Todos",1,tblCarga[Dia MD]=$H$3))*tblCarga[PSE Sessão]*tblCarga[Duração (min)]))</f>
        <v/>
      </c>
      <c r="L34" s="468">
        <f>IF(A34="","",IFERROR(C34/AVERAGEIFS(tblCarga[Duração (min)],tblCarga[Jogador],A34,tblCarga[Tipo],"Treino",IF($E$3="Todos",tblCarga[Tipo],tblCarga[Microciclo (Nr)]),IF($E$3="Todos","Treino",VALUE($E$3)),IF($H$3="Todos",tblCarga[Tipo],tblCarga[Dia MD]),IF($H$3="Todos","Treino",$H$3)),"—"))</f>
        <v/>
      </c>
      <c r="M34" s="336">
        <f>IF(A34="","",RANK(C34,C$20:C$34,0))</f>
        <v/>
      </c>
      <c r="N34" s="336">
        <f>IF(A34="","",RANK(K34,K$20:K$34,0))</f>
        <v/>
      </c>
    </row>
    <row r="35">
      <c r="A35" s="603">
        <f t="array" ref="A35">IFERROR(INDEX(_xlfn._xlws.SORT(_xlfn.UNIQUE(_xlfn._xlws.FILTER(tblCarga[Jogador],tblCarga[Posição]=$B$3))),29),"")</f>
        <v/>
      </c>
      <c r="B35" s="603">
        <f>IF(A35="","",AVERAGEIFS(tblCarga[Duração (min)],tblCarga[Jogador],A35,tblCarga[Tipo],"Treino"))</f>
        <v/>
      </c>
      <c r="C35" s="603">
        <f>IF(A35="","",AVERAGEIFS(tblCarga[Distância Total (m)],tblCarga[Jogador],A35,tblCarga[Tipo],"Treino"))</f>
        <v/>
      </c>
      <c r="D35" s="603">
        <f>IF(A35="","",AVERAGEIFS(tblCarga[HSR (m)],tblCarga[Jogador],A35,tblCarga[Tipo],"Treino"))</f>
        <v/>
      </c>
      <c r="E35" s="603">
        <f>IF(A35="","",AVERAGEIFS(tblCarga[Sprint (m)],tblCarga[Jogador],A35,tblCarga[Tipo],"Treino"))</f>
        <v/>
      </c>
      <c r="F35" s="603">
        <f>IF(A35="","",AVERAGEIFS(tblCarga[Acc (n)],tblCarga[Jogador],A35,tblCarga[Tipo],"Treino"))</f>
        <v/>
      </c>
      <c r="G35" s="603">
        <f>IF(A35="","",AVERAGEIFS(tblCarga[Dcc (n)],tblCarga[Jogador],A35,tblCarga[Tipo],"Treino"))</f>
        <v/>
      </c>
      <c r="H35" s="603">
        <f>IF(A35="","",AVERAGEIFS(tblCarga[PSE Sessão],tblCarga[Jogador],A35,tblCarga[Tipo],"Treino"))</f>
        <v/>
      </c>
      <c r="I35" s="603">
        <f>IF(A35="","",AVERAGEIFS(tblCarga[Vel. Máx (km/h)],tblCarga[Jogador],A35,tblCarga[Tipo],"Treino"))</f>
        <v/>
      </c>
      <c r="J35" s="603">
        <f>IF(A35="","",_xlfn.MAXIFS(tblCarga[Vel. Máx (km/h)],tblCarga[Jogador],A35))</f>
        <v/>
      </c>
      <c r="K35" s="603">
        <f>IF(A35="","",AVERAGEIFS(tblCarga[Nº ≥90% Vmáx],tblCarga[Jogador],A35,tblCarga[Tipo],"Treino"))</f>
        <v/>
      </c>
      <c r="L35" s="603">
        <f>IF(A35="","",AVERAGEIFS(tblCarga[Nº ≥95% Vmáx],tblCarga[Jogador],A35,tblCarga[Tipo],"Treino"))</f>
        <v/>
      </c>
      <c r="M35" s="603">
        <f t="array" ref="M35">IF(A35="","",SUMPRODUCT((tblCarga[Jogador]=A35)*(tblCarga[Tipo]="Treino")*tblCarga[PSE Sessão]*tblCarga[Duração (min)]))</f>
        <v/>
      </c>
      <c r="N35" s="606">
        <f>IF(A35="","",IFERROR(C35/B35,"—"))</f>
        <v/>
      </c>
    </row>
    <row r="36">
      <c r="A36" s="600" t="inlineStr">
        <is>
          <t>C — MÉDIAS POR POSIÇÃO  |  Ranking de Posições (filtrado por MC / Dia)</t>
        </is>
      </c>
      <c r="B36" s="612" t="n"/>
      <c r="C36" s="612" t="n"/>
      <c r="D36" s="612" t="n"/>
      <c r="E36" s="612" t="n"/>
      <c r="F36" s="612" t="n"/>
      <c r="G36" s="612" t="n"/>
      <c r="H36" s="612" t="n"/>
      <c r="I36" s="612" t="n"/>
      <c r="J36" s="612" t="n"/>
      <c r="K36" s="612" t="n"/>
      <c r="L36" s="612" t="n"/>
      <c r="M36" s="612" t="n"/>
      <c r="N36" s="572" t="n"/>
    </row>
    <row r="37" ht="15.75" customHeight="1" thickBot="1">
      <c r="A37" s="627" t="inlineStr">
        <is>
          <t>Posição</t>
        </is>
      </c>
      <c r="B37" s="627" t="inlineStr">
        <is>
          <t>Nº Jog</t>
        </is>
      </c>
      <c r="C37" s="627" t="inlineStr">
        <is>
          <t>Méd Dist (m)</t>
        </is>
      </c>
      <c r="D37" s="627" t="inlineStr">
        <is>
          <t>Méd HSR (m)</t>
        </is>
      </c>
      <c r="E37" s="627" t="inlineStr">
        <is>
          <t>Méd Sprint (m)</t>
        </is>
      </c>
      <c r="F37" s="627" t="inlineStr">
        <is>
          <t>Méd Acc</t>
        </is>
      </c>
      <c r="G37" s="627" t="inlineStr">
        <is>
          <t>Méd Dcc</t>
        </is>
      </c>
      <c r="H37" s="627" t="inlineStr">
        <is>
          <t>Méd PSE</t>
        </is>
      </c>
      <c r="I37" s="627" t="inlineStr">
        <is>
          <t>Méd Vmáx</t>
        </is>
      </c>
      <c r="J37" s="627" t="inlineStr">
        <is>
          <t>Rank Dist</t>
        </is>
      </c>
      <c r="K37" s="627" t="inlineStr">
        <is>
          <t>Rank HSR</t>
        </is>
      </c>
      <c r="L37" s="627" t="inlineStr">
        <is>
          <t>Rank Sprint</t>
        </is>
      </c>
      <c r="M37" s="627" t="inlineStr">
        <is>
          <t>Rank Vmáx</t>
        </is>
      </c>
      <c r="N37" s="627" t="inlineStr">
        <is>
          <t>Rank PSE</t>
        </is>
      </c>
    </row>
    <row r="38">
      <c r="A38" s="562" t="inlineStr">
        <is>
          <t>Lateral</t>
        </is>
      </c>
      <c r="B38" s="568">
        <f t="array" ref="B38">IFERROR(ROWS(_xlfn.UNIQUE(_xlfn._xlws.FILTER(tblCarga[Jogador],(tblCarga[Posição]=A38)*(tblCarga[Tipo]="Treino")*(IF($E$3="Todos",TRUE,tblCarga[Microciclo (Nr)]=VALUE($E$3)))*(IF($H$3="Todos",TRUE,tblCarga[Dia MD]=$H$3))))),0)</f>
        <v/>
      </c>
      <c r="C38" s="567">
        <f>IF(B38=0,"",AVERAGEIFS(tblCarga[Distância Total (m)],tblCarga[Posição],A38,tblCarga[Tipo],"Treino",IF($E$3="Todos",tblCarga[Tipo],tblCarga[Microciclo (Nr)]),IF($E$3="Todos","Treino",VALUE($E$3)),IF($H$3="Todos",tblCarga[Tipo],tblCarga[Dia MD]),IF($H$3="Todos","Treino",$H$3)))</f>
        <v/>
      </c>
      <c r="D38" s="567">
        <f>IF(B38=0,"",AVERAGEIFS(tblCarga[HSR (m)],tblCarga[Posição],A38,tblCarga[Tipo],"Treino",IF($E$3="Todos",tblCarga[Tipo],tblCarga[Microciclo (Nr)]),IF($E$3="Todos","Treino",VALUE($E$3)),IF($H$3="Todos",tblCarga[Tipo],tblCarga[Dia MD]),IF($H$3="Todos","Treino",$H$3)))</f>
        <v/>
      </c>
      <c r="E38" s="567">
        <f>IF(B38=0,"",AVERAGEIFS(tblCarga[Sprint (m)],tblCarga[Posição],A38,tblCarga[Tipo],"Treino",IF($E$3="Todos",tblCarga[Tipo],tblCarga[Microciclo (Nr)]),IF($E$3="Todos","Treino",VALUE($E$3)),IF($H$3="Todos",tblCarga[Tipo],tblCarga[Dia MD]),IF($H$3="Todos","Treino",$H$3)))</f>
        <v/>
      </c>
      <c r="F38" s="566">
        <f>IF(B38=0,"",AVERAGEIFS(tblCarga[Acc (n)],tblCarga[Posição],A38,tblCarga[Tipo],"Treino",IF($E$3="Todos",tblCarga[Tipo],tblCarga[Microciclo (Nr)]),IF($E$3="Todos","Treino",VALUE($E$3)),IF($H$3="Todos",tblCarga[Tipo],tblCarga[Dia MD]),IF($H$3="Todos","Treino",$H$3)))</f>
        <v/>
      </c>
      <c r="G38" s="566">
        <f>IF(B38=0,"",AVERAGEIFS(tblCarga[Dcc (n)],tblCarga[Posição],A38,tblCarga[Tipo],"Treino",IF($E$3="Todos",tblCarga[Tipo],tblCarga[Microciclo (Nr)]),IF($E$3="Todos","Treino",VALUE($E$3)),IF($H$3="Todos",tblCarga[Tipo],tblCarga[Dia MD]),IF($H$3="Todos","Treino",$H$3)))</f>
        <v/>
      </c>
      <c r="H38" s="566">
        <f>IF(B38=0,"",AVERAGEIFS(tblCarga[PSE Sessão],tblCarga[Posição],A38,tblCarga[Tipo],"Treino",IF($E$3="Todos",tblCarga[Tipo],tblCarga[Microciclo (Nr)]),IF($E$3="Todos","Treino",VALUE($E$3)),IF($H$3="Todos",tblCarga[Tipo],tblCarga[Dia MD]),IF($H$3="Todos","Treino",$H$3)))</f>
        <v/>
      </c>
      <c r="I38" s="566">
        <f>IF(B38=0,"",AVERAGEIFS(tblCarga[Vel. Máx (km/h)],tblCarga[Posição],A38,tblCarga[Tipo],"Treino",IF($E$3="Todos",tblCarga[Tipo],tblCarga[Microciclo (Nr)]),IF($E$3="Todos","Treino",VALUE($E$3)),IF($H$3="Todos",tblCarga[Tipo],tblCarga[Dia MD]),IF($H$3="Todos","Treino",$H$3)))</f>
        <v/>
      </c>
      <c r="J38" s="568">
        <f>IF(B38=0,"",RANK(C38,C$38:C$43,0))</f>
        <v/>
      </c>
      <c r="K38" s="568">
        <f>IF(B38=0,"",RANK(D38,D$38:D$43,0))</f>
        <v/>
      </c>
      <c r="L38" s="568">
        <f>IF(B38=0,"",RANK(E38,E$38:E$43,0))</f>
        <v/>
      </c>
      <c r="M38" s="568">
        <f>IF(B38=0,"",RANK(I38,I$38:I$43,0))</f>
        <v/>
      </c>
      <c r="N38" s="568">
        <f>IF(B38=0,"",RANK(H38,H$38:H$43,0))</f>
        <v/>
      </c>
    </row>
    <row r="39">
      <c r="A39" s="557" t="inlineStr">
        <is>
          <t>Central</t>
        </is>
      </c>
      <c r="B39" s="570">
        <f t="array" ref="B39">IFERROR(ROWS(_xlfn.UNIQUE(_xlfn._xlws.FILTER(tblCarga[Jogador],(tblCarga[Posição]=A39)*(tblCarga[Tipo]="Treino")*(IF($E$3="Todos",TRUE,tblCarga[Microciclo (Nr)]=VALUE($E$3)))*(IF($H$3="Todos",TRUE,tblCarga[Dia MD]=$H$3))))),0)</f>
        <v/>
      </c>
      <c r="C39" s="559">
        <f>IF(B39=0,"",AVERAGEIFS(tblCarga[Distância Total (m)],tblCarga[Posição],A39,tblCarga[Tipo],"Treino",IF($E$3="Todos",tblCarga[Tipo],tblCarga[Microciclo (Nr)]),IF($E$3="Todos","Treino",VALUE($E$3)),IF($H$3="Todos",tblCarga[Tipo],tblCarga[Dia MD]),IF($H$3="Todos","Treino",$H$3)))</f>
        <v/>
      </c>
      <c r="D39" s="559">
        <f>IF(B39=0,"",AVERAGEIFS(tblCarga[HSR (m)],tblCarga[Posição],A39,tblCarga[Tipo],"Treino",IF($E$3="Todos",tblCarga[Tipo],tblCarga[Microciclo (Nr)]),IF($E$3="Todos","Treino",VALUE($E$3)),IF($H$3="Todos",tblCarga[Tipo],tblCarga[Dia MD]),IF($H$3="Todos","Treino",$H$3)))</f>
        <v/>
      </c>
      <c r="E39" s="559">
        <f>IF(B39=0,"",AVERAGEIFS(tblCarga[Sprint (m)],tblCarga[Posição],A39,tblCarga[Tipo],"Treino",IF($E$3="Todos",tblCarga[Tipo],tblCarga[Microciclo (Nr)]),IF($E$3="Todos","Treino",VALUE($E$3)),IF($H$3="Todos",tblCarga[Tipo],tblCarga[Dia MD]),IF($H$3="Todos","Treino",$H$3)))</f>
        <v/>
      </c>
      <c r="F39" s="558">
        <f>IF(B39=0,"",AVERAGEIFS(tblCarga[Acc (n)],tblCarga[Posição],A39,tblCarga[Tipo],"Treino",IF($E$3="Todos",tblCarga[Tipo],tblCarga[Microciclo (Nr)]),IF($E$3="Todos","Treino",VALUE($E$3)),IF($H$3="Todos",tblCarga[Tipo],tblCarga[Dia MD]),IF($H$3="Todos","Treino",$H$3)))</f>
        <v/>
      </c>
      <c r="G39" s="558">
        <f>IF(B39=0,"",AVERAGEIFS(tblCarga[Dcc (n)],tblCarga[Posição],A39,tblCarga[Tipo],"Treino",IF($E$3="Todos",tblCarga[Tipo],tblCarga[Microciclo (Nr)]),IF($E$3="Todos","Treino",VALUE($E$3)),IF($H$3="Todos",tblCarga[Tipo],tblCarga[Dia MD]),IF($H$3="Todos","Treino",$H$3)))</f>
        <v/>
      </c>
      <c r="H39" s="558">
        <f>IF(B39=0,"",AVERAGEIFS(tblCarga[PSE Sessão],tblCarga[Posição],A39,tblCarga[Tipo],"Treino",IF($E$3="Todos",tblCarga[Tipo],tblCarga[Microciclo (Nr)]),IF($E$3="Todos","Treino",VALUE($E$3)),IF($H$3="Todos",tblCarga[Tipo],tblCarga[Dia MD]),IF($H$3="Todos","Treino",$H$3)))</f>
        <v/>
      </c>
      <c r="I39" s="558">
        <f>IF(B39=0,"",AVERAGEIFS(tblCarga[Vel. Máx (km/h)],tblCarga[Posição],A39,tblCarga[Tipo],"Treino",IF($E$3="Todos",tblCarga[Tipo],tblCarga[Microciclo (Nr)]),IF($E$3="Todos","Treino",VALUE($E$3)),IF($H$3="Todos",tblCarga[Tipo],tblCarga[Dia MD]),IF($H$3="Todos","Treino",$H$3)))</f>
        <v/>
      </c>
      <c r="J39" s="570">
        <f>IF(B39=0,"",RANK(C39,C$38:C$43,0))</f>
        <v/>
      </c>
      <c r="K39" s="570">
        <f>IF(B39=0,"",RANK(D39,D$38:D$43,0))</f>
        <v/>
      </c>
      <c r="L39" s="570">
        <f>IF(B39=0,"",RANK(E39,E$38:E$43,0))</f>
        <v/>
      </c>
      <c r="M39" s="570">
        <f>IF(B39=0,"",RANK(I39,I$38:I$43,0))</f>
        <v/>
      </c>
      <c r="N39" s="570">
        <f>IF(B39=0,"",RANK(H39,H$38:H$43,0))</f>
        <v/>
      </c>
      <c r="O39">
        <f>IF(C39=0,"",RANK(I39,I$38:I$43,0))</f>
        <v/>
      </c>
    </row>
    <row r="40">
      <c r="A40" s="470" t="inlineStr">
        <is>
          <t>Médio</t>
        </is>
      </c>
      <c r="B40" s="340">
        <f t="array" ref="B40">IFERROR(ROWS(_xlfn.UNIQUE(_xlfn._xlws.FILTER(tblCarga[Jogador],(tblCarga[Posição]=A40)*(tblCarga[Tipo]="Treino")*(IF($E$3="Todos",TRUE,tblCarga[Microciclo (Nr)]=VALUE($E$3)))*(IF($H$3="Todos",TRUE,tblCarga[Dia MD]=$H$3))))),0)</f>
        <v/>
      </c>
      <c r="C40" s="341">
        <f>IF(B40=0,"",AVERAGEIFS(tblCarga[Distância Total (m)],tblCarga[Posição],A40,tblCarga[Tipo],"Treino",IF($E$3="Todos",tblCarga[Tipo],tblCarga[Microciclo (Nr)]),IF($E$3="Todos","Treino",VALUE($E$3)),IF($H$3="Todos",tblCarga[Tipo],tblCarga[Dia MD]),IF($H$3="Todos","Treino",$H$3)))</f>
        <v/>
      </c>
      <c r="D40" s="341">
        <f>IF(B40=0,"",AVERAGEIFS(tblCarga[HSR (m)],tblCarga[Posição],A40,tblCarga[Tipo],"Treino",IF($E$3="Todos",tblCarga[Tipo],tblCarga[Microciclo (Nr)]),IF($E$3="Todos","Treino",VALUE($E$3)),IF($H$3="Todos",tblCarga[Tipo],tblCarga[Dia MD]),IF($H$3="Todos","Treino",$H$3)))</f>
        <v/>
      </c>
      <c r="E40" s="341">
        <f>IF(B40=0,"",AVERAGEIFS(tblCarga[Sprint (m)],tblCarga[Posição],A40,tblCarga[Tipo],"Treino",IF($E$3="Todos",tblCarga[Tipo],tblCarga[Microciclo (Nr)]),IF($E$3="Todos","Treino",VALUE($E$3)),IF($H$3="Todos",tblCarga[Tipo],tblCarga[Dia MD]),IF($H$3="Todos","Treino",$H$3)))</f>
        <v/>
      </c>
      <c r="F40" s="471">
        <f>IF(B40=0,"",AVERAGEIFS(tblCarga[Acc (n)],tblCarga[Posição],A40,tblCarga[Tipo],"Treino",IF($E$3="Todos",tblCarga[Tipo],tblCarga[Microciclo (Nr)]),IF($E$3="Todos","Treino",VALUE($E$3)),IF($H$3="Todos",tblCarga[Tipo],tblCarga[Dia MD]),IF($H$3="Todos","Treino",$H$3)))</f>
        <v/>
      </c>
      <c r="G40" s="471">
        <f>IF(B40=0,"",AVERAGEIFS(tblCarga[Dcc (n)],tblCarga[Posição],A40,tblCarga[Tipo],"Treino",IF($E$3="Todos",tblCarga[Tipo],tblCarga[Microciclo (Nr)]),IF($E$3="Todos","Treino",VALUE($E$3)),IF($H$3="Todos",tblCarga[Tipo],tblCarga[Dia MD]),IF($H$3="Todos","Treino",$H$3)))</f>
        <v/>
      </c>
      <c r="H40" s="471">
        <f>IF(B40=0,"",AVERAGEIFS(tblCarga[PSE Sessão],tblCarga[Posição],A40,tblCarga[Tipo],"Treino",IF($E$3="Todos",tblCarga[Tipo],tblCarga[Microciclo (Nr)]),IF($E$3="Todos","Treino",VALUE($E$3)),IF($H$3="Todos",tblCarga[Tipo],tblCarga[Dia MD]),IF($H$3="Todos","Treino",$H$3)))</f>
        <v/>
      </c>
      <c r="I40" s="471">
        <f>IF(B40=0,"",AVERAGEIFS(tblCarga[Vel. Máx (km/h)],tblCarga[Posição],A40,tblCarga[Tipo],"Treino",IF($E$3="Todos",tblCarga[Tipo],tblCarga[Microciclo (Nr)]),IF($E$3="Todos","Treino",VALUE($E$3)),IF($H$3="Todos",tblCarga[Tipo],tblCarga[Dia MD]),IF($H$3="Todos","Treino",$H$3)))</f>
        <v/>
      </c>
      <c r="J40" s="340">
        <f>IF(B40=0,"",RANK(C40,C$38:C$43,0))</f>
        <v/>
      </c>
      <c r="K40" s="340">
        <f>IF(B40=0,"",RANK(D40,D$38:D$43,0))</f>
        <v/>
      </c>
      <c r="L40" s="340">
        <f>IF(B40=0,"",RANK(E40,E$38:E$43,0))</f>
        <v/>
      </c>
      <c r="M40" s="340">
        <f>IF(B40=0,"",RANK(I40,I$38:I$43,0))</f>
        <v/>
      </c>
      <c r="N40" s="340">
        <f>IF(B40=0,"",RANK(H40,H$38:H$43,0))</f>
        <v/>
      </c>
    </row>
    <row r="41">
      <c r="A41" s="466" t="inlineStr">
        <is>
          <t>Extremo</t>
        </is>
      </c>
      <c r="B41" s="332">
        <f t="array" ref="B41">IFERROR(ROWS(_xlfn.UNIQUE(_xlfn._xlws.FILTER(tblCarga[Jogador],(tblCarga[Posição]=A41)*(tblCarga[Tipo]="Treino")*(IF($E$3="Todos",TRUE,tblCarga[Microciclo (Nr)]=VALUE($E$3)))*(IF($H$3="Todos",TRUE,tblCarga[Dia MD]=$H$3))))),0)</f>
        <v/>
      </c>
      <c r="C41" s="333">
        <f>IF(B41=0,"",AVERAGEIFS(tblCarga[Distância Total (m)],tblCarga[Posição],A41,tblCarga[Tipo],"Treino",IF($E$3="Todos",tblCarga[Tipo],tblCarga[Microciclo (Nr)]),IF($E$3="Todos","Treino",VALUE($E$3)),IF($H$3="Todos",tblCarga[Tipo],tblCarga[Dia MD]),IF($H$3="Todos","Treino",$H$3)))</f>
        <v/>
      </c>
      <c r="D41" s="333">
        <f>IF(B41=0,"",AVERAGEIFS(tblCarga[HSR (m)],tblCarga[Posição],A41,tblCarga[Tipo],"Treino",IF($E$3="Todos",tblCarga[Tipo],tblCarga[Microciclo (Nr)]),IF($E$3="Todos","Treino",VALUE($E$3)),IF($H$3="Todos",tblCarga[Tipo],tblCarga[Dia MD]),IF($H$3="Todos","Treino",$H$3)))</f>
        <v/>
      </c>
      <c r="E41" s="333">
        <f>IF(B41=0,"",AVERAGEIFS(tblCarga[Sprint (m)],tblCarga[Posição],A41,tblCarga[Tipo],"Treino",IF($E$3="Todos",tblCarga[Tipo],tblCarga[Microciclo (Nr)]),IF($E$3="Todos","Treino",VALUE($E$3)),IF($H$3="Todos",tblCarga[Tipo],tblCarga[Dia MD]),IF($H$3="Todos","Treino",$H$3)))</f>
        <v/>
      </c>
      <c r="F41" s="467">
        <f>IF(B41=0,"",AVERAGEIFS(tblCarga[Acc (n)],tblCarga[Posição],A41,tblCarga[Tipo],"Treino",IF($E$3="Todos",tblCarga[Tipo],tblCarga[Microciclo (Nr)]),IF($E$3="Todos","Treino",VALUE($E$3)),IF($H$3="Todos",tblCarga[Tipo],tblCarga[Dia MD]),IF($H$3="Todos","Treino",$H$3)))</f>
        <v/>
      </c>
      <c r="G41" s="467">
        <f>IF(B41=0,"",AVERAGEIFS(tblCarga[Dcc (n)],tblCarga[Posição],A41,tblCarga[Tipo],"Treino",IF($E$3="Todos",tblCarga[Tipo],tblCarga[Microciclo (Nr)]),IF($E$3="Todos","Treino",VALUE($E$3)),IF($H$3="Todos",tblCarga[Tipo],tblCarga[Dia MD]),IF($H$3="Todos","Treino",$H$3)))</f>
        <v/>
      </c>
      <c r="H41" s="467">
        <f>IF(B41=0,"",AVERAGEIFS(tblCarga[PSE Sessão],tblCarga[Posição],A41,tblCarga[Tipo],"Treino",IF($E$3="Todos",tblCarga[Tipo],tblCarga[Microciclo (Nr)]),IF($E$3="Todos","Treino",VALUE($E$3)),IF($H$3="Todos",tblCarga[Tipo],tblCarga[Dia MD]),IF($H$3="Todos","Treino",$H$3)))</f>
        <v/>
      </c>
      <c r="I41" s="467">
        <f>IF(B41=0,"",AVERAGEIFS(tblCarga[Vel. Máx (km/h)],tblCarga[Posição],A41,tblCarga[Tipo],"Treino",IF($E$3="Todos",tblCarga[Tipo],tblCarga[Microciclo (Nr)]),IF($E$3="Todos","Treino",VALUE($E$3)),IF($H$3="Todos",tblCarga[Tipo],tblCarga[Dia MD]),IF($H$3="Todos","Treino",$H$3)))</f>
        <v/>
      </c>
      <c r="J41" s="332">
        <f>IF(B41=0,"",RANK(C41,C$38:C$43,0))</f>
        <v/>
      </c>
      <c r="K41" s="332">
        <f>IF(B41=0,"",RANK(D41,D$38:D$43,0))</f>
        <v/>
      </c>
      <c r="L41" s="332">
        <f>IF(B41=0,"",RANK(E41,E$38:E$43,0))</f>
        <v/>
      </c>
      <c r="M41" s="332">
        <f>IF(B41=0,"",RANK(I41,I$38:I$43,0))</f>
        <v/>
      </c>
      <c r="N41" s="332">
        <f>IF(B41=0,"",RANK(H41,H$38:H$43,0))</f>
        <v/>
      </c>
    </row>
    <row r="42">
      <c r="A42" s="470" t="inlineStr">
        <is>
          <t>Avançado</t>
        </is>
      </c>
      <c r="B42" s="340">
        <f t="array" ref="B42">IFERROR(ROWS(_xlfn.UNIQUE(_xlfn._xlws.FILTER(tblCarga[Jogador],(tblCarga[Posição]=A42)*(tblCarga[Tipo]="Treino")*(IF($E$3="Todos",TRUE,tblCarga[Microciclo (Nr)]=VALUE($E$3)))*(IF($H$3="Todos",TRUE,tblCarga[Dia MD]=$H$3))))),0)</f>
        <v/>
      </c>
      <c r="C42" s="341">
        <f>IF(B42=0,"",AVERAGEIFS(tblCarga[Distância Total (m)],tblCarga[Posição],A42,tblCarga[Tipo],"Treino",IF($E$3="Todos",tblCarga[Tipo],tblCarga[Microciclo (Nr)]),IF($E$3="Todos","Treino",VALUE($E$3)),IF($H$3="Todos",tblCarga[Tipo],tblCarga[Dia MD]),IF($H$3="Todos","Treino",$H$3)))</f>
        <v/>
      </c>
      <c r="D42" s="341">
        <f>IF(B42=0,"",AVERAGEIFS(tblCarga[HSR (m)],tblCarga[Posição],A42,tblCarga[Tipo],"Treino",IF($E$3="Todos",tblCarga[Tipo],tblCarga[Microciclo (Nr)]),IF($E$3="Todos","Treino",VALUE($E$3)),IF($H$3="Todos",tblCarga[Tipo],tblCarga[Dia MD]),IF($H$3="Todos","Treino",$H$3)))</f>
        <v/>
      </c>
      <c r="E42" s="341">
        <f>IF(B42=0,"",AVERAGEIFS(tblCarga[Sprint (m)],tblCarga[Posição],A42,tblCarga[Tipo],"Treino",IF($E$3="Todos",tblCarga[Tipo],tblCarga[Microciclo (Nr)]),IF($E$3="Todos","Treino",VALUE($E$3)),IF($H$3="Todos",tblCarga[Tipo],tblCarga[Dia MD]),IF($H$3="Todos","Treino",$H$3)))</f>
        <v/>
      </c>
      <c r="F42" s="471">
        <f>IF(B42=0,"",AVERAGEIFS(tblCarga[Acc (n)],tblCarga[Posição],A42,tblCarga[Tipo],"Treino",IF($E$3="Todos",tblCarga[Tipo],tblCarga[Microciclo (Nr)]),IF($E$3="Todos","Treino",VALUE($E$3)),IF($H$3="Todos",tblCarga[Tipo],tblCarga[Dia MD]),IF($H$3="Todos","Treino",$H$3)))</f>
        <v/>
      </c>
      <c r="G42" s="471">
        <f>IF(B42=0,"",AVERAGEIFS(tblCarga[Dcc (n)],tblCarga[Posição],A42,tblCarga[Tipo],"Treino",IF($E$3="Todos",tblCarga[Tipo],tblCarga[Microciclo (Nr)]),IF($E$3="Todos","Treino",VALUE($E$3)),IF($H$3="Todos",tblCarga[Tipo],tblCarga[Dia MD]),IF($H$3="Todos","Treino",$H$3)))</f>
        <v/>
      </c>
      <c r="H42" s="471">
        <f>IF(B42=0,"",AVERAGEIFS(tblCarga[PSE Sessão],tblCarga[Posição],A42,tblCarga[Tipo],"Treino",IF($E$3="Todos",tblCarga[Tipo],tblCarga[Microciclo (Nr)]),IF($E$3="Todos","Treino",VALUE($E$3)),IF($H$3="Todos",tblCarga[Tipo],tblCarga[Dia MD]),IF($H$3="Todos","Treino",$H$3)))</f>
        <v/>
      </c>
      <c r="I42" s="471">
        <f>IF(B42=0,"",AVERAGEIFS(tblCarga[Vel. Máx (km/h)],tblCarga[Posição],A42,tblCarga[Tipo],"Treino",IF($E$3="Todos",tblCarga[Tipo],tblCarga[Microciclo (Nr)]),IF($E$3="Todos","Treino",VALUE($E$3)),IF($H$3="Todos",tblCarga[Tipo],tblCarga[Dia MD]),IF($H$3="Todos","Treino",$H$3)))</f>
        <v/>
      </c>
      <c r="J42" s="340">
        <f>IF(B42=0,"",RANK(C42,C$38:C$43,0))</f>
        <v/>
      </c>
      <c r="K42" s="340">
        <f>IF(B42=0,"",RANK(D42,D$38:D$43,0))</f>
        <v/>
      </c>
      <c r="L42" s="340">
        <f>IF(B42=0,"",RANK(E42,E$38:E$43,0))</f>
        <v/>
      </c>
      <c r="M42" s="340">
        <f>IF(B42=0,"",RANK(I42,I$38:I$43,0))</f>
        <v/>
      </c>
      <c r="N42" s="340">
        <f>IF(B42=0,"",RANK(H42,H$38:H$43,0))</f>
        <v/>
      </c>
    </row>
    <row r="43">
      <c r="A43" s="560" t="inlineStr">
        <is>
          <t>Guarda-Redes</t>
        </is>
      </c>
      <c r="B43" s="569">
        <f t="array" ref="B43">IFERROR(ROWS(_xlfn.UNIQUE(_xlfn._xlws.FILTER(tblCarga[Jogador],(tblCarga[Posição]=A43)*(tblCarga[Tipo]="Treino")*(IF($E$3="Todos",TRUE,tblCarga[Microciclo (Nr)]=VALUE($E$3)))*(IF($H$3="Todos",TRUE,tblCarga[Dia MD]=$H$3))))),0)</f>
        <v/>
      </c>
      <c r="C43" s="331">
        <f>IF(B43=0,"",AVERAGEIFS(tblCarga[Distância Total (m)],tblCarga[Posição],A43,tblCarga[Tipo],"Treino",IF($E$3="Todos",tblCarga[Tipo],tblCarga[Microciclo (Nr)]),IF($E$3="Todos","Treino",VALUE($E$3)),IF($H$3="Todos",tblCarga[Tipo],tblCarga[Dia MD]),IF($H$3="Todos","Treino",$H$3)))</f>
        <v/>
      </c>
      <c r="D43" s="331">
        <f>IF(B43=0,"",AVERAGEIFS(tblCarga[HSR (m)],tblCarga[Posição],A43,tblCarga[Tipo],"Treino",IF($E$3="Todos",tblCarga[Tipo],tblCarga[Microciclo (Nr)]),IF($E$3="Todos","Treino",VALUE($E$3)),IF($H$3="Todos",tblCarga[Tipo],tblCarga[Dia MD]),IF($H$3="Todos","Treino",$H$3)))</f>
        <v/>
      </c>
      <c r="E43" s="331">
        <f>IF(B43=0,"",AVERAGEIFS(tblCarga[Sprint (m)],tblCarga[Posição],A43,tblCarga[Tipo],"Treino",IF($E$3="Todos",tblCarga[Tipo],tblCarga[Microciclo (Nr)]),IF($E$3="Todos","Treino",VALUE($E$3)),IF($H$3="Todos",tblCarga[Tipo],tblCarga[Dia MD]),IF($H$3="Todos","Treino",$H$3)))</f>
        <v/>
      </c>
      <c r="F43" s="465">
        <f>IF(B43=0,"",AVERAGEIFS(tblCarga[Acc (n)],tblCarga[Posição],A43,tblCarga[Tipo],"Treino",IF($E$3="Todos",tblCarga[Tipo],tblCarga[Microciclo (Nr)]),IF($E$3="Todos","Treino",VALUE($E$3)),IF($H$3="Todos",tblCarga[Tipo],tblCarga[Dia MD]),IF($H$3="Todos","Treino",$H$3)))</f>
        <v/>
      </c>
      <c r="G43" s="465">
        <f>IF(B43=0,"",AVERAGEIFS(tblCarga[Dcc (n)],tblCarga[Posição],A43,tblCarga[Tipo],"Treino",IF($E$3="Todos",tblCarga[Tipo],tblCarga[Microciclo (Nr)]),IF($E$3="Todos","Treino",VALUE($E$3)),IF($H$3="Todos",tblCarga[Tipo],tblCarga[Dia MD]),IF($H$3="Todos","Treino",$H$3)))</f>
        <v/>
      </c>
      <c r="H43" s="465">
        <f>IF(B43=0,"",AVERAGEIFS(tblCarga[PSE Sessão],tblCarga[Posição],A43,tblCarga[Tipo],"Treino",IF($E$3="Todos",tblCarga[Tipo],tblCarga[Microciclo (Nr)]),IF($E$3="Todos","Treino",VALUE($E$3)),IF($H$3="Todos",tblCarga[Tipo],tblCarga[Dia MD]),IF($H$3="Todos","Treino",$H$3)))</f>
        <v/>
      </c>
      <c r="I43" s="465">
        <f>IF(B43=0,"",AVERAGEIFS(tblCarga[Vel. Máx (km/h)],tblCarga[Posição],A43,tblCarga[Tipo],"Treino",IF($E$3="Todos",tblCarga[Tipo],tblCarga[Microciclo (Nr)]),IF($E$3="Todos","Treino",VALUE($E$3)),IF($H$3="Todos",tblCarga[Tipo],tblCarga[Dia MD]),IF($H$3="Todos","Treino",$H$3)))</f>
        <v/>
      </c>
      <c r="J43" s="569">
        <f>IF(B43=0,"",RANK(C43,C$38:C$43,0))</f>
        <v/>
      </c>
      <c r="K43" s="569">
        <f>IF(B43=0,"",RANK(D43,D$38:D$43,0))</f>
        <v/>
      </c>
      <c r="L43" s="569">
        <f>IF(B43=0,"",RANK(E43,E$38:E$43,0))</f>
        <v/>
      </c>
      <c r="M43" s="569">
        <f>IF(B43=0,"",RANK(I43,I$38:I$43,0))</f>
        <v/>
      </c>
      <c r="N43" s="569">
        <f>IF(B43=0,"",RANK(H43,H$38:H$43,0))</f>
        <v/>
      </c>
    </row>
    <row r="44">
      <c r="B44" t="inlineStr">
        <is>
          <t>Guarda-Redes</t>
        </is>
      </c>
    </row>
  </sheetData>
  <mergeCells count="3">
    <mergeCell ref="A5:N5"/>
    <mergeCell ref="A19:N19"/>
    <mergeCell ref="A1:N1"/>
  </mergeCells>
  <dataValidations count="2">
    <dataValidation sqref="H3" showDropDown="0" showInputMessage="1" showErrorMessage="1" allowBlank="1" type="list">
      <formula1>"Todos,MD-5,MD-4,MD-3,MD-2,MD-1,MD,MD+1"</formula1>
    </dataValidation>
    <dataValidation sqref="E3" showDropDown="0" showInputMessage="1" showErrorMessage="1" allowBlank="1" type="list">
      <formula1>"Todos,1,2,3,4,5,6,7,8,9,10,11,12,13,14,15,16,17,18,19,20,21,22,23,24,25,26,27,28,29,30,31,32,33,34,35,36,37,38,39,40,41,42,43,44,45,46,47,48,49,50,51,52"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7"/>
  <sheetViews>
    <sheetView zoomScale="64" workbookViewId="0">
      <pane ySplit="7" topLeftCell="A8" activePane="bottomLeft" state="frozen"/>
      <selection pane="bottomLeft" activeCell="B4" sqref="B4"/>
    </sheetView>
  </sheetViews>
  <sheetFormatPr baseColWidth="8" defaultRowHeight="15"/>
  <cols>
    <col width="17.140625" customWidth="1" min="1" max="1"/>
    <col width="13.28515625" customWidth="1" min="2" max="2"/>
    <col width="16.140625" customWidth="1" min="3" max="11"/>
  </cols>
  <sheetData>
    <row r="1" ht="30" customHeight="1">
      <c r="A1" s="629" t="inlineStr">
        <is>
          <t>⚽  COMPARAÇÃO ENTRE JOGOS  |  Análise por Jogo — Belenenses</t>
        </is>
      </c>
    </row>
    <row r="3">
      <c r="A3" s="575" t="inlineStr">
        <is>
          <t>🔍 FILTROS</t>
        </is>
      </c>
    </row>
    <row r="4">
      <c r="A4" s="1" t="inlineStr">
        <is>
          <t>Microciclo (Jogo):</t>
        </is>
      </c>
      <c r="B4" s="576" t="n">
        <v>6</v>
      </c>
      <c r="D4" s="577" t="inlineStr">
        <is>
          <t>ℹ️ Altera o Microciclo acima para mudar o jogo. Os dados actualizam automaticamente.</t>
        </is>
      </c>
    </row>
    <row r="6">
      <c r="A6" s="596" t="inlineStr">
        <is>
          <t>A — MÉTRICAS NO JOGO SELECIONADO  (Tipo = Jogo)</t>
        </is>
      </c>
    </row>
    <row r="7">
      <c r="A7" s="120" t="inlineStr">
        <is>
          <t>Jogador</t>
        </is>
      </c>
      <c r="B7" s="120" t="inlineStr">
        <is>
          <t>Posição</t>
        </is>
      </c>
      <c r="C7" s="120" t="inlineStr">
        <is>
          <t>Min Jogo</t>
        </is>
      </c>
      <c r="D7" s="120" t="inlineStr">
        <is>
          <t>Distância (m)</t>
        </is>
      </c>
      <c r="E7" s="120" t="inlineStr">
        <is>
          <t>HSR (m)</t>
        </is>
      </c>
      <c r="F7" s="120" t="inlineStr">
        <is>
          <t>Sprint (m)</t>
        </is>
      </c>
      <c r="G7" s="120" t="inlineStr">
        <is>
          <t>Acc (n)</t>
        </is>
      </c>
      <c r="H7" s="120" t="inlineStr">
        <is>
          <t>Dcc (n)</t>
        </is>
      </c>
      <c r="I7" s="120" t="inlineStr">
        <is>
          <t>PSE</t>
        </is>
      </c>
      <c r="J7" s="120" t="inlineStr">
        <is>
          <t>Vmáx (km/h)</t>
        </is>
      </c>
      <c r="K7" s="120" t="inlineStr">
        <is>
          <t>Dist/min</t>
        </is>
      </c>
    </row>
    <row r="8">
      <c r="A8" s="581" t="inlineStr">
        <is>
          <t>Artur</t>
        </is>
      </c>
      <c r="B8" s="581">
        <f>IFERROR(VLOOKUP(A8,PBI_Plantel!$A:$B,2,0),"")</f>
        <v/>
      </c>
      <c r="C8" s="582">
        <f>IFERROR(AVERAGEIFS(BD_Carga!$E:$E,BD_Carga!$C:$C,A8,BD_Carga!$R:$R,$B$4,BD_Carga!$Q:$Q,"Jogo"),"-")</f>
        <v/>
      </c>
      <c r="D8" s="583">
        <f>IFERROR(AVERAGEIFS(BD_Carga!$F:$F,BD_Carga!$C:$C,A8,BD_Carga!$R:$R,$B$4,BD_Carga!$Q:$Q,"Jogo"),"-")</f>
        <v/>
      </c>
      <c r="E8" s="583">
        <f>IFERROR(AVERAGEIFS(BD_Carga!$G:$G,BD_Carga!$C:$C,A8,BD_Carga!$R:$R,$B$4,BD_Carga!$Q:$Q,"Jogo"),"-")</f>
        <v/>
      </c>
      <c r="F8" s="583">
        <f>IFERROR(AVERAGEIFS(BD_Carga!$H:$H,BD_Carga!$C:$C,A8,BD_Carga!$R:$R,$B$4,BD_Carga!$Q:$Q,"Jogo"),"-")</f>
        <v/>
      </c>
      <c r="G8" s="582">
        <f>IFERROR(AVERAGEIFS(BD_Carga!$I:$I,BD_Carga!$C:$C,A8,BD_Carga!$R:$R,$B$4,BD_Carga!$Q:$Q,"Jogo"),"-")</f>
        <v/>
      </c>
      <c r="H8" s="582">
        <f>IFERROR(AVERAGEIFS(BD_Carga!$J:$J,BD_Carga!$C:$C,A8,BD_Carga!$R:$R,$B$4,BD_Carga!$Q:$Q,"Jogo"),"-")</f>
        <v/>
      </c>
      <c r="I8" s="584">
        <f>IFERROR(AVERAGEIFS(BD_Carga!$K:$K,BD_Carga!$C:$C,A8,BD_Carga!$R:$R,$B$4,BD_Carga!$Q:$Q,"Jogo"),"-")</f>
        <v/>
      </c>
      <c r="J8" s="584">
        <f>IFERROR(_xlfn.MAXIFS(BD_Carga!$L:$L,BD_Carga!$C:$C,A8,BD_Carga!$R:$R,$B$4,BD_Carga!$Q:$Q,"Jogo"),"-")</f>
        <v/>
      </c>
      <c r="K8" s="584">
        <f>IFERROR(D8/C8,"-")</f>
        <v/>
      </c>
    </row>
    <row r="9">
      <c r="A9" t="inlineStr">
        <is>
          <t>Capitulo</t>
        </is>
      </c>
      <c r="B9">
        <f>IFERROR(VLOOKUP(A9,PBI_Plantel!$A:$B,2,0),"")</f>
        <v/>
      </c>
      <c r="C9" s="578">
        <f>IFERROR(AVERAGEIFS(BD_Carga!$E:$E,BD_Carga!$C:$C,A9,BD_Carga!$R:$R,$B$4,BD_Carga!$Q:$Q,"Jogo"),"-")</f>
        <v/>
      </c>
      <c r="D9" s="4">
        <f>IFERROR(AVERAGEIFS(BD_Carga!$F:$F,BD_Carga!$C:$C,A9,BD_Carga!$R:$R,$B$4,BD_Carga!$Q:$Q,"Jogo"),"-")</f>
        <v/>
      </c>
      <c r="E9" s="4">
        <f>IFERROR(AVERAGEIFS(BD_Carga!$G:$G,BD_Carga!$C:$C,A9,BD_Carga!$R:$R,$B$4,BD_Carga!$Q:$Q,"Jogo"),"-")</f>
        <v/>
      </c>
      <c r="F9" s="4">
        <f>IFERROR(AVERAGEIFS(BD_Carga!$H:$H,BD_Carga!$C:$C,A9,BD_Carga!$R:$R,$B$4,BD_Carga!$Q:$Q,"Jogo"),"-")</f>
        <v/>
      </c>
      <c r="G9" s="578">
        <f>IFERROR(AVERAGEIFS(BD_Carga!$I:$I,BD_Carga!$C:$C,A9,BD_Carga!$R:$R,$B$4,BD_Carga!$Q:$Q,"Jogo"),"-")</f>
        <v/>
      </c>
      <c r="H9" s="578">
        <f>IFERROR(AVERAGEIFS(BD_Carga!$J:$J,BD_Carga!$C:$C,A9,BD_Carga!$R:$R,$B$4,BD_Carga!$Q:$Q,"Jogo"),"-")</f>
        <v/>
      </c>
      <c r="I9" s="5">
        <f>IFERROR(AVERAGEIFS(BD_Carga!$K:$K,BD_Carga!$C:$C,A9,BD_Carga!$R:$R,$B$4,BD_Carga!$Q:$Q,"Jogo"),"-")</f>
        <v/>
      </c>
      <c r="J9" s="5">
        <f>IFERROR(_xlfn.MAXIFS(BD_Carga!$L:$L,BD_Carga!$C:$C,A9,BD_Carga!$R:$R,$B$4,BD_Carga!$Q:$Q,"Jogo"),"-")</f>
        <v/>
      </c>
      <c r="K9" s="5">
        <f>IFERROR(D9/C9,"-")</f>
        <v/>
      </c>
    </row>
    <row r="10">
      <c r="A10" s="581" t="inlineStr">
        <is>
          <t>Edu</t>
        </is>
      </c>
      <c r="B10" s="581">
        <f>IFERROR(VLOOKUP(A10,PBI_Plantel!$A:$B,2,0),"")</f>
        <v/>
      </c>
      <c r="C10" s="582">
        <f>IFERROR(AVERAGEIFS(BD_Carga!$E:$E,BD_Carga!$C:$C,A10,BD_Carga!$R:$R,$B$4,BD_Carga!$Q:$Q,"Jogo"),"-")</f>
        <v/>
      </c>
      <c r="D10" s="583">
        <f>IFERROR(AVERAGEIFS(BD_Carga!$F:$F,BD_Carga!$C:$C,A10,BD_Carga!$R:$R,$B$4,BD_Carga!$Q:$Q,"Jogo"),"-")</f>
        <v/>
      </c>
      <c r="E10" s="583">
        <f>IFERROR(AVERAGEIFS(BD_Carga!$G:$G,BD_Carga!$C:$C,A10,BD_Carga!$R:$R,$B$4,BD_Carga!$Q:$Q,"Jogo"),"-")</f>
        <v/>
      </c>
      <c r="F10" s="583">
        <f>IFERROR(AVERAGEIFS(BD_Carga!$H:$H,BD_Carga!$C:$C,A10,BD_Carga!$R:$R,$B$4,BD_Carga!$Q:$Q,"Jogo"),"-")</f>
        <v/>
      </c>
      <c r="G10" s="582">
        <f>IFERROR(AVERAGEIFS(BD_Carga!$I:$I,BD_Carga!$C:$C,A10,BD_Carga!$R:$R,$B$4,BD_Carga!$Q:$Q,"Jogo"),"-")</f>
        <v/>
      </c>
      <c r="H10" s="582">
        <f>IFERROR(AVERAGEIFS(BD_Carga!$J:$J,BD_Carga!$C:$C,A10,BD_Carga!$R:$R,$B$4,BD_Carga!$Q:$Q,"Jogo"),"-")</f>
        <v/>
      </c>
      <c r="I10" s="584">
        <f>IFERROR(AVERAGEIFS(BD_Carga!$K:$K,BD_Carga!$C:$C,A10,BD_Carga!$R:$R,$B$4,BD_Carga!$Q:$Q,"Jogo"),"-")</f>
        <v/>
      </c>
      <c r="J10" s="584">
        <f>IFERROR(_xlfn.MAXIFS(BD_Carga!$L:$L,BD_Carga!$C:$C,A10,BD_Carga!$R:$R,$B$4,BD_Carga!$Q:$Q,"Jogo"),"-")</f>
        <v/>
      </c>
      <c r="K10" s="584">
        <f>IFERROR(D10/C10,"-")</f>
        <v/>
      </c>
    </row>
    <row r="11">
      <c r="A11" t="inlineStr">
        <is>
          <t>Enzo Hugo</t>
        </is>
      </c>
      <c r="B11">
        <f>IFERROR(VLOOKUP(A11,PBI_Plantel!$A:$B,2,0),"")</f>
        <v/>
      </c>
      <c r="C11" s="578">
        <f>IFERROR(AVERAGEIFS(BD_Carga!$E:$E,BD_Carga!$C:$C,A11,BD_Carga!$R:$R,$B$4,BD_Carga!$Q:$Q,"Jogo"),"-")</f>
        <v/>
      </c>
      <c r="D11" s="4">
        <f>IFERROR(AVERAGEIFS(BD_Carga!$F:$F,BD_Carga!$C:$C,A11,BD_Carga!$R:$R,$B$4,BD_Carga!$Q:$Q,"Jogo"),"-")</f>
        <v/>
      </c>
      <c r="E11" s="4">
        <f>IFERROR(AVERAGEIFS(BD_Carga!$G:$G,BD_Carga!$C:$C,A11,BD_Carga!$R:$R,$B$4,BD_Carga!$Q:$Q,"Jogo"),"-")</f>
        <v/>
      </c>
      <c r="F11" s="4">
        <f>IFERROR(AVERAGEIFS(BD_Carga!$H:$H,BD_Carga!$C:$C,A11,BD_Carga!$R:$R,$B$4,BD_Carga!$Q:$Q,"Jogo"),"-")</f>
        <v/>
      </c>
      <c r="G11" s="578">
        <f>IFERROR(AVERAGEIFS(BD_Carga!$I:$I,BD_Carga!$C:$C,A11,BD_Carga!$R:$R,$B$4,BD_Carga!$Q:$Q,"Jogo"),"-")</f>
        <v/>
      </c>
      <c r="H11" s="578">
        <f>IFERROR(AVERAGEIFS(BD_Carga!$J:$J,BD_Carga!$C:$C,A11,BD_Carga!$R:$R,$B$4,BD_Carga!$Q:$Q,"Jogo"),"-")</f>
        <v/>
      </c>
      <c r="I11" s="5">
        <f>IFERROR(AVERAGEIFS(BD_Carga!$K:$K,BD_Carga!$C:$C,A11,BD_Carga!$R:$R,$B$4,BD_Carga!$Q:$Q,"Jogo"),"-")</f>
        <v/>
      </c>
      <c r="J11" s="5">
        <f>IFERROR(_xlfn.MAXIFS(BD_Carga!$L:$L,BD_Carga!$C:$C,A11,BD_Carga!$R:$R,$B$4,BD_Carga!$Q:$Q,"Jogo"),"-")</f>
        <v/>
      </c>
      <c r="K11" s="5">
        <f>IFERROR(D11/C11,"-")</f>
        <v/>
      </c>
    </row>
    <row r="12">
      <c r="A12" s="581" t="inlineStr">
        <is>
          <t>Gomes</t>
        </is>
      </c>
      <c r="B12" s="581">
        <f>IFERROR(VLOOKUP(A12,PBI_Plantel!$A:$B,2,0),"")</f>
        <v/>
      </c>
      <c r="C12" s="582">
        <f>IFERROR(AVERAGEIFS(BD_Carga!$E:$E,BD_Carga!$C:$C,A12,BD_Carga!$R:$R,$B$4,BD_Carga!$Q:$Q,"Jogo"),"-")</f>
        <v/>
      </c>
      <c r="D12" s="583">
        <f>IFERROR(AVERAGEIFS(BD_Carga!$F:$F,BD_Carga!$C:$C,A12,BD_Carga!$R:$R,$B$4,BD_Carga!$Q:$Q,"Jogo"),"-")</f>
        <v/>
      </c>
      <c r="E12" s="583">
        <f>IFERROR(AVERAGEIFS(BD_Carga!$G:$G,BD_Carga!$C:$C,A12,BD_Carga!$R:$R,$B$4,BD_Carga!$Q:$Q,"Jogo"),"-")</f>
        <v/>
      </c>
      <c r="F12" s="583">
        <f>IFERROR(AVERAGEIFS(BD_Carga!$H:$H,BD_Carga!$C:$C,A12,BD_Carga!$R:$R,$B$4,BD_Carga!$Q:$Q,"Jogo"),"-")</f>
        <v/>
      </c>
      <c r="G12" s="582">
        <f>IFERROR(AVERAGEIFS(BD_Carga!$I:$I,BD_Carga!$C:$C,A12,BD_Carga!$R:$R,$B$4,BD_Carga!$Q:$Q,"Jogo"),"-")</f>
        <v/>
      </c>
      <c r="H12" s="582">
        <f>IFERROR(AVERAGEIFS(BD_Carga!$J:$J,BD_Carga!$C:$C,A12,BD_Carga!$R:$R,$B$4,BD_Carga!$Q:$Q,"Jogo"),"-")</f>
        <v/>
      </c>
      <c r="I12" s="584">
        <f>IFERROR(AVERAGEIFS(BD_Carga!$K:$K,BD_Carga!$C:$C,A12,BD_Carga!$R:$R,$B$4,BD_Carga!$Q:$Q,"Jogo"),"-")</f>
        <v/>
      </c>
      <c r="J12" s="584">
        <f>IFERROR(_xlfn.MAXIFS(BD_Carga!$L:$L,BD_Carga!$C:$C,A12,BD_Carga!$R:$R,$B$4,BD_Carga!$Q:$Q,"Jogo"),"-")</f>
        <v/>
      </c>
      <c r="K12" s="584">
        <f>IFERROR(D12/C12,"-")</f>
        <v/>
      </c>
    </row>
    <row r="13">
      <c r="A13" t="inlineStr">
        <is>
          <t>Nogueira</t>
        </is>
      </c>
      <c r="B13">
        <f>IFERROR(VLOOKUP(A13,PBI_Plantel!$A:$B,2,0),"")</f>
        <v/>
      </c>
      <c r="C13" s="578">
        <f>IFERROR(AVERAGEIFS(BD_Carga!$E:$E,BD_Carga!$C:$C,A13,BD_Carga!$R:$R,$B$4,BD_Carga!$Q:$Q,"Jogo"),"-")</f>
        <v/>
      </c>
      <c r="D13" s="4">
        <f>IFERROR(AVERAGEIFS(BD_Carga!$F:$F,BD_Carga!$C:$C,A13,BD_Carga!$R:$R,$B$4,BD_Carga!$Q:$Q,"Jogo"),"-")</f>
        <v/>
      </c>
      <c r="E13" s="4">
        <f>IFERROR(AVERAGEIFS(BD_Carga!$G:$G,BD_Carga!$C:$C,A13,BD_Carga!$R:$R,$B$4,BD_Carga!$Q:$Q,"Jogo"),"-")</f>
        <v/>
      </c>
      <c r="F13" s="4">
        <f>IFERROR(AVERAGEIFS(BD_Carga!$H:$H,BD_Carga!$C:$C,A13,BD_Carga!$R:$R,$B$4,BD_Carga!$Q:$Q,"Jogo"),"-")</f>
        <v/>
      </c>
      <c r="G13" s="578">
        <f>IFERROR(AVERAGEIFS(BD_Carga!$I:$I,BD_Carga!$C:$C,A13,BD_Carga!$R:$R,$B$4,BD_Carga!$Q:$Q,"Jogo"),"-")</f>
        <v/>
      </c>
      <c r="H13" s="578">
        <f>IFERROR(AVERAGEIFS(BD_Carga!$J:$J,BD_Carga!$C:$C,A13,BD_Carga!$R:$R,$B$4,BD_Carga!$Q:$Q,"Jogo"),"-")</f>
        <v/>
      </c>
      <c r="I13" s="5">
        <f>IFERROR(AVERAGEIFS(BD_Carga!$K:$K,BD_Carga!$C:$C,A13,BD_Carga!$R:$R,$B$4,BD_Carga!$Q:$Q,"Jogo"),"-")</f>
        <v/>
      </c>
      <c r="J13" s="5">
        <f>IFERROR(_xlfn.MAXIFS(BD_Carga!$L:$L,BD_Carga!$C:$C,A13,BD_Carga!$R:$R,$B$4,BD_Carga!$Q:$Q,"Jogo"),"-")</f>
        <v/>
      </c>
      <c r="K13" s="5">
        <f>IFERROR(D13/C13,"-")</f>
        <v/>
      </c>
    </row>
    <row r="14">
      <c r="A14" s="581" t="inlineStr">
        <is>
          <t>Paulino</t>
        </is>
      </c>
      <c r="B14" s="581">
        <f>IFERROR(VLOOKUP(A14,PBI_Plantel!$A:$B,2,0),"")</f>
        <v/>
      </c>
      <c r="C14" s="582">
        <f>IFERROR(AVERAGEIFS(BD_Carga!$E:$E,BD_Carga!$C:$C,A14,BD_Carga!$R:$R,$B$4,BD_Carga!$Q:$Q,"Jogo"),"-")</f>
        <v/>
      </c>
      <c r="D14" s="583">
        <f>IFERROR(AVERAGEIFS(BD_Carga!$F:$F,BD_Carga!$C:$C,A14,BD_Carga!$R:$R,$B$4,BD_Carga!$Q:$Q,"Jogo"),"-")</f>
        <v/>
      </c>
      <c r="E14" s="583">
        <f>IFERROR(AVERAGEIFS(BD_Carga!$G:$G,BD_Carga!$C:$C,A14,BD_Carga!$R:$R,$B$4,BD_Carga!$Q:$Q,"Jogo"),"-")</f>
        <v/>
      </c>
      <c r="F14" s="583">
        <f>IFERROR(AVERAGEIFS(BD_Carga!$H:$H,BD_Carga!$C:$C,A14,BD_Carga!$R:$R,$B$4,BD_Carga!$Q:$Q,"Jogo"),"-")</f>
        <v/>
      </c>
      <c r="G14" s="582">
        <f>IFERROR(AVERAGEIFS(BD_Carga!$I:$I,BD_Carga!$C:$C,A14,BD_Carga!$R:$R,$B$4,BD_Carga!$Q:$Q,"Jogo"),"-")</f>
        <v/>
      </c>
      <c r="H14" s="582">
        <f>IFERROR(AVERAGEIFS(BD_Carga!$J:$J,BD_Carga!$C:$C,A14,BD_Carga!$R:$R,$B$4,BD_Carga!$Q:$Q,"Jogo"),"-")</f>
        <v/>
      </c>
      <c r="I14" s="584">
        <f>IFERROR(AVERAGEIFS(BD_Carga!$K:$K,BD_Carga!$C:$C,A14,BD_Carga!$R:$R,$B$4,BD_Carga!$Q:$Q,"Jogo"),"-")</f>
        <v/>
      </c>
      <c r="J14" s="584">
        <f>IFERROR(_xlfn.MAXIFS(BD_Carga!$L:$L,BD_Carga!$C:$C,A14,BD_Carga!$R:$R,$B$4,BD_Carga!$Q:$Q,"Jogo"),"-")</f>
        <v/>
      </c>
      <c r="K14" s="584">
        <f>IFERROR(D14/C14,"-")</f>
        <v/>
      </c>
    </row>
    <row r="15">
      <c r="A15" t="inlineStr">
        <is>
          <t>Sá</t>
        </is>
      </c>
      <c r="B15">
        <f>IFERROR(VLOOKUP(A15,PBI_Plantel!$A:$B,2,0),"")</f>
        <v/>
      </c>
      <c r="C15" s="578">
        <f>IFERROR(AVERAGEIFS(BD_Carga!$E:$E,BD_Carga!$C:$C,A15,BD_Carga!$R:$R,$B$4,BD_Carga!$Q:$Q,"Jogo"),"-")</f>
        <v/>
      </c>
      <c r="D15" s="4">
        <f>IFERROR(AVERAGEIFS(BD_Carga!$F:$F,BD_Carga!$C:$C,A15,BD_Carga!$R:$R,$B$4,BD_Carga!$Q:$Q,"Jogo"),"-")</f>
        <v/>
      </c>
      <c r="E15" s="4">
        <f>IFERROR(AVERAGEIFS(BD_Carga!$G:$G,BD_Carga!$C:$C,A15,BD_Carga!$R:$R,$B$4,BD_Carga!$Q:$Q,"Jogo"),"-")</f>
        <v/>
      </c>
      <c r="F15" s="4">
        <f>IFERROR(AVERAGEIFS(BD_Carga!$H:$H,BD_Carga!$C:$C,A15,BD_Carga!$R:$R,$B$4,BD_Carga!$Q:$Q,"Jogo"),"-")</f>
        <v/>
      </c>
      <c r="G15" s="578">
        <f>IFERROR(AVERAGEIFS(BD_Carga!$I:$I,BD_Carga!$C:$C,A15,BD_Carga!$R:$R,$B$4,BD_Carga!$Q:$Q,"Jogo"),"-")</f>
        <v/>
      </c>
      <c r="H15" s="578">
        <f>IFERROR(AVERAGEIFS(BD_Carga!$J:$J,BD_Carga!$C:$C,A15,BD_Carga!$R:$R,$B$4,BD_Carga!$Q:$Q,"Jogo"),"-")</f>
        <v/>
      </c>
      <c r="I15" s="5">
        <f>IFERROR(AVERAGEIFS(BD_Carga!$K:$K,BD_Carga!$C:$C,A15,BD_Carga!$R:$R,$B$4,BD_Carga!$Q:$Q,"Jogo"),"-")</f>
        <v/>
      </c>
      <c r="J15" s="5">
        <f>IFERROR(_xlfn.MAXIFS(BD_Carga!$L:$L,BD_Carga!$C:$C,A15,BD_Carga!$R:$R,$B$4,BD_Carga!$Q:$Q,"Jogo"),"-")</f>
        <v/>
      </c>
      <c r="K15" s="5">
        <f>IFERROR(D15/C15,"-")</f>
        <v/>
      </c>
    </row>
    <row r="16">
      <c r="A16" s="581" t="inlineStr">
        <is>
          <t>Varela</t>
        </is>
      </c>
      <c r="B16" s="581">
        <f>IFERROR(VLOOKUP(A16,PBI_Plantel!$A:$B,2,0),"")</f>
        <v/>
      </c>
      <c r="C16" s="582">
        <f>IFERROR(AVERAGEIFS(BD_Carga!$E:$E,BD_Carga!$C:$C,A16,BD_Carga!$R:$R,$B$4,BD_Carga!$Q:$Q,"Jogo"),"-")</f>
        <v/>
      </c>
      <c r="D16" s="583">
        <f>IFERROR(AVERAGEIFS(BD_Carga!$F:$F,BD_Carga!$C:$C,A16,BD_Carga!$R:$R,$B$4,BD_Carga!$Q:$Q,"Jogo"),"-")</f>
        <v/>
      </c>
      <c r="E16" s="583">
        <f>IFERROR(AVERAGEIFS(BD_Carga!$G:$G,BD_Carga!$C:$C,A16,BD_Carga!$R:$R,$B$4,BD_Carga!$Q:$Q,"Jogo"),"-")</f>
        <v/>
      </c>
      <c r="F16" s="583">
        <f>IFERROR(AVERAGEIFS(BD_Carga!$H:$H,BD_Carga!$C:$C,A16,BD_Carga!$R:$R,$B$4,BD_Carga!$Q:$Q,"Jogo"),"-")</f>
        <v/>
      </c>
      <c r="G16" s="582">
        <f>IFERROR(AVERAGEIFS(BD_Carga!$I:$I,BD_Carga!$C:$C,A16,BD_Carga!$R:$R,$B$4,BD_Carga!$Q:$Q,"Jogo"),"-")</f>
        <v/>
      </c>
      <c r="H16" s="582">
        <f>IFERROR(AVERAGEIFS(BD_Carga!$J:$J,BD_Carga!$C:$C,A16,BD_Carga!$R:$R,$B$4,BD_Carga!$Q:$Q,"Jogo"),"-")</f>
        <v/>
      </c>
      <c r="I16" s="584">
        <f>IFERROR(AVERAGEIFS(BD_Carga!$K:$K,BD_Carga!$C:$C,A16,BD_Carga!$R:$R,$B$4,BD_Carga!$Q:$Q,"Jogo"),"-")</f>
        <v/>
      </c>
      <c r="J16" s="584">
        <f>IFERROR(_xlfn.MAXIFS(BD_Carga!$L:$L,BD_Carga!$C:$C,A16,BD_Carga!$R:$R,$B$4,BD_Carga!$Q:$Q,"Jogo"),"-")</f>
        <v/>
      </c>
      <c r="K16" s="584">
        <f>IFERROR(D16/C16,"-")</f>
        <v/>
      </c>
    </row>
    <row r="17">
      <c r="A17" t="inlineStr">
        <is>
          <t>Valente</t>
        </is>
      </c>
      <c r="B17">
        <f>IFERROR(VLOOKUP(A17,PBI_Plantel!$A:$B,2,0),"")</f>
        <v/>
      </c>
      <c r="C17" s="578">
        <f>IFERROR(AVERAGEIFS(BD_Carga!$E:$E,BD_Carga!$C:$C,A17,BD_Carga!$R:$R,$B$4,BD_Carga!$Q:$Q,"Jogo"),"-")</f>
        <v/>
      </c>
      <c r="D17" s="4">
        <f>IFERROR(AVERAGEIFS(BD_Carga!$F:$F,BD_Carga!$C:$C,A17,BD_Carga!$R:$R,$B$4,BD_Carga!$Q:$Q,"Jogo"),"-")</f>
        <v/>
      </c>
      <c r="E17" s="4">
        <f>IFERROR(AVERAGEIFS(BD_Carga!$G:$G,BD_Carga!$C:$C,A17,BD_Carga!$R:$R,$B$4,BD_Carga!$Q:$Q,"Jogo"),"-")</f>
        <v/>
      </c>
      <c r="F17" s="4">
        <f>IFERROR(AVERAGEIFS(BD_Carga!$H:$H,BD_Carga!$C:$C,A17,BD_Carga!$R:$R,$B$4,BD_Carga!$Q:$Q,"Jogo"),"-")</f>
        <v/>
      </c>
      <c r="G17" s="578">
        <f>IFERROR(AVERAGEIFS(BD_Carga!$I:$I,BD_Carga!$C:$C,A17,BD_Carga!$R:$R,$B$4,BD_Carga!$Q:$Q,"Jogo"),"-")</f>
        <v/>
      </c>
      <c r="H17" s="578">
        <f>IFERROR(AVERAGEIFS(BD_Carga!$J:$J,BD_Carga!$C:$C,A17,BD_Carga!$R:$R,$B$4,BD_Carga!$Q:$Q,"Jogo"),"-")</f>
        <v/>
      </c>
      <c r="I17" s="5">
        <f>IFERROR(AVERAGEIFS(BD_Carga!$K:$K,BD_Carga!$C:$C,A17,BD_Carga!$R:$R,$B$4,BD_Carga!$Q:$Q,"Jogo"),"-")</f>
        <v/>
      </c>
      <c r="J17" s="5">
        <f>IFERROR(_xlfn.MAXIFS(BD_Carga!$L:$L,BD_Carga!$C:$C,A17,BD_Carga!$R:$R,$B$4,BD_Carga!$Q:$Q,"Jogo"),"-")</f>
        <v/>
      </c>
      <c r="K17" s="5">
        <f>IFERROR(D17/C17,"-")</f>
        <v/>
      </c>
    </row>
    <row r="18">
      <c r="A18" s="581" t="inlineStr">
        <is>
          <t>Quinalau</t>
        </is>
      </c>
      <c r="B18" s="581">
        <f>IFERROR(VLOOKUP(A18,PBI_Plantel!$A:$B,2,0),"")</f>
        <v/>
      </c>
      <c r="C18" s="582">
        <f>IFERROR(AVERAGEIFS(BD_Carga!$E:$E,BD_Carga!$C:$C,A18,BD_Carga!$R:$R,$B$4,BD_Carga!$Q:$Q,"Jogo"),"-")</f>
        <v/>
      </c>
      <c r="D18" s="583">
        <f>IFERROR(AVERAGEIFS(BD_Carga!$F:$F,BD_Carga!$C:$C,A18,BD_Carga!$R:$R,$B$4,BD_Carga!$Q:$Q,"Jogo"),"-")</f>
        <v/>
      </c>
      <c r="E18" s="583">
        <f>IFERROR(AVERAGEIFS(BD_Carga!$G:$G,BD_Carga!$C:$C,A18,BD_Carga!$R:$R,$B$4,BD_Carga!$Q:$Q,"Jogo"),"-")</f>
        <v/>
      </c>
      <c r="F18" s="583">
        <f>IFERROR(AVERAGEIFS(BD_Carga!$H:$H,BD_Carga!$C:$C,A18,BD_Carga!$R:$R,$B$4,BD_Carga!$Q:$Q,"Jogo"),"-")</f>
        <v/>
      </c>
      <c r="G18" s="582">
        <f>IFERROR(AVERAGEIFS(BD_Carga!$I:$I,BD_Carga!$C:$C,A18,BD_Carga!$R:$R,$B$4,BD_Carga!$Q:$Q,"Jogo"),"-")</f>
        <v/>
      </c>
      <c r="H18" s="582">
        <f>IFERROR(AVERAGEIFS(BD_Carga!$J:$J,BD_Carga!$C:$C,A18,BD_Carga!$R:$R,$B$4,BD_Carga!$Q:$Q,"Jogo"),"-")</f>
        <v/>
      </c>
      <c r="I18" s="584">
        <f>IFERROR(AVERAGEIFS(BD_Carga!$K:$K,BD_Carga!$C:$C,A18,BD_Carga!$R:$R,$B$4,BD_Carga!$Q:$Q,"Jogo"),"-")</f>
        <v/>
      </c>
      <c r="J18" s="584">
        <f>IFERROR(_xlfn.MAXIFS(BD_Carga!$L:$L,BD_Carga!$C:$C,A18,BD_Carga!$R:$R,$B$4,BD_Carga!$Q:$Q,"Jogo"),"-")</f>
        <v/>
      </c>
      <c r="K18" s="584">
        <f>IFERROR(D18/C18,"-")</f>
        <v/>
      </c>
    </row>
    <row r="19">
      <c r="A19" t="inlineStr">
        <is>
          <t>Bruno</t>
        </is>
      </c>
      <c r="B19">
        <f>IFERROR(VLOOKUP(A19,PBI_Plantel!$A:$B,2,0),"")</f>
        <v/>
      </c>
      <c r="C19" s="578">
        <f>IFERROR(AVERAGEIFS(BD_Carga!$E:$E,BD_Carga!$C:$C,A19,BD_Carga!$R:$R,$B$4,BD_Carga!$Q:$Q,"Jogo"),"-")</f>
        <v/>
      </c>
      <c r="D19" s="4">
        <f>IFERROR(AVERAGEIFS(BD_Carga!$F:$F,BD_Carga!$C:$C,A19,BD_Carga!$R:$R,$B$4,BD_Carga!$Q:$Q,"Jogo"),"-")</f>
        <v/>
      </c>
      <c r="E19" s="4">
        <f>IFERROR(AVERAGEIFS(BD_Carga!$G:$G,BD_Carga!$C:$C,A19,BD_Carga!$R:$R,$B$4,BD_Carga!$Q:$Q,"Jogo"),"-")</f>
        <v/>
      </c>
      <c r="F19" s="4">
        <f>IFERROR(AVERAGEIFS(BD_Carga!$H:$H,BD_Carga!$C:$C,A19,BD_Carga!$R:$R,$B$4,BD_Carga!$Q:$Q,"Jogo"),"-")</f>
        <v/>
      </c>
      <c r="G19" s="578">
        <f>IFERROR(AVERAGEIFS(BD_Carga!$I:$I,BD_Carga!$C:$C,A19,BD_Carga!$R:$R,$B$4,BD_Carga!$Q:$Q,"Jogo"),"-")</f>
        <v/>
      </c>
      <c r="H19" s="578">
        <f>IFERROR(AVERAGEIFS(BD_Carga!$J:$J,BD_Carga!$C:$C,A19,BD_Carga!$R:$R,$B$4,BD_Carga!$Q:$Q,"Jogo"),"-")</f>
        <v/>
      </c>
      <c r="I19" s="5">
        <f>IFERROR(AVERAGEIFS(BD_Carga!$K:$K,BD_Carga!$C:$C,A19,BD_Carga!$R:$R,$B$4,BD_Carga!$Q:$Q,"Jogo"),"-")</f>
        <v/>
      </c>
      <c r="J19" s="5">
        <f>IFERROR(_xlfn.MAXIFS(BD_Carga!$L:$L,BD_Carga!$C:$C,A19,BD_Carga!$R:$R,$B$4,BD_Carga!$Q:$Q,"Jogo"),"-")</f>
        <v/>
      </c>
      <c r="K19" s="5">
        <f>IFERROR(D19/C19,"-")</f>
        <v/>
      </c>
    </row>
    <row r="22">
      <c r="A22" s="596" t="inlineStr">
        <is>
          <t>B — COMPARAÇÃO JOGO A JOGO  (médias de equipa por jogo)</t>
        </is>
      </c>
    </row>
    <row r="23">
      <c r="A23" s="120" t="inlineStr">
        <is>
          <t>Microciclo</t>
        </is>
      </c>
      <c r="B23" s="120" t="inlineStr">
        <is>
          <t>Data Jogo</t>
        </is>
      </c>
      <c r="C23" s="120" t="inlineStr">
        <is>
          <t>Nº Jog.</t>
        </is>
      </c>
      <c r="D23" s="120" t="inlineStr">
        <is>
          <t>Méd Dist (m)</t>
        </is>
      </c>
      <c r="E23" s="120" t="inlineStr">
        <is>
          <t>Méd HSR (m)</t>
        </is>
      </c>
      <c r="F23" s="120" t="inlineStr">
        <is>
          <t>Méd Sprint (m)</t>
        </is>
      </c>
      <c r="G23" s="120" t="inlineStr">
        <is>
          <t>Méd Acc</t>
        </is>
      </c>
      <c r="H23" s="120" t="inlineStr">
        <is>
          <t>Méd Dcc</t>
        </is>
      </c>
      <c r="I23" s="120" t="inlineStr">
        <is>
          <t>Méd PSE</t>
        </is>
      </c>
      <c r="J23" s="120" t="inlineStr">
        <is>
          <t>Méd Vmáx</t>
        </is>
      </c>
    </row>
    <row r="24">
      <c r="A24" s="582" t="n">
        <v>1</v>
      </c>
      <c r="B24" s="586">
        <f>IFERROR(IF(COUNTIFS(BD_Carga!$R:$R,A24,BD_Carga!$Q:$Q,"Jogo")=0,"",_xlfn.MINIFS(BD_Carga!$A:$A,BD_Carga!$R:$R,A24,BD_Carga!$Q:$Q,"Jogo")),"")</f>
        <v/>
      </c>
      <c r="C24" s="581">
        <f>IFERROR(IF(COUNTIFS(BD_Carga!$R:$R,A24,BD_Carga!$Q:$Q,"Jogo")=0,"-",COUNTIFS(BD_Carga!$R:$R,A24,BD_Carga!$Q:$Q,"Jogo")),"-")</f>
        <v/>
      </c>
      <c r="D24" s="587">
        <f>IFERROR(IF(COUNTIFS(BD_Carga!$R:$R,A24,BD_Carga!$Q:$Q,"Jogo")=0,"-",ROUND(AVERAGEIFS(BD_Carga!$F:$F,BD_Carga!$R:$R,A24,BD_Carga!$Q:$Q,"Jogo"),0)),"-")</f>
        <v/>
      </c>
      <c r="E24" s="587">
        <f>IFERROR(IF(COUNTIFS(BD_Carga!$R:$R,A24,BD_Carga!$Q:$Q,"Jogo")=0,"-",ROUND(AVERAGEIFS(BD_Carga!$G:$G,BD_Carga!$R:$R,A24,BD_Carga!$Q:$Q,"Jogo"),0)),"-")</f>
        <v/>
      </c>
      <c r="F24" s="587">
        <f>IFERROR(IF(COUNTIFS(BD_Carga!$R:$R,A24,BD_Carga!$Q:$Q,"Jogo")=0,"-",ROUND(AVERAGEIFS(BD_Carga!$H:$H,BD_Carga!$R:$R,A24,BD_Carga!$Q:$Q,"Jogo"),0)),"-")</f>
        <v/>
      </c>
      <c r="G24" s="587">
        <f>IFERROR(IF(COUNTIFS(BD_Carga!$R:$R,A24,BD_Carga!$Q:$Q,"Jogo")=0,"-",ROUND(AVERAGEIFS(BD_Carga!$I:$I,BD_Carga!$R:$R,A24,BD_Carga!$Q:$Q,"Jogo"),1)),"-")</f>
        <v/>
      </c>
      <c r="H24" s="587">
        <f>IFERROR(IF(COUNTIFS(BD_Carga!$R:$R,A24,BD_Carga!$Q:$Q,"Jogo")=0,"-",ROUND(AVERAGEIFS(BD_Carga!$J:$J,BD_Carga!$R:$R,A24,BD_Carga!$Q:$Q,"Jogo"),1)),"-")</f>
        <v/>
      </c>
      <c r="I24" s="587">
        <f>IFERROR(IF(COUNTIFS(BD_Carga!$R:$R,A24,BD_Carga!$Q:$Q,"Jogo")=0,"-",ROUND(AVERAGEIFS(BD_Carga!$K:$K,BD_Carga!$R:$R,A24,BD_Carga!$Q:$Q,"Jogo"),1)),"-")</f>
        <v/>
      </c>
      <c r="J24" s="587">
        <f>IFERROR(IF(COUNTIFS(BD_Carga!$R:$R,A24,BD_Carga!$Q:$Q,"Jogo")=0,"-",ROUND(AVERAGEIFS(BD_Carga!$L:$L,BD_Carga!$R:$R,A24,BD_Carga!$Q:$Q,"Jogo"),1)),"-")</f>
        <v/>
      </c>
    </row>
    <row r="25">
      <c r="A25" t="n">
        <v>2</v>
      </c>
      <c r="B25" s="2">
        <f>IFERROR(IF(COUNTIFS(BD_Carga!$R:$R,A25,BD_Carga!$Q:$Q,"Jogo")=0,"",_xlfn.MINIFS(BD_Carga!$A:$A,BD_Carga!$R:$R,A25,BD_Carga!$Q:$Q,"Jogo")),"")</f>
        <v/>
      </c>
      <c r="C25">
        <f>IFERROR(IF(COUNTIFS(BD_Carga!$R:$R,A25,BD_Carga!$Q:$Q,"Jogo")=0,"-",COUNTIFS(BD_Carga!$R:$R,A25,BD_Carga!$Q:$Q,"Jogo")),"-")</f>
        <v/>
      </c>
      <c r="D25" s="588">
        <f>IFERROR(IF(COUNTIFS(BD_Carga!$R:$R,A25,BD_Carga!$Q:$Q,"Jogo")=0,"-",ROUND(AVERAGEIFS(BD_Carga!$F:$F,BD_Carga!$R:$R,A25,BD_Carga!$Q:$Q,"Jogo"),0)),"-")</f>
        <v/>
      </c>
      <c r="E25" s="588">
        <f>IFERROR(IF(COUNTIFS(BD_Carga!$R:$R,A25,BD_Carga!$Q:$Q,"Jogo")=0,"-",ROUND(AVERAGEIFS(BD_Carga!$G:$G,BD_Carga!$R:$R,A25,BD_Carga!$Q:$Q,"Jogo"),0)),"-")</f>
        <v/>
      </c>
      <c r="F25" s="588">
        <f>IFERROR(IF(COUNTIFS(BD_Carga!$R:$R,A25,BD_Carga!$Q:$Q,"Jogo")=0,"-",ROUND(AVERAGEIFS(BD_Carga!$H:$H,BD_Carga!$R:$R,A25,BD_Carga!$Q:$Q,"Jogo"),0)),"-")</f>
        <v/>
      </c>
      <c r="G25" s="588">
        <f>IFERROR(IF(COUNTIFS(BD_Carga!$R:$R,A25,BD_Carga!$Q:$Q,"Jogo")=0,"-",ROUND(AVERAGEIFS(BD_Carga!$I:$I,BD_Carga!$R:$R,A25,BD_Carga!$Q:$Q,"Jogo"),1)),"-")</f>
        <v/>
      </c>
      <c r="H25" s="588">
        <f>IFERROR(IF(COUNTIFS(BD_Carga!$R:$R,A25,BD_Carga!$Q:$Q,"Jogo")=0,"-",ROUND(AVERAGEIFS(BD_Carga!$J:$J,BD_Carga!$R:$R,A25,BD_Carga!$Q:$Q,"Jogo"),1)),"-")</f>
        <v/>
      </c>
      <c r="I25" s="588">
        <f>IFERROR(IF(COUNTIFS(BD_Carga!$R:$R,A25,BD_Carga!$Q:$Q,"Jogo")=0,"-",ROUND(AVERAGEIFS(BD_Carga!$K:$K,BD_Carga!$R:$R,A25,BD_Carga!$Q:$Q,"Jogo"),1)),"-")</f>
        <v/>
      </c>
      <c r="J25" s="588">
        <f>IFERROR(IF(COUNTIFS(BD_Carga!$R:$R,A25,BD_Carga!$Q:$Q,"Jogo")=0,"-",ROUND(AVERAGEIFS(BD_Carga!$L:$L,BD_Carga!$R:$R,A25,BD_Carga!$Q:$Q,"Jogo"),1)),"-")</f>
        <v/>
      </c>
    </row>
    <row r="26">
      <c r="A26" s="581" t="n">
        <v>3</v>
      </c>
      <c r="B26" s="586">
        <f>IFERROR(IF(COUNTIFS(BD_Carga!$R:$R,A26,BD_Carga!$Q:$Q,"Jogo")=0,"",_xlfn.MINIFS(BD_Carga!$A:$A,BD_Carga!$R:$R,A26,BD_Carga!$Q:$Q,"Jogo")),"")</f>
        <v/>
      </c>
      <c r="C26" s="581">
        <f>IFERROR(IF(COUNTIFS(BD_Carga!$R:$R,A26,BD_Carga!$Q:$Q,"Jogo")=0,"-",COUNTIFS(BD_Carga!$R:$R,A26,BD_Carga!$Q:$Q,"Jogo")),"-")</f>
        <v/>
      </c>
      <c r="D26" s="587">
        <f>IFERROR(IF(COUNTIFS(BD_Carga!$R:$R,A26,BD_Carga!$Q:$Q,"Jogo")=0,"-",ROUND(AVERAGEIFS(BD_Carga!$F:$F,BD_Carga!$R:$R,A26,BD_Carga!$Q:$Q,"Jogo"),0)),"-")</f>
        <v/>
      </c>
      <c r="E26" s="587">
        <f>IFERROR(IF(COUNTIFS(BD_Carga!$R:$R,A26,BD_Carga!$Q:$Q,"Jogo")=0,"-",ROUND(AVERAGEIFS(BD_Carga!$G:$G,BD_Carga!$R:$R,A26,BD_Carga!$Q:$Q,"Jogo"),0)),"-")</f>
        <v/>
      </c>
      <c r="F26" s="587">
        <f>IFERROR(IF(COUNTIFS(BD_Carga!$R:$R,A26,BD_Carga!$Q:$Q,"Jogo")=0,"-",ROUND(AVERAGEIFS(BD_Carga!$H:$H,BD_Carga!$R:$R,A26,BD_Carga!$Q:$Q,"Jogo"),0)),"-")</f>
        <v/>
      </c>
      <c r="G26" s="587">
        <f>IFERROR(IF(COUNTIFS(BD_Carga!$R:$R,A26,BD_Carga!$Q:$Q,"Jogo")=0,"-",ROUND(AVERAGEIFS(BD_Carga!$I:$I,BD_Carga!$R:$R,A26,BD_Carga!$Q:$Q,"Jogo"),1)),"-")</f>
        <v/>
      </c>
      <c r="H26" s="587">
        <f>IFERROR(IF(COUNTIFS(BD_Carga!$R:$R,A26,BD_Carga!$Q:$Q,"Jogo")=0,"-",ROUND(AVERAGEIFS(BD_Carga!$J:$J,BD_Carga!$R:$R,A26,BD_Carga!$Q:$Q,"Jogo"),1)),"-")</f>
        <v/>
      </c>
      <c r="I26" s="587">
        <f>IFERROR(IF(COUNTIFS(BD_Carga!$R:$R,A26,BD_Carga!$Q:$Q,"Jogo")=0,"-",ROUND(AVERAGEIFS(BD_Carga!$K:$K,BD_Carga!$R:$R,A26,BD_Carga!$Q:$Q,"Jogo"),1)),"-")</f>
        <v/>
      </c>
      <c r="J26" s="587">
        <f>IFERROR(IF(COUNTIFS(BD_Carga!$R:$R,A26,BD_Carga!$Q:$Q,"Jogo")=0,"-",ROUND(AVERAGEIFS(BD_Carga!$L:$L,BD_Carga!$R:$R,A26,BD_Carga!$Q:$Q,"Jogo"),1)),"-")</f>
        <v/>
      </c>
    </row>
    <row r="27">
      <c r="A27" t="n">
        <v>4</v>
      </c>
      <c r="B27" s="2">
        <f>IFERROR(IF(COUNTIFS(BD_Carga!$R:$R,A27,BD_Carga!$Q:$Q,"Jogo")=0,"",_xlfn.MINIFS(BD_Carga!$A:$A,BD_Carga!$R:$R,A27,BD_Carga!$Q:$Q,"Jogo")),"")</f>
        <v/>
      </c>
      <c r="C27">
        <f>IFERROR(IF(COUNTIFS(BD_Carga!$R:$R,A27,BD_Carga!$Q:$Q,"Jogo")=0,"-",COUNTIFS(BD_Carga!$R:$R,A27,BD_Carga!$Q:$Q,"Jogo")),"-")</f>
        <v/>
      </c>
      <c r="D27" s="588">
        <f>IFERROR(IF(COUNTIFS(BD_Carga!$R:$R,A27,BD_Carga!$Q:$Q,"Jogo")=0,"-",ROUND(AVERAGEIFS(BD_Carga!$F:$F,BD_Carga!$R:$R,A27,BD_Carga!$Q:$Q,"Jogo"),0)),"-")</f>
        <v/>
      </c>
      <c r="E27" s="588">
        <f>IFERROR(IF(COUNTIFS(BD_Carga!$R:$R,A27,BD_Carga!$Q:$Q,"Jogo")=0,"-",ROUND(AVERAGEIFS(BD_Carga!$G:$G,BD_Carga!$R:$R,A27,BD_Carga!$Q:$Q,"Jogo"),0)),"-")</f>
        <v/>
      </c>
      <c r="F27" s="588">
        <f>IFERROR(IF(COUNTIFS(BD_Carga!$R:$R,A27,BD_Carga!$Q:$Q,"Jogo")=0,"-",ROUND(AVERAGEIFS(BD_Carga!$H:$H,BD_Carga!$R:$R,A27,BD_Carga!$Q:$Q,"Jogo"),0)),"-")</f>
        <v/>
      </c>
      <c r="G27" s="588">
        <f>IFERROR(IF(COUNTIFS(BD_Carga!$R:$R,A27,BD_Carga!$Q:$Q,"Jogo")=0,"-",ROUND(AVERAGEIFS(BD_Carga!$I:$I,BD_Carga!$R:$R,A27,BD_Carga!$Q:$Q,"Jogo"),1)),"-")</f>
        <v/>
      </c>
      <c r="H27" s="588">
        <f>IFERROR(IF(COUNTIFS(BD_Carga!$R:$R,A27,BD_Carga!$Q:$Q,"Jogo")=0,"-",ROUND(AVERAGEIFS(BD_Carga!$J:$J,BD_Carga!$R:$R,A27,BD_Carga!$Q:$Q,"Jogo"),1)),"-")</f>
        <v/>
      </c>
      <c r="I27" s="588">
        <f>IFERROR(IF(COUNTIFS(BD_Carga!$R:$R,A27,BD_Carga!$Q:$Q,"Jogo")=0,"-",ROUND(AVERAGEIFS(BD_Carga!$K:$K,BD_Carga!$R:$R,A27,BD_Carga!$Q:$Q,"Jogo"),1)),"-")</f>
        <v/>
      </c>
      <c r="J27" s="588">
        <f>IFERROR(IF(COUNTIFS(BD_Carga!$R:$R,A27,BD_Carga!$Q:$Q,"Jogo")=0,"-",ROUND(AVERAGEIFS(BD_Carga!$L:$L,BD_Carga!$R:$R,A27,BD_Carga!$Q:$Q,"Jogo"),1)),"-")</f>
        <v/>
      </c>
    </row>
    <row r="28">
      <c r="A28" s="581" t="n">
        <v>5</v>
      </c>
      <c r="B28" s="586">
        <f>IFERROR(IF(COUNTIFS(BD_Carga!$R:$R,A28,BD_Carga!$Q:$Q,"Jogo")=0,"",_xlfn.MINIFS(BD_Carga!$A:$A,BD_Carga!$R:$R,A28,BD_Carga!$Q:$Q,"Jogo")),"")</f>
        <v/>
      </c>
      <c r="C28" s="581">
        <f>IFERROR(IF(COUNTIFS(BD_Carga!$R:$R,A28,BD_Carga!$Q:$Q,"Jogo")=0,"-",COUNTIFS(BD_Carga!$R:$R,A28,BD_Carga!$Q:$Q,"Jogo")),"-")</f>
        <v/>
      </c>
      <c r="D28" s="587">
        <f>IFERROR(IF(COUNTIFS(BD_Carga!$R:$R,A28,BD_Carga!$Q:$Q,"Jogo")=0,"-",ROUND(AVERAGEIFS(BD_Carga!$F:$F,BD_Carga!$R:$R,A28,BD_Carga!$Q:$Q,"Jogo"),0)),"-")</f>
        <v/>
      </c>
      <c r="E28" s="587">
        <f>IFERROR(IF(COUNTIFS(BD_Carga!$R:$R,A28,BD_Carga!$Q:$Q,"Jogo")=0,"-",ROUND(AVERAGEIFS(BD_Carga!$G:$G,BD_Carga!$R:$R,A28,BD_Carga!$Q:$Q,"Jogo"),0)),"-")</f>
        <v/>
      </c>
      <c r="F28" s="587">
        <f>IFERROR(IF(COUNTIFS(BD_Carga!$R:$R,A28,BD_Carga!$Q:$Q,"Jogo")=0,"-",ROUND(AVERAGEIFS(BD_Carga!$H:$H,BD_Carga!$R:$R,A28,BD_Carga!$Q:$Q,"Jogo"),0)),"-")</f>
        <v/>
      </c>
      <c r="G28" s="587">
        <f>IFERROR(IF(COUNTIFS(BD_Carga!$R:$R,A28,BD_Carga!$Q:$Q,"Jogo")=0,"-",ROUND(AVERAGEIFS(BD_Carga!$I:$I,BD_Carga!$R:$R,A28,BD_Carga!$Q:$Q,"Jogo"),1)),"-")</f>
        <v/>
      </c>
      <c r="H28" s="587">
        <f>IFERROR(IF(COUNTIFS(BD_Carga!$R:$R,A28,BD_Carga!$Q:$Q,"Jogo")=0,"-",ROUND(AVERAGEIFS(BD_Carga!$J:$J,BD_Carga!$R:$R,A28,BD_Carga!$Q:$Q,"Jogo"),1)),"-")</f>
        <v/>
      </c>
      <c r="I28" s="587">
        <f>IFERROR(IF(COUNTIFS(BD_Carga!$R:$R,A28,BD_Carga!$Q:$Q,"Jogo")=0,"-",ROUND(AVERAGEIFS(BD_Carga!$K:$K,BD_Carga!$R:$R,A28,BD_Carga!$Q:$Q,"Jogo"),1)),"-")</f>
        <v/>
      </c>
      <c r="J28" s="587">
        <f>IFERROR(IF(COUNTIFS(BD_Carga!$R:$R,A28,BD_Carga!$Q:$Q,"Jogo")=0,"-",ROUND(AVERAGEIFS(BD_Carga!$L:$L,BD_Carga!$R:$R,A28,BD_Carga!$Q:$Q,"Jogo"),1)),"-")</f>
        <v/>
      </c>
    </row>
    <row r="29">
      <c r="A29" t="n">
        <v>6</v>
      </c>
      <c r="B29" s="2">
        <f>IFERROR(IF(COUNTIFS(BD_Carga!$R:$R,A29,BD_Carga!$Q:$Q,"Jogo")=0,"",_xlfn.MINIFS(BD_Carga!$A:$A,BD_Carga!$R:$R,A29,BD_Carga!$Q:$Q,"Jogo")),"")</f>
        <v/>
      </c>
      <c r="C29">
        <f>IFERROR(IF(COUNTIFS(BD_Carga!$R:$R,A29,BD_Carga!$Q:$Q,"Jogo")=0,"-",COUNTIFS(BD_Carga!$R:$R,A29,BD_Carga!$Q:$Q,"Jogo")),"-")</f>
        <v/>
      </c>
      <c r="D29" s="588">
        <f>IFERROR(IF(COUNTIFS(BD_Carga!$R:$R,A29,BD_Carga!$Q:$Q,"Jogo")=0,"-",ROUND(AVERAGEIFS(BD_Carga!$F:$F,BD_Carga!$R:$R,A29,BD_Carga!$Q:$Q,"Jogo"),0)),"-")</f>
        <v/>
      </c>
      <c r="E29" s="588">
        <f>IFERROR(IF(COUNTIFS(BD_Carga!$R:$R,A29,BD_Carga!$Q:$Q,"Jogo")=0,"-",ROUND(AVERAGEIFS(BD_Carga!$G:$G,BD_Carga!$R:$R,A29,BD_Carga!$Q:$Q,"Jogo"),0)),"-")</f>
        <v/>
      </c>
      <c r="F29" s="588">
        <f>IFERROR(IF(COUNTIFS(BD_Carga!$R:$R,A29,BD_Carga!$Q:$Q,"Jogo")=0,"-",ROUND(AVERAGEIFS(BD_Carga!$H:$H,BD_Carga!$R:$R,A29,BD_Carga!$Q:$Q,"Jogo"),0)),"-")</f>
        <v/>
      </c>
      <c r="G29" s="588">
        <f>IFERROR(IF(COUNTIFS(BD_Carga!$R:$R,A29,BD_Carga!$Q:$Q,"Jogo")=0,"-",ROUND(AVERAGEIFS(BD_Carga!$I:$I,BD_Carga!$R:$R,A29,BD_Carga!$Q:$Q,"Jogo"),1)),"-")</f>
        <v/>
      </c>
      <c r="H29" s="588">
        <f>IFERROR(IF(COUNTIFS(BD_Carga!$R:$R,A29,BD_Carga!$Q:$Q,"Jogo")=0,"-",ROUND(AVERAGEIFS(BD_Carga!$J:$J,BD_Carga!$R:$R,A29,BD_Carga!$Q:$Q,"Jogo"),1)),"-")</f>
        <v/>
      </c>
      <c r="I29" s="588">
        <f>IFERROR(IF(COUNTIFS(BD_Carga!$R:$R,A29,BD_Carga!$Q:$Q,"Jogo")=0,"-",ROUND(AVERAGEIFS(BD_Carga!$K:$K,BD_Carga!$R:$R,A29,BD_Carga!$Q:$Q,"Jogo"),1)),"-")</f>
        <v/>
      </c>
      <c r="J29" s="588">
        <f>IFERROR(IF(COUNTIFS(BD_Carga!$R:$R,A29,BD_Carga!$Q:$Q,"Jogo")=0,"-",ROUND(AVERAGEIFS(BD_Carga!$L:$L,BD_Carga!$R:$R,A29,BD_Carga!$Q:$Q,"Jogo"),1)),"-")</f>
        <v/>
      </c>
    </row>
    <row r="30">
      <c r="A30" s="581" t="n">
        <v>7</v>
      </c>
      <c r="B30" s="586">
        <f>IFERROR(IF(COUNTIFS(BD_Carga!$R:$R,A30,BD_Carga!$Q:$Q,"Jogo")=0,"",_xlfn.MINIFS(BD_Carga!$A:$A,BD_Carga!$R:$R,A30,BD_Carga!$Q:$Q,"Jogo")),"")</f>
        <v/>
      </c>
      <c r="C30" s="581">
        <f>IFERROR(IF(COUNTIFS(BD_Carga!$R:$R,A30,BD_Carga!$Q:$Q,"Jogo")=0,"-",COUNTIFS(BD_Carga!$R:$R,A30,BD_Carga!$Q:$Q,"Jogo")),"-")</f>
        <v/>
      </c>
      <c r="D30" s="587">
        <f>IFERROR(IF(COUNTIFS(BD_Carga!$R:$R,A30,BD_Carga!$Q:$Q,"Jogo")=0,"-",ROUND(AVERAGEIFS(BD_Carga!$F:$F,BD_Carga!$R:$R,A30,BD_Carga!$Q:$Q,"Jogo"),0)),"-")</f>
        <v/>
      </c>
      <c r="E30" s="587">
        <f>IFERROR(IF(COUNTIFS(BD_Carga!$R:$R,A30,BD_Carga!$Q:$Q,"Jogo")=0,"-",ROUND(AVERAGEIFS(BD_Carga!$G:$G,BD_Carga!$R:$R,A30,BD_Carga!$Q:$Q,"Jogo"),0)),"-")</f>
        <v/>
      </c>
      <c r="F30" s="587">
        <f>IFERROR(IF(COUNTIFS(BD_Carga!$R:$R,A30,BD_Carga!$Q:$Q,"Jogo")=0,"-",ROUND(AVERAGEIFS(BD_Carga!$H:$H,BD_Carga!$R:$R,A30,BD_Carga!$Q:$Q,"Jogo"),0)),"-")</f>
        <v/>
      </c>
      <c r="G30" s="587">
        <f>IFERROR(IF(COUNTIFS(BD_Carga!$R:$R,A30,BD_Carga!$Q:$Q,"Jogo")=0,"-",ROUND(AVERAGEIFS(BD_Carga!$I:$I,BD_Carga!$R:$R,A30,BD_Carga!$Q:$Q,"Jogo"),1)),"-")</f>
        <v/>
      </c>
      <c r="H30" s="587">
        <f>IFERROR(IF(COUNTIFS(BD_Carga!$R:$R,A30,BD_Carga!$Q:$Q,"Jogo")=0,"-",ROUND(AVERAGEIFS(BD_Carga!$J:$J,BD_Carga!$R:$R,A30,BD_Carga!$Q:$Q,"Jogo"),1)),"-")</f>
        <v/>
      </c>
      <c r="I30" s="587">
        <f>IFERROR(IF(COUNTIFS(BD_Carga!$R:$R,A30,BD_Carga!$Q:$Q,"Jogo")=0,"-",ROUND(AVERAGEIFS(BD_Carga!$K:$K,BD_Carga!$R:$R,A30,BD_Carga!$Q:$Q,"Jogo"),1)),"-")</f>
        <v/>
      </c>
      <c r="J30" s="587">
        <f>IFERROR(IF(COUNTIFS(BD_Carga!$R:$R,A30,BD_Carga!$Q:$Q,"Jogo")=0,"-",ROUND(AVERAGEIFS(BD_Carga!$L:$L,BD_Carga!$R:$R,A30,BD_Carga!$Q:$Q,"Jogo"),1)),"-")</f>
        <v/>
      </c>
    </row>
    <row r="31">
      <c r="A31" t="n">
        <v>8</v>
      </c>
      <c r="B31" s="2">
        <f>IFERROR(IF(COUNTIFS(BD_Carga!$R:$R,A31,BD_Carga!$Q:$Q,"Jogo")=0,"",_xlfn.MINIFS(BD_Carga!$A:$A,BD_Carga!$R:$R,A31,BD_Carga!$Q:$Q,"Jogo")),"")</f>
        <v/>
      </c>
      <c r="C31">
        <f>IFERROR(IF(COUNTIFS(BD_Carga!$R:$R,A31,BD_Carga!$Q:$Q,"Jogo")=0,"-",COUNTIFS(BD_Carga!$R:$R,A31,BD_Carga!$Q:$Q,"Jogo")),"-")</f>
        <v/>
      </c>
      <c r="D31" s="588">
        <f>IFERROR(IF(COUNTIFS(BD_Carga!$R:$R,A31,BD_Carga!$Q:$Q,"Jogo")=0,"-",ROUND(AVERAGEIFS(BD_Carga!$F:$F,BD_Carga!$R:$R,A31,BD_Carga!$Q:$Q,"Jogo"),0)),"-")</f>
        <v/>
      </c>
      <c r="E31" s="588">
        <f>IFERROR(IF(COUNTIFS(BD_Carga!$R:$R,A31,BD_Carga!$Q:$Q,"Jogo")=0,"-",ROUND(AVERAGEIFS(BD_Carga!$G:$G,BD_Carga!$R:$R,A31,BD_Carga!$Q:$Q,"Jogo"),0)),"-")</f>
        <v/>
      </c>
      <c r="F31" s="588">
        <f>IFERROR(IF(COUNTIFS(BD_Carga!$R:$R,A31,BD_Carga!$Q:$Q,"Jogo")=0,"-",ROUND(AVERAGEIFS(BD_Carga!$H:$H,BD_Carga!$R:$R,A31,BD_Carga!$Q:$Q,"Jogo"),0)),"-")</f>
        <v/>
      </c>
      <c r="G31" s="588">
        <f>IFERROR(IF(COUNTIFS(BD_Carga!$R:$R,A31,BD_Carga!$Q:$Q,"Jogo")=0,"-",ROUND(AVERAGEIFS(BD_Carga!$I:$I,BD_Carga!$R:$R,A31,BD_Carga!$Q:$Q,"Jogo"),1)),"-")</f>
        <v/>
      </c>
      <c r="H31" s="588">
        <f>IFERROR(IF(COUNTIFS(BD_Carga!$R:$R,A31,BD_Carga!$Q:$Q,"Jogo")=0,"-",ROUND(AVERAGEIFS(BD_Carga!$J:$J,BD_Carga!$R:$R,A31,BD_Carga!$Q:$Q,"Jogo"),1)),"-")</f>
        <v/>
      </c>
      <c r="I31" s="588">
        <f>IFERROR(IF(COUNTIFS(BD_Carga!$R:$R,A31,BD_Carga!$Q:$Q,"Jogo")=0,"-",ROUND(AVERAGEIFS(BD_Carga!$K:$K,BD_Carga!$R:$R,A31,BD_Carga!$Q:$Q,"Jogo"),1)),"-")</f>
        <v/>
      </c>
      <c r="J31" s="588">
        <f>IFERROR(IF(COUNTIFS(BD_Carga!$R:$R,A31,BD_Carga!$Q:$Q,"Jogo")=0,"-",ROUND(AVERAGEIFS(BD_Carga!$L:$L,BD_Carga!$R:$R,A31,BD_Carga!$Q:$Q,"Jogo"),1)),"-")</f>
        <v/>
      </c>
    </row>
    <row r="32">
      <c r="A32" s="581" t="n">
        <v>9</v>
      </c>
      <c r="B32" s="586">
        <f>IFERROR(IF(COUNTIFS(BD_Carga!$R:$R,A32,BD_Carga!$Q:$Q,"Jogo")=0,"",_xlfn.MINIFS(BD_Carga!$A:$A,BD_Carga!$R:$R,A32,BD_Carga!$Q:$Q,"Jogo")),"")</f>
        <v/>
      </c>
      <c r="C32" s="581">
        <f>IFERROR(IF(COUNTIFS(BD_Carga!$R:$R,A32,BD_Carga!$Q:$Q,"Jogo")=0,"-",COUNTIFS(BD_Carga!$R:$R,A32,BD_Carga!$Q:$Q,"Jogo")),"-")</f>
        <v/>
      </c>
      <c r="D32" s="587">
        <f>IFERROR(IF(COUNTIFS(BD_Carga!$R:$R,A32,BD_Carga!$Q:$Q,"Jogo")=0,"-",ROUND(AVERAGEIFS(BD_Carga!$F:$F,BD_Carga!$R:$R,A32,BD_Carga!$Q:$Q,"Jogo"),0)),"-")</f>
        <v/>
      </c>
      <c r="E32" s="587">
        <f>IFERROR(IF(COUNTIFS(BD_Carga!$R:$R,A32,BD_Carga!$Q:$Q,"Jogo")=0,"-",ROUND(AVERAGEIFS(BD_Carga!$G:$G,BD_Carga!$R:$R,A32,BD_Carga!$Q:$Q,"Jogo"),0)),"-")</f>
        <v/>
      </c>
      <c r="F32" s="587">
        <f>IFERROR(IF(COUNTIFS(BD_Carga!$R:$R,A32,BD_Carga!$Q:$Q,"Jogo")=0,"-",ROUND(AVERAGEIFS(BD_Carga!$H:$H,BD_Carga!$R:$R,A32,BD_Carga!$Q:$Q,"Jogo"),0)),"-")</f>
        <v/>
      </c>
      <c r="G32" s="587">
        <f>IFERROR(IF(COUNTIFS(BD_Carga!$R:$R,A32,BD_Carga!$Q:$Q,"Jogo")=0,"-",ROUND(AVERAGEIFS(BD_Carga!$I:$I,BD_Carga!$R:$R,A32,BD_Carga!$Q:$Q,"Jogo"),1)),"-")</f>
        <v/>
      </c>
      <c r="H32" s="587">
        <f>IFERROR(IF(COUNTIFS(BD_Carga!$R:$R,A32,BD_Carga!$Q:$Q,"Jogo")=0,"-",ROUND(AVERAGEIFS(BD_Carga!$J:$J,BD_Carga!$R:$R,A32,BD_Carga!$Q:$Q,"Jogo"),1)),"-")</f>
        <v/>
      </c>
      <c r="I32" s="587">
        <f>IFERROR(IF(COUNTIFS(BD_Carga!$R:$R,A32,BD_Carga!$Q:$Q,"Jogo")=0,"-",ROUND(AVERAGEIFS(BD_Carga!$K:$K,BD_Carga!$R:$R,A32,BD_Carga!$Q:$Q,"Jogo"),1)),"-")</f>
        <v/>
      </c>
      <c r="J32" s="587">
        <f>IFERROR(IF(COUNTIFS(BD_Carga!$R:$R,A32,BD_Carga!$Q:$Q,"Jogo")=0,"-",ROUND(AVERAGEIFS(BD_Carga!$L:$L,BD_Carga!$R:$R,A32,BD_Carga!$Q:$Q,"Jogo"),1)),"-")</f>
        <v/>
      </c>
    </row>
    <row r="33">
      <c r="A33" t="n">
        <v>10</v>
      </c>
      <c r="B33" s="2">
        <f>IFERROR(IF(COUNTIFS(BD_Carga!$R:$R,A33,BD_Carga!$Q:$Q,"Jogo")=0,"",_xlfn.MINIFS(BD_Carga!$A:$A,BD_Carga!$R:$R,A33,BD_Carga!$Q:$Q,"Jogo")),"")</f>
        <v/>
      </c>
      <c r="C33">
        <f>IFERROR(IF(COUNTIFS(BD_Carga!$R:$R,A33,BD_Carga!$Q:$Q,"Jogo")=0,"-",COUNTIFS(BD_Carga!$R:$R,A33,BD_Carga!$Q:$Q,"Jogo")),"-")</f>
        <v/>
      </c>
      <c r="D33" s="588">
        <f>IFERROR(IF(COUNTIFS(BD_Carga!$R:$R,A33,BD_Carga!$Q:$Q,"Jogo")=0,"-",ROUND(AVERAGEIFS(BD_Carga!$F:$F,BD_Carga!$R:$R,A33,BD_Carga!$Q:$Q,"Jogo"),0)),"-")</f>
        <v/>
      </c>
      <c r="E33" s="588">
        <f>IFERROR(IF(COUNTIFS(BD_Carga!$R:$R,A33,BD_Carga!$Q:$Q,"Jogo")=0,"-",ROUND(AVERAGEIFS(BD_Carga!$G:$G,BD_Carga!$R:$R,A33,BD_Carga!$Q:$Q,"Jogo"),0)),"-")</f>
        <v/>
      </c>
      <c r="F33" s="588">
        <f>IFERROR(IF(COUNTIFS(BD_Carga!$R:$R,A33,BD_Carga!$Q:$Q,"Jogo")=0,"-",ROUND(AVERAGEIFS(BD_Carga!$H:$H,BD_Carga!$R:$R,A33,BD_Carga!$Q:$Q,"Jogo"),0)),"-")</f>
        <v/>
      </c>
      <c r="G33" s="588">
        <f>IFERROR(IF(COUNTIFS(BD_Carga!$R:$R,A33,BD_Carga!$Q:$Q,"Jogo")=0,"-",ROUND(AVERAGEIFS(BD_Carga!$I:$I,BD_Carga!$R:$R,A33,BD_Carga!$Q:$Q,"Jogo"),1)),"-")</f>
        <v/>
      </c>
      <c r="H33" s="588">
        <f>IFERROR(IF(COUNTIFS(BD_Carga!$R:$R,A33,BD_Carga!$Q:$Q,"Jogo")=0,"-",ROUND(AVERAGEIFS(BD_Carga!$J:$J,BD_Carga!$R:$R,A33,BD_Carga!$Q:$Q,"Jogo"),1)),"-")</f>
        <v/>
      </c>
      <c r="I33" s="588">
        <f>IFERROR(IF(COUNTIFS(BD_Carga!$R:$R,A33,BD_Carga!$Q:$Q,"Jogo")=0,"-",ROUND(AVERAGEIFS(BD_Carga!$K:$K,BD_Carga!$R:$R,A33,BD_Carga!$Q:$Q,"Jogo"),1)),"-")</f>
        <v/>
      </c>
      <c r="J33" s="588">
        <f>IFERROR(IF(COUNTIFS(BD_Carga!$R:$R,A33,BD_Carga!$Q:$Q,"Jogo")=0,"-",ROUND(AVERAGEIFS(BD_Carga!$L:$L,BD_Carga!$R:$R,A33,BD_Carga!$Q:$Q,"Jogo"),1)),"-")</f>
        <v/>
      </c>
    </row>
    <row r="34">
      <c r="A34" s="581" t="n">
        <v>11</v>
      </c>
      <c r="B34" s="586">
        <f>IFERROR(IF(COUNTIFS(BD_Carga!$R:$R,A34,BD_Carga!$Q:$Q,"Jogo")=0,"",_xlfn.MINIFS(BD_Carga!$A:$A,BD_Carga!$R:$R,A34,BD_Carga!$Q:$Q,"Jogo")),"")</f>
        <v/>
      </c>
      <c r="C34" s="581">
        <f>IFERROR(IF(COUNTIFS(BD_Carga!$R:$R,A34,BD_Carga!$Q:$Q,"Jogo")=0,"-",COUNTIFS(BD_Carga!$R:$R,A34,BD_Carga!$Q:$Q,"Jogo")),"-")</f>
        <v/>
      </c>
      <c r="D34" s="587">
        <f>IFERROR(IF(COUNTIFS(BD_Carga!$R:$R,A34,BD_Carga!$Q:$Q,"Jogo")=0,"-",ROUND(AVERAGEIFS(BD_Carga!$F:$F,BD_Carga!$R:$R,A34,BD_Carga!$Q:$Q,"Jogo"),0)),"-")</f>
        <v/>
      </c>
      <c r="E34" s="587">
        <f>IFERROR(IF(COUNTIFS(BD_Carga!$R:$R,A34,BD_Carga!$Q:$Q,"Jogo")=0,"-",ROUND(AVERAGEIFS(BD_Carga!$G:$G,BD_Carga!$R:$R,A34,BD_Carga!$Q:$Q,"Jogo"),0)),"-")</f>
        <v/>
      </c>
      <c r="F34" s="587">
        <f>IFERROR(IF(COUNTIFS(BD_Carga!$R:$R,A34,BD_Carga!$Q:$Q,"Jogo")=0,"-",ROUND(AVERAGEIFS(BD_Carga!$H:$H,BD_Carga!$R:$R,A34,BD_Carga!$Q:$Q,"Jogo"),0)),"-")</f>
        <v/>
      </c>
      <c r="G34" s="587">
        <f>IFERROR(IF(COUNTIFS(BD_Carga!$R:$R,A34,BD_Carga!$Q:$Q,"Jogo")=0,"-",ROUND(AVERAGEIFS(BD_Carga!$I:$I,BD_Carga!$R:$R,A34,BD_Carga!$Q:$Q,"Jogo"),1)),"-")</f>
        <v/>
      </c>
      <c r="H34" s="587">
        <f>IFERROR(IF(COUNTIFS(BD_Carga!$R:$R,A34,BD_Carga!$Q:$Q,"Jogo")=0,"-",ROUND(AVERAGEIFS(BD_Carga!$J:$J,BD_Carga!$R:$R,A34,BD_Carga!$Q:$Q,"Jogo"),1)),"-")</f>
        <v/>
      </c>
      <c r="I34" s="587">
        <f>IFERROR(IF(COUNTIFS(BD_Carga!$R:$R,A34,BD_Carga!$Q:$Q,"Jogo")=0,"-",ROUND(AVERAGEIFS(BD_Carga!$K:$K,BD_Carga!$R:$R,A34,BD_Carga!$Q:$Q,"Jogo"),1)),"-")</f>
        <v/>
      </c>
      <c r="J34" s="587">
        <f>IFERROR(IF(COUNTIFS(BD_Carga!$R:$R,A34,BD_Carga!$Q:$Q,"Jogo")=0,"-",ROUND(AVERAGEIFS(BD_Carga!$L:$L,BD_Carga!$R:$R,A34,BD_Carga!$Q:$Q,"Jogo"),1)),"-")</f>
        <v/>
      </c>
    </row>
    <row r="35">
      <c r="A35" t="n">
        <v>12</v>
      </c>
      <c r="B35" s="2">
        <f>IFERROR(IF(COUNTIFS(BD_Carga!$R:$R,A35,BD_Carga!$Q:$Q,"Jogo")=0,"",_xlfn.MINIFS(BD_Carga!$A:$A,BD_Carga!$R:$R,A35,BD_Carga!$Q:$Q,"Jogo")),"")</f>
        <v/>
      </c>
      <c r="C35">
        <f>IFERROR(IF(COUNTIFS(BD_Carga!$R:$R,A35,BD_Carga!$Q:$Q,"Jogo")=0,"-",COUNTIFS(BD_Carga!$R:$R,A35,BD_Carga!$Q:$Q,"Jogo")),"-")</f>
        <v/>
      </c>
      <c r="D35" s="588">
        <f>IFERROR(IF(COUNTIFS(BD_Carga!$R:$R,A35,BD_Carga!$Q:$Q,"Jogo")=0,"-",ROUND(AVERAGEIFS(BD_Carga!$F:$F,BD_Carga!$R:$R,A35,BD_Carga!$Q:$Q,"Jogo"),0)),"-")</f>
        <v/>
      </c>
      <c r="E35" s="588">
        <f>IFERROR(IF(COUNTIFS(BD_Carga!$R:$R,A35,BD_Carga!$Q:$Q,"Jogo")=0,"-",ROUND(AVERAGEIFS(BD_Carga!$G:$G,BD_Carga!$R:$R,A35,BD_Carga!$Q:$Q,"Jogo"),0)),"-")</f>
        <v/>
      </c>
      <c r="F35" s="588">
        <f>IFERROR(IF(COUNTIFS(BD_Carga!$R:$R,A35,BD_Carga!$Q:$Q,"Jogo")=0,"-",ROUND(AVERAGEIFS(BD_Carga!$H:$H,BD_Carga!$R:$R,A35,BD_Carga!$Q:$Q,"Jogo"),0)),"-")</f>
        <v/>
      </c>
      <c r="G35" s="588">
        <f>IFERROR(IF(COUNTIFS(BD_Carga!$R:$R,A35,BD_Carga!$Q:$Q,"Jogo")=0,"-",ROUND(AVERAGEIFS(BD_Carga!$I:$I,BD_Carga!$R:$R,A35,BD_Carga!$Q:$Q,"Jogo"),1)),"-")</f>
        <v/>
      </c>
      <c r="H35" s="588">
        <f>IFERROR(IF(COUNTIFS(BD_Carga!$R:$R,A35,BD_Carga!$Q:$Q,"Jogo")=0,"-",ROUND(AVERAGEIFS(BD_Carga!$J:$J,BD_Carga!$R:$R,A35,BD_Carga!$Q:$Q,"Jogo"),1)),"-")</f>
        <v/>
      </c>
      <c r="I35" s="588">
        <f>IFERROR(IF(COUNTIFS(BD_Carga!$R:$R,A35,BD_Carga!$Q:$Q,"Jogo")=0,"-",ROUND(AVERAGEIFS(BD_Carga!$K:$K,BD_Carga!$R:$R,A35,BD_Carga!$Q:$Q,"Jogo"),1)),"-")</f>
        <v/>
      </c>
      <c r="J35" s="588">
        <f>IFERROR(IF(COUNTIFS(BD_Carga!$R:$R,A35,BD_Carga!$Q:$Q,"Jogo")=0,"-",ROUND(AVERAGEIFS(BD_Carga!$L:$L,BD_Carga!$R:$R,A35,BD_Carga!$Q:$Q,"Jogo"),1)),"-")</f>
        <v/>
      </c>
    </row>
    <row r="36">
      <c r="A36" s="581" t="n">
        <v>13</v>
      </c>
      <c r="B36" s="586">
        <f>IFERROR(IF(COUNTIFS(BD_Carga!$R:$R,A36,BD_Carga!$Q:$Q,"Jogo")=0,"",_xlfn.MINIFS(BD_Carga!$A:$A,BD_Carga!$R:$R,A36,BD_Carga!$Q:$Q,"Jogo")),"")</f>
        <v/>
      </c>
      <c r="C36" s="581">
        <f>IFERROR(IF(COUNTIFS(BD_Carga!$R:$R,A36,BD_Carga!$Q:$Q,"Jogo")=0,"-",COUNTIFS(BD_Carga!$R:$R,A36,BD_Carga!$Q:$Q,"Jogo")),"-")</f>
        <v/>
      </c>
      <c r="D36" s="587">
        <f>IFERROR(IF(COUNTIFS(BD_Carga!$R:$R,A36,BD_Carga!$Q:$Q,"Jogo")=0,"-",ROUND(AVERAGEIFS(BD_Carga!$F:$F,BD_Carga!$R:$R,A36,BD_Carga!$Q:$Q,"Jogo"),0)),"-")</f>
        <v/>
      </c>
      <c r="E36" s="587">
        <f>IFERROR(IF(COUNTIFS(BD_Carga!$R:$R,A36,BD_Carga!$Q:$Q,"Jogo")=0,"-",ROUND(AVERAGEIFS(BD_Carga!$G:$G,BD_Carga!$R:$R,A36,BD_Carga!$Q:$Q,"Jogo"),0)),"-")</f>
        <v/>
      </c>
      <c r="F36" s="587">
        <f>IFERROR(IF(COUNTIFS(BD_Carga!$R:$R,A36,BD_Carga!$Q:$Q,"Jogo")=0,"-",ROUND(AVERAGEIFS(BD_Carga!$H:$H,BD_Carga!$R:$R,A36,BD_Carga!$Q:$Q,"Jogo"),0)),"-")</f>
        <v/>
      </c>
      <c r="G36" s="587">
        <f>IFERROR(IF(COUNTIFS(BD_Carga!$R:$R,A36,BD_Carga!$Q:$Q,"Jogo")=0,"-",ROUND(AVERAGEIFS(BD_Carga!$I:$I,BD_Carga!$R:$R,A36,BD_Carga!$Q:$Q,"Jogo"),1)),"-")</f>
        <v/>
      </c>
      <c r="H36" s="587">
        <f>IFERROR(IF(COUNTIFS(BD_Carga!$R:$R,A36,BD_Carga!$Q:$Q,"Jogo")=0,"-",ROUND(AVERAGEIFS(BD_Carga!$J:$J,BD_Carga!$R:$R,A36,BD_Carga!$Q:$Q,"Jogo"),1)),"-")</f>
        <v/>
      </c>
      <c r="I36" s="587">
        <f>IFERROR(IF(COUNTIFS(BD_Carga!$R:$R,A36,BD_Carga!$Q:$Q,"Jogo")=0,"-",ROUND(AVERAGEIFS(BD_Carga!$K:$K,BD_Carga!$R:$R,A36,BD_Carga!$Q:$Q,"Jogo"),1)),"-")</f>
        <v/>
      </c>
      <c r="J36" s="587">
        <f>IFERROR(IF(COUNTIFS(BD_Carga!$R:$R,A36,BD_Carga!$Q:$Q,"Jogo")=0,"-",ROUND(AVERAGEIFS(BD_Carga!$L:$L,BD_Carga!$R:$R,A36,BD_Carga!$Q:$Q,"Jogo"),1)),"-")</f>
        <v/>
      </c>
    </row>
    <row r="37">
      <c r="A37" t="n">
        <v>14</v>
      </c>
      <c r="B37" s="2">
        <f>IFERROR(IF(COUNTIFS(BD_Carga!$R:$R,A37,BD_Carga!$Q:$Q,"Jogo")=0,"",_xlfn.MINIFS(BD_Carga!$A:$A,BD_Carga!$R:$R,A37,BD_Carga!$Q:$Q,"Jogo")),"")</f>
        <v/>
      </c>
      <c r="C37">
        <f>IFERROR(IF(COUNTIFS(BD_Carga!$R:$R,A37,BD_Carga!$Q:$Q,"Jogo")=0,"-",COUNTIFS(BD_Carga!$R:$R,A37,BD_Carga!$Q:$Q,"Jogo")),"-")</f>
        <v/>
      </c>
      <c r="D37" s="588">
        <f>IFERROR(IF(COUNTIFS(BD_Carga!$R:$R,A37,BD_Carga!$Q:$Q,"Jogo")=0,"-",ROUND(AVERAGEIFS(BD_Carga!$F:$F,BD_Carga!$R:$R,A37,BD_Carga!$Q:$Q,"Jogo"),0)),"-")</f>
        <v/>
      </c>
      <c r="E37" s="588">
        <f>IFERROR(IF(COUNTIFS(BD_Carga!$R:$R,A37,BD_Carga!$Q:$Q,"Jogo")=0,"-",ROUND(AVERAGEIFS(BD_Carga!$G:$G,BD_Carga!$R:$R,A37,BD_Carga!$Q:$Q,"Jogo"),0)),"-")</f>
        <v/>
      </c>
      <c r="F37" s="588">
        <f>IFERROR(IF(COUNTIFS(BD_Carga!$R:$R,A37,BD_Carga!$Q:$Q,"Jogo")=0,"-",ROUND(AVERAGEIFS(BD_Carga!$H:$H,BD_Carga!$R:$R,A37,BD_Carga!$Q:$Q,"Jogo"),0)),"-")</f>
        <v/>
      </c>
      <c r="G37" s="588">
        <f>IFERROR(IF(COUNTIFS(BD_Carga!$R:$R,A37,BD_Carga!$Q:$Q,"Jogo")=0,"-",ROUND(AVERAGEIFS(BD_Carga!$I:$I,BD_Carga!$R:$R,A37,BD_Carga!$Q:$Q,"Jogo"),1)),"-")</f>
        <v/>
      </c>
      <c r="H37" s="588">
        <f>IFERROR(IF(COUNTIFS(BD_Carga!$R:$R,A37,BD_Carga!$Q:$Q,"Jogo")=0,"-",ROUND(AVERAGEIFS(BD_Carga!$J:$J,BD_Carga!$R:$R,A37,BD_Carga!$Q:$Q,"Jogo"),1)),"-")</f>
        <v/>
      </c>
      <c r="I37" s="588">
        <f>IFERROR(IF(COUNTIFS(BD_Carga!$R:$R,A37,BD_Carga!$Q:$Q,"Jogo")=0,"-",ROUND(AVERAGEIFS(BD_Carga!$K:$K,BD_Carga!$R:$R,A37,BD_Carga!$Q:$Q,"Jogo"),1)),"-")</f>
        <v/>
      </c>
      <c r="J37" s="588">
        <f>IFERROR(IF(COUNTIFS(BD_Carga!$R:$R,A37,BD_Carga!$Q:$Q,"Jogo")=0,"-",ROUND(AVERAGEIFS(BD_Carga!$L:$L,BD_Carga!$R:$R,A37,BD_Carga!$Q:$Q,"Jogo"),1)),"-")</f>
        <v/>
      </c>
    </row>
    <row r="38">
      <c r="A38" s="581" t="n">
        <v>15</v>
      </c>
      <c r="B38" s="586">
        <f>IFERROR(IF(COUNTIFS(BD_Carga!$R:$R,A38,BD_Carga!$Q:$Q,"Jogo")=0,"",_xlfn.MINIFS(BD_Carga!$A:$A,BD_Carga!$R:$R,A38,BD_Carga!$Q:$Q,"Jogo")),"")</f>
        <v/>
      </c>
      <c r="C38" s="581">
        <f>IFERROR(IF(COUNTIFS(BD_Carga!$R:$R,A38,BD_Carga!$Q:$Q,"Jogo")=0,"-",COUNTIFS(BD_Carga!$R:$R,A38,BD_Carga!$Q:$Q,"Jogo")),"-")</f>
        <v/>
      </c>
      <c r="D38" s="587">
        <f>IFERROR(IF(COUNTIFS(BD_Carga!$R:$R,A38,BD_Carga!$Q:$Q,"Jogo")=0,"-",ROUND(AVERAGEIFS(BD_Carga!$F:$F,BD_Carga!$R:$R,A38,BD_Carga!$Q:$Q,"Jogo"),0)),"-")</f>
        <v/>
      </c>
      <c r="E38" s="587">
        <f>IFERROR(IF(COUNTIFS(BD_Carga!$R:$R,A38,BD_Carga!$Q:$Q,"Jogo")=0,"-",ROUND(AVERAGEIFS(BD_Carga!$G:$G,BD_Carga!$R:$R,A38,BD_Carga!$Q:$Q,"Jogo"),0)),"-")</f>
        <v/>
      </c>
      <c r="F38" s="587">
        <f>IFERROR(IF(COUNTIFS(BD_Carga!$R:$R,A38,BD_Carga!$Q:$Q,"Jogo")=0,"-",ROUND(AVERAGEIFS(BD_Carga!$H:$H,BD_Carga!$R:$R,A38,BD_Carga!$Q:$Q,"Jogo"),0)),"-")</f>
        <v/>
      </c>
      <c r="G38" s="587">
        <f>IFERROR(IF(COUNTIFS(BD_Carga!$R:$R,A38,BD_Carga!$Q:$Q,"Jogo")=0,"-",ROUND(AVERAGEIFS(BD_Carga!$I:$I,BD_Carga!$R:$R,A38,BD_Carga!$Q:$Q,"Jogo"),1)),"-")</f>
        <v/>
      </c>
      <c r="H38" s="587">
        <f>IFERROR(IF(COUNTIFS(BD_Carga!$R:$R,A38,BD_Carga!$Q:$Q,"Jogo")=0,"-",ROUND(AVERAGEIFS(BD_Carga!$J:$J,BD_Carga!$R:$R,A38,BD_Carga!$Q:$Q,"Jogo"),1)),"-")</f>
        <v/>
      </c>
      <c r="I38" s="587">
        <f>IFERROR(IF(COUNTIFS(BD_Carga!$R:$R,A38,BD_Carga!$Q:$Q,"Jogo")=0,"-",ROUND(AVERAGEIFS(BD_Carga!$K:$K,BD_Carga!$R:$R,A38,BD_Carga!$Q:$Q,"Jogo"),1)),"-")</f>
        <v/>
      </c>
      <c r="J38" s="587">
        <f>IFERROR(IF(COUNTIFS(BD_Carga!$R:$R,A38,BD_Carga!$Q:$Q,"Jogo")=0,"-",ROUND(AVERAGEIFS(BD_Carga!$L:$L,BD_Carga!$R:$R,A38,BD_Carga!$Q:$Q,"Jogo"),1)),"-")</f>
        <v/>
      </c>
    </row>
    <row r="39">
      <c r="A39" t="n">
        <v>16</v>
      </c>
      <c r="B39" s="2">
        <f>IFERROR(IF(COUNTIFS(BD_Carga!$R:$R,A39,BD_Carga!$Q:$Q,"Jogo")=0,"",_xlfn.MINIFS(BD_Carga!$A:$A,BD_Carga!$R:$R,A39,BD_Carga!$Q:$Q,"Jogo")),"")</f>
        <v/>
      </c>
      <c r="C39">
        <f>IFERROR(IF(COUNTIFS(BD_Carga!$R:$R,A39,BD_Carga!$Q:$Q,"Jogo")=0,"-",COUNTIFS(BD_Carga!$R:$R,A39,BD_Carga!$Q:$Q,"Jogo")),"-")</f>
        <v/>
      </c>
      <c r="D39" s="588">
        <f>IFERROR(IF(COUNTIFS(BD_Carga!$R:$R,A39,BD_Carga!$Q:$Q,"Jogo")=0,"-",ROUND(AVERAGEIFS(BD_Carga!$F:$F,BD_Carga!$R:$R,A39,BD_Carga!$Q:$Q,"Jogo"),0)),"-")</f>
        <v/>
      </c>
      <c r="E39" s="588">
        <f>IFERROR(IF(COUNTIFS(BD_Carga!$R:$R,A39,BD_Carga!$Q:$Q,"Jogo")=0,"-",ROUND(AVERAGEIFS(BD_Carga!$G:$G,BD_Carga!$R:$R,A39,BD_Carga!$Q:$Q,"Jogo"),0)),"-")</f>
        <v/>
      </c>
      <c r="F39" s="588">
        <f>IFERROR(IF(COUNTIFS(BD_Carga!$R:$R,A39,BD_Carga!$Q:$Q,"Jogo")=0,"-",ROUND(AVERAGEIFS(BD_Carga!$H:$H,BD_Carga!$R:$R,A39,BD_Carga!$Q:$Q,"Jogo"),0)),"-")</f>
        <v/>
      </c>
      <c r="G39" s="588">
        <f>IFERROR(IF(COUNTIFS(BD_Carga!$R:$R,A39,BD_Carga!$Q:$Q,"Jogo")=0,"-",ROUND(AVERAGEIFS(BD_Carga!$I:$I,BD_Carga!$R:$R,A39,BD_Carga!$Q:$Q,"Jogo"),1)),"-")</f>
        <v/>
      </c>
      <c r="H39" s="588">
        <f>IFERROR(IF(COUNTIFS(BD_Carga!$R:$R,A39,BD_Carga!$Q:$Q,"Jogo")=0,"-",ROUND(AVERAGEIFS(BD_Carga!$J:$J,BD_Carga!$R:$R,A39,BD_Carga!$Q:$Q,"Jogo"),1)),"-")</f>
        <v/>
      </c>
      <c r="I39" s="588">
        <f>IFERROR(IF(COUNTIFS(BD_Carga!$R:$R,A39,BD_Carga!$Q:$Q,"Jogo")=0,"-",ROUND(AVERAGEIFS(BD_Carga!$K:$K,BD_Carga!$R:$R,A39,BD_Carga!$Q:$Q,"Jogo"),1)),"-")</f>
        <v/>
      </c>
      <c r="J39" s="588">
        <f>IFERROR(IF(COUNTIFS(BD_Carga!$R:$R,A39,BD_Carga!$Q:$Q,"Jogo")=0,"-",ROUND(AVERAGEIFS(BD_Carga!$L:$L,BD_Carga!$R:$R,A39,BD_Carga!$Q:$Q,"Jogo"),1)),"-")</f>
        <v/>
      </c>
    </row>
    <row r="40">
      <c r="A40" s="581" t="n">
        <v>17</v>
      </c>
      <c r="B40" s="586">
        <f>IFERROR(IF(COUNTIFS(BD_Carga!$R:$R,A40,BD_Carga!$Q:$Q,"Jogo")=0,"",_xlfn.MINIFS(BD_Carga!$A:$A,BD_Carga!$R:$R,A40,BD_Carga!$Q:$Q,"Jogo")),"")</f>
        <v/>
      </c>
      <c r="C40" s="581">
        <f>IFERROR(IF(COUNTIFS(BD_Carga!$R:$R,A40,BD_Carga!$Q:$Q,"Jogo")=0,"-",COUNTIFS(BD_Carga!$R:$R,A40,BD_Carga!$Q:$Q,"Jogo")),"-")</f>
        <v/>
      </c>
      <c r="D40" s="587">
        <f>IFERROR(IF(COUNTIFS(BD_Carga!$R:$R,A40,BD_Carga!$Q:$Q,"Jogo")=0,"-",ROUND(AVERAGEIFS(BD_Carga!$F:$F,BD_Carga!$R:$R,A40,BD_Carga!$Q:$Q,"Jogo"),0)),"-")</f>
        <v/>
      </c>
      <c r="E40" s="587">
        <f>IFERROR(IF(COUNTIFS(BD_Carga!$R:$R,A40,BD_Carga!$Q:$Q,"Jogo")=0,"-",ROUND(AVERAGEIFS(BD_Carga!$G:$G,BD_Carga!$R:$R,A40,BD_Carga!$Q:$Q,"Jogo"),0)),"-")</f>
        <v/>
      </c>
      <c r="F40" s="587">
        <f>IFERROR(IF(COUNTIFS(BD_Carga!$R:$R,A40,BD_Carga!$Q:$Q,"Jogo")=0,"-",ROUND(AVERAGEIFS(BD_Carga!$H:$H,BD_Carga!$R:$R,A40,BD_Carga!$Q:$Q,"Jogo"),0)),"-")</f>
        <v/>
      </c>
      <c r="G40" s="587">
        <f>IFERROR(IF(COUNTIFS(BD_Carga!$R:$R,A40,BD_Carga!$Q:$Q,"Jogo")=0,"-",ROUND(AVERAGEIFS(BD_Carga!$I:$I,BD_Carga!$R:$R,A40,BD_Carga!$Q:$Q,"Jogo"),1)),"-")</f>
        <v/>
      </c>
      <c r="H40" s="587">
        <f>IFERROR(IF(COUNTIFS(BD_Carga!$R:$R,A40,BD_Carga!$Q:$Q,"Jogo")=0,"-",ROUND(AVERAGEIFS(BD_Carga!$J:$J,BD_Carga!$R:$R,A40,BD_Carga!$Q:$Q,"Jogo"),1)),"-")</f>
        <v/>
      </c>
      <c r="I40" s="587">
        <f>IFERROR(IF(COUNTIFS(BD_Carga!$R:$R,A40,BD_Carga!$Q:$Q,"Jogo")=0,"-",ROUND(AVERAGEIFS(BD_Carga!$K:$K,BD_Carga!$R:$R,A40,BD_Carga!$Q:$Q,"Jogo"),1)),"-")</f>
        <v/>
      </c>
      <c r="J40" s="587">
        <f>IFERROR(IF(COUNTIFS(BD_Carga!$R:$R,A40,BD_Carga!$Q:$Q,"Jogo")=0,"-",ROUND(AVERAGEIFS(BD_Carga!$L:$L,BD_Carga!$R:$R,A40,BD_Carga!$Q:$Q,"Jogo"),1)),"-")</f>
        <v/>
      </c>
    </row>
    <row r="41">
      <c r="A41" t="n">
        <v>18</v>
      </c>
      <c r="B41" s="2">
        <f>IFERROR(IF(COUNTIFS(BD_Carga!$R:$R,A41,BD_Carga!$Q:$Q,"Jogo")=0,"",_xlfn.MINIFS(BD_Carga!$A:$A,BD_Carga!$R:$R,A41,BD_Carga!$Q:$Q,"Jogo")),"")</f>
        <v/>
      </c>
      <c r="C41">
        <f>IFERROR(IF(COUNTIFS(BD_Carga!$R:$R,A41,BD_Carga!$Q:$Q,"Jogo")=0,"-",COUNTIFS(BD_Carga!$R:$R,A41,BD_Carga!$Q:$Q,"Jogo")),"-")</f>
        <v/>
      </c>
      <c r="D41" s="588">
        <f>IFERROR(IF(COUNTIFS(BD_Carga!$R:$R,A41,BD_Carga!$Q:$Q,"Jogo")=0,"-",ROUND(AVERAGEIFS(BD_Carga!$F:$F,BD_Carga!$R:$R,A41,BD_Carga!$Q:$Q,"Jogo"),0)),"-")</f>
        <v/>
      </c>
      <c r="E41" s="588">
        <f>IFERROR(IF(COUNTIFS(BD_Carga!$R:$R,A41,BD_Carga!$Q:$Q,"Jogo")=0,"-",ROUND(AVERAGEIFS(BD_Carga!$G:$G,BD_Carga!$R:$R,A41,BD_Carga!$Q:$Q,"Jogo"),0)),"-")</f>
        <v/>
      </c>
      <c r="F41" s="588">
        <f>IFERROR(IF(COUNTIFS(BD_Carga!$R:$R,A41,BD_Carga!$Q:$Q,"Jogo")=0,"-",ROUND(AVERAGEIFS(BD_Carga!$H:$H,BD_Carga!$R:$R,A41,BD_Carga!$Q:$Q,"Jogo"),0)),"-")</f>
        <v/>
      </c>
      <c r="G41" s="588">
        <f>IFERROR(IF(COUNTIFS(BD_Carga!$R:$R,A41,BD_Carga!$Q:$Q,"Jogo")=0,"-",ROUND(AVERAGEIFS(BD_Carga!$I:$I,BD_Carga!$R:$R,A41,BD_Carga!$Q:$Q,"Jogo"),1)),"-")</f>
        <v/>
      </c>
      <c r="H41" s="588">
        <f>IFERROR(IF(COUNTIFS(BD_Carga!$R:$R,A41,BD_Carga!$Q:$Q,"Jogo")=0,"-",ROUND(AVERAGEIFS(BD_Carga!$J:$J,BD_Carga!$R:$R,A41,BD_Carga!$Q:$Q,"Jogo"),1)),"-")</f>
        <v/>
      </c>
      <c r="I41" s="588">
        <f>IFERROR(IF(COUNTIFS(BD_Carga!$R:$R,A41,BD_Carga!$Q:$Q,"Jogo")=0,"-",ROUND(AVERAGEIFS(BD_Carga!$K:$K,BD_Carga!$R:$R,A41,BD_Carga!$Q:$Q,"Jogo"),1)),"-")</f>
        <v/>
      </c>
      <c r="J41" s="588">
        <f>IFERROR(IF(COUNTIFS(BD_Carga!$R:$R,A41,BD_Carga!$Q:$Q,"Jogo")=0,"-",ROUND(AVERAGEIFS(BD_Carga!$L:$L,BD_Carga!$R:$R,A41,BD_Carga!$Q:$Q,"Jogo"),1)),"-")</f>
        <v/>
      </c>
    </row>
    <row r="42">
      <c r="A42" s="581" t="n">
        <v>19</v>
      </c>
      <c r="B42" s="586">
        <f>IFERROR(IF(COUNTIFS(BD_Carga!$R:$R,A42,BD_Carga!$Q:$Q,"Jogo")=0,"",_xlfn.MINIFS(BD_Carga!$A:$A,BD_Carga!$R:$R,A42,BD_Carga!$Q:$Q,"Jogo")),"")</f>
        <v/>
      </c>
      <c r="C42" s="581">
        <f>IFERROR(IF(COUNTIFS(BD_Carga!$R:$R,A42,BD_Carga!$Q:$Q,"Jogo")=0,"-",COUNTIFS(BD_Carga!$R:$R,A42,BD_Carga!$Q:$Q,"Jogo")),"-")</f>
        <v/>
      </c>
      <c r="D42" s="587">
        <f>IFERROR(IF(COUNTIFS(BD_Carga!$R:$R,A42,BD_Carga!$Q:$Q,"Jogo")=0,"-",ROUND(AVERAGEIFS(BD_Carga!$F:$F,BD_Carga!$R:$R,A42,BD_Carga!$Q:$Q,"Jogo"),0)),"-")</f>
        <v/>
      </c>
      <c r="E42" s="587">
        <f>IFERROR(IF(COUNTIFS(BD_Carga!$R:$R,A42,BD_Carga!$Q:$Q,"Jogo")=0,"-",ROUND(AVERAGEIFS(BD_Carga!$G:$G,BD_Carga!$R:$R,A42,BD_Carga!$Q:$Q,"Jogo"),0)),"-")</f>
        <v/>
      </c>
      <c r="F42" s="587">
        <f>IFERROR(IF(COUNTIFS(BD_Carga!$R:$R,A42,BD_Carga!$Q:$Q,"Jogo")=0,"-",ROUND(AVERAGEIFS(BD_Carga!$H:$H,BD_Carga!$R:$R,A42,BD_Carga!$Q:$Q,"Jogo"),0)),"-")</f>
        <v/>
      </c>
      <c r="G42" s="587">
        <f>IFERROR(IF(COUNTIFS(BD_Carga!$R:$R,A42,BD_Carga!$Q:$Q,"Jogo")=0,"-",ROUND(AVERAGEIFS(BD_Carga!$I:$I,BD_Carga!$R:$R,A42,BD_Carga!$Q:$Q,"Jogo"),1)),"-")</f>
        <v/>
      </c>
      <c r="H42" s="587">
        <f>IFERROR(IF(COUNTIFS(BD_Carga!$R:$R,A42,BD_Carga!$Q:$Q,"Jogo")=0,"-",ROUND(AVERAGEIFS(BD_Carga!$J:$J,BD_Carga!$R:$R,A42,BD_Carga!$Q:$Q,"Jogo"),1)),"-")</f>
        <v/>
      </c>
      <c r="I42" s="587">
        <f>IFERROR(IF(COUNTIFS(BD_Carga!$R:$R,A42,BD_Carga!$Q:$Q,"Jogo")=0,"-",ROUND(AVERAGEIFS(BD_Carga!$K:$K,BD_Carga!$R:$R,A42,BD_Carga!$Q:$Q,"Jogo"),1)),"-")</f>
        <v/>
      </c>
      <c r="J42" s="587">
        <f>IFERROR(IF(COUNTIFS(BD_Carga!$R:$R,A42,BD_Carga!$Q:$Q,"Jogo")=0,"-",ROUND(AVERAGEIFS(BD_Carga!$L:$L,BD_Carga!$R:$R,A42,BD_Carga!$Q:$Q,"Jogo"),1)),"-")</f>
        <v/>
      </c>
    </row>
    <row r="43">
      <c r="A43" t="n">
        <v>20</v>
      </c>
      <c r="B43" s="2">
        <f>IFERROR(IF(COUNTIFS(BD_Carga!$R:$R,A43,BD_Carga!$Q:$Q,"Jogo")=0,"",_xlfn.MINIFS(BD_Carga!$A:$A,BD_Carga!$R:$R,A43,BD_Carga!$Q:$Q,"Jogo")),"")</f>
        <v/>
      </c>
      <c r="C43">
        <f>IFERROR(IF(COUNTIFS(BD_Carga!$R:$R,A43,BD_Carga!$Q:$Q,"Jogo")=0,"-",COUNTIFS(BD_Carga!$R:$R,A43,BD_Carga!$Q:$Q,"Jogo")),"-")</f>
        <v/>
      </c>
      <c r="D43" s="588">
        <f>IFERROR(IF(COUNTIFS(BD_Carga!$R:$R,A43,BD_Carga!$Q:$Q,"Jogo")=0,"-",ROUND(AVERAGEIFS(BD_Carga!$F:$F,BD_Carga!$R:$R,A43,BD_Carga!$Q:$Q,"Jogo"),0)),"-")</f>
        <v/>
      </c>
      <c r="E43" s="588">
        <f>IFERROR(IF(COUNTIFS(BD_Carga!$R:$R,A43,BD_Carga!$Q:$Q,"Jogo")=0,"-",ROUND(AVERAGEIFS(BD_Carga!$G:$G,BD_Carga!$R:$R,A43,BD_Carga!$Q:$Q,"Jogo"),0)),"-")</f>
        <v/>
      </c>
      <c r="F43" s="588">
        <f>IFERROR(IF(COUNTIFS(BD_Carga!$R:$R,A43,BD_Carga!$Q:$Q,"Jogo")=0,"-",ROUND(AVERAGEIFS(BD_Carga!$H:$H,BD_Carga!$R:$R,A43,BD_Carga!$Q:$Q,"Jogo"),0)),"-")</f>
        <v/>
      </c>
      <c r="G43" s="588">
        <f>IFERROR(IF(COUNTIFS(BD_Carga!$R:$R,A43,BD_Carga!$Q:$Q,"Jogo")=0,"-",ROUND(AVERAGEIFS(BD_Carga!$I:$I,BD_Carga!$R:$R,A43,BD_Carga!$Q:$Q,"Jogo"),1)),"-")</f>
        <v/>
      </c>
      <c r="H43" s="588">
        <f>IFERROR(IF(COUNTIFS(BD_Carga!$R:$R,A43,BD_Carga!$Q:$Q,"Jogo")=0,"-",ROUND(AVERAGEIFS(BD_Carga!$J:$J,BD_Carga!$R:$R,A43,BD_Carga!$Q:$Q,"Jogo"),1)),"-")</f>
        <v/>
      </c>
      <c r="I43" s="588">
        <f>IFERROR(IF(COUNTIFS(BD_Carga!$R:$R,A43,BD_Carga!$Q:$Q,"Jogo")=0,"-",ROUND(AVERAGEIFS(BD_Carga!$K:$K,BD_Carga!$R:$R,A43,BD_Carga!$Q:$Q,"Jogo"),1)),"-")</f>
        <v/>
      </c>
      <c r="J43" s="588">
        <f>IFERROR(IF(COUNTIFS(BD_Carga!$R:$R,A43,BD_Carga!$Q:$Q,"Jogo")=0,"-",ROUND(AVERAGEIFS(BD_Carga!$L:$L,BD_Carga!$R:$R,A43,BD_Carga!$Q:$Q,"Jogo"),1)),"-")</f>
        <v/>
      </c>
    </row>
    <row r="44">
      <c r="A44" s="581" t="n">
        <v>21</v>
      </c>
      <c r="B44" s="586">
        <f>IFERROR(IF(COUNTIFS(BD_Carga!$R:$R,A44,BD_Carga!$Q:$Q,"Jogo")=0,"",_xlfn.MINIFS(BD_Carga!$A:$A,BD_Carga!$R:$R,A44,BD_Carga!$Q:$Q,"Jogo")),"")</f>
        <v/>
      </c>
      <c r="C44" s="581">
        <f>IFERROR(IF(COUNTIFS(BD_Carga!$R:$R,A44,BD_Carga!$Q:$Q,"Jogo")=0,"-",COUNTIFS(BD_Carga!$R:$R,A44,BD_Carga!$Q:$Q,"Jogo")),"-")</f>
        <v/>
      </c>
      <c r="D44" s="587">
        <f>IFERROR(IF(COUNTIFS(BD_Carga!$R:$R,A44,BD_Carga!$Q:$Q,"Jogo")=0,"-",ROUND(AVERAGEIFS(BD_Carga!$F:$F,BD_Carga!$R:$R,A44,BD_Carga!$Q:$Q,"Jogo"),0)),"-")</f>
        <v/>
      </c>
      <c r="E44" s="587">
        <f>IFERROR(IF(COUNTIFS(BD_Carga!$R:$R,A44,BD_Carga!$Q:$Q,"Jogo")=0,"-",ROUND(AVERAGEIFS(BD_Carga!$G:$G,BD_Carga!$R:$R,A44,BD_Carga!$Q:$Q,"Jogo"),0)),"-")</f>
        <v/>
      </c>
      <c r="F44" s="587">
        <f>IFERROR(IF(COUNTIFS(BD_Carga!$R:$R,A44,BD_Carga!$Q:$Q,"Jogo")=0,"-",ROUND(AVERAGEIFS(BD_Carga!$H:$H,BD_Carga!$R:$R,A44,BD_Carga!$Q:$Q,"Jogo"),0)),"-")</f>
        <v/>
      </c>
      <c r="G44" s="587">
        <f>IFERROR(IF(COUNTIFS(BD_Carga!$R:$R,A44,BD_Carga!$Q:$Q,"Jogo")=0,"-",ROUND(AVERAGEIFS(BD_Carga!$I:$I,BD_Carga!$R:$R,A44,BD_Carga!$Q:$Q,"Jogo"),1)),"-")</f>
        <v/>
      </c>
      <c r="H44" s="587">
        <f>IFERROR(IF(COUNTIFS(BD_Carga!$R:$R,A44,BD_Carga!$Q:$Q,"Jogo")=0,"-",ROUND(AVERAGEIFS(BD_Carga!$J:$J,BD_Carga!$R:$R,A44,BD_Carga!$Q:$Q,"Jogo"),1)),"-")</f>
        <v/>
      </c>
      <c r="I44" s="587">
        <f>IFERROR(IF(COUNTIFS(BD_Carga!$R:$R,A44,BD_Carga!$Q:$Q,"Jogo")=0,"-",ROUND(AVERAGEIFS(BD_Carga!$K:$K,BD_Carga!$R:$R,A44,BD_Carga!$Q:$Q,"Jogo"),1)),"-")</f>
        <v/>
      </c>
      <c r="J44" s="587">
        <f>IFERROR(IF(COUNTIFS(BD_Carga!$R:$R,A44,BD_Carga!$Q:$Q,"Jogo")=0,"-",ROUND(AVERAGEIFS(BD_Carga!$L:$L,BD_Carga!$R:$R,A44,BD_Carga!$Q:$Q,"Jogo"),1)),"-")</f>
        <v/>
      </c>
    </row>
    <row r="45">
      <c r="A45" t="n">
        <v>22</v>
      </c>
      <c r="B45" s="2">
        <f>IFERROR(IF(COUNTIFS(BD_Carga!$R:$R,A45,BD_Carga!$Q:$Q,"Jogo")=0,"",_xlfn.MINIFS(BD_Carga!$A:$A,BD_Carga!$R:$R,A45,BD_Carga!$Q:$Q,"Jogo")),"")</f>
        <v/>
      </c>
      <c r="C45">
        <f>IFERROR(IF(COUNTIFS(BD_Carga!$R:$R,A45,BD_Carga!$Q:$Q,"Jogo")=0,"-",COUNTIFS(BD_Carga!$R:$R,A45,BD_Carga!$Q:$Q,"Jogo")),"-")</f>
        <v/>
      </c>
      <c r="D45" s="588">
        <f>IFERROR(IF(COUNTIFS(BD_Carga!$R:$R,A45,BD_Carga!$Q:$Q,"Jogo")=0,"-",ROUND(AVERAGEIFS(BD_Carga!$F:$F,BD_Carga!$R:$R,A45,BD_Carga!$Q:$Q,"Jogo"),0)),"-")</f>
        <v/>
      </c>
      <c r="E45" s="588">
        <f>IFERROR(IF(COUNTIFS(BD_Carga!$R:$R,A45,BD_Carga!$Q:$Q,"Jogo")=0,"-",ROUND(AVERAGEIFS(BD_Carga!$G:$G,BD_Carga!$R:$R,A45,BD_Carga!$Q:$Q,"Jogo"),0)),"-")</f>
        <v/>
      </c>
      <c r="F45" s="588">
        <f>IFERROR(IF(COUNTIFS(BD_Carga!$R:$R,A45,BD_Carga!$Q:$Q,"Jogo")=0,"-",ROUND(AVERAGEIFS(BD_Carga!$H:$H,BD_Carga!$R:$R,A45,BD_Carga!$Q:$Q,"Jogo"),0)),"-")</f>
        <v/>
      </c>
      <c r="G45" s="588">
        <f>IFERROR(IF(COUNTIFS(BD_Carga!$R:$R,A45,BD_Carga!$Q:$Q,"Jogo")=0,"-",ROUND(AVERAGEIFS(BD_Carga!$I:$I,BD_Carga!$R:$R,A45,BD_Carga!$Q:$Q,"Jogo"),1)),"-")</f>
        <v/>
      </c>
      <c r="H45" s="588">
        <f>IFERROR(IF(COUNTIFS(BD_Carga!$R:$R,A45,BD_Carga!$Q:$Q,"Jogo")=0,"-",ROUND(AVERAGEIFS(BD_Carga!$J:$J,BD_Carga!$R:$R,A45,BD_Carga!$Q:$Q,"Jogo"),1)),"-")</f>
        <v/>
      </c>
      <c r="I45" s="588">
        <f>IFERROR(IF(COUNTIFS(BD_Carga!$R:$R,A45,BD_Carga!$Q:$Q,"Jogo")=0,"-",ROUND(AVERAGEIFS(BD_Carga!$K:$K,BD_Carga!$R:$R,A45,BD_Carga!$Q:$Q,"Jogo"),1)),"-")</f>
        <v/>
      </c>
      <c r="J45" s="588">
        <f>IFERROR(IF(COUNTIFS(BD_Carga!$R:$R,A45,BD_Carga!$Q:$Q,"Jogo")=0,"-",ROUND(AVERAGEIFS(BD_Carga!$L:$L,BD_Carga!$R:$R,A45,BD_Carga!$Q:$Q,"Jogo"),1)),"-")</f>
        <v/>
      </c>
    </row>
    <row r="46">
      <c r="A46" s="581" t="n">
        <v>23</v>
      </c>
      <c r="B46" s="586">
        <f>IFERROR(IF(COUNTIFS(BD_Carga!$R:$R,A46,BD_Carga!$Q:$Q,"Jogo")=0,"",_xlfn.MINIFS(BD_Carga!$A:$A,BD_Carga!$R:$R,A46,BD_Carga!$Q:$Q,"Jogo")),"")</f>
        <v/>
      </c>
      <c r="C46" s="581">
        <f>IFERROR(IF(COUNTIFS(BD_Carga!$R:$R,A46,BD_Carga!$Q:$Q,"Jogo")=0,"-",COUNTIFS(BD_Carga!$R:$R,A46,BD_Carga!$Q:$Q,"Jogo")),"-")</f>
        <v/>
      </c>
      <c r="D46" s="587">
        <f>IFERROR(IF(COUNTIFS(BD_Carga!$R:$R,A46,BD_Carga!$Q:$Q,"Jogo")=0,"-",ROUND(AVERAGEIFS(BD_Carga!$F:$F,BD_Carga!$R:$R,A46,BD_Carga!$Q:$Q,"Jogo"),0)),"-")</f>
        <v/>
      </c>
      <c r="E46" s="587">
        <f>IFERROR(IF(COUNTIFS(BD_Carga!$R:$R,A46,BD_Carga!$Q:$Q,"Jogo")=0,"-",ROUND(AVERAGEIFS(BD_Carga!$G:$G,BD_Carga!$R:$R,A46,BD_Carga!$Q:$Q,"Jogo"),0)),"-")</f>
        <v/>
      </c>
      <c r="F46" s="587">
        <f>IFERROR(IF(COUNTIFS(BD_Carga!$R:$R,A46,BD_Carga!$Q:$Q,"Jogo")=0,"-",ROUND(AVERAGEIFS(BD_Carga!$H:$H,BD_Carga!$R:$R,A46,BD_Carga!$Q:$Q,"Jogo"),0)),"-")</f>
        <v/>
      </c>
      <c r="G46" s="587">
        <f>IFERROR(IF(COUNTIFS(BD_Carga!$R:$R,A46,BD_Carga!$Q:$Q,"Jogo")=0,"-",ROUND(AVERAGEIFS(BD_Carga!$I:$I,BD_Carga!$R:$R,A46,BD_Carga!$Q:$Q,"Jogo"),1)),"-")</f>
        <v/>
      </c>
      <c r="H46" s="587">
        <f>IFERROR(IF(COUNTIFS(BD_Carga!$R:$R,A46,BD_Carga!$Q:$Q,"Jogo")=0,"-",ROUND(AVERAGEIFS(BD_Carga!$J:$J,BD_Carga!$R:$R,A46,BD_Carga!$Q:$Q,"Jogo"),1)),"-")</f>
        <v/>
      </c>
      <c r="I46" s="587">
        <f>IFERROR(IF(COUNTIFS(BD_Carga!$R:$R,A46,BD_Carga!$Q:$Q,"Jogo")=0,"-",ROUND(AVERAGEIFS(BD_Carga!$K:$K,BD_Carga!$R:$R,A46,BD_Carga!$Q:$Q,"Jogo"),1)),"-")</f>
        <v/>
      </c>
      <c r="J46" s="587">
        <f>IFERROR(IF(COUNTIFS(BD_Carga!$R:$R,A46,BD_Carga!$Q:$Q,"Jogo")=0,"-",ROUND(AVERAGEIFS(BD_Carga!$L:$L,BD_Carga!$R:$R,A46,BD_Carga!$Q:$Q,"Jogo"),1)),"-")</f>
        <v/>
      </c>
    </row>
    <row r="47">
      <c r="A47" t="n">
        <v>24</v>
      </c>
      <c r="B47" s="2">
        <f>IFERROR(IF(COUNTIFS(BD_Carga!$R:$R,A47,BD_Carga!$Q:$Q,"Jogo")=0,"",_xlfn.MINIFS(BD_Carga!$A:$A,BD_Carga!$R:$R,A47,BD_Carga!$Q:$Q,"Jogo")),"")</f>
        <v/>
      </c>
      <c r="C47">
        <f>IFERROR(IF(COUNTIFS(BD_Carga!$R:$R,A47,BD_Carga!$Q:$Q,"Jogo")=0,"-",COUNTIFS(BD_Carga!$R:$R,A47,BD_Carga!$Q:$Q,"Jogo")),"-")</f>
        <v/>
      </c>
      <c r="D47" s="588">
        <f>IFERROR(IF(COUNTIFS(BD_Carga!$R:$R,A47,BD_Carga!$Q:$Q,"Jogo")=0,"-",ROUND(AVERAGEIFS(BD_Carga!$F:$F,BD_Carga!$R:$R,A47,BD_Carga!$Q:$Q,"Jogo"),0)),"-")</f>
        <v/>
      </c>
      <c r="E47" s="588">
        <f>IFERROR(IF(COUNTIFS(BD_Carga!$R:$R,A47,BD_Carga!$Q:$Q,"Jogo")=0,"-",ROUND(AVERAGEIFS(BD_Carga!$G:$G,BD_Carga!$R:$R,A47,BD_Carga!$Q:$Q,"Jogo"),0)),"-")</f>
        <v/>
      </c>
      <c r="F47" s="588">
        <f>IFERROR(IF(COUNTIFS(BD_Carga!$R:$R,A47,BD_Carga!$Q:$Q,"Jogo")=0,"-",ROUND(AVERAGEIFS(BD_Carga!$H:$H,BD_Carga!$R:$R,A47,BD_Carga!$Q:$Q,"Jogo"),0)),"-")</f>
        <v/>
      </c>
      <c r="G47" s="588">
        <f>IFERROR(IF(COUNTIFS(BD_Carga!$R:$R,A47,BD_Carga!$Q:$Q,"Jogo")=0,"-",ROUND(AVERAGEIFS(BD_Carga!$I:$I,BD_Carga!$R:$R,A47,BD_Carga!$Q:$Q,"Jogo"),1)),"-")</f>
        <v/>
      </c>
      <c r="H47" s="588">
        <f>IFERROR(IF(COUNTIFS(BD_Carga!$R:$R,A47,BD_Carga!$Q:$Q,"Jogo")=0,"-",ROUND(AVERAGEIFS(BD_Carga!$J:$J,BD_Carga!$R:$R,A47,BD_Carga!$Q:$Q,"Jogo"),1)),"-")</f>
        <v/>
      </c>
      <c r="I47" s="588">
        <f>IFERROR(IF(COUNTIFS(BD_Carga!$R:$R,A47,BD_Carga!$Q:$Q,"Jogo")=0,"-",ROUND(AVERAGEIFS(BD_Carga!$K:$K,BD_Carga!$R:$R,A47,BD_Carga!$Q:$Q,"Jogo"),1)),"-")</f>
        <v/>
      </c>
      <c r="J47" s="588">
        <f>IFERROR(IF(COUNTIFS(BD_Carga!$R:$R,A47,BD_Carga!$Q:$Q,"Jogo")=0,"-",ROUND(AVERAGEIFS(BD_Carga!$L:$L,BD_Carga!$R:$R,A47,BD_Carga!$Q:$Q,"Jogo"),1)),"-")</f>
        <v/>
      </c>
    </row>
    <row r="48">
      <c r="A48" s="581" t="n">
        <v>25</v>
      </c>
      <c r="B48" s="586">
        <f>IFERROR(IF(COUNTIFS(BD_Carga!$R:$R,A48,BD_Carga!$Q:$Q,"Jogo")=0,"",_xlfn.MINIFS(BD_Carga!$A:$A,BD_Carga!$R:$R,A48,BD_Carga!$Q:$Q,"Jogo")),"")</f>
        <v/>
      </c>
      <c r="C48" s="581">
        <f>IFERROR(IF(COUNTIFS(BD_Carga!$R:$R,A48,BD_Carga!$Q:$Q,"Jogo")=0,"-",COUNTIFS(BD_Carga!$R:$R,A48,BD_Carga!$Q:$Q,"Jogo")),"-")</f>
        <v/>
      </c>
      <c r="D48" s="587">
        <f>IFERROR(IF(COUNTIFS(BD_Carga!$R:$R,A48,BD_Carga!$Q:$Q,"Jogo")=0,"-",ROUND(AVERAGEIFS(BD_Carga!$F:$F,BD_Carga!$R:$R,A48,BD_Carga!$Q:$Q,"Jogo"),0)),"-")</f>
        <v/>
      </c>
      <c r="E48" s="587">
        <f>IFERROR(IF(COUNTIFS(BD_Carga!$R:$R,A48,BD_Carga!$Q:$Q,"Jogo")=0,"-",ROUND(AVERAGEIFS(BD_Carga!$G:$G,BD_Carga!$R:$R,A48,BD_Carga!$Q:$Q,"Jogo"),0)),"-")</f>
        <v/>
      </c>
      <c r="F48" s="587">
        <f>IFERROR(IF(COUNTIFS(BD_Carga!$R:$R,A48,BD_Carga!$Q:$Q,"Jogo")=0,"-",ROUND(AVERAGEIFS(BD_Carga!$H:$H,BD_Carga!$R:$R,A48,BD_Carga!$Q:$Q,"Jogo"),0)),"-")</f>
        <v/>
      </c>
      <c r="G48" s="587">
        <f>IFERROR(IF(COUNTIFS(BD_Carga!$R:$R,A48,BD_Carga!$Q:$Q,"Jogo")=0,"-",ROUND(AVERAGEIFS(BD_Carga!$I:$I,BD_Carga!$R:$R,A48,BD_Carga!$Q:$Q,"Jogo"),1)),"-")</f>
        <v/>
      </c>
      <c r="H48" s="587">
        <f>IFERROR(IF(COUNTIFS(BD_Carga!$R:$R,A48,BD_Carga!$Q:$Q,"Jogo")=0,"-",ROUND(AVERAGEIFS(BD_Carga!$J:$J,BD_Carga!$R:$R,A48,BD_Carga!$Q:$Q,"Jogo"),1)),"-")</f>
        <v/>
      </c>
      <c r="I48" s="587">
        <f>IFERROR(IF(COUNTIFS(BD_Carga!$R:$R,A48,BD_Carga!$Q:$Q,"Jogo")=0,"-",ROUND(AVERAGEIFS(BD_Carga!$K:$K,BD_Carga!$R:$R,A48,BD_Carga!$Q:$Q,"Jogo"),1)),"-")</f>
        <v/>
      </c>
      <c r="J48" s="587">
        <f>IFERROR(IF(COUNTIFS(BD_Carga!$R:$R,A48,BD_Carga!$Q:$Q,"Jogo")=0,"-",ROUND(AVERAGEIFS(BD_Carga!$L:$L,BD_Carga!$R:$R,A48,BD_Carga!$Q:$Q,"Jogo"),1)),"-")</f>
        <v/>
      </c>
    </row>
    <row r="49">
      <c r="A49" t="n">
        <v>26</v>
      </c>
      <c r="B49" s="2">
        <f>IFERROR(IF(COUNTIFS(BD_Carga!$R:$R,A49,BD_Carga!$Q:$Q,"Jogo")=0,"",_xlfn.MINIFS(BD_Carga!$A:$A,BD_Carga!$R:$R,A49,BD_Carga!$Q:$Q,"Jogo")),"")</f>
        <v/>
      </c>
      <c r="C49">
        <f>IFERROR(IF(COUNTIFS(BD_Carga!$R:$R,A49,BD_Carga!$Q:$Q,"Jogo")=0,"-",COUNTIFS(BD_Carga!$R:$R,A49,BD_Carga!$Q:$Q,"Jogo")),"-")</f>
        <v/>
      </c>
      <c r="D49" s="588">
        <f>IFERROR(IF(COUNTIFS(BD_Carga!$R:$R,A49,BD_Carga!$Q:$Q,"Jogo")=0,"-",ROUND(AVERAGEIFS(BD_Carga!$F:$F,BD_Carga!$R:$R,A49,BD_Carga!$Q:$Q,"Jogo"),0)),"-")</f>
        <v/>
      </c>
      <c r="E49" s="588">
        <f>IFERROR(IF(COUNTIFS(BD_Carga!$R:$R,A49,BD_Carga!$Q:$Q,"Jogo")=0,"-",ROUND(AVERAGEIFS(BD_Carga!$G:$G,BD_Carga!$R:$R,A49,BD_Carga!$Q:$Q,"Jogo"),0)),"-")</f>
        <v/>
      </c>
      <c r="F49" s="588">
        <f>IFERROR(IF(COUNTIFS(BD_Carga!$R:$R,A49,BD_Carga!$Q:$Q,"Jogo")=0,"-",ROUND(AVERAGEIFS(BD_Carga!$H:$H,BD_Carga!$R:$R,A49,BD_Carga!$Q:$Q,"Jogo"),0)),"-")</f>
        <v/>
      </c>
      <c r="G49" s="588">
        <f>IFERROR(IF(COUNTIFS(BD_Carga!$R:$R,A49,BD_Carga!$Q:$Q,"Jogo")=0,"-",ROUND(AVERAGEIFS(BD_Carga!$I:$I,BD_Carga!$R:$R,A49,BD_Carga!$Q:$Q,"Jogo"),1)),"-")</f>
        <v/>
      </c>
      <c r="H49" s="588">
        <f>IFERROR(IF(COUNTIFS(BD_Carga!$R:$R,A49,BD_Carga!$Q:$Q,"Jogo")=0,"-",ROUND(AVERAGEIFS(BD_Carga!$J:$J,BD_Carga!$R:$R,A49,BD_Carga!$Q:$Q,"Jogo"),1)),"-")</f>
        <v/>
      </c>
      <c r="I49" s="588">
        <f>IFERROR(IF(COUNTIFS(BD_Carga!$R:$R,A49,BD_Carga!$Q:$Q,"Jogo")=0,"-",ROUND(AVERAGEIFS(BD_Carga!$K:$K,BD_Carga!$R:$R,A49,BD_Carga!$Q:$Q,"Jogo"),1)),"-")</f>
        <v/>
      </c>
      <c r="J49" s="588">
        <f>IFERROR(IF(COUNTIFS(BD_Carga!$R:$R,A49,BD_Carga!$Q:$Q,"Jogo")=0,"-",ROUND(AVERAGEIFS(BD_Carga!$L:$L,BD_Carga!$R:$R,A49,BD_Carga!$Q:$Q,"Jogo"),1)),"-")</f>
        <v/>
      </c>
    </row>
    <row r="50">
      <c r="A50" s="581" t="n">
        <v>27</v>
      </c>
      <c r="B50" s="586">
        <f>IFERROR(IF(COUNTIFS(BD_Carga!$R:$R,A50,BD_Carga!$Q:$Q,"Jogo")=0,"",_xlfn.MINIFS(BD_Carga!$A:$A,BD_Carga!$R:$R,A50,BD_Carga!$Q:$Q,"Jogo")),"")</f>
        <v/>
      </c>
      <c r="C50" s="581">
        <f>IFERROR(IF(COUNTIFS(BD_Carga!$R:$R,A50,BD_Carga!$Q:$Q,"Jogo")=0,"-",COUNTIFS(BD_Carga!$R:$R,A50,BD_Carga!$Q:$Q,"Jogo")),"-")</f>
        <v/>
      </c>
      <c r="D50" s="587">
        <f>IFERROR(IF(COUNTIFS(BD_Carga!$R:$R,A50,BD_Carga!$Q:$Q,"Jogo")=0,"-",ROUND(AVERAGEIFS(BD_Carga!$F:$F,BD_Carga!$R:$R,A50,BD_Carga!$Q:$Q,"Jogo"),0)),"-")</f>
        <v/>
      </c>
      <c r="E50" s="587">
        <f>IFERROR(IF(COUNTIFS(BD_Carga!$R:$R,A50,BD_Carga!$Q:$Q,"Jogo")=0,"-",ROUND(AVERAGEIFS(BD_Carga!$G:$G,BD_Carga!$R:$R,A50,BD_Carga!$Q:$Q,"Jogo"),0)),"-")</f>
        <v/>
      </c>
      <c r="F50" s="587">
        <f>IFERROR(IF(COUNTIFS(BD_Carga!$R:$R,A50,BD_Carga!$Q:$Q,"Jogo")=0,"-",ROUND(AVERAGEIFS(BD_Carga!$H:$H,BD_Carga!$R:$R,A50,BD_Carga!$Q:$Q,"Jogo"),0)),"-")</f>
        <v/>
      </c>
      <c r="G50" s="587">
        <f>IFERROR(IF(COUNTIFS(BD_Carga!$R:$R,A50,BD_Carga!$Q:$Q,"Jogo")=0,"-",ROUND(AVERAGEIFS(BD_Carga!$I:$I,BD_Carga!$R:$R,A50,BD_Carga!$Q:$Q,"Jogo"),1)),"-")</f>
        <v/>
      </c>
      <c r="H50" s="587">
        <f>IFERROR(IF(COUNTIFS(BD_Carga!$R:$R,A50,BD_Carga!$Q:$Q,"Jogo")=0,"-",ROUND(AVERAGEIFS(BD_Carga!$J:$J,BD_Carga!$R:$R,A50,BD_Carga!$Q:$Q,"Jogo"),1)),"-")</f>
        <v/>
      </c>
      <c r="I50" s="587">
        <f>IFERROR(IF(COUNTIFS(BD_Carga!$R:$R,A50,BD_Carga!$Q:$Q,"Jogo")=0,"-",ROUND(AVERAGEIFS(BD_Carga!$K:$K,BD_Carga!$R:$R,A50,BD_Carga!$Q:$Q,"Jogo"),1)),"-")</f>
        <v/>
      </c>
      <c r="J50" s="587">
        <f>IFERROR(IF(COUNTIFS(BD_Carga!$R:$R,A50,BD_Carga!$Q:$Q,"Jogo")=0,"-",ROUND(AVERAGEIFS(BD_Carga!$L:$L,BD_Carga!$R:$R,A50,BD_Carga!$Q:$Q,"Jogo"),1)),"-")</f>
        <v/>
      </c>
    </row>
    <row r="51">
      <c r="A51" t="n">
        <v>28</v>
      </c>
      <c r="B51" s="2">
        <f>IFERROR(IF(COUNTIFS(BD_Carga!$R:$R,A51,BD_Carga!$Q:$Q,"Jogo")=0,"",_xlfn.MINIFS(BD_Carga!$A:$A,BD_Carga!$R:$R,A51,BD_Carga!$Q:$Q,"Jogo")),"")</f>
        <v/>
      </c>
      <c r="C51">
        <f>IFERROR(IF(COUNTIFS(BD_Carga!$R:$R,A51,BD_Carga!$Q:$Q,"Jogo")=0,"-",COUNTIFS(BD_Carga!$R:$R,A51,BD_Carga!$Q:$Q,"Jogo")),"-")</f>
        <v/>
      </c>
      <c r="D51" s="588">
        <f>IFERROR(IF(COUNTIFS(BD_Carga!$R:$R,A51,BD_Carga!$Q:$Q,"Jogo")=0,"-",ROUND(AVERAGEIFS(BD_Carga!$F:$F,BD_Carga!$R:$R,A51,BD_Carga!$Q:$Q,"Jogo"),0)),"-")</f>
        <v/>
      </c>
      <c r="E51" s="588">
        <f>IFERROR(IF(COUNTIFS(BD_Carga!$R:$R,A51,BD_Carga!$Q:$Q,"Jogo")=0,"-",ROUND(AVERAGEIFS(BD_Carga!$G:$G,BD_Carga!$R:$R,A51,BD_Carga!$Q:$Q,"Jogo"),0)),"-")</f>
        <v/>
      </c>
      <c r="F51" s="588">
        <f>IFERROR(IF(COUNTIFS(BD_Carga!$R:$R,A51,BD_Carga!$Q:$Q,"Jogo")=0,"-",ROUND(AVERAGEIFS(BD_Carga!$H:$H,BD_Carga!$R:$R,A51,BD_Carga!$Q:$Q,"Jogo"),0)),"-")</f>
        <v/>
      </c>
      <c r="G51" s="588">
        <f>IFERROR(IF(COUNTIFS(BD_Carga!$R:$R,A51,BD_Carga!$Q:$Q,"Jogo")=0,"-",ROUND(AVERAGEIFS(BD_Carga!$I:$I,BD_Carga!$R:$R,A51,BD_Carga!$Q:$Q,"Jogo"),1)),"-")</f>
        <v/>
      </c>
      <c r="H51" s="588">
        <f>IFERROR(IF(COUNTIFS(BD_Carga!$R:$R,A51,BD_Carga!$Q:$Q,"Jogo")=0,"-",ROUND(AVERAGEIFS(BD_Carga!$J:$J,BD_Carga!$R:$R,A51,BD_Carga!$Q:$Q,"Jogo"),1)),"-")</f>
        <v/>
      </c>
      <c r="I51" s="588">
        <f>IFERROR(IF(COUNTIFS(BD_Carga!$R:$R,A51,BD_Carga!$Q:$Q,"Jogo")=0,"-",ROUND(AVERAGEIFS(BD_Carga!$K:$K,BD_Carga!$R:$R,A51,BD_Carga!$Q:$Q,"Jogo"),1)),"-")</f>
        <v/>
      </c>
      <c r="J51" s="588">
        <f>IFERROR(IF(COUNTIFS(BD_Carga!$R:$R,A51,BD_Carga!$Q:$Q,"Jogo")=0,"-",ROUND(AVERAGEIFS(BD_Carga!$L:$L,BD_Carga!$R:$R,A51,BD_Carga!$Q:$Q,"Jogo"),1)),"-")</f>
        <v/>
      </c>
    </row>
    <row r="52">
      <c r="A52" s="581" t="n">
        <v>29</v>
      </c>
      <c r="B52" s="586">
        <f>IFERROR(IF(COUNTIFS(BD_Carga!$R:$R,A52,BD_Carga!$Q:$Q,"Jogo")=0,"",_xlfn.MINIFS(BD_Carga!$A:$A,BD_Carga!$R:$R,A52,BD_Carga!$Q:$Q,"Jogo")),"")</f>
        <v/>
      </c>
      <c r="C52" s="581">
        <f>IFERROR(IF(COUNTIFS(BD_Carga!$R:$R,A52,BD_Carga!$Q:$Q,"Jogo")=0,"-",COUNTIFS(BD_Carga!$R:$R,A52,BD_Carga!$Q:$Q,"Jogo")),"-")</f>
        <v/>
      </c>
      <c r="D52" s="587">
        <f>IFERROR(IF(COUNTIFS(BD_Carga!$R:$R,A52,BD_Carga!$Q:$Q,"Jogo")=0,"-",ROUND(AVERAGEIFS(BD_Carga!$F:$F,BD_Carga!$R:$R,A52,BD_Carga!$Q:$Q,"Jogo"),0)),"-")</f>
        <v/>
      </c>
      <c r="E52" s="587">
        <f>IFERROR(IF(COUNTIFS(BD_Carga!$R:$R,A52,BD_Carga!$Q:$Q,"Jogo")=0,"-",ROUND(AVERAGEIFS(BD_Carga!$G:$G,BD_Carga!$R:$R,A52,BD_Carga!$Q:$Q,"Jogo"),0)),"-")</f>
        <v/>
      </c>
      <c r="F52" s="587">
        <f>IFERROR(IF(COUNTIFS(BD_Carga!$R:$R,A52,BD_Carga!$Q:$Q,"Jogo")=0,"-",ROUND(AVERAGEIFS(BD_Carga!$H:$H,BD_Carga!$R:$R,A52,BD_Carga!$Q:$Q,"Jogo"),0)),"-")</f>
        <v/>
      </c>
      <c r="G52" s="587">
        <f>IFERROR(IF(COUNTIFS(BD_Carga!$R:$R,A52,BD_Carga!$Q:$Q,"Jogo")=0,"-",ROUND(AVERAGEIFS(BD_Carga!$I:$I,BD_Carga!$R:$R,A52,BD_Carga!$Q:$Q,"Jogo"),1)),"-")</f>
        <v/>
      </c>
      <c r="H52" s="587">
        <f>IFERROR(IF(COUNTIFS(BD_Carga!$R:$R,A52,BD_Carga!$Q:$Q,"Jogo")=0,"-",ROUND(AVERAGEIFS(BD_Carga!$J:$J,BD_Carga!$R:$R,A52,BD_Carga!$Q:$Q,"Jogo"),1)),"-")</f>
        <v/>
      </c>
      <c r="I52" s="587">
        <f>IFERROR(IF(COUNTIFS(BD_Carga!$R:$R,A52,BD_Carga!$Q:$Q,"Jogo")=0,"-",ROUND(AVERAGEIFS(BD_Carga!$K:$K,BD_Carga!$R:$R,A52,BD_Carga!$Q:$Q,"Jogo"),1)),"-")</f>
        <v/>
      </c>
      <c r="J52" s="587">
        <f>IFERROR(IF(COUNTIFS(BD_Carga!$R:$R,A52,BD_Carga!$Q:$Q,"Jogo")=0,"-",ROUND(AVERAGEIFS(BD_Carga!$L:$L,BD_Carga!$R:$R,A52,BD_Carga!$Q:$Q,"Jogo"),1)),"-")</f>
        <v/>
      </c>
    </row>
    <row r="53">
      <c r="A53" t="n">
        <v>30</v>
      </c>
      <c r="B53" s="2">
        <f>IFERROR(IF(COUNTIFS(BD_Carga!$R:$R,A53,BD_Carga!$Q:$Q,"Jogo")=0,"",_xlfn.MINIFS(BD_Carga!$A:$A,BD_Carga!$R:$R,A53,BD_Carga!$Q:$Q,"Jogo")),"")</f>
        <v/>
      </c>
      <c r="C53">
        <f>IFERROR(IF(COUNTIFS(BD_Carga!$R:$R,A53,BD_Carga!$Q:$Q,"Jogo")=0,"-",COUNTIFS(BD_Carga!$R:$R,A53,BD_Carga!$Q:$Q,"Jogo")),"-")</f>
        <v/>
      </c>
      <c r="D53" s="588">
        <f>IFERROR(IF(COUNTIFS(BD_Carga!$R:$R,A53,BD_Carga!$Q:$Q,"Jogo")=0,"-",ROUND(AVERAGEIFS(BD_Carga!$F:$F,BD_Carga!$R:$R,A53,BD_Carga!$Q:$Q,"Jogo"),0)),"-")</f>
        <v/>
      </c>
      <c r="E53" s="588">
        <f>IFERROR(IF(COUNTIFS(BD_Carga!$R:$R,A53,BD_Carga!$Q:$Q,"Jogo")=0,"-",ROUND(AVERAGEIFS(BD_Carga!$G:$G,BD_Carga!$R:$R,A53,BD_Carga!$Q:$Q,"Jogo"),0)),"-")</f>
        <v/>
      </c>
      <c r="F53" s="588">
        <f>IFERROR(IF(COUNTIFS(BD_Carga!$R:$R,A53,BD_Carga!$Q:$Q,"Jogo")=0,"-",ROUND(AVERAGEIFS(BD_Carga!$H:$H,BD_Carga!$R:$R,A53,BD_Carga!$Q:$Q,"Jogo"),0)),"-")</f>
        <v/>
      </c>
      <c r="G53" s="588">
        <f>IFERROR(IF(COUNTIFS(BD_Carga!$R:$R,A53,BD_Carga!$Q:$Q,"Jogo")=0,"-",ROUND(AVERAGEIFS(BD_Carga!$I:$I,BD_Carga!$R:$R,A53,BD_Carga!$Q:$Q,"Jogo"),1)),"-")</f>
        <v/>
      </c>
      <c r="H53" s="588">
        <f>IFERROR(IF(COUNTIFS(BD_Carga!$R:$R,A53,BD_Carga!$Q:$Q,"Jogo")=0,"-",ROUND(AVERAGEIFS(BD_Carga!$J:$J,BD_Carga!$R:$R,A53,BD_Carga!$Q:$Q,"Jogo"),1)),"-")</f>
        <v/>
      </c>
      <c r="I53" s="588">
        <f>IFERROR(IF(COUNTIFS(BD_Carga!$R:$R,A53,BD_Carga!$Q:$Q,"Jogo")=0,"-",ROUND(AVERAGEIFS(BD_Carga!$K:$K,BD_Carga!$R:$R,A53,BD_Carga!$Q:$Q,"Jogo"),1)),"-")</f>
        <v/>
      </c>
      <c r="J53" s="588">
        <f>IFERROR(IF(COUNTIFS(BD_Carga!$R:$R,A53,BD_Carga!$Q:$Q,"Jogo")=0,"-",ROUND(AVERAGEIFS(BD_Carga!$L:$L,BD_Carga!$R:$R,A53,BD_Carga!$Q:$Q,"Jogo"),1)),"-")</f>
        <v/>
      </c>
    </row>
    <row r="54">
      <c r="A54" s="581" t="n">
        <v>31</v>
      </c>
      <c r="B54" s="586">
        <f>IFERROR(IF(COUNTIFS(BD_Carga!$R:$R,A54,BD_Carga!$Q:$Q,"Jogo")=0,"",_xlfn.MINIFS(BD_Carga!$A:$A,BD_Carga!$R:$R,A54,BD_Carga!$Q:$Q,"Jogo")),"")</f>
        <v/>
      </c>
      <c r="C54" s="581">
        <f>IFERROR(IF(COUNTIFS(BD_Carga!$R:$R,A54,BD_Carga!$Q:$Q,"Jogo")=0,"-",COUNTIFS(BD_Carga!$R:$R,A54,BD_Carga!$Q:$Q,"Jogo")),"-")</f>
        <v/>
      </c>
      <c r="D54" s="587">
        <f>IFERROR(IF(COUNTIFS(BD_Carga!$R:$R,A54,BD_Carga!$Q:$Q,"Jogo")=0,"-",ROUND(AVERAGEIFS(BD_Carga!$F:$F,BD_Carga!$R:$R,A54,BD_Carga!$Q:$Q,"Jogo"),0)),"-")</f>
        <v/>
      </c>
      <c r="E54" s="587">
        <f>IFERROR(IF(COUNTIFS(BD_Carga!$R:$R,A54,BD_Carga!$Q:$Q,"Jogo")=0,"-",ROUND(AVERAGEIFS(BD_Carga!$G:$G,BD_Carga!$R:$R,A54,BD_Carga!$Q:$Q,"Jogo"),0)),"-")</f>
        <v/>
      </c>
      <c r="F54" s="587">
        <f>IFERROR(IF(COUNTIFS(BD_Carga!$R:$R,A54,BD_Carga!$Q:$Q,"Jogo")=0,"-",ROUND(AVERAGEIFS(BD_Carga!$H:$H,BD_Carga!$R:$R,A54,BD_Carga!$Q:$Q,"Jogo"),0)),"-")</f>
        <v/>
      </c>
      <c r="G54" s="587">
        <f>IFERROR(IF(COUNTIFS(BD_Carga!$R:$R,A54,BD_Carga!$Q:$Q,"Jogo")=0,"-",ROUND(AVERAGEIFS(BD_Carga!$I:$I,BD_Carga!$R:$R,A54,BD_Carga!$Q:$Q,"Jogo"),1)),"-")</f>
        <v/>
      </c>
      <c r="H54" s="587">
        <f>IFERROR(IF(COUNTIFS(BD_Carga!$R:$R,A54,BD_Carga!$Q:$Q,"Jogo")=0,"-",ROUND(AVERAGEIFS(BD_Carga!$J:$J,BD_Carga!$R:$R,A54,BD_Carga!$Q:$Q,"Jogo"),1)),"-")</f>
        <v/>
      </c>
      <c r="I54" s="587">
        <f>IFERROR(IF(COUNTIFS(BD_Carga!$R:$R,A54,BD_Carga!$Q:$Q,"Jogo")=0,"-",ROUND(AVERAGEIFS(BD_Carga!$K:$K,BD_Carga!$R:$R,A54,BD_Carga!$Q:$Q,"Jogo"),1)),"-")</f>
        <v/>
      </c>
      <c r="J54" s="587">
        <f>IFERROR(IF(COUNTIFS(BD_Carga!$R:$R,A54,BD_Carga!$Q:$Q,"Jogo")=0,"-",ROUND(AVERAGEIFS(BD_Carga!$L:$L,BD_Carga!$R:$R,A54,BD_Carga!$Q:$Q,"Jogo"),1)),"-")</f>
        <v/>
      </c>
    </row>
    <row r="55">
      <c r="A55" t="n">
        <v>32</v>
      </c>
      <c r="B55" s="2">
        <f>IFERROR(IF(COUNTIFS(BD_Carga!$R:$R,A55,BD_Carga!$Q:$Q,"Jogo")=0,"",_xlfn.MINIFS(BD_Carga!$A:$A,BD_Carga!$R:$R,A55,BD_Carga!$Q:$Q,"Jogo")),"")</f>
        <v/>
      </c>
      <c r="C55">
        <f>IFERROR(IF(COUNTIFS(BD_Carga!$R:$R,A55,BD_Carga!$Q:$Q,"Jogo")=0,"-",COUNTIFS(BD_Carga!$R:$R,A55,BD_Carga!$Q:$Q,"Jogo")),"-")</f>
        <v/>
      </c>
      <c r="D55" s="588">
        <f>IFERROR(IF(COUNTIFS(BD_Carga!$R:$R,A55,BD_Carga!$Q:$Q,"Jogo")=0,"-",ROUND(AVERAGEIFS(BD_Carga!$F:$F,BD_Carga!$R:$R,A55,BD_Carga!$Q:$Q,"Jogo"),0)),"-")</f>
        <v/>
      </c>
      <c r="E55" s="588">
        <f>IFERROR(IF(COUNTIFS(BD_Carga!$R:$R,A55,BD_Carga!$Q:$Q,"Jogo")=0,"-",ROUND(AVERAGEIFS(BD_Carga!$G:$G,BD_Carga!$R:$R,A55,BD_Carga!$Q:$Q,"Jogo"),0)),"-")</f>
        <v/>
      </c>
      <c r="F55" s="588">
        <f>IFERROR(IF(COUNTIFS(BD_Carga!$R:$R,A55,BD_Carga!$Q:$Q,"Jogo")=0,"-",ROUND(AVERAGEIFS(BD_Carga!$H:$H,BD_Carga!$R:$R,A55,BD_Carga!$Q:$Q,"Jogo"),0)),"-")</f>
        <v/>
      </c>
      <c r="G55" s="588">
        <f>IFERROR(IF(COUNTIFS(BD_Carga!$R:$R,A55,BD_Carga!$Q:$Q,"Jogo")=0,"-",ROUND(AVERAGEIFS(BD_Carga!$I:$I,BD_Carga!$R:$R,A55,BD_Carga!$Q:$Q,"Jogo"),1)),"-")</f>
        <v/>
      </c>
      <c r="H55" s="588">
        <f>IFERROR(IF(COUNTIFS(BD_Carga!$R:$R,A55,BD_Carga!$Q:$Q,"Jogo")=0,"-",ROUND(AVERAGEIFS(BD_Carga!$J:$J,BD_Carga!$R:$R,A55,BD_Carga!$Q:$Q,"Jogo"),1)),"-")</f>
        <v/>
      </c>
      <c r="I55" s="588">
        <f>IFERROR(IF(COUNTIFS(BD_Carga!$R:$R,A55,BD_Carga!$Q:$Q,"Jogo")=0,"-",ROUND(AVERAGEIFS(BD_Carga!$K:$K,BD_Carga!$R:$R,A55,BD_Carga!$Q:$Q,"Jogo"),1)),"-")</f>
        <v/>
      </c>
      <c r="J55" s="588">
        <f>IFERROR(IF(COUNTIFS(BD_Carga!$R:$R,A55,BD_Carga!$Q:$Q,"Jogo")=0,"-",ROUND(AVERAGEIFS(BD_Carga!$L:$L,BD_Carga!$R:$R,A55,BD_Carga!$Q:$Q,"Jogo"),1)),"-")</f>
        <v/>
      </c>
    </row>
    <row r="56">
      <c r="A56" s="581" t="n">
        <v>33</v>
      </c>
      <c r="B56" s="586">
        <f>IFERROR(IF(COUNTIFS(BD_Carga!$R:$R,A56,BD_Carga!$Q:$Q,"Jogo")=0,"",_xlfn.MINIFS(BD_Carga!$A:$A,BD_Carga!$R:$R,A56,BD_Carga!$Q:$Q,"Jogo")),"")</f>
        <v/>
      </c>
      <c r="C56" s="581">
        <f>IFERROR(IF(COUNTIFS(BD_Carga!$R:$R,A56,BD_Carga!$Q:$Q,"Jogo")=0,"-",COUNTIFS(BD_Carga!$R:$R,A56,BD_Carga!$Q:$Q,"Jogo")),"-")</f>
        <v/>
      </c>
      <c r="D56" s="587">
        <f>IFERROR(IF(COUNTIFS(BD_Carga!$R:$R,A56,BD_Carga!$Q:$Q,"Jogo")=0,"-",ROUND(AVERAGEIFS(BD_Carga!$F:$F,BD_Carga!$R:$R,A56,BD_Carga!$Q:$Q,"Jogo"),0)),"-")</f>
        <v/>
      </c>
      <c r="E56" s="587">
        <f>IFERROR(IF(COUNTIFS(BD_Carga!$R:$R,A56,BD_Carga!$Q:$Q,"Jogo")=0,"-",ROUND(AVERAGEIFS(BD_Carga!$G:$G,BD_Carga!$R:$R,A56,BD_Carga!$Q:$Q,"Jogo"),0)),"-")</f>
        <v/>
      </c>
      <c r="F56" s="587">
        <f>IFERROR(IF(COUNTIFS(BD_Carga!$R:$R,A56,BD_Carga!$Q:$Q,"Jogo")=0,"-",ROUND(AVERAGEIFS(BD_Carga!$H:$H,BD_Carga!$R:$R,A56,BD_Carga!$Q:$Q,"Jogo"),0)),"-")</f>
        <v/>
      </c>
      <c r="G56" s="587">
        <f>IFERROR(IF(COUNTIFS(BD_Carga!$R:$R,A56,BD_Carga!$Q:$Q,"Jogo")=0,"-",ROUND(AVERAGEIFS(BD_Carga!$I:$I,BD_Carga!$R:$R,A56,BD_Carga!$Q:$Q,"Jogo"),1)),"-")</f>
        <v/>
      </c>
      <c r="H56" s="587">
        <f>IFERROR(IF(COUNTIFS(BD_Carga!$R:$R,A56,BD_Carga!$Q:$Q,"Jogo")=0,"-",ROUND(AVERAGEIFS(BD_Carga!$J:$J,BD_Carga!$R:$R,A56,BD_Carga!$Q:$Q,"Jogo"),1)),"-")</f>
        <v/>
      </c>
      <c r="I56" s="587">
        <f>IFERROR(IF(COUNTIFS(BD_Carga!$R:$R,A56,BD_Carga!$Q:$Q,"Jogo")=0,"-",ROUND(AVERAGEIFS(BD_Carga!$K:$K,BD_Carga!$R:$R,A56,BD_Carga!$Q:$Q,"Jogo"),1)),"-")</f>
        <v/>
      </c>
      <c r="J56" s="587">
        <f>IFERROR(IF(COUNTIFS(BD_Carga!$R:$R,A56,BD_Carga!$Q:$Q,"Jogo")=0,"-",ROUND(AVERAGEIFS(BD_Carga!$L:$L,BD_Carga!$R:$R,A56,BD_Carga!$Q:$Q,"Jogo"),1)),"-")</f>
        <v/>
      </c>
    </row>
    <row r="57">
      <c r="A57" t="n">
        <v>34</v>
      </c>
      <c r="B57" s="2">
        <f>IFERROR(IF(COUNTIFS(BD_Carga!$R:$R,A57,BD_Carga!$Q:$Q,"Jogo")=0,"",_xlfn.MINIFS(BD_Carga!$A:$A,BD_Carga!$R:$R,A57,BD_Carga!$Q:$Q,"Jogo")),"")</f>
        <v/>
      </c>
      <c r="C57">
        <f>IFERROR(IF(COUNTIFS(BD_Carga!$R:$R,A57,BD_Carga!$Q:$Q,"Jogo")=0,"-",COUNTIFS(BD_Carga!$R:$R,A57,BD_Carga!$Q:$Q,"Jogo")),"-")</f>
        <v/>
      </c>
      <c r="D57" s="588">
        <f>IFERROR(IF(COUNTIFS(BD_Carga!$R:$R,A57,BD_Carga!$Q:$Q,"Jogo")=0,"-",ROUND(AVERAGEIFS(BD_Carga!$F:$F,BD_Carga!$R:$R,A57,BD_Carga!$Q:$Q,"Jogo"),0)),"-")</f>
        <v/>
      </c>
      <c r="E57" s="588">
        <f>IFERROR(IF(COUNTIFS(BD_Carga!$R:$R,A57,BD_Carga!$Q:$Q,"Jogo")=0,"-",ROUND(AVERAGEIFS(BD_Carga!$G:$G,BD_Carga!$R:$R,A57,BD_Carga!$Q:$Q,"Jogo"),0)),"-")</f>
        <v/>
      </c>
      <c r="F57" s="588">
        <f>IFERROR(IF(COUNTIFS(BD_Carga!$R:$R,A57,BD_Carga!$Q:$Q,"Jogo")=0,"-",ROUND(AVERAGEIFS(BD_Carga!$H:$H,BD_Carga!$R:$R,A57,BD_Carga!$Q:$Q,"Jogo"),0)),"-")</f>
        <v/>
      </c>
      <c r="G57" s="588">
        <f>IFERROR(IF(COUNTIFS(BD_Carga!$R:$R,A57,BD_Carga!$Q:$Q,"Jogo")=0,"-",ROUND(AVERAGEIFS(BD_Carga!$I:$I,BD_Carga!$R:$R,A57,BD_Carga!$Q:$Q,"Jogo"),1)),"-")</f>
        <v/>
      </c>
      <c r="H57" s="588">
        <f>IFERROR(IF(COUNTIFS(BD_Carga!$R:$R,A57,BD_Carga!$Q:$Q,"Jogo")=0,"-",ROUND(AVERAGEIFS(BD_Carga!$J:$J,BD_Carga!$R:$R,A57,BD_Carga!$Q:$Q,"Jogo"),1)),"-")</f>
        <v/>
      </c>
      <c r="I57" s="588">
        <f>IFERROR(IF(COUNTIFS(BD_Carga!$R:$R,A57,BD_Carga!$Q:$Q,"Jogo")=0,"-",ROUND(AVERAGEIFS(BD_Carga!$K:$K,BD_Carga!$R:$R,A57,BD_Carga!$Q:$Q,"Jogo"),1)),"-")</f>
        <v/>
      </c>
      <c r="J57" s="588">
        <f>IFERROR(IF(COUNTIFS(BD_Carga!$R:$R,A57,BD_Carga!$Q:$Q,"Jogo")=0,"-",ROUND(AVERAGEIFS(BD_Carga!$L:$L,BD_Carga!$R:$R,A57,BD_Carga!$Q:$Q,"Jogo"),1)),"-")</f>
        <v/>
      </c>
    </row>
    <row r="58">
      <c r="A58" s="581" t="n">
        <v>35</v>
      </c>
      <c r="B58" s="586">
        <f>IFERROR(IF(COUNTIFS(BD_Carga!$R:$R,A58,BD_Carga!$Q:$Q,"Jogo")=0,"",_xlfn.MINIFS(BD_Carga!$A:$A,BD_Carga!$R:$R,A58,BD_Carga!$Q:$Q,"Jogo")),"")</f>
        <v/>
      </c>
      <c r="C58" s="581">
        <f>IFERROR(IF(COUNTIFS(BD_Carga!$R:$R,A58,BD_Carga!$Q:$Q,"Jogo")=0,"-",COUNTIFS(BD_Carga!$R:$R,A58,BD_Carga!$Q:$Q,"Jogo")),"-")</f>
        <v/>
      </c>
      <c r="D58" s="587">
        <f>IFERROR(IF(COUNTIFS(BD_Carga!$R:$R,A58,BD_Carga!$Q:$Q,"Jogo")=0,"-",ROUND(AVERAGEIFS(BD_Carga!$F:$F,BD_Carga!$R:$R,A58,BD_Carga!$Q:$Q,"Jogo"),0)),"-")</f>
        <v/>
      </c>
      <c r="E58" s="587">
        <f>IFERROR(IF(COUNTIFS(BD_Carga!$R:$R,A58,BD_Carga!$Q:$Q,"Jogo")=0,"-",ROUND(AVERAGEIFS(BD_Carga!$G:$G,BD_Carga!$R:$R,A58,BD_Carga!$Q:$Q,"Jogo"),0)),"-")</f>
        <v/>
      </c>
      <c r="F58" s="587">
        <f>IFERROR(IF(COUNTIFS(BD_Carga!$R:$R,A58,BD_Carga!$Q:$Q,"Jogo")=0,"-",ROUND(AVERAGEIFS(BD_Carga!$H:$H,BD_Carga!$R:$R,A58,BD_Carga!$Q:$Q,"Jogo"),0)),"-")</f>
        <v/>
      </c>
      <c r="G58" s="587">
        <f>IFERROR(IF(COUNTIFS(BD_Carga!$R:$R,A58,BD_Carga!$Q:$Q,"Jogo")=0,"-",ROUND(AVERAGEIFS(BD_Carga!$I:$I,BD_Carga!$R:$R,A58,BD_Carga!$Q:$Q,"Jogo"),1)),"-")</f>
        <v/>
      </c>
      <c r="H58" s="587">
        <f>IFERROR(IF(COUNTIFS(BD_Carga!$R:$R,A58,BD_Carga!$Q:$Q,"Jogo")=0,"-",ROUND(AVERAGEIFS(BD_Carga!$J:$J,BD_Carga!$R:$R,A58,BD_Carga!$Q:$Q,"Jogo"),1)),"-")</f>
        <v/>
      </c>
      <c r="I58" s="587">
        <f>IFERROR(IF(COUNTIFS(BD_Carga!$R:$R,A58,BD_Carga!$Q:$Q,"Jogo")=0,"-",ROUND(AVERAGEIFS(BD_Carga!$K:$K,BD_Carga!$R:$R,A58,BD_Carga!$Q:$Q,"Jogo"),1)),"-")</f>
        <v/>
      </c>
      <c r="J58" s="587">
        <f>IFERROR(IF(COUNTIFS(BD_Carga!$R:$R,A58,BD_Carga!$Q:$Q,"Jogo")=0,"-",ROUND(AVERAGEIFS(BD_Carga!$L:$L,BD_Carga!$R:$R,A58,BD_Carga!$Q:$Q,"Jogo"),1)),"-")</f>
        <v/>
      </c>
    </row>
    <row r="59">
      <c r="A59" t="n">
        <v>36</v>
      </c>
      <c r="B59" s="2">
        <f>IFERROR(IF(COUNTIFS(BD_Carga!$R:$R,A59,BD_Carga!$Q:$Q,"Jogo")=0,"",_xlfn.MINIFS(BD_Carga!$A:$A,BD_Carga!$R:$R,A59,BD_Carga!$Q:$Q,"Jogo")),"")</f>
        <v/>
      </c>
      <c r="C59">
        <f>IFERROR(IF(COUNTIFS(BD_Carga!$R:$R,A59,BD_Carga!$Q:$Q,"Jogo")=0,"-",COUNTIFS(BD_Carga!$R:$R,A59,BD_Carga!$Q:$Q,"Jogo")),"-")</f>
        <v/>
      </c>
      <c r="D59" s="588">
        <f>IFERROR(IF(COUNTIFS(BD_Carga!$R:$R,A59,BD_Carga!$Q:$Q,"Jogo")=0,"-",ROUND(AVERAGEIFS(BD_Carga!$F:$F,BD_Carga!$R:$R,A59,BD_Carga!$Q:$Q,"Jogo"),0)),"-")</f>
        <v/>
      </c>
      <c r="E59" s="588">
        <f>IFERROR(IF(COUNTIFS(BD_Carga!$R:$R,A59,BD_Carga!$Q:$Q,"Jogo")=0,"-",ROUND(AVERAGEIFS(BD_Carga!$G:$G,BD_Carga!$R:$R,A59,BD_Carga!$Q:$Q,"Jogo"),0)),"-")</f>
        <v/>
      </c>
      <c r="F59" s="588">
        <f>IFERROR(IF(COUNTIFS(BD_Carga!$R:$R,A59,BD_Carga!$Q:$Q,"Jogo")=0,"-",ROUND(AVERAGEIFS(BD_Carga!$H:$H,BD_Carga!$R:$R,A59,BD_Carga!$Q:$Q,"Jogo"),0)),"-")</f>
        <v/>
      </c>
      <c r="G59" s="588">
        <f>IFERROR(IF(COUNTIFS(BD_Carga!$R:$R,A59,BD_Carga!$Q:$Q,"Jogo")=0,"-",ROUND(AVERAGEIFS(BD_Carga!$I:$I,BD_Carga!$R:$R,A59,BD_Carga!$Q:$Q,"Jogo"),1)),"-")</f>
        <v/>
      </c>
      <c r="H59" s="588">
        <f>IFERROR(IF(COUNTIFS(BD_Carga!$R:$R,A59,BD_Carga!$Q:$Q,"Jogo")=0,"-",ROUND(AVERAGEIFS(BD_Carga!$J:$J,BD_Carga!$R:$R,A59,BD_Carga!$Q:$Q,"Jogo"),1)),"-")</f>
        <v/>
      </c>
      <c r="I59" s="588">
        <f>IFERROR(IF(COUNTIFS(BD_Carga!$R:$R,A59,BD_Carga!$Q:$Q,"Jogo")=0,"-",ROUND(AVERAGEIFS(BD_Carga!$K:$K,BD_Carga!$R:$R,A59,BD_Carga!$Q:$Q,"Jogo"),1)),"-")</f>
        <v/>
      </c>
      <c r="J59" s="588">
        <f>IFERROR(IF(COUNTIFS(BD_Carga!$R:$R,A59,BD_Carga!$Q:$Q,"Jogo")=0,"-",ROUND(AVERAGEIFS(BD_Carga!$L:$L,BD_Carga!$R:$R,A59,BD_Carga!$Q:$Q,"Jogo"),1)),"-")</f>
        <v/>
      </c>
    </row>
    <row r="60">
      <c r="A60" s="581" t="n">
        <v>37</v>
      </c>
      <c r="B60" s="586">
        <f>IFERROR(IF(COUNTIFS(BD_Carga!$R:$R,A60,BD_Carga!$Q:$Q,"Jogo")=0,"",_xlfn.MINIFS(BD_Carga!$A:$A,BD_Carga!$R:$R,A60,BD_Carga!$Q:$Q,"Jogo")),"")</f>
        <v/>
      </c>
      <c r="C60" s="581">
        <f>IFERROR(IF(COUNTIFS(BD_Carga!$R:$R,A60,BD_Carga!$Q:$Q,"Jogo")=0,"-",COUNTIFS(BD_Carga!$R:$R,A60,BD_Carga!$Q:$Q,"Jogo")),"-")</f>
        <v/>
      </c>
      <c r="D60" s="587">
        <f>IFERROR(IF(COUNTIFS(BD_Carga!$R:$R,A60,BD_Carga!$Q:$Q,"Jogo")=0,"-",ROUND(AVERAGEIFS(BD_Carga!$F:$F,BD_Carga!$R:$R,A60,BD_Carga!$Q:$Q,"Jogo"),0)),"-")</f>
        <v/>
      </c>
      <c r="E60" s="587">
        <f>IFERROR(IF(COUNTIFS(BD_Carga!$R:$R,A60,BD_Carga!$Q:$Q,"Jogo")=0,"-",ROUND(AVERAGEIFS(BD_Carga!$G:$G,BD_Carga!$R:$R,A60,BD_Carga!$Q:$Q,"Jogo"),0)),"-")</f>
        <v/>
      </c>
      <c r="F60" s="587">
        <f>IFERROR(IF(COUNTIFS(BD_Carga!$R:$R,A60,BD_Carga!$Q:$Q,"Jogo")=0,"-",ROUND(AVERAGEIFS(BD_Carga!$H:$H,BD_Carga!$R:$R,A60,BD_Carga!$Q:$Q,"Jogo"),0)),"-")</f>
        <v/>
      </c>
      <c r="G60" s="587">
        <f>IFERROR(IF(COUNTIFS(BD_Carga!$R:$R,A60,BD_Carga!$Q:$Q,"Jogo")=0,"-",ROUND(AVERAGEIFS(BD_Carga!$I:$I,BD_Carga!$R:$R,A60,BD_Carga!$Q:$Q,"Jogo"),1)),"-")</f>
        <v/>
      </c>
      <c r="H60" s="587">
        <f>IFERROR(IF(COUNTIFS(BD_Carga!$R:$R,A60,BD_Carga!$Q:$Q,"Jogo")=0,"-",ROUND(AVERAGEIFS(BD_Carga!$J:$J,BD_Carga!$R:$R,A60,BD_Carga!$Q:$Q,"Jogo"),1)),"-")</f>
        <v/>
      </c>
      <c r="I60" s="587">
        <f>IFERROR(IF(COUNTIFS(BD_Carga!$R:$R,A60,BD_Carga!$Q:$Q,"Jogo")=0,"-",ROUND(AVERAGEIFS(BD_Carga!$K:$K,BD_Carga!$R:$R,A60,BD_Carga!$Q:$Q,"Jogo"),1)),"-")</f>
        <v/>
      </c>
      <c r="J60" s="587">
        <f>IFERROR(IF(COUNTIFS(BD_Carga!$R:$R,A60,BD_Carga!$Q:$Q,"Jogo")=0,"-",ROUND(AVERAGEIFS(BD_Carga!$L:$L,BD_Carga!$R:$R,A60,BD_Carga!$Q:$Q,"Jogo"),1)),"-")</f>
        <v/>
      </c>
    </row>
    <row r="61">
      <c r="A61" t="n">
        <v>38</v>
      </c>
      <c r="B61" s="2">
        <f>IFERROR(IF(COUNTIFS(BD_Carga!$R:$R,A61,BD_Carga!$Q:$Q,"Jogo")=0,"",_xlfn.MINIFS(BD_Carga!$A:$A,BD_Carga!$R:$R,A61,BD_Carga!$Q:$Q,"Jogo")),"")</f>
        <v/>
      </c>
      <c r="C61">
        <f>IFERROR(IF(COUNTIFS(BD_Carga!$R:$R,A61,BD_Carga!$Q:$Q,"Jogo")=0,"-",COUNTIFS(BD_Carga!$R:$R,A61,BD_Carga!$Q:$Q,"Jogo")),"-")</f>
        <v/>
      </c>
      <c r="D61" s="588">
        <f>IFERROR(IF(COUNTIFS(BD_Carga!$R:$R,A61,BD_Carga!$Q:$Q,"Jogo")=0,"-",ROUND(AVERAGEIFS(BD_Carga!$F:$F,BD_Carga!$R:$R,A61,BD_Carga!$Q:$Q,"Jogo"),0)),"-")</f>
        <v/>
      </c>
      <c r="E61" s="588">
        <f>IFERROR(IF(COUNTIFS(BD_Carga!$R:$R,A61,BD_Carga!$Q:$Q,"Jogo")=0,"-",ROUND(AVERAGEIFS(BD_Carga!$G:$G,BD_Carga!$R:$R,A61,BD_Carga!$Q:$Q,"Jogo"),0)),"-")</f>
        <v/>
      </c>
      <c r="F61" s="588">
        <f>IFERROR(IF(COUNTIFS(BD_Carga!$R:$R,A61,BD_Carga!$Q:$Q,"Jogo")=0,"-",ROUND(AVERAGEIFS(BD_Carga!$H:$H,BD_Carga!$R:$R,A61,BD_Carga!$Q:$Q,"Jogo"),0)),"-")</f>
        <v/>
      </c>
      <c r="G61" s="588">
        <f>IFERROR(IF(COUNTIFS(BD_Carga!$R:$R,A61,BD_Carga!$Q:$Q,"Jogo")=0,"-",ROUND(AVERAGEIFS(BD_Carga!$I:$I,BD_Carga!$R:$R,A61,BD_Carga!$Q:$Q,"Jogo"),1)),"-")</f>
        <v/>
      </c>
      <c r="H61" s="588">
        <f>IFERROR(IF(COUNTIFS(BD_Carga!$R:$R,A61,BD_Carga!$Q:$Q,"Jogo")=0,"-",ROUND(AVERAGEIFS(BD_Carga!$J:$J,BD_Carga!$R:$R,A61,BD_Carga!$Q:$Q,"Jogo"),1)),"-")</f>
        <v/>
      </c>
      <c r="I61" s="588">
        <f>IFERROR(IF(COUNTIFS(BD_Carga!$R:$R,A61,BD_Carga!$Q:$Q,"Jogo")=0,"-",ROUND(AVERAGEIFS(BD_Carga!$K:$K,BD_Carga!$R:$R,A61,BD_Carga!$Q:$Q,"Jogo"),1)),"-")</f>
        <v/>
      </c>
      <c r="J61" s="588">
        <f>IFERROR(IF(COUNTIFS(BD_Carga!$R:$R,A61,BD_Carga!$Q:$Q,"Jogo")=0,"-",ROUND(AVERAGEIFS(BD_Carga!$L:$L,BD_Carga!$R:$R,A61,BD_Carga!$Q:$Q,"Jogo"),1)),"-")</f>
        <v/>
      </c>
    </row>
    <row r="62">
      <c r="A62" s="581" t="n">
        <v>39</v>
      </c>
      <c r="B62" s="586">
        <f>IFERROR(IF(COUNTIFS(BD_Carga!$R:$R,A62,BD_Carga!$Q:$Q,"Jogo")=0,"",_xlfn.MINIFS(BD_Carga!$A:$A,BD_Carga!$R:$R,A62,BD_Carga!$Q:$Q,"Jogo")),"")</f>
        <v/>
      </c>
      <c r="C62" s="581">
        <f>IFERROR(IF(COUNTIFS(BD_Carga!$R:$R,A62,BD_Carga!$Q:$Q,"Jogo")=0,"-",COUNTIFS(BD_Carga!$R:$R,A62,BD_Carga!$Q:$Q,"Jogo")),"-")</f>
        <v/>
      </c>
      <c r="D62" s="587">
        <f>IFERROR(IF(COUNTIFS(BD_Carga!$R:$R,A62,BD_Carga!$Q:$Q,"Jogo")=0,"-",ROUND(AVERAGEIFS(BD_Carga!$F:$F,BD_Carga!$R:$R,A62,BD_Carga!$Q:$Q,"Jogo"),0)),"-")</f>
        <v/>
      </c>
      <c r="E62" s="587">
        <f>IFERROR(IF(COUNTIFS(BD_Carga!$R:$R,A62,BD_Carga!$Q:$Q,"Jogo")=0,"-",ROUND(AVERAGEIFS(BD_Carga!$G:$G,BD_Carga!$R:$R,A62,BD_Carga!$Q:$Q,"Jogo"),0)),"-")</f>
        <v/>
      </c>
      <c r="F62" s="587">
        <f>IFERROR(IF(COUNTIFS(BD_Carga!$R:$R,A62,BD_Carga!$Q:$Q,"Jogo")=0,"-",ROUND(AVERAGEIFS(BD_Carga!$H:$H,BD_Carga!$R:$R,A62,BD_Carga!$Q:$Q,"Jogo"),0)),"-")</f>
        <v/>
      </c>
      <c r="G62" s="587">
        <f>IFERROR(IF(COUNTIFS(BD_Carga!$R:$R,A62,BD_Carga!$Q:$Q,"Jogo")=0,"-",ROUND(AVERAGEIFS(BD_Carga!$I:$I,BD_Carga!$R:$R,A62,BD_Carga!$Q:$Q,"Jogo"),1)),"-")</f>
        <v/>
      </c>
      <c r="H62" s="587">
        <f>IFERROR(IF(COUNTIFS(BD_Carga!$R:$R,A62,BD_Carga!$Q:$Q,"Jogo")=0,"-",ROUND(AVERAGEIFS(BD_Carga!$J:$J,BD_Carga!$R:$R,A62,BD_Carga!$Q:$Q,"Jogo"),1)),"-")</f>
        <v/>
      </c>
      <c r="I62" s="587">
        <f>IFERROR(IF(COUNTIFS(BD_Carga!$R:$R,A62,BD_Carga!$Q:$Q,"Jogo")=0,"-",ROUND(AVERAGEIFS(BD_Carga!$K:$K,BD_Carga!$R:$R,A62,BD_Carga!$Q:$Q,"Jogo"),1)),"-")</f>
        <v/>
      </c>
      <c r="J62" s="587">
        <f>IFERROR(IF(COUNTIFS(BD_Carga!$R:$R,A62,BD_Carga!$Q:$Q,"Jogo")=0,"-",ROUND(AVERAGEIFS(BD_Carga!$L:$L,BD_Carga!$R:$R,A62,BD_Carga!$Q:$Q,"Jogo"),1)),"-")</f>
        <v/>
      </c>
    </row>
    <row r="63">
      <c r="A63" t="n">
        <v>40</v>
      </c>
      <c r="B63" s="2">
        <f>IFERROR(IF(COUNTIFS(BD_Carga!$R:$R,A63,BD_Carga!$Q:$Q,"Jogo")=0,"",_xlfn.MINIFS(BD_Carga!$A:$A,BD_Carga!$R:$R,A63,BD_Carga!$Q:$Q,"Jogo")),"")</f>
        <v/>
      </c>
      <c r="C63">
        <f>IFERROR(IF(COUNTIFS(BD_Carga!$R:$R,A63,BD_Carga!$Q:$Q,"Jogo")=0,"-",COUNTIFS(BD_Carga!$R:$R,A63,BD_Carga!$Q:$Q,"Jogo")),"-")</f>
        <v/>
      </c>
      <c r="D63" s="588">
        <f>IFERROR(IF(COUNTIFS(BD_Carga!$R:$R,A63,BD_Carga!$Q:$Q,"Jogo")=0,"-",ROUND(AVERAGEIFS(BD_Carga!$F:$F,BD_Carga!$R:$R,A63,BD_Carga!$Q:$Q,"Jogo"),0)),"-")</f>
        <v/>
      </c>
      <c r="E63" s="588">
        <f>IFERROR(IF(COUNTIFS(BD_Carga!$R:$R,A63,BD_Carga!$Q:$Q,"Jogo")=0,"-",ROUND(AVERAGEIFS(BD_Carga!$G:$G,BD_Carga!$R:$R,A63,BD_Carga!$Q:$Q,"Jogo"),0)),"-")</f>
        <v/>
      </c>
      <c r="F63" s="588">
        <f>IFERROR(IF(COUNTIFS(BD_Carga!$R:$R,A63,BD_Carga!$Q:$Q,"Jogo")=0,"-",ROUND(AVERAGEIFS(BD_Carga!$H:$H,BD_Carga!$R:$R,A63,BD_Carga!$Q:$Q,"Jogo"),0)),"-")</f>
        <v/>
      </c>
      <c r="G63" s="588">
        <f>IFERROR(IF(COUNTIFS(BD_Carga!$R:$R,A63,BD_Carga!$Q:$Q,"Jogo")=0,"-",ROUND(AVERAGEIFS(BD_Carga!$I:$I,BD_Carga!$R:$R,A63,BD_Carga!$Q:$Q,"Jogo"),1)),"-")</f>
        <v/>
      </c>
      <c r="H63" s="588">
        <f>IFERROR(IF(COUNTIFS(BD_Carga!$R:$R,A63,BD_Carga!$Q:$Q,"Jogo")=0,"-",ROUND(AVERAGEIFS(BD_Carga!$J:$J,BD_Carga!$R:$R,A63,BD_Carga!$Q:$Q,"Jogo"),1)),"-")</f>
        <v/>
      </c>
      <c r="I63" s="588">
        <f>IFERROR(IF(COUNTIFS(BD_Carga!$R:$R,A63,BD_Carga!$Q:$Q,"Jogo")=0,"-",ROUND(AVERAGEIFS(BD_Carga!$K:$K,BD_Carga!$R:$R,A63,BD_Carga!$Q:$Q,"Jogo"),1)),"-")</f>
        <v/>
      </c>
      <c r="J63" s="588">
        <f>IFERROR(IF(COUNTIFS(BD_Carga!$R:$R,A63,BD_Carga!$Q:$Q,"Jogo")=0,"-",ROUND(AVERAGEIFS(BD_Carga!$L:$L,BD_Carga!$R:$R,A63,BD_Carga!$Q:$Q,"Jogo"),1)),"-")</f>
        <v/>
      </c>
    </row>
    <row r="64">
      <c r="A64" s="581" t="n">
        <v>41</v>
      </c>
      <c r="B64" s="586">
        <f>IFERROR(IF(COUNTIFS(BD_Carga!$R:$R,A64,BD_Carga!$Q:$Q,"Jogo")=0,"",_xlfn.MINIFS(BD_Carga!$A:$A,BD_Carga!$R:$R,A64,BD_Carga!$Q:$Q,"Jogo")),"")</f>
        <v/>
      </c>
      <c r="C64" s="581">
        <f>IFERROR(IF(COUNTIFS(BD_Carga!$R:$R,A64,BD_Carga!$Q:$Q,"Jogo")=0,"-",COUNTIFS(BD_Carga!$R:$R,A64,BD_Carga!$Q:$Q,"Jogo")),"-")</f>
        <v/>
      </c>
      <c r="D64" s="587">
        <f>IFERROR(IF(COUNTIFS(BD_Carga!$R:$R,A64,BD_Carga!$Q:$Q,"Jogo")=0,"-",ROUND(AVERAGEIFS(BD_Carga!$F:$F,BD_Carga!$R:$R,A64,BD_Carga!$Q:$Q,"Jogo"),0)),"-")</f>
        <v/>
      </c>
      <c r="E64" s="587">
        <f>IFERROR(IF(COUNTIFS(BD_Carga!$R:$R,A64,BD_Carga!$Q:$Q,"Jogo")=0,"-",ROUND(AVERAGEIFS(BD_Carga!$G:$G,BD_Carga!$R:$R,A64,BD_Carga!$Q:$Q,"Jogo"),0)),"-")</f>
        <v/>
      </c>
      <c r="F64" s="587">
        <f>IFERROR(IF(COUNTIFS(BD_Carga!$R:$R,A64,BD_Carga!$Q:$Q,"Jogo")=0,"-",ROUND(AVERAGEIFS(BD_Carga!$H:$H,BD_Carga!$R:$R,A64,BD_Carga!$Q:$Q,"Jogo"),0)),"-")</f>
        <v/>
      </c>
      <c r="G64" s="587">
        <f>IFERROR(IF(COUNTIFS(BD_Carga!$R:$R,A64,BD_Carga!$Q:$Q,"Jogo")=0,"-",ROUND(AVERAGEIFS(BD_Carga!$I:$I,BD_Carga!$R:$R,A64,BD_Carga!$Q:$Q,"Jogo"),1)),"-")</f>
        <v/>
      </c>
      <c r="H64" s="587">
        <f>IFERROR(IF(COUNTIFS(BD_Carga!$R:$R,A64,BD_Carga!$Q:$Q,"Jogo")=0,"-",ROUND(AVERAGEIFS(BD_Carga!$J:$J,BD_Carga!$R:$R,A64,BD_Carga!$Q:$Q,"Jogo"),1)),"-")</f>
        <v/>
      </c>
      <c r="I64" s="587">
        <f>IFERROR(IF(COUNTIFS(BD_Carga!$R:$R,A64,BD_Carga!$Q:$Q,"Jogo")=0,"-",ROUND(AVERAGEIFS(BD_Carga!$K:$K,BD_Carga!$R:$R,A64,BD_Carga!$Q:$Q,"Jogo"),1)),"-")</f>
        <v/>
      </c>
      <c r="J64" s="587">
        <f>IFERROR(IF(COUNTIFS(BD_Carga!$R:$R,A64,BD_Carga!$Q:$Q,"Jogo")=0,"-",ROUND(AVERAGEIFS(BD_Carga!$L:$L,BD_Carga!$R:$R,A64,BD_Carga!$Q:$Q,"Jogo"),1)),"-")</f>
        <v/>
      </c>
    </row>
    <row r="65">
      <c r="A65" t="n">
        <v>42</v>
      </c>
      <c r="B65" s="2">
        <f>IFERROR(IF(COUNTIFS(BD_Carga!$R:$R,A65,BD_Carga!$Q:$Q,"Jogo")=0,"",_xlfn.MINIFS(BD_Carga!$A:$A,BD_Carga!$R:$R,A65,BD_Carga!$Q:$Q,"Jogo")),"")</f>
        <v/>
      </c>
      <c r="C65">
        <f>IFERROR(IF(COUNTIFS(BD_Carga!$R:$R,A65,BD_Carga!$Q:$Q,"Jogo")=0,"-",COUNTIFS(BD_Carga!$R:$R,A65,BD_Carga!$Q:$Q,"Jogo")),"-")</f>
        <v/>
      </c>
      <c r="D65" s="588">
        <f>IFERROR(IF(COUNTIFS(BD_Carga!$R:$R,A65,BD_Carga!$Q:$Q,"Jogo")=0,"-",ROUND(AVERAGEIFS(BD_Carga!$F:$F,BD_Carga!$R:$R,A65,BD_Carga!$Q:$Q,"Jogo"),0)),"-")</f>
        <v/>
      </c>
      <c r="E65" s="588">
        <f>IFERROR(IF(COUNTIFS(BD_Carga!$R:$R,A65,BD_Carga!$Q:$Q,"Jogo")=0,"-",ROUND(AVERAGEIFS(BD_Carga!$G:$G,BD_Carga!$R:$R,A65,BD_Carga!$Q:$Q,"Jogo"),0)),"-")</f>
        <v/>
      </c>
      <c r="F65" s="588">
        <f>IFERROR(IF(COUNTIFS(BD_Carga!$R:$R,A65,BD_Carga!$Q:$Q,"Jogo")=0,"-",ROUND(AVERAGEIFS(BD_Carga!$H:$H,BD_Carga!$R:$R,A65,BD_Carga!$Q:$Q,"Jogo"),0)),"-")</f>
        <v/>
      </c>
      <c r="G65" s="588">
        <f>IFERROR(IF(COUNTIFS(BD_Carga!$R:$R,A65,BD_Carga!$Q:$Q,"Jogo")=0,"-",ROUND(AVERAGEIFS(BD_Carga!$I:$I,BD_Carga!$R:$R,A65,BD_Carga!$Q:$Q,"Jogo"),1)),"-")</f>
        <v/>
      </c>
      <c r="H65" s="588">
        <f>IFERROR(IF(COUNTIFS(BD_Carga!$R:$R,A65,BD_Carga!$Q:$Q,"Jogo")=0,"-",ROUND(AVERAGEIFS(BD_Carga!$J:$J,BD_Carga!$R:$R,A65,BD_Carga!$Q:$Q,"Jogo"),1)),"-")</f>
        <v/>
      </c>
      <c r="I65" s="588">
        <f>IFERROR(IF(COUNTIFS(BD_Carga!$R:$R,A65,BD_Carga!$Q:$Q,"Jogo")=0,"-",ROUND(AVERAGEIFS(BD_Carga!$K:$K,BD_Carga!$R:$R,A65,BD_Carga!$Q:$Q,"Jogo"),1)),"-")</f>
        <v/>
      </c>
      <c r="J65" s="588">
        <f>IFERROR(IF(COUNTIFS(BD_Carga!$R:$R,A65,BD_Carga!$Q:$Q,"Jogo")=0,"-",ROUND(AVERAGEIFS(BD_Carga!$L:$L,BD_Carga!$R:$R,A65,BD_Carga!$Q:$Q,"Jogo"),1)),"-")</f>
        <v/>
      </c>
    </row>
    <row r="66">
      <c r="A66" s="581" t="n">
        <v>43</v>
      </c>
      <c r="B66" s="586">
        <f>IFERROR(IF(COUNTIFS(BD_Carga!$R:$R,A66,BD_Carga!$Q:$Q,"Jogo")=0,"",_xlfn.MINIFS(BD_Carga!$A:$A,BD_Carga!$R:$R,A66,BD_Carga!$Q:$Q,"Jogo")),"")</f>
        <v/>
      </c>
      <c r="C66" s="581">
        <f>IFERROR(IF(COUNTIFS(BD_Carga!$R:$R,A66,BD_Carga!$Q:$Q,"Jogo")=0,"-",COUNTIFS(BD_Carga!$R:$R,A66,BD_Carga!$Q:$Q,"Jogo")),"-")</f>
        <v/>
      </c>
      <c r="D66" s="587">
        <f>IFERROR(IF(COUNTIFS(BD_Carga!$R:$R,A66,BD_Carga!$Q:$Q,"Jogo")=0,"-",ROUND(AVERAGEIFS(BD_Carga!$F:$F,BD_Carga!$R:$R,A66,BD_Carga!$Q:$Q,"Jogo"),0)),"-")</f>
        <v/>
      </c>
      <c r="E66" s="587">
        <f>IFERROR(IF(COUNTIFS(BD_Carga!$R:$R,A66,BD_Carga!$Q:$Q,"Jogo")=0,"-",ROUND(AVERAGEIFS(BD_Carga!$G:$G,BD_Carga!$R:$R,A66,BD_Carga!$Q:$Q,"Jogo"),0)),"-")</f>
        <v/>
      </c>
      <c r="F66" s="587">
        <f>IFERROR(IF(COUNTIFS(BD_Carga!$R:$R,A66,BD_Carga!$Q:$Q,"Jogo")=0,"-",ROUND(AVERAGEIFS(BD_Carga!$H:$H,BD_Carga!$R:$R,A66,BD_Carga!$Q:$Q,"Jogo"),0)),"-")</f>
        <v/>
      </c>
      <c r="G66" s="587">
        <f>IFERROR(IF(COUNTIFS(BD_Carga!$R:$R,A66,BD_Carga!$Q:$Q,"Jogo")=0,"-",ROUND(AVERAGEIFS(BD_Carga!$I:$I,BD_Carga!$R:$R,A66,BD_Carga!$Q:$Q,"Jogo"),1)),"-")</f>
        <v/>
      </c>
      <c r="H66" s="587">
        <f>IFERROR(IF(COUNTIFS(BD_Carga!$R:$R,A66,BD_Carga!$Q:$Q,"Jogo")=0,"-",ROUND(AVERAGEIFS(BD_Carga!$J:$J,BD_Carga!$R:$R,A66,BD_Carga!$Q:$Q,"Jogo"),1)),"-")</f>
        <v/>
      </c>
      <c r="I66" s="587">
        <f>IFERROR(IF(COUNTIFS(BD_Carga!$R:$R,A66,BD_Carga!$Q:$Q,"Jogo")=0,"-",ROUND(AVERAGEIFS(BD_Carga!$K:$K,BD_Carga!$R:$R,A66,BD_Carga!$Q:$Q,"Jogo"),1)),"-")</f>
        <v/>
      </c>
      <c r="J66" s="587">
        <f>IFERROR(IF(COUNTIFS(BD_Carga!$R:$R,A66,BD_Carga!$Q:$Q,"Jogo")=0,"-",ROUND(AVERAGEIFS(BD_Carga!$L:$L,BD_Carga!$R:$R,A66,BD_Carga!$Q:$Q,"Jogo"),1)),"-")</f>
        <v/>
      </c>
    </row>
    <row r="67">
      <c r="A67" t="n">
        <v>44</v>
      </c>
      <c r="B67" s="2">
        <f>IFERROR(IF(COUNTIFS(BD_Carga!$R:$R,A67,BD_Carga!$Q:$Q,"Jogo")=0,"",_xlfn.MINIFS(BD_Carga!$A:$A,BD_Carga!$R:$R,A67,BD_Carga!$Q:$Q,"Jogo")),"")</f>
        <v/>
      </c>
      <c r="C67">
        <f>IFERROR(IF(COUNTIFS(BD_Carga!$R:$R,A67,BD_Carga!$Q:$Q,"Jogo")=0,"-",COUNTIFS(BD_Carga!$R:$R,A67,BD_Carga!$Q:$Q,"Jogo")),"-")</f>
        <v/>
      </c>
      <c r="D67" s="588">
        <f>IFERROR(IF(COUNTIFS(BD_Carga!$R:$R,A67,BD_Carga!$Q:$Q,"Jogo")=0,"-",ROUND(AVERAGEIFS(BD_Carga!$F:$F,BD_Carga!$R:$R,A67,BD_Carga!$Q:$Q,"Jogo"),0)),"-")</f>
        <v/>
      </c>
      <c r="E67" s="588">
        <f>IFERROR(IF(COUNTIFS(BD_Carga!$R:$R,A67,BD_Carga!$Q:$Q,"Jogo")=0,"-",ROUND(AVERAGEIFS(BD_Carga!$G:$G,BD_Carga!$R:$R,A67,BD_Carga!$Q:$Q,"Jogo"),0)),"-")</f>
        <v/>
      </c>
      <c r="F67" s="588">
        <f>IFERROR(IF(COUNTIFS(BD_Carga!$R:$R,A67,BD_Carga!$Q:$Q,"Jogo")=0,"-",ROUND(AVERAGEIFS(BD_Carga!$H:$H,BD_Carga!$R:$R,A67,BD_Carga!$Q:$Q,"Jogo"),0)),"-")</f>
        <v/>
      </c>
      <c r="G67" s="588">
        <f>IFERROR(IF(COUNTIFS(BD_Carga!$R:$R,A67,BD_Carga!$Q:$Q,"Jogo")=0,"-",ROUND(AVERAGEIFS(BD_Carga!$I:$I,BD_Carga!$R:$R,A67,BD_Carga!$Q:$Q,"Jogo"),1)),"-")</f>
        <v/>
      </c>
      <c r="H67" s="588">
        <f>IFERROR(IF(COUNTIFS(BD_Carga!$R:$R,A67,BD_Carga!$Q:$Q,"Jogo")=0,"-",ROUND(AVERAGEIFS(BD_Carga!$J:$J,BD_Carga!$R:$R,A67,BD_Carga!$Q:$Q,"Jogo"),1)),"-")</f>
        <v/>
      </c>
      <c r="I67" s="588">
        <f>IFERROR(IF(COUNTIFS(BD_Carga!$R:$R,A67,BD_Carga!$Q:$Q,"Jogo")=0,"-",ROUND(AVERAGEIFS(BD_Carga!$K:$K,BD_Carga!$R:$R,A67,BD_Carga!$Q:$Q,"Jogo"),1)),"-")</f>
        <v/>
      </c>
      <c r="J67" s="588">
        <f>IFERROR(IF(COUNTIFS(BD_Carga!$R:$R,A67,BD_Carga!$Q:$Q,"Jogo")=0,"-",ROUND(AVERAGEIFS(BD_Carga!$L:$L,BD_Carga!$R:$R,A67,BD_Carga!$Q:$Q,"Jogo"),1)),"-")</f>
        <v/>
      </c>
    </row>
    <row r="68">
      <c r="A68" s="581" t="n">
        <v>45</v>
      </c>
      <c r="B68" s="586">
        <f>IFERROR(IF(COUNTIFS(BD_Carga!$R:$R,A68,BD_Carga!$Q:$Q,"Jogo")=0,"",_xlfn.MINIFS(BD_Carga!$A:$A,BD_Carga!$R:$R,A68,BD_Carga!$Q:$Q,"Jogo")),"")</f>
        <v/>
      </c>
      <c r="C68" s="581">
        <f>IFERROR(IF(COUNTIFS(BD_Carga!$R:$R,A68,BD_Carga!$Q:$Q,"Jogo")=0,"-",COUNTIFS(BD_Carga!$R:$R,A68,BD_Carga!$Q:$Q,"Jogo")),"-")</f>
        <v/>
      </c>
      <c r="D68" s="587">
        <f>IFERROR(IF(COUNTIFS(BD_Carga!$R:$R,A68,BD_Carga!$Q:$Q,"Jogo")=0,"-",ROUND(AVERAGEIFS(BD_Carga!$F:$F,BD_Carga!$R:$R,A68,BD_Carga!$Q:$Q,"Jogo"),0)),"-")</f>
        <v/>
      </c>
      <c r="E68" s="587">
        <f>IFERROR(IF(COUNTIFS(BD_Carga!$R:$R,A68,BD_Carga!$Q:$Q,"Jogo")=0,"-",ROUND(AVERAGEIFS(BD_Carga!$G:$G,BD_Carga!$R:$R,A68,BD_Carga!$Q:$Q,"Jogo"),0)),"-")</f>
        <v/>
      </c>
      <c r="F68" s="587">
        <f>IFERROR(IF(COUNTIFS(BD_Carga!$R:$R,A68,BD_Carga!$Q:$Q,"Jogo")=0,"-",ROUND(AVERAGEIFS(BD_Carga!$H:$H,BD_Carga!$R:$R,A68,BD_Carga!$Q:$Q,"Jogo"),0)),"-")</f>
        <v/>
      </c>
      <c r="G68" s="587">
        <f>IFERROR(IF(COUNTIFS(BD_Carga!$R:$R,A68,BD_Carga!$Q:$Q,"Jogo")=0,"-",ROUND(AVERAGEIFS(BD_Carga!$I:$I,BD_Carga!$R:$R,A68,BD_Carga!$Q:$Q,"Jogo"),1)),"-")</f>
        <v/>
      </c>
      <c r="H68" s="587">
        <f>IFERROR(IF(COUNTIFS(BD_Carga!$R:$R,A68,BD_Carga!$Q:$Q,"Jogo")=0,"-",ROUND(AVERAGEIFS(BD_Carga!$J:$J,BD_Carga!$R:$R,A68,BD_Carga!$Q:$Q,"Jogo"),1)),"-")</f>
        <v/>
      </c>
      <c r="I68" s="587">
        <f>IFERROR(IF(COUNTIFS(BD_Carga!$R:$R,A68,BD_Carga!$Q:$Q,"Jogo")=0,"-",ROUND(AVERAGEIFS(BD_Carga!$K:$K,BD_Carga!$R:$R,A68,BD_Carga!$Q:$Q,"Jogo"),1)),"-")</f>
        <v/>
      </c>
      <c r="J68" s="587">
        <f>IFERROR(IF(COUNTIFS(BD_Carga!$R:$R,A68,BD_Carga!$Q:$Q,"Jogo")=0,"-",ROUND(AVERAGEIFS(BD_Carga!$L:$L,BD_Carga!$R:$R,A68,BD_Carga!$Q:$Q,"Jogo"),1)),"-")</f>
        <v/>
      </c>
    </row>
    <row r="69">
      <c r="A69" t="n">
        <v>46</v>
      </c>
      <c r="B69" s="2">
        <f>IFERROR(IF(COUNTIFS(BD_Carga!$R:$R,A69,BD_Carga!$Q:$Q,"Jogo")=0,"",_xlfn.MINIFS(BD_Carga!$A:$A,BD_Carga!$R:$R,A69,BD_Carga!$Q:$Q,"Jogo")),"")</f>
        <v/>
      </c>
      <c r="C69">
        <f>IFERROR(IF(COUNTIFS(BD_Carga!$R:$R,A69,BD_Carga!$Q:$Q,"Jogo")=0,"-",COUNTIFS(BD_Carga!$R:$R,A69,BD_Carga!$Q:$Q,"Jogo")),"-")</f>
        <v/>
      </c>
      <c r="D69" s="588">
        <f>IFERROR(IF(COUNTIFS(BD_Carga!$R:$R,A69,BD_Carga!$Q:$Q,"Jogo")=0,"-",ROUND(AVERAGEIFS(BD_Carga!$F:$F,BD_Carga!$R:$R,A69,BD_Carga!$Q:$Q,"Jogo"),0)),"-")</f>
        <v/>
      </c>
      <c r="E69" s="588">
        <f>IFERROR(IF(COUNTIFS(BD_Carga!$R:$R,A69,BD_Carga!$Q:$Q,"Jogo")=0,"-",ROUND(AVERAGEIFS(BD_Carga!$G:$G,BD_Carga!$R:$R,A69,BD_Carga!$Q:$Q,"Jogo"),0)),"-")</f>
        <v/>
      </c>
      <c r="F69" s="588">
        <f>IFERROR(IF(COUNTIFS(BD_Carga!$R:$R,A69,BD_Carga!$Q:$Q,"Jogo")=0,"-",ROUND(AVERAGEIFS(BD_Carga!$H:$H,BD_Carga!$R:$R,A69,BD_Carga!$Q:$Q,"Jogo"),0)),"-")</f>
        <v/>
      </c>
      <c r="G69" s="588">
        <f>IFERROR(IF(COUNTIFS(BD_Carga!$R:$R,A69,BD_Carga!$Q:$Q,"Jogo")=0,"-",ROUND(AVERAGEIFS(BD_Carga!$I:$I,BD_Carga!$R:$R,A69,BD_Carga!$Q:$Q,"Jogo"),1)),"-")</f>
        <v/>
      </c>
      <c r="H69" s="588">
        <f>IFERROR(IF(COUNTIFS(BD_Carga!$R:$R,A69,BD_Carga!$Q:$Q,"Jogo")=0,"-",ROUND(AVERAGEIFS(BD_Carga!$J:$J,BD_Carga!$R:$R,A69,BD_Carga!$Q:$Q,"Jogo"),1)),"-")</f>
        <v/>
      </c>
      <c r="I69" s="588">
        <f>IFERROR(IF(COUNTIFS(BD_Carga!$R:$R,A69,BD_Carga!$Q:$Q,"Jogo")=0,"-",ROUND(AVERAGEIFS(BD_Carga!$K:$K,BD_Carga!$R:$R,A69,BD_Carga!$Q:$Q,"Jogo"),1)),"-")</f>
        <v/>
      </c>
      <c r="J69" s="588">
        <f>IFERROR(IF(COUNTIFS(BD_Carga!$R:$R,A69,BD_Carga!$Q:$Q,"Jogo")=0,"-",ROUND(AVERAGEIFS(BD_Carga!$L:$L,BD_Carga!$R:$R,A69,BD_Carga!$Q:$Q,"Jogo"),1)),"-")</f>
        <v/>
      </c>
    </row>
    <row r="70">
      <c r="A70" s="581" t="n">
        <v>47</v>
      </c>
      <c r="B70" s="586">
        <f>IFERROR(IF(COUNTIFS(BD_Carga!$R:$R,A70,BD_Carga!$Q:$Q,"Jogo")=0,"",_xlfn.MINIFS(BD_Carga!$A:$A,BD_Carga!$R:$R,A70,BD_Carga!$Q:$Q,"Jogo")),"")</f>
        <v/>
      </c>
      <c r="C70" s="581">
        <f>IFERROR(IF(COUNTIFS(BD_Carga!$R:$R,A70,BD_Carga!$Q:$Q,"Jogo")=0,"-",COUNTIFS(BD_Carga!$R:$R,A70,BD_Carga!$Q:$Q,"Jogo")),"-")</f>
        <v/>
      </c>
      <c r="D70" s="587">
        <f>IFERROR(IF(COUNTIFS(BD_Carga!$R:$R,A70,BD_Carga!$Q:$Q,"Jogo")=0,"-",ROUND(AVERAGEIFS(BD_Carga!$F:$F,BD_Carga!$R:$R,A70,BD_Carga!$Q:$Q,"Jogo"),0)),"-")</f>
        <v/>
      </c>
      <c r="E70" s="587">
        <f>IFERROR(IF(COUNTIFS(BD_Carga!$R:$R,A70,BD_Carga!$Q:$Q,"Jogo")=0,"-",ROUND(AVERAGEIFS(BD_Carga!$G:$G,BD_Carga!$R:$R,A70,BD_Carga!$Q:$Q,"Jogo"),0)),"-")</f>
        <v/>
      </c>
      <c r="F70" s="587">
        <f>IFERROR(IF(COUNTIFS(BD_Carga!$R:$R,A70,BD_Carga!$Q:$Q,"Jogo")=0,"-",ROUND(AVERAGEIFS(BD_Carga!$H:$H,BD_Carga!$R:$R,A70,BD_Carga!$Q:$Q,"Jogo"),0)),"-")</f>
        <v/>
      </c>
      <c r="G70" s="587">
        <f>IFERROR(IF(COUNTIFS(BD_Carga!$R:$R,A70,BD_Carga!$Q:$Q,"Jogo")=0,"-",ROUND(AVERAGEIFS(BD_Carga!$I:$I,BD_Carga!$R:$R,A70,BD_Carga!$Q:$Q,"Jogo"),1)),"-")</f>
        <v/>
      </c>
      <c r="H70" s="587">
        <f>IFERROR(IF(COUNTIFS(BD_Carga!$R:$R,A70,BD_Carga!$Q:$Q,"Jogo")=0,"-",ROUND(AVERAGEIFS(BD_Carga!$J:$J,BD_Carga!$R:$R,A70,BD_Carga!$Q:$Q,"Jogo"),1)),"-")</f>
        <v/>
      </c>
      <c r="I70" s="587">
        <f>IFERROR(IF(COUNTIFS(BD_Carga!$R:$R,A70,BD_Carga!$Q:$Q,"Jogo")=0,"-",ROUND(AVERAGEIFS(BD_Carga!$K:$K,BD_Carga!$R:$R,A70,BD_Carga!$Q:$Q,"Jogo"),1)),"-")</f>
        <v/>
      </c>
      <c r="J70" s="587">
        <f>IFERROR(IF(COUNTIFS(BD_Carga!$R:$R,A70,BD_Carga!$Q:$Q,"Jogo")=0,"-",ROUND(AVERAGEIFS(BD_Carga!$L:$L,BD_Carga!$R:$R,A70,BD_Carga!$Q:$Q,"Jogo"),1)),"-")</f>
        <v/>
      </c>
    </row>
    <row r="71">
      <c r="A71" t="n">
        <v>48</v>
      </c>
      <c r="B71" s="2">
        <f>IFERROR(IF(COUNTIFS(BD_Carga!$R:$R,A71,BD_Carga!$Q:$Q,"Jogo")=0,"",_xlfn.MINIFS(BD_Carga!$A:$A,BD_Carga!$R:$R,A71,BD_Carga!$Q:$Q,"Jogo")),"")</f>
        <v/>
      </c>
      <c r="C71">
        <f>IFERROR(IF(COUNTIFS(BD_Carga!$R:$R,A71,BD_Carga!$Q:$Q,"Jogo")=0,"-",COUNTIFS(BD_Carga!$R:$R,A71,BD_Carga!$Q:$Q,"Jogo")),"-")</f>
        <v/>
      </c>
      <c r="D71" s="588">
        <f>IFERROR(IF(COUNTIFS(BD_Carga!$R:$R,A71,BD_Carga!$Q:$Q,"Jogo")=0,"-",ROUND(AVERAGEIFS(BD_Carga!$F:$F,BD_Carga!$R:$R,A71,BD_Carga!$Q:$Q,"Jogo"),0)),"-")</f>
        <v/>
      </c>
      <c r="E71" s="588">
        <f>IFERROR(IF(COUNTIFS(BD_Carga!$R:$R,A71,BD_Carga!$Q:$Q,"Jogo")=0,"-",ROUND(AVERAGEIFS(BD_Carga!$G:$G,BD_Carga!$R:$R,A71,BD_Carga!$Q:$Q,"Jogo"),0)),"-")</f>
        <v/>
      </c>
      <c r="F71" s="588">
        <f>IFERROR(IF(COUNTIFS(BD_Carga!$R:$R,A71,BD_Carga!$Q:$Q,"Jogo")=0,"-",ROUND(AVERAGEIFS(BD_Carga!$H:$H,BD_Carga!$R:$R,A71,BD_Carga!$Q:$Q,"Jogo"),0)),"-")</f>
        <v/>
      </c>
      <c r="G71" s="588">
        <f>IFERROR(IF(COUNTIFS(BD_Carga!$R:$R,A71,BD_Carga!$Q:$Q,"Jogo")=0,"-",ROUND(AVERAGEIFS(BD_Carga!$I:$I,BD_Carga!$R:$R,A71,BD_Carga!$Q:$Q,"Jogo"),1)),"-")</f>
        <v/>
      </c>
      <c r="H71" s="588">
        <f>IFERROR(IF(COUNTIFS(BD_Carga!$R:$R,A71,BD_Carga!$Q:$Q,"Jogo")=0,"-",ROUND(AVERAGEIFS(BD_Carga!$J:$J,BD_Carga!$R:$R,A71,BD_Carga!$Q:$Q,"Jogo"),1)),"-")</f>
        <v/>
      </c>
      <c r="I71" s="588">
        <f>IFERROR(IF(COUNTIFS(BD_Carga!$R:$R,A71,BD_Carga!$Q:$Q,"Jogo")=0,"-",ROUND(AVERAGEIFS(BD_Carga!$K:$K,BD_Carga!$R:$R,A71,BD_Carga!$Q:$Q,"Jogo"),1)),"-")</f>
        <v/>
      </c>
      <c r="J71" s="588">
        <f>IFERROR(IF(COUNTIFS(BD_Carga!$R:$R,A71,BD_Carga!$Q:$Q,"Jogo")=0,"-",ROUND(AVERAGEIFS(BD_Carga!$L:$L,BD_Carga!$R:$R,A71,BD_Carga!$Q:$Q,"Jogo"),1)),"-")</f>
        <v/>
      </c>
    </row>
    <row r="72">
      <c r="A72" s="581" t="n">
        <v>49</v>
      </c>
      <c r="B72" s="586">
        <f>IFERROR(IF(COUNTIFS(BD_Carga!$R:$R,A72,BD_Carga!$Q:$Q,"Jogo")=0,"",_xlfn.MINIFS(BD_Carga!$A:$A,BD_Carga!$R:$R,A72,BD_Carga!$Q:$Q,"Jogo")),"")</f>
        <v/>
      </c>
      <c r="C72" s="581">
        <f>IFERROR(IF(COUNTIFS(BD_Carga!$R:$R,A72,BD_Carga!$Q:$Q,"Jogo")=0,"-",COUNTIFS(BD_Carga!$R:$R,A72,BD_Carga!$Q:$Q,"Jogo")),"-")</f>
        <v/>
      </c>
      <c r="D72" s="587">
        <f>IFERROR(IF(COUNTIFS(BD_Carga!$R:$R,A72,BD_Carga!$Q:$Q,"Jogo")=0,"-",ROUND(AVERAGEIFS(BD_Carga!$F:$F,BD_Carga!$R:$R,A72,BD_Carga!$Q:$Q,"Jogo"),0)),"-")</f>
        <v/>
      </c>
      <c r="E72" s="587">
        <f>IFERROR(IF(COUNTIFS(BD_Carga!$R:$R,A72,BD_Carga!$Q:$Q,"Jogo")=0,"-",ROUND(AVERAGEIFS(BD_Carga!$G:$G,BD_Carga!$R:$R,A72,BD_Carga!$Q:$Q,"Jogo"),0)),"-")</f>
        <v/>
      </c>
      <c r="F72" s="587">
        <f>IFERROR(IF(COUNTIFS(BD_Carga!$R:$R,A72,BD_Carga!$Q:$Q,"Jogo")=0,"-",ROUND(AVERAGEIFS(BD_Carga!$H:$H,BD_Carga!$R:$R,A72,BD_Carga!$Q:$Q,"Jogo"),0)),"-")</f>
        <v/>
      </c>
      <c r="G72" s="587">
        <f>IFERROR(IF(COUNTIFS(BD_Carga!$R:$R,A72,BD_Carga!$Q:$Q,"Jogo")=0,"-",ROUND(AVERAGEIFS(BD_Carga!$I:$I,BD_Carga!$R:$R,A72,BD_Carga!$Q:$Q,"Jogo"),1)),"-")</f>
        <v/>
      </c>
      <c r="H72" s="587">
        <f>IFERROR(IF(COUNTIFS(BD_Carga!$R:$R,A72,BD_Carga!$Q:$Q,"Jogo")=0,"-",ROUND(AVERAGEIFS(BD_Carga!$J:$J,BD_Carga!$R:$R,A72,BD_Carga!$Q:$Q,"Jogo"),1)),"-")</f>
        <v/>
      </c>
      <c r="I72" s="587">
        <f>IFERROR(IF(COUNTIFS(BD_Carga!$R:$R,A72,BD_Carga!$Q:$Q,"Jogo")=0,"-",ROUND(AVERAGEIFS(BD_Carga!$K:$K,BD_Carga!$R:$R,A72,BD_Carga!$Q:$Q,"Jogo"),1)),"-")</f>
        <v/>
      </c>
      <c r="J72" s="587">
        <f>IFERROR(IF(COUNTIFS(BD_Carga!$R:$R,A72,BD_Carga!$Q:$Q,"Jogo")=0,"-",ROUND(AVERAGEIFS(BD_Carga!$L:$L,BD_Carga!$R:$R,A72,BD_Carga!$Q:$Q,"Jogo"),1)),"-")</f>
        <v/>
      </c>
    </row>
    <row r="73">
      <c r="A73" t="n">
        <v>50</v>
      </c>
      <c r="B73" s="2">
        <f>IFERROR(IF(COUNTIFS(BD_Carga!$R:$R,A73,BD_Carga!$Q:$Q,"Jogo")=0,"",_xlfn.MINIFS(BD_Carga!$A:$A,BD_Carga!$R:$R,A73,BD_Carga!$Q:$Q,"Jogo")),"")</f>
        <v/>
      </c>
      <c r="C73">
        <f>IFERROR(IF(COUNTIFS(BD_Carga!$R:$R,A73,BD_Carga!$Q:$Q,"Jogo")=0,"-",COUNTIFS(BD_Carga!$R:$R,A73,BD_Carga!$Q:$Q,"Jogo")),"-")</f>
        <v/>
      </c>
      <c r="D73" s="588">
        <f>IFERROR(IF(COUNTIFS(BD_Carga!$R:$R,A73,BD_Carga!$Q:$Q,"Jogo")=0,"-",ROUND(AVERAGEIFS(BD_Carga!$F:$F,BD_Carga!$R:$R,A73,BD_Carga!$Q:$Q,"Jogo"),0)),"-")</f>
        <v/>
      </c>
      <c r="E73" s="588">
        <f>IFERROR(IF(COUNTIFS(BD_Carga!$R:$R,A73,BD_Carga!$Q:$Q,"Jogo")=0,"-",ROUND(AVERAGEIFS(BD_Carga!$G:$G,BD_Carga!$R:$R,A73,BD_Carga!$Q:$Q,"Jogo"),0)),"-")</f>
        <v/>
      </c>
      <c r="F73" s="588">
        <f>IFERROR(IF(COUNTIFS(BD_Carga!$R:$R,A73,BD_Carga!$Q:$Q,"Jogo")=0,"-",ROUND(AVERAGEIFS(BD_Carga!$H:$H,BD_Carga!$R:$R,A73,BD_Carga!$Q:$Q,"Jogo"),0)),"-")</f>
        <v/>
      </c>
      <c r="G73" s="588">
        <f>IFERROR(IF(COUNTIFS(BD_Carga!$R:$R,A73,BD_Carga!$Q:$Q,"Jogo")=0,"-",ROUND(AVERAGEIFS(BD_Carga!$I:$I,BD_Carga!$R:$R,A73,BD_Carga!$Q:$Q,"Jogo"),1)),"-")</f>
        <v/>
      </c>
      <c r="H73" s="588">
        <f>IFERROR(IF(COUNTIFS(BD_Carga!$R:$R,A73,BD_Carga!$Q:$Q,"Jogo")=0,"-",ROUND(AVERAGEIFS(BD_Carga!$J:$J,BD_Carga!$R:$R,A73,BD_Carga!$Q:$Q,"Jogo"),1)),"-")</f>
        <v/>
      </c>
      <c r="I73" s="588">
        <f>IFERROR(IF(COUNTIFS(BD_Carga!$R:$R,A73,BD_Carga!$Q:$Q,"Jogo")=0,"-",ROUND(AVERAGEIFS(BD_Carga!$K:$K,BD_Carga!$R:$R,A73,BD_Carga!$Q:$Q,"Jogo"),1)),"-")</f>
        <v/>
      </c>
      <c r="J73" s="588">
        <f>IFERROR(IF(COUNTIFS(BD_Carga!$R:$R,A73,BD_Carga!$Q:$Q,"Jogo")=0,"-",ROUND(AVERAGEIFS(BD_Carga!$L:$L,BD_Carga!$R:$R,A73,BD_Carga!$Q:$Q,"Jogo"),1)),"-")</f>
        <v/>
      </c>
    </row>
    <row r="74">
      <c r="A74" s="581" t="n">
        <v>51</v>
      </c>
      <c r="B74" s="586">
        <f>IFERROR(IF(COUNTIFS(BD_Carga!$R:$R,A74,BD_Carga!$Q:$Q,"Jogo")=0,"",_xlfn.MINIFS(BD_Carga!$A:$A,BD_Carga!$R:$R,A74,BD_Carga!$Q:$Q,"Jogo")),"")</f>
        <v/>
      </c>
      <c r="C74" s="581">
        <f>IFERROR(IF(COUNTIFS(BD_Carga!$R:$R,A74,BD_Carga!$Q:$Q,"Jogo")=0,"-",COUNTIFS(BD_Carga!$R:$R,A74,BD_Carga!$Q:$Q,"Jogo")),"-")</f>
        <v/>
      </c>
      <c r="D74" s="587">
        <f>IFERROR(IF(COUNTIFS(BD_Carga!$R:$R,A74,BD_Carga!$Q:$Q,"Jogo")=0,"-",ROUND(AVERAGEIFS(BD_Carga!$F:$F,BD_Carga!$R:$R,A74,BD_Carga!$Q:$Q,"Jogo"),0)),"-")</f>
        <v/>
      </c>
      <c r="E74" s="587">
        <f>IFERROR(IF(COUNTIFS(BD_Carga!$R:$R,A74,BD_Carga!$Q:$Q,"Jogo")=0,"-",ROUND(AVERAGEIFS(BD_Carga!$G:$G,BD_Carga!$R:$R,A74,BD_Carga!$Q:$Q,"Jogo"),0)),"-")</f>
        <v/>
      </c>
      <c r="F74" s="587">
        <f>IFERROR(IF(COUNTIFS(BD_Carga!$R:$R,A74,BD_Carga!$Q:$Q,"Jogo")=0,"-",ROUND(AVERAGEIFS(BD_Carga!$H:$H,BD_Carga!$R:$R,A74,BD_Carga!$Q:$Q,"Jogo"),0)),"-")</f>
        <v/>
      </c>
      <c r="G74" s="587">
        <f>IFERROR(IF(COUNTIFS(BD_Carga!$R:$R,A74,BD_Carga!$Q:$Q,"Jogo")=0,"-",ROUND(AVERAGEIFS(BD_Carga!$I:$I,BD_Carga!$R:$R,A74,BD_Carga!$Q:$Q,"Jogo"),1)),"-")</f>
        <v/>
      </c>
      <c r="H74" s="587">
        <f>IFERROR(IF(COUNTIFS(BD_Carga!$R:$R,A74,BD_Carga!$Q:$Q,"Jogo")=0,"-",ROUND(AVERAGEIFS(BD_Carga!$J:$J,BD_Carga!$R:$R,A74,BD_Carga!$Q:$Q,"Jogo"),1)),"-")</f>
        <v/>
      </c>
      <c r="I74" s="587">
        <f>IFERROR(IF(COUNTIFS(BD_Carga!$R:$R,A74,BD_Carga!$Q:$Q,"Jogo")=0,"-",ROUND(AVERAGEIFS(BD_Carga!$K:$K,BD_Carga!$R:$R,A74,BD_Carga!$Q:$Q,"Jogo"),1)),"-")</f>
        <v/>
      </c>
      <c r="J74" s="587">
        <f>IFERROR(IF(COUNTIFS(BD_Carga!$R:$R,A74,BD_Carga!$Q:$Q,"Jogo")=0,"-",ROUND(AVERAGEIFS(BD_Carga!$L:$L,BD_Carga!$R:$R,A74,BD_Carga!$Q:$Q,"Jogo"),1)),"-")</f>
        <v/>
      </c>
    </row>
    <row r="75">
      <c r="A75" t="n">
        <v>52</v>
      </c>
      <c r="B75" s="2">
        <f>IFERROR(IF(COUNTIFS(BD_Carga!$R:$R,A75,BD_Carga!$Q:$Q,"Jogo")=0,"",_xlfn.MINIFS(BD_Carga!$A:$A,BD_Carga!$R:$R,A75,BD_Carga!$Q:$Q,"Jogo")),"")</f>
        <v/>
      </c>
      <c r="C75">
        <f>IFERROR(IF(COUNTIFS(BD_Carga!$R:$R,A75,BD_Carga!$Q:$Q,"Jogo")=0,"-",COUNTIFS(BD_Carga!$R:$R,A75,BD_Carga!$Q:$Q,"Jogo")),"-")</f>
        <v/>
      </c>
      <c r="D75" s="588">
        <f>IFERROR(IF(COUNTIFS(BD_Carga!$R:$R,A75,BD_Carga!$Q:$Q,"Jogo")=0,"-",ROUND(AVERAGEIFS(BD_Carga!$F:$F,BD_Carga!$R:$R,A75,BD_Carga!$Q:$Q,"Jogo"),0)),"-")</f>
        <v/>
      </c>
      <c r="E75" s="588">
        <f>IFERROR(IF(COUNTIFS(BD_Carga!$R:$R,A75,BD_Carga!$Q:$Q,"Jogo")=0,"-",ROUND(AVERAGEIFS(BD_Carga!$G:$G,BD_Carga!$R:$R,A75,BD_Carga!$Q:$Q,"Jogo"),0)),"-")</f>
        <v/>
      </c>
      <c r="F75" s="588">
        <f>IFERROR(IF(COUNTIFS(BD_Carga!$R:$R,A75,BD_Carga!$Q:$Q,"Jogo")=0,"-",ROUND(AVERAGEIFS(BD_Carga!$H:$H,BD_Carga!$R:$R,A75,BD_Carga!$Q:$Q,"Jogo"),0)),"-")</f>
        <v/>
      </c>
      <c r="G75" s="588">
        <f>IFERROR(IF(COUNTIFS(BD_Carga!$R:$R,A75,BD_Carga!$Q:$Q,"Jogo")=0,"-",ROUND(AVERAGEIFS(BD_Carga!$I:$I,BD_Carga!$R:$R,A75,BD_Carga!$Q:$Q,"Jogo"),1)),"-")</f>
        <v/>
      </c>
      <c r="H75" s="588">
        <f>IFERROR(IF(COUNTIFS(BD_Carga!$R:$R,A75,BD_Carga!$Q:$Q,"Jogo")=0,"-",ROUND(AVERAGEIFS(BD_Carga!$J:$J,BD_Carga!$R:$R,A75,BD_Carga!$Q:$Q,"Jogo"),1)),"-")</f>
        <v/>
      </c>
      <c r="I75" s="588">
        <f>IFERROR(IF(COUNTIFS(BD_Carga!$R:$R,A75,BD_Carga!$Q:$Q,"Jogo")=0,"-",ROUND(AVERAGEIFS(BD_Carga!$K:$K,BD_Carga!$R:$R,A75,BD_Carga!$Q:$Q,"Jogo"),1)),"-")</f>
        <v/>
      </c>
      <c r="J75" s="588">
        <f>IFERROR(IF(COUNTIFS(BD_Carga!$R:$R,A75,BD_Carga!$Q:$Q,"Jogo")=0,"-",ROUND(AVERAGEIFS(BD_Carga!$L:$L,BD_Carga!$R:$R,A75,BD_Carga!$Q:$Q,"Jogo"),1)),"-")</f>
        <v/>
      </c>
    </row>
    <row r="77">
      <c r="A77" s="596" t="inlineStr">
        <is>
          <t>C — COMPARAÇÃO TREINO vs JOGO  (médias gerais — jogo selecionado no filtro B4)</t>
        </is>
      </c>
    </row>
    <row r="78">
      <c r="A78" s="120" t="inlineStr">
        <is>
          <t>Jogador</t>
        </is>
      </c>
      <c r="B78" s="120" t="inlineStr">
        <is>
          <t>Posição</t>
        </is>
      </c>
      <c r="C78" s="579" t="inlineStr">
        <is>
          <t>Dist Treino (m)</t>
        </is>
      </c>
      <c r="D78" s="580" t="inlineStr">
        <is>
          <t>Dist Jogo (m)</t>
        </is>
      </c>
      <c r="E78" s="120" t="inlineStr">
        <is>
          <t>Dif Dist (%)</t>
        </is>
      </c>
      <c r="F78" s="579" t="inlineStr">
        <is>
          <t>HSR Treino (m)</t>
        </is>
      </c>
      <c r="G78" s="580" t="inlineStr">
        <is>
          <t>HSR Jogo (m)</t>
        </is>
      </c>
      <c r="H78" s="120" t="inlineStr">
        <is>
          <t>Dif HSR (%)</t>
        </is>
      </c>
      <c r="I78" s="579" t="inlineStr">
        <is>
          <t>Sprint Treino</t>
        </is>
      </c>
      <c r="J78" s="580" t="inlineStr">
        <is>
          <t>Sprint Jogo</t>
        </is>
      </c>
      <c r="K78" s="120" t="inlineStr">
        <is>
          <t>Dif Sprint (%)</t>
        </is>
      </c>
    </row>
    <row r="79">
      <c r="A79">
        <f>A8</f>
        <v/>
      </c>
      <c r="B79">
        <f>B8</f>
        <v/>
      </c>
      <c r="C79" s="4">
        <f>IFERROR(AVERAGEIFS(BD_Carga!$F:$F,BD_Carga!$C:$C,A79,BD_Carga!$Q:$Q,"Treino"),"-")</f>
        <v/>
      </c>
      <c r="D79" s="4">
        <f>IFERROR(IF(COUNTIFS(BD_Carga!$C:$C,A79,BD_Carga!$R:$R,$B$4,BD_Carga!$Q:$Q,"Jogo")=0,"-",AVERAGEIFS(BD_Carga!$F:$F,BD_Carga!$C:$C,A79,BD_Carga!$R:$R,$B$4,BD_Carga!$Q:$Q,"Jogo")),"-")</f>
        <v/>
      </c>
      <c r="E79" s="11">
        <f>IFERROR(IF(OR(D79="-",C79="-"),"-",(D79-C79)/C79),"-")</f>
        <v/>
      </c>
      <c r="F79" s="4">
        <f>IFERROR(AVERAGEIFS(BD_Carga!$G:$G,BD_Carga!$C:$C,A79,BD_Carga!$Q:$Q,"Treino"),"-")</f>
        <v/>
      </c>
      <c r="G79" s="4">
        <f>IFERROR(IF(COUNTIFS(BD_Carga!$C:$C,A79,BD_Carga!$R:$R,$B$4,BD_Carga!$Q:$Q,"Jogo")=0,"-",AVERAGEIFS(BD_Carga!$G:$G,BD_Carga!$C:$C,A79,BD_Carga!$R:$R,$B$4,BD_Carga!$Q:$Q,"Jogo")),"-")</f>
        <v/>
      </c>
      <c r="H79" s="11">
        <f>IFERROR(IF(OR(G79="-",F79="-"),"-",(G79-F79)/F79),"-")</f>
        <v/>
      </c>
      <c r="I79" s="578">
        <f>IFERROR(AVERAGEIFS(BD_Carga!$H:$H,BD_Carga!$C:$C,A79,BD_Carga!$Q:$Q,"Treino"),"-")</f>
        <v/>
      </c>
      <c r="J79" s="578">
        <f>IFERROR(IF(COUNTIFS(BD_Carga!$C:$C,A79,BD_Carga!$R:$R,$B$4,BD_Carga!$Q:$Q,"Jogo")=0,"-",AVERAGEIFS(BD_Carga!$H:$H,BD_Carga!$C:$C,A79,BD_Carga!$R:$R,$B$4,BD_Carga!$Q:$Q,"Jogo")),"-")</f>
        <v/>
      </c>
      <c r="K79" s="11">
        <f>IFERROR(IF(OR(J79="-",I79="-"),"-",(J79-I79)/I79),"-")</f>
        <v/>
      </c>
    </row>
    <row r="80">
      <c r="A80" s="581">
        <f>A9</f>
        <v/>
      </c>
      <c r="B80" s="581">
        <f>B9</f>
        <v/>
      </c>
      <c r="C80" s="583">
        <f>IFERROR(AVERAGEIFS(BD_Carga!$F:$F,BD_Carga!$C:$C,A80,BD_Carga!$Q:$Q,"Treino"),"-")</f>
        <v/>
      </c>
      <c r="D80" s="583">
        <f>IFERROR(IF(COUNTIFS(BD_Carga!$C:$C,A80,BD_Carga!$R:$R,$B$4,BD_Carga!$Q:$Q,"Jogo")=0,"-",AVERAGEIFS(BD_Carga!$F:$F,BD_Carga!$C:$C,A80,BD_Carga!$R:$R,$B$4,BD_Carga!$Q:$Q,"Jogo")),"-")</f>
        <v/>
      </c>
      <c r="E80" s="585">
        <f>IFERROR(IF(OR(D80="-",C80="-"),"-",(D80-C80)/C80),"-")</f>
        <v/>
      </c>
      <c r="F80" s="583">
        <f>IFERROR(AVERAGEIFS(BD_Carga!$G:$G,BD_Carga!$C:$C,A80,BD_Carga!$Q:$Q,"Treino"),"-")</f>
        <v/>
      </c>
      <c r="G80" s="583">
        <f>IFERROR(IF(COUNTIFS(BD_Carga!$C:$C,A80,BD_Carga!$R:$R,$B$4,BD_Carga!$Q:$Q,"Jogo")=0,"-",AVERAGEIFS(BD_Carga!$G:$G,BD_Carga!$C:$C,A80,BD_Carga!$R:$R,$B$4,BD_Carga!$Q:$Q,"Jogo")),"-")</f>
        <v/>
      </c>
      <c r="H80" s="585">
        <f>IFERROR(IF(OR(G80="-",F80="-"),"-",(G80-F80)/F80),"-")</f>
        <v/>
      </c>
      <c r="I80" s="582">
        <f>IFERROR(AVERAGEIFS(BD_Carga!$H:$H,BD_Carga!$C:$C,A80,BD_Carga!$Q:$Q,"Treino"),"-")</f>
        <v/>
      </c>
      <c r="J80" s="582">
        <f>IFERROR(IF(COUNTIFS(BD_Carga!$C:$C,A80,BD_Carga!$R:$R,$B$4,BD_Carga!$Q:$Q,"Jogo")=0,"-",AVERAGEIFS(BD_Carga!$H:$H,BD_Carga!$C:$C,A80,BD_Carga!$R:$R,$B$4,BD_Carga!$Q:$Q,"Jogo")),"-")</f>
        <v/>
      </c>
      <c r="K80" s="585">
        <f>IFERROR(IF(OR(J80="-",I80="-"),"-",(J80-I80)/I80),"-")</f>
        <v/>
      </c>
    </row>
    <row r="81">
      <c r="A81">
        <f>A10</f>
        <v/>
      </c>
      <c r="B81">
        <f>B10</f>
        <v/>
      </c>
      <c r="C81" s="4">
        <f>IFERROR(AVERAGEIFS(BD_Carga!$F:$F,BD_Carga!$C:$C,A81,BD_Carga!$Q:$Q,"Treino"),"-")</f>
        <v/>
      </c>
      <c r="D81" s="4">
        <f>IFERROR(IF(COUNTIFS(BD_Carga!$C:$C,A81,BD_Carga!$R:$R,$B$4,BD_Carga!$Q:$Q,"Jogo")=0,"-",AVERAGEIFS(BD_Carga!$F:$F,BD_Carga!$C:$C,A81,BD_Carga!$R:$R,$B$4,BD_Carga!$Q:$Q,"Jogo")),"-")</f>
        <v/>
      </c>
      <c r="E81" s="11">
        <f>IFERROR(IF(OR(D81="-",C81="-"),"-",(D81-C81)/C81),"-")</f>
        <v/>
      </c>
      <c r="F81" s="4">
        <f>IFERROR(AVERAGEIFS(BD_Carga!$G:$G,BD_Carga!$C:$C,A81,BD_Carga!$Q:$Q,"Treino"),"-")</f>
        <v/>
      </c>
      <c r="G81" s="4">
        <f>IFERROR(IF(COUNTIFS(BD_Carga!$C:$C,A81,BD_Carga!$R:$R,$B$4,BD_Carga!$Q:$Q,"Jogo")=0,"-",AVERAGEIFS(BD_Carga!$G:$G,BD_Carga!$C:$C,A81,BD_Carga!$R:$R,$B$4,BD_Carga!$Q:$Q,"Jogo")),"-")</f>
        <v/>
      </c>
      <c r="H81" s="11">
        <f>IFERROR(IF(OR(G81="-",F81="-"),"-",(G81-F81)/F81),"-")</f>
        <v/>
      </c>
      <c r="I81" s="578">
        <f>IFERROR(AVERAGEIFS(BD_Carga!$H:$H,BD_Carga!$C:$C,A81,BD_Carga!$Q:$Q,"Treino"),"-")</f>
        <v/>
      </c>
      <c r="J81" s="578">
        <f>IFERROR(IF(COUNTIFS(BD_Carga!$C:$C,A81,BD_Carga!$R:$R,$B$4,BD_Carga!$Q:$Q,"Jogo")=0,"-",AVERAGEIFS(BD_Carga!$H:$H,BD_Carga!$C:$C,A81,BD_Carga!$R:$R,$B$4,BD_Carga!$Q:$Q,"Jogo")),"-")</f>
        <v/>
      </c>
      <c r="K81" s="11">
        <f>IFERROR(IF(OR(J81="-",I81="-"),"-",(J81-I81)/I81),"-")</f>
        <v/>
      </c>
    </row>
    <row r="82">
      <c r="A82" s="581">
        <f>A11</f>
        <v/>
      </c>
      <c r="B82" s="581">
        <f>B11</f>
        <v/>
      </c>
      <c r="C82" s="583">
        <f>IFERROR(AVERAGEIFS(BD_Carga!$F:$F,BD_Carga!$C:$C,A82,BD_Carga!$Q:$Q,"Treino"),"-")</f>
        <v/>
      </c>
      <c r="D82" s="583">
        <f>IFERROR(IF(COUNTIFS(BD_Carga!$C:$C,A82,BD_Carga!$R:$R,$B$4,BD_Carga!$Q:$Q,"Jogo")=0,"-",AVERAGEIFS(BD_Carga!$F:$F,BD_Carga!$C:$C,A82,BD_Carga!$R:$R,$B$4,BD_Carga!$Q:$Q,"Jogo")),"-")</f>
        <v/>
      </c>
      <c r="E82" s="585">
        <f>IFERROR(IF(OR(D82="-",C82="-"),"-",(D82-C82)/C82),"-")</f>
        <v/>
      </c>
      <c r="F82" s="583">
        <f>IFERROR(AVERAGEIFS(BD_Carga!$G:$G,BD_Carga!$C:$C,A82,BD_Carga!$Q:$Q,"Treino"),"-")</f>
        <v/>
      </c>
      <c r="G82" s="583">
        <f>IFERROR(IF(COUNTIFS(BD_Carga!$C:$C,A82,BD_Carga!$R:$R,$B$4,BD_Carga!$Q:$Q,"Jogo")=0,"-",AVERAGEIFS(BD_Carga!$G:$G,BD_Carga!$C:$C,A82,BD_Carga!$R:$R,$B$4,BD_Carga!$Q:$Q,"Jogo")),"-")</f>
        <v/>
      </c>
      <c r="H82" s="585">
        <f>IFERROR(IF(OR(G82="-",F82="-"),"-",(G82-F82)/F82),"-")</f>
        <v/>
      </c>
      <c r="I82" s="582">
        <f>IFERROR(AVERAGEIFS(BD_Carga!$H:$H,BD_Carga!$C:$C,A82,BD_Carga!$Q:$Q,"Treino"),"-")</f>
        <v/>
      </c>
      <c r="J82" s="582">
        <f>IFERROR(IF(COUNTIFS(BD_Carga!$C:$C,A82,BD_Carga!$R:$R,$B$4,BD_Carga!$Q:$Q,"Jogo")=0,"-",AVERAGEIFS(BD_Carga!$H:$H,BD_Carga!$C:$C,A82,BD_Carga!$R:$R,$B$4,BD_Carga!$Q:$Q,"Jogo")),"-")</f>
        <v/>
      </c>
      <c r="K82" s="585">
        <f>IFERROR(IF(OR(J82="-",I82="-"),"-",(J82-I82)/I82),"-")</f>
        <v/>
      </c>
    </row>
    <row r="83">
      <c r="A83">
        <f>A12</f>
        <v/>
      </c>
      <c r="B83">
        <f>B12</f>
        <v/>
      </c>
      <c r="C83" s="4">
        <f>IFERROR(AVERAGEIFS(BD_Carga!$F:$F,BD_Carga!$C:$C,A83,BD_Carga!$Q:$Q,"Treino"),"-")</f>
        <v/>
      </c>
      <c r="D83" s="4">
        <f>IFERROR(IF(COUNTIFS(BD_Carga!$C:$C,A83,BD_Carga!$R:$R,$B$4,BD_Carga!$Q:$Q,"Jogo")=0,"-",AVERAGEIFS(BD_Carga!$F:$F,BD_Carga!$C:$C,A83,BD_Carga!$R:$R,$B$4,BD_Carga!$Q:$Q,"Jogo")),"-")</f>
        <v/>
      </c>
      <c r="E83" s="11">
        <f>IFERROR(IF(OR(D83="-",C83="-"),"-",(D83-C83)/C83),"-")</f>
        <v/>
      </c>
      <c r="F83" s="4">
        <f>IFERROR(AVERAGEIFS(BD_Carga!$G:$G,BD_Carga!$C:$C,A83,BD_Carga!$Q:$Q,"Treino"),"-")</f>
        <v/>
      </c>
      <c r="G83" s="4">
        <f>IFERROR(IF(COUNTIFS(BD_Carga!$C:$C,A83,BD_Carga!$R:$R,$B$4,BD_Carga!$Q:$Q,"Jogo")=0,"-",AVERAGEIFS(BD_Carga!$G:$G,BD_Carga!$C:$C,A83,BD_Carga!$R:$R,$B$4,BD_Carga!$Q:$Q,"Jogo")),"-")</f>
        <v/>
      </c>
      <c r="H83" s="11">
        <f>IFERROR(IF(OR(G83="-",F83="-"),"-",(G83-F83)/F83),"-")</f>
        <v/>
      </c>
      <c r="I83" s="578">
        <f>IFERROR(AVERAGEIFS(BD_Carga!$H:$H,BD_Carga!$C:$C,A83,BD_Carga!$Q:$Q,"Treino"),"-")</f>
        <v/>
      </c>
      <c r="J83" s="578">
        <f>IFERROR(IF(COUNTIFS(BD_Carga!$C:$C,A83,BD_Carga!$R:$R,$B$4,BD_Carga!$Q:$Q,"Jogo")=0,"-",AVERAGEIFS(BD_Carga!$H:$H,BD_Carga!$C:$C,A83,BD_Carga!$R:$R,$B$4,BD_Carga!$Q:$Q,"Jogo")),"-")</f>
        <v/>
      </c>
      <c r="K83" s="11">
        <f>IFERROR(IF(OR(J83="-",I83="-"),"-",(J83-I83)/I83),"-")</f>
        <v/>
      </c>
    </row>
    <row r="84">
      <c r="A84" s="581">
        <f>A13</f>
        <v/>
      </c>
      <c r="B84" s="581">
        <f>B13</f>
        <v/>
      </c>
      <c r="C84" s="583">
        <f>IFERROR(AVERAGEIFS(BD_Carga!$F:$F,BD_Carga!$C:$C,A84,BD_Carga!$Q:$Q,"Treino"),"-")</f>
        <v/>
      </c>
      <c r="D84" s="583">
        <f>IFERROR(IF(COUNTIFS(BD_Carga!$C:$C,A84,BD_Carga!$R:$R,$B$4,BD_Carga!$Q:$Q,"Jogo")=0,"-",AVERAGEIFS(BD_Carga!$F:$F,BD_Carga!$C:$C,A84,BD_Carga!$R:$R,$B$4,BD_Carga!$Q:$Q,"Jogo")),"-")</f>
        <v/>
      </c>
      <c r="E84" s="585">
        <f>IFERROR(IF(OR(D84="-",C84="-"),"-",(D84-C84)/C84),"-")</f>
        <v/>
      </c>
      <c r="F84" s="583">
        <f>IFERROR(AVERAGEIFS(BD_Carga!$G:$G,BD_Carga!$C:$C,A84,BD_Carga!$Q:$Q,"Treino"),"-")</f>
        <v/>
      </c>
      <c r="G84" s="583">
        <f>IFERROR(IF(COUNTIFS(BD_Carga!$C:$C,A84,BD_Carga!$R:$R,$B$4,BD_Carga!$Q:$Q,"Jogo")=0,"-",AVERAGEIFS(BD_Carga!$G:$G,BD_Carga!$C:$C,A84,BD_Carga!$R:$R,$B$4,BD_Carga!$Q:$Q,"Jogo")),"-")</f>
        <v/>
      </c>
      <c r="H84" s="585">
        <f>IFERROR(IF(OR(G84="-",F84="-"),"-",(G84-F84)/F84),"-")</f>
        <v/>
      </c>
      <c r="I84" s="582">
        <f>IFERROR(AVERAGEIFS(BD_Carga!$H:$H,BD_Carga!$C:$C,A84,BD_Carga!$Q:$Q,"Treino"),"-")</f>
        <v/>
      </c>
      <c r="J84" s="582">
        <f>IFERROR(IF(COUNTIFS(BD_Carga!$C:$C,A84,BD_Carga!$R:$R,$B$4,BD_Carga!$Q:$Q,"Jogo")=0,"-",AVERAGEIFS(BD_Carga!$H:$H,BD_Carga!$C:$C,A84,BD_Carga!$R:$R,$B$4,BD_Carga!$Q:$Q,"Jogo")),"-")</f>
        <v/>
      </c>
      <c r="K84" s="585">
        <f>IFERROR(IF(OR(J84="-",I84="-"),"-",(J84-I84)/I84),"-")</f>
        <v/>
      </c>
    </row>
    <row r="85">
      <c r="A85">
        <f>A14</f>
        <v/>
      </c>
      <c r="B85">
        <f>B14</f>
        <v/>
      </c>
      <c r="C85" s="4">
        <f>IFERROR(AVERAGEIFS(BD_Carga!$F:$F,BD_Carga!$C:$C,A85,BD_Carga!$Q:$Q,"Treino"),"-")</f>
        <v/>
      </c>
      <c r="D85" s="4">
        <f>IFERROR(IF(COUNTIFS(BD_Carga!$C:$C,A85,BD_Carga!$R:$R,$B$4,BD_Carga!$Q:$Q,"Jogo")=0,"-",AVERAGEIFS(BD_Carga!$F:$F,BD_Carga!$C:$C,A85,BD_Carga!$R:$R,$B$4,BD_Carga!$Q:$Q,"Jogo")),"-")</f>
        <v/>
      </c>
      <c r="E85" s="11">
        <f>IFERROR(IF(OR(D85="-",C85="-"),"-",(D85-C85)/C85),"-")</f>
        <v/>
      </c>
      <c r="F85" s="4">
        <f>IFERROR(AVERAGEIFS(BD_Carga!$G:$G,BD_Carga!$C:$C,A85,BD_Carga!$Q:$Q,"Treino"),"-")</f>
        <v/>
      </c>
      <c r="G85" s="4">
        <f>IFERROR(IF(COUNTIFS(BD_Carga!$C:$C,A85,BD_Carga!$R:$R,$B$4,BD_Carga!$Q:$Q,"Jogo")=0,"-",AVERAGEIFS(BD_Carga!$G:$G,BD_Carga!$C:$C,A85,BD_Carga!$R:$R,$B$4,BD_Carga!$Q:$Q,"Jogo")),"-")</f>
        <v/>
      </c>
      <c r="H85" s="11">
        <f>IFERROR(IF(OR(G85="-",F85="-"),"-",(G85-F85)/F85),"-")</f>
        <v/>
      </c>
      <c r="I85" s="578">
        <f>IFERROR(AVERAGEIFS(BD_Carga!$H:$H,BD_Carga!$C:$C,A85,BD_Carga!$Q:$Q,"Treino"),"-")</f>
        <v/>
      </c>
      <c r="J85" s="578">
        <f>IFERROR(IF(COUNTIFS(BD_Carga!$C:$C,A85,BD_Carga!$R:$R,$B$4,BD_Carga!$Q:$Q,"Jogo")=0,"-",AVERAGEIFS(BD_Carga!$H:$H,BD_Carga!$C:$C,A85,BD_Carga!$R:$R,$B$4,BD_Carga!$Q:$Q,"Jogo")),"-")</f>
        <v/>
      </c>
      <c r="K85" s="11">
        <f>IFERROR(IF(OR(J85="-",I85="-"),"-",(J85-I85)/I85),"-")</f>
        <v/>
      </c>
    </row>
    <row r="86">
      <c r="A86" s="581">
        <f>A15</f>
        <v/>
      </c>
      <c r="B86" s="581">
        <f>B15</f>
        <v/>
      </c>
      <c r="C86" s="583">
        <f>IFERROR(AVERAGEIFS(BD_Carga!$F:$F,BD_Carga!$C:$C,A86,BD_Carga!$Q:$Q,"Treino"),"-")</f>
        <v/>
      </c>
      <c r="D86" s="583">
        <f>IFERROR(IF(COUNTIFS(BD_Carga!$C:$C,A86,BD_Carga!$R:$R,$B$4,BD_Carga!$Q:$Q,"Jogo")=0,"-",AVERAGEIFS(BD_Carga!$F:$F,BD_Carga!$C:$C,A86,BD_Carga!$R:$R,$B$4,BD_Carga!$Q:$Q,"Jogo")),"-")</f>
        <v/>
      </c>
      <c r="E86" s="585">
        <f>IFERROR(IF(OR(D86="-",C86="-"),"-",(D86-C86)/C86),"-")</f>
        <v/>
      </c>
      <c r="F86" s="583">
        <f>IFERROR(AVERAGEIFS(BD_Carga!$G:$G,BD_Carga!$C:$C,A86,BD_Carga!$Q:$Q,"Treino"),"-")</f>
        <v/>
      </c>
      <c r="G86" s="583">
        <f>IFERROR(IF(COUNTIFS(BD_Carga!$C:$C,A86,BD_Carga!$R:$R,$B$4,BD_Carga!$Q:$Q,"Jogo")=0,"-",AVERAGEIFS(BD_Carga!$G:$G,BD_Carga!$C:$C,A86,BD_Carga!$R:$R,$B$4,BD_Carga!$Q:$Q,"Jogo")),"-")</f>
        <v/>
      </c>
      <c r="H86" s="585">
        <f>IFERROR(IF(OR(G86="-",F86="-"),"-",(G86-F86)/F86),"-")</f>
        <v/>
      </c>
      <c r="I86" s="582">
        <f>IFERROR(AVERAGEIFS(BD_Carga!$H:$H,BD_Carga!$C:$C,A86,BD_Carga!$Q:$Q,"Treino"),"-")</f>
        <v/>
      </c>
      <c r="J86" s="582">
        <f>IFERROR(IF(COUNTIFS(BD_Carga!$C:$C,A86,BD_Carga!$R:$R,$B$4,BD_Carga!$Q:$Q,"Jogo")=0,"-",AVERAGEIFS(BD_Carga!$H:$H,BD_Carga!$C:$C,A86,BD_Carga!$R:$R,$B$4,BD_Carga!$Q:$Q,"Jogo")),"-")</f>
        <v/>
      </c>
      <c r="K86" s="585">
        <f>IFERROR(IF(OR(J86="-",I86="-"),"-",(J86-I86)/I86),"-")</f>
        <v/>
      </c>
    </row>
    <row r="87">
      <c r="A87">
        <f>A16</f>
        <v/>
      </c>
      <c r="B87">
        <f>B16</f>
        <v/>
      </c>
      <c r="C87" s="4">
        <f>IFERROR(AVERAGEIFS(BD_Carga!$F:$F,BD_Carga!$C:$C,A87,BD_Carga!$Q:$Q,"Treino"),"-")</f>
        <v/>
      </c>
      <c r="D87" s="4">
        <f>IFERROR(IF(COUNTIFS(BD_Carga!$C:$C,A87,BD_Carga!$R:$R,$B$4,BD_Carga!$Q:$Q,"Jogo")=0,"-",AVERAGEIFS(BD_Carga!$F:$F,BD_Carga!$C:$C,A87,BD_Carga!$R:$R,$B$4,BD_Carga!$Q:$Q,"Jogo")),"-")</f>
        <v/>
      </c>
      <c r="E87" s="11">
        <f>IFERROR(IF(OR(D87="-",C87="-"),"-",(D87-C87)/C87),"-")</f>
        <v/>
      </c>
      <c r="F87" s="4">
        <f>IFERROR(AVERAGEIFS(BD_Carga!$G:$G,BD_Carga!$C:$C,A87,BD_Carga!$Q:$Q,"Treino"),"-")</f>
        <v/>
      </c>
      <c r="G87" s="4">
        <f>IFERROR(IF(COUNTIFS(BD_Carga!$C:$C,A87,BD_Carga!$R:$R,$B$4,BD_Carga!$Q:$Q,"Jogo")=0,"-",AVERAGEIFS(BD_Carga!$G:$G,BD_Carga!$C:$C,A87,BD_Carga!$R:$R,$B$4,BD_Carga!$Q:$Q,"Jogo")),"-")</f>
        <v/>
      </c>
      <c r="H87" s="11">
        <f>IFERROR(IF(OR(G87="-",F87="-"),"-",(G87-F87)/F87),"-")</f>
        <v/>
      </c>
      <c r="I87" s="578">
        <f>IFERROR(AVERAGEIFS(BD_Carga!$H:$H,BD_Carga!$C:$C,A87,BD_Carga!$Q:$Q,"Treino"),"-")</f>
        <v/>
      </c>
      <c r="J87" s="578">
        <f>IFERROR(IF(COUNTIFS(BD_Carga!$C:$C,A87,BD_Carga!$R:$R,$B$4,BD_Carga!$Q:$Q,"Jogo")=0,"-",AVERAGEIFS(BD_Carga!$H:$H,BD_Carga!$C:$C,A87,BD_Carga!$R:$R,$B$4,BD_Carga!$Q:$Q,"Jogo")),"-")</f>
        <v/>
      </c>
      <c r="K87" s="11">
        <f>IFERROR(IF(OR(J87="-",I87="-"),"-",(J87-I87)/I87),"-")</f>
        <v/>
      </c>
    </row>
  </sheetData>
  <mergeCells count="1">
    <mergeCell ref="A1:K1"/>
  </mergeCells>
  <conditionalFormatting sqref="A24:J75">
    <cfRule type="expression" priority="4" dxfId="13">
      <formula>AND($C24&lt;&gt;"-",$C24&lt;&gt;"")</formula>
    </cfRule>
  </conditionalFormatting>
  <conditionalFormatting sqref="E79:E87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H79:H87">
    <cfRule type="colorScale" priority="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K79:K87">
    <cfRule type="colorScale" priority="3">
      <colorScale>
        <cfvo type="min"/>
        <cfvo type="percentile" val="50"/>
        <cfvo type="max"/>
        <color rgb="FFFF0000"/>
        <color rgb="FFFFFF00"/>
        <color rgb="FF00B050"/>
      </colorScale>
    </cfRule>
  </conditionalFormatting>
  <dataValidations count="1">
    <dataValidation sqref="B4" showDropDown="0" showInputMessage="1" showErrorMessage="1" allowBlank="1" type="list">
      <formula1>"1,2,3,4,5,6,7,8,9,10,11,12,13,14,15,16,17,18,19,20,21,22,23,24,25,26,27,28,29,30,31,32,33,34,35,36,37,38,39,40,41,42,43,44,45,46,47,48,49,50,51,52"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52C41A"/>
    <outlinePr summaryBelow="1" summaryRight="1"/>
    <pageSetUpPr/>
  </sheetPr>
  <dimension ref="A1:H49"/>
  <sheetViews>
    <sheetView workbookViewId="0">
      <selection activeCell="B42" sqref="B42"/>
    </sheetView>
  </sheetViews>
  <sheetFormatPr baseColWidth="8" defaultRowHeight="15"/>
  <cols>
    <col width="22.85546875" customWidth="1" min="1" max="1"/>
    <col width="13.28515625" customWidth="1" min="2" max="6"/>
    <col width="10.42578125" customWidth="1" min="7" max="7"/>
    <col width="13.28515625" customWidth="1" min="8" max="8"/>
  </cols>
  <sheetData>
    <row r="1" ht="45" customHeight="1">
      <c r="A1" s="594" t="inlineStr">
        <is>
          <t>💪  DASHBOARD WELLNESS  |  Hooper Index &amp; Indicadores Subjetivos  |  Belenenses</t>
        </is>
      </c>
      <c r="B1" s="599" t="n"/>
      <c r="C1" s="599" t="n"/>
      <c r="D1" s="599" t="n"/>
      <c r="E1" s="599" t="n"/>
      <c r="F1" s="599" t="n"/>
      <c r="G1" s="599" t="n"/>
      <c r="H1" s="599" t="n"/>
    </row>
    <row r="2" ht="21.95" customHeight="1">
      <c r="A2" s="550" t="inlineStr">
        <is>
          <t>Hooper Index = Sono + Dor Muscular + Stress + Humor (4–20)  ·  Semáforo: 🟢 ≤ 8  |  🟡 9–12  |  🔴 &gt; 12</t>
        </is>
      </c>
      <c r="B2" s="632" t="n"/>
      <c r="C2" s="632" t="n"/>
      <c r="D2" s="632" t="n"/>
      <c r="E2" s="632" t="n"/>
      <c r="F2" s="632" t="n"/>
      <c r="G2" s="632" t="n"/>
      <c r="H2" s="632" t="n"/>
    </row>
    <row r="3" ht="6" customHeight="1">
      <c r="A3" s="9" t="n"/>
      <c r="B3" s="9" t="n"/>
      <c r="C3" s="9" t="n"/>
      <c r="D3" s="9" t="n"/>
      <c r="E3" s="9" t="n"/>
      <c r="F3" s="9" t="n"/>
      <c r="G3" s="9" t="n"/>
      <c r="H3" s="9" t="n"/>
    </row>
    <row r="4" ht="27.95" customHeight="1">
      <c r="A4" s="600" t="inlineStr">
        <is>
          <t>A — WELLNESS ATUAL POR JOGADOR  |  Último registo</t>
        </is>
      </c>
      <c r="B4" s="601" t="n"/>
      <c r="C4" s="601" t="n"/>
      <c r="D4" s="601" t="n"/>
      <c r="E4" s="601" t="n"/>
      <c r="F4" s="601" t="n"/>
      <c r="G4" s="601" t="n"/>
      <c r="H4" s="601" t="n"/>
    </row>
    <row r="5" ht="6" customHeight="1">
      <c r="A5" s="9" t="n"/>
      <c r="B5" s="9" t="n"/>
      <c r="C5" s="9" t="n"/>
      <c r="D5" s="9" t="n"/>
      <c r="E5" s="9" t="n"/>
      <c r="F5" s="9" t="n"/>
      <c r="G5" s="9" t="n"/>
      <c r="H5" s="9" t="n"/>
    </row>
    <row r="6" ht="36" customHeight="1">
      <c r="A6" s="191" t="inlineStr">
        <is>
          <t>Jogador</t>
        </is>
      </c>
      <c r="B6" s="191" t="inlineStr">
        <is>
          <t>Sono
(1-5)</t>
        </is>
      </c>
      <c r="C6" s="191" t="inlineStr">
        <is>
          <t>Dor Musc.
(1-5)</t>
        </is>
      </c>
      <c r="D6" s="191" t="inlineStr">
        <is>
          <t>Stress
(1-5)</t>
        </is>
      </c>
      <c r="E6" s="191" t="inlineStr">
        <is>
          <t>Humor
(1-5)</t>
        </is>
      </c>
      <c r="F6" s="191" t="inlineStr">
        <is>
          <t>Hooper
Index</t>
        </is>
      </c>
      <c r="G6" s="191" t="inlineStr">
        <is>
          <t>Estado</t>
        </is>
      </c>
      <c r="H6" s="191" t="inlineStr">
        <is>
          <t>Δ vs
Média</t>
        </is>
      </c>
    </row>
    <row r="7" ht="26.1" customHeight="1">
      <c r="A7" s="461">
        <f t="array" ref="A7">IFERROR(INDEX(_xlfn._xlws.SORT(_xlfn.UNIQUE(tblCarga[Jogador])),1),"")</f>
        <v/>
      </c>
      <c r="B7" s="139">
        <f t="array" ref="B7">IF(A7="","",IFERROR(INDEX(_xlfn._xlws.FILTER(tblCarga[Sono (1-5)],(tblCarga[Jogador]=A7)*(tblCarga[Sono (1-5)]&lt;&gt;0)),ROWS(_xlfn._xlws.FILTER(tblCarga[Sono (1-5)],(tblCarga[Jogador]=A7)*(tblCarga[Sono (1-5)]&lt;&gt;0)))),"—"))</f>
        <v/>
      </c>
      <c r="C7" s="139">
        <f t="array" ref="C7">IF(A7="","",IFERROR(INDEX(_xlfn._xlws.FILTER(tblCarga[Dor Musc. (1-5)],(tblCarga[Jogador]=A7)*(tblCarga[Dor Musc. (1-5)]&lt;&gt;0)),ROWS(_xlfn._xlws.FILTER(tblCarga[Dor Musc. (1-5)],(tblCarga[Jogador]=A7)*(tblCarga[Dor Musc. (1-5)]&lt;&gt;0)))),"—"))</f>
        <v/>
      </c>
      <c r="D7" s="139">
        <f t="array" ref="D7">IF(A7="","",IFERROR(INDEX(_xlfn._xlws.FILTER(tblCarga[Stress (1-5)],(tblCarga[Jogador]=A7)*(tblCarga[Stress (1-5)]&lt;&gt;0)),ROWS(_xlfn._xlws.FILTER(tblCarga[Stress (1-5)],(tblCarga[Jogador]=A7)*(tblCarga[Stress (1-5)]&lt;&gt;0)))),"—"))</f>
        <v/>
      </c>
      <c r="E7" s="139">
        <f t="array" ref="E7">IF(A7="","",IFERROR(INDEX(_xlfn._xlws.FILTER(tblCarga[Humor (1-5)],(tblCarga[Jogador]=A7)*(tblCarga[Humor (1-5)]&lt;&gt;0)),ROWS(_xlfn._xlws.FILTER(tblCarga[Humor (1-5)],(tblCarga[Jogador]=A7)*(tblCarga[Humor (1-5)]&lt;&gt;0)))),"—"))</f>
        <v/>
      </c>
      <c r="F7" s="139">
        <f>IF(A7="","",IF(AND(ISNUMBER(B7),ISNUMBER(C7),ISNUMBER(D7),ISNUMBER(E7)),SUM(B7:E7),"—"))</f>
        <v/>
      </c>
      <c r="G7" s="139">
        <f>IF(A7="","",IF(F7="—","—",IF(F7&gt;12,"🔴",IF(F7&gt;8,"🟡","🟢"))))</f>
        <v/>
      </c>
      <c r="H7" s="139">
        <f>IF(A7="","",IF(F7="—","—",IFERROR(F7-AVERAGEIFS(tblCarga[Hooper Index],tblCarga[Jogador],A7,tblCarga[Hooper Index],"&gt;0"),"—")))</f>
        <v/>
      </c>
    </row>
    <row r="8" ht="26.1" customHeight="1">
      <c r="A8" s="466">
        <f t="array" ref="A8">IFERROR(INDEX(_xlfn._xlws.SORT(_xlfn.UNIQUE(tblCarga[Jogador])),2),"")</f>
        <v/>
      </c>
      <c r="B8" s="142">
        <f t="array" ref="B8">IF(A8="","",IFERROR(INDEX(_xlfn._xlws.FILTER(tblCarga[Sono (1-5)],(tblCarga[Jogador]=A8)*(tblCarga[Sono (1-5)]&lt;&gt;0)),ROWS(_xlfn._xlws.FILTER(tblCarga[Sono (1-5)],(tblCarga[Jogador]=A8)*(tblCarga[Sono (1-5)]&lt;&gt;0)))),"—"))</f>
        <v/>
      </c>
      <c r="C8" s="142">
        <f t="array" ref="C8">IF(A8="","",IFERROR(INDEX(_xlfn._xlws.FILTER(tblCarga[Dor Musc. (1-5)],(tblCarga[Jogador]=A8)*(tblCarga[Dor Musc. (1-5)]&lt;&gt;0)),ROWS(_xlfn._xlws.FILTER(tblCarga[Dor Musc. (1-5)],(tblCarga[Jogador]=A8)*(tblCarga[Dor Musc. (1-5)]&lt;&gt;0)))),"—"))</f>
        <v/>
      </c>
      <c r="D8" s="142">
        <f t="array" ref="D8">IF(A8="","",IFERROR(INDEX(_xlfn._xlws.FILTER(tblCarga[Stress (1-5)],(tblCarga[Jogador]=A8)*(tblCarga[Stress (1-5)]&lt;&gt;0)),ROWS(_xlfn._xlws.FILTER(tblCarga[Stress (1-5)],(tblCarga[Jogador]=A8)*(tblCarga[Stress (1-5)]&lt;&gt;0)))),"—"))</f>
        <v/>
      </c>
      <c r="E8" s="142">
        <f t="array" ref="E8">IF(A8="","",IFERROR(INDEX(_xlfn._xlws.FILTER(tblCarga[Humor (1-5)],(tblCarga[Jogador]=A8)*(tblCarga[Humor (1-5)]&lt;&gt;0)),ROWS(_xlfn._xlws.FILTER(tblCarga[Humor (1-5)],(tblCarga[Jogador]=A8)*(tblCarga[Humor (1-5)]&lt;&gt;0)))),"—"))</f>
        <v/>
      </c>
      <c r="F8" s="142">
        <f>IF(A8="","",IF(AND(ISNUMBER(B8),ISNUMBER(C8),ISNUMBER(D8),ISNUMBER(E8)),SUM(B8:E8),"—"))</f>
        <v/>
      </c>
      <c r="G8" s="142">
        <f>IF(A8="","",IF(F8="—","—",IF(F8&gt;12,"🔴",IF(F8&gt;8,"🟡","🟢"))))</f>
        <v/>
      </c>
      <c r="H8" s="142">
        <f>IF(A8="","",IF(F8="—","—",IFERROR(F8-AVERAGEIFS(tblCarga[Hooper Index],tblCarga[Jogador],A8,tblCarga[Hooper Index],"&gt;0"),"—")))</f>
        <v/>
      </c>
    </row>
    <row r="9" ht="26.1" customHeight="1">
      <c r="A9" s="470">
        <f t="array" ref="A9">IFERROR(INDEX(_xlfn._xlws.SORT(_xlfn.UNIQUE(tblCarga[Jogador])),3),"")</f>
        <v/>
      </c>
      <c r="B9" s="147">
        <f t="array" ref="B9">IF(A9="","",IFERROR(INDEX(_xlfn._xlws.FILTER(tblCarga[Sono (1-5)],(tblCarga[Jogador]=A9)*(tblCarga[Sono (1-5)]&lt;&gt;0)),ROWS(_xlfn._xlws.FILTER(tblCarga[Sono (1-5)],(tblCarga[Jogador]=A9)*(tblCarga[Sono (1-5)]&lt;&gt;0)))),"—"))</f>
        <v/>
      </c>
      <c r="C9" s="147">
        <f t="array" ref="C9">IF(A9="","",IFERROR(INDEX(_xlfn._xlws.FILTER(tblCarga[Dor Musc. (1-5)],(tblCarga[Jogador]=A9)*(tblCarga[Dor Musc. (1-5)]&lt;&gt;0)),ROWS(_xlfn._xlws.FILTER(tblCarga[Dor Musc. (1-5)],(tblCarga[Jogador]=A9)*(tblCarga[Dor Musc. (1-5)]&lt;&gt;0)))),"—"))</f>
        <v/>
      </c>
      <c r="D9" s="147">
        <f t="array" ref="D9">IF(A9="","",IFERROR(INDEX(_xlfn._xlws.FILTER(tblCarga[Stress (1-5)],(tblCarga[Jogador]=A9)*(tblCarga[Stress (1-5)]&lt;&gt;0)),ROWS(_xlfn._xlws.FILTER(tblCarga[Stress (1-5)],(tblCarga[Jogador]=A9)*(tblCarga[Stress (1-5)]&lt;&gt;0)))),"—"))</f>
        <v/>
      </c>
      <c r="E9" s="147">
        <f t="array" ref="E9">IF(A9="","",IFERROR(INDEX(_xlfn._xlws.FILTER(tblCarga[Humor (1-5)],(tblCarga[Jogador]=A9)*(tblCarga[Humor (1-5)]&lt;&gt;0)),ROWS(_xlfn._xlws.FILTER(tblCarga[Humor (1-5)],(tblCarga[Jogador]=A9)*(tblCarga[Humor (1-5)]&lt;&gt;0)))),"—"))</f>
        <v/>
      </c>
      <c r="F9" s="147">
        <f>IF(A9="","",IF(AND(ISNUMBER(B9),ISNUMBER(C9),ISNUMBER(D9),ISNUMBER(E9)),SUM(B9:E9),"—"))</f>
        <v/>
      </c>
      <c r="G9" s="147">
        <f>IF(A9="","",IF(F9="—","—",IF(F9&gt;12,"🔴",IF(F9&gt;8,"🟡","🟢"))))</f>
        <v/>
      </c>
      <c r="H9" s="147">
        <f>IF(A9="","",IF(F9="—","—",IFERROR(F9-AVERAGEIFS(tblCarga[Hooper Index],tblCarga[Jogador],A9,tblCarga[Hooper Index],"&gt;0"),"—")))</f>
        <v/>
      </c>
    </row>
    <row r="10" ht="26.1" customHeight="1">
      <c r="A10" s="466">
        <f t="array" ref="A10">IFERROR(INDEX(_xlfn._xlws.SORT(_xlfn.UNIQUE(tblCarga[Jogador])),4),"")</f>
        <v/>
      </c>
      <c r="B10" s="142">
        <f t="array" ref="B10">IF(A10="","",IFERROR(INDEX(_xlfn._xlws.FILTER(tblCarga[Sono (1-5)],(tblCarga[Jogador]=A10)*(tblCarga[Sono (1-5)]&lt;&gt;0)),ROWS(_xlfn._xlws.FILTER(tblCarga[Sono (1-5)],(tblCarga[Jogador]=A10)*(tblCarga[Sono (1-5)]&lt;&gt;0)))),"—"))</f>
        <v/>
      </c>
      <c r="C10" s="142">
        <f t="array" ref="C10">IF(A10="","",IFERROR(INDEX(_xlfn._xlws.FILTER(tblCarga[Dor Musc. (1-5)],(tblCarga[Jogador]=A10)*(tblCarga[Dor Musc. (1-5)]&lt;&gt;0)),ROWS(_xlfn._xlws.FILTER(tblCarga[Dor Musc. (1-5)],(tblCarga[Jogador]=A10)*(tblCarga[Dor Musc. (1-5)]&lt;&gt;0)))),"—"))</f>
        <v/>
      </c>
      <c r="D10" s="142">
        <f t="array" ref="D10">IF(A10="","",IFERROR(INDEX(_xlfn._xlws.FILTER(tblCarga[Stress (1-5)],(tblCarga[Jogador]=A10)*(tblCarga[Stress (1-5)]&lt;&gt;0)),ROWS(_xlfn._xlws.FILTER(tblCarga[Stress (1-5)],(tblCarga[Jogador]=A10)*(tblCarga[Stress (1-5)]&lt;&gt;0)))),"—"))</f>
        <v/>
      </c>
      <c r="E10" s="142">
        <f t="array" ref="E10">IF(A10="","",IFERROR(INDEX(_xlfn._xlws.FILTER(tblCarga[Humor (1-5)],(tblCarga[Jogador]=A10)*(tblCarga[Humor (1-5)]&lt;&gt;0)),ROWS(_xlfn._xlws.FILTER(tblCarga[Humor (1-5)],(tblCarga[Jogador]=A10)*(tblCarga[Humor (1-5)]&lt;&gt;0)))),"—"))</f>
        <v/>
      </c>
      <c r="F10" s="142">
        <f>IF(A10="","",IF(AND(ISNUMBER(B10),ISNUMBER(C10),ISNUMBER(D10),ISNUMBER(E10)),SUM(B10:E10),"—"))</f>
        <v/>
      </c>
      <c r="G10" s="142">
        <f>IF(A10="","",IF(F10="—","—",IF(F10&gt;12,"🔴",IF(F10&gt;8,"🟡","🟢"))))</f>
        <v/>
      </c>
      <c r="H10" s="142">
        <f>IF(A10="","",IF(F10="—","—",IFERROR(F10-AVERAGEIFS(tblCarga[Hooper Index],tblCarga[Jogador],A10,tblCarga[Hooper Index],"&gt;0"),"—")))</f>
        <v/>
      </c>
    </row>
    <row r="11" ht="26.1" customHeight="1">
      <c r="A11" s="470">
        <f t="array" ref="A11">IFERROR(INDEX(_xlfn._xlws.SORT(_xlfn.UNIQUE(tblCarga[Jogador])),5),"")</f>
        <v/>
      </c>
      <c r="B11" s="147">
        <f t="array" ref="B11">IF(A11="","",IFERROR(INDEX(_xlfn._xlws.FILTER(tblCarga[Sono (1-5)],(tblCarga[Jogador]=A11)*(tblCarga[Sono (1-5)]&lt;&gt;0)),ROWS(_xlfn._xlws.FILTER(tblCarga[Sono (1-5)],(tblCarga[Jogador]=A11)*(tblCarga[Sono (1-5)]&lt;&gt;0)))),"—"))</f>
        <v/>
      </c>
      <c r="C11" s="147">
        <f t="array" ref="C11">IF(A11="","",IFERROR(INDEX(_xlfn._xlws.FILTER(tblCarga[Dor Musc. (1-5)],(tblCarga[Jogador]=A11)*(tblCarga[Dor Musc. (1-5)]&lt;&gt;0)),ROWS(_xlfn._xlws.FILTER(tblCarga[Dor Musc. (1-5)],(tblCarga[Jogador]=A11)*(tblCarga[Dor Musc. (1-5)]&lt;&gt;0)))),"—"))</f>
        <v/>
      </c>
      <c r="D11" s="147">
        <f t="array" ref="D11">IF(A11="","",IFERROR(INDEX(_xlfn._xlws.FILTER(tblCarga[Stress (1-5)],(tblCarga[Jogador]=A11)*(tblCarga[Stress (1-5)]&lt;&gt;0)),ROWS(_xlfn._xlws.FILTER(tblCarga[Stress (1-5)],(tblCarga[Jogador]=A11)*(tblCarga[Stress (1-5)]&lt;&gt;0)))),"—"))</f>
        <v/>
      </c>
      <c r="E11" s="147">
        <f t="array" ref="E11">IF(A11="","",IFERROR(INDEX(_xlfn._xlws.FILTER(tblCarga[Humor (1-5)],(tblCarga[Jogador]=A11)*(tblCarga[Humor (1-5)]&lt;&gt;0)),ROWS(_xlfn._xlws.FILTER(tblCarga[Humor (1-5)],(tblCarga[Jogador]=A11)*(tblCarga[Humor (1-5)]&lt;&gt;0)))),"—"))</f>
        <v/>
      </c>
      <c r="F11" s="147">
        <f>IF(A11="","",IF(AND(ISNUMBER(B11),ISNUMBER(C11),ISNUMBER(D11),ISNUMBER(E11)),SUM(B11:E11),"—"))</f>
        <v/>
      </c>
      <c r="G11" s="147">
        <f>IF(A11="","",IF(F11="—","—",IF(F11&gt;12,"🔴",IF(F11&gt;8,"🟡","🟢"))))</f>
        <v/>
      </c>
      <c r="H11" s="147">
        <f>IF(A11="","",IF(F11="—","—",IFERROR(F11-AVERAGEIFS(tblCarga[Hooper Index],tblCarga[Jogador],A11,tblCarga[Hooper Index],"&gt;0"),"—")))</f>
        <v/>
      </c>
    </row>
    <row r="12" ht="26.1" customHeight="1">
      <c r="A12" s="466">
        <f t="array" ref="A12">IFERROR(INDEX(_xlfn._xlws.SORT(_xlfn.UNIQUE(tblCarga[Jogador])),6),"")</f>
        <v/>
      </c>
      <c r="B12" s="142">
        <f t="array" ref="B12">IF(A12="","",IFERROR(INDEX(_xlfn._xlws.FILTER(tblCarga[Sono (1-5)],(tblCarga[Jogador]=A12)*(tblCarga[Sono (1-5)]&lt;&gt;0)),ROWS(_xlfn._xlws.FILTER(tblCarga[Sono (1-5)],(tblCarga[Jogador]=A12)*(tblCarga[Sono (1-5)]&lt;&gt;0)))),"—"))</f>
        <v/>
      </c>
      <c r="C12" s="142">
        <f t="array" ref="C12">IF(A12="","",IFERROR(INDEX(_xlfn._xlws.FILTER(tblCarga[Dor Musc. (1-5)],(tblCarga[Jogador]=A12)*(tblCarga[Dor Musc. (1-5)]&lt;&gt;0)),ROWS(_xlfn._xlws.FILTER(tblCarga[Dor Musc. (1-5)],(tblCarga[Jogador]=A12)*(tblCarga[Dor Musc. (1-5)]&lt;&gt;0)))),"—"))</f>
        <v/>
      </c>
      <c r="D12" s="142">
        <f t="array" ref="D12">IF(A12="","",IFERROR(INDEX(_xlfn._xlws.FILTER(tblCarga[Stress (1-5)],(tblCarga[Jogador]=A12)*(tblCarga[Stress (1-5)]&lt;&gt;0)),ROWS(_xlfn._xlws.FILTER(tblCarga[Stress (1-5)],(tblCarga[Jogador]=A12)*(tblCarga[Stress (1-5)]&lt;&gt;0)))),"—"))</f>
        <v/>
      </c>
      <c r="E12" s="142">
        <f t="array" ref="E12">IF(A12="","",IFERROR(INDEX(_xlfn._xlws.FILTER(tblCarga[Humor (1-5)],(tblCarga[Jogador]=A12)*(tblCarga[Humor (1-5)]&lt;&gt;0)),ROWS(_xlfn._xlws.FILTER(tblCarga[Humor (1-5)],(tblCarga[Jogador]=A12)*(tblCarga[Humor (1-5)]&lt;&gt;0)))),"—"))</f>
        <v/>
      </c>
      <c r="F12" s="142">
        <f>IF(A12="","",IF(AND(ISNUMBER(B12),ISNUMBER(C12),ISNUMBER(D12),ISNUMBER(E12)),SUM(B12:E12),"—"))</f>
        <v/>
      </c>
      <c r="G12" s="142">
        <f>IF(A12="","",IF(F12="—","—",IF(F12&gt;12,"🔴",IF(F12&gt;8,"🟡","🟢"))))</f>
        <v/>
      </c>
      <c r="H12" s="142">
        <f>IF(A12="","",IF(F12="—","—",IFERROR(F12-AVERAGEIFS(tblCarga[Hooper Index],tblCarga[Jogador],A12,tblCarga[Hooper Index],"&gt;0"),"—")))</f>
        <v/>
      </c>
    </row>
    <row r="13" ht="26.1" customHeight="1">
      <c r="A13" s="470">
        <f t="array" ref="A13">IFERROR(INDEX(_xlfn._xlws.SORT(_xlfn.UNIQUE(tblCarga[Jogador])),7),"")</f>
        <v/>
      </c>
      <c r="B13" s="147">
        <f t="array" ref="B13">IF(A13="","",IFERROR(INDEX(_xlfn._xlws.FILTER(tblCarga[Sono (1-5)],(tblCarga[Jogador]=A13)*(tblCarga[Sono (1-5)]&lt;&gt;0)),ROWS(_xlfn._xlws.FILTER(tblCarga[Sono (1-5)],(tblCarga[Jogador]=A13)*(tblCarga[Sono (1-5)]&lt;&gt;0)))),"—"))</f>
        <v/>
      </c>
      <c r="C13" s="147">
        <f t="array" ref="C13">IF(A13="","",IFERROR(INDEX(_xlfn._xlws.FILTER(tblCarga[Dor Musc. (1-5)],(tblCarga[Jogador]=A13)*(tblCarga[Dor Musc. (1-5)]&lt;&gt;0)),ROWS(_xlfn._xlws.FILTER(tblCarga[Dor Musc. (1-5)],(tblCarga[Jogador]=A13)*(tblCarga[Dor Musc. (1-5)]&lt;&gt;0)))),"—"))</f>
        <v/>
      </c>
      <c r="D13" s="147">
        <f t="array" ref="D13">IF(A13="","",IFERROR(INDEX(_xlfn._xlws.FILTER(tblCarga[Stress (1-5)],(tblCarga[Jogador]=A13)*(tblCarga[Stress (1-5)]&lt;&gt;0)),ROWS(_xlfn._xlws.FILTER(tblCarga[Stress (1-5)],(tblCarga[Jogador]=A13)*(tblCarga[Stress (1-5)]&lt;&gt;0)))),"—"))</f>
        <v/>
      </c>
      <c r="E13" s="147">
        <f t="array" ref="E13">IF(A13="","",IFERROR(INDEX(_xlfn._xlws.FILTER(tblCarga[Humor (1-5)],(tblCarga[Jogador]=A13)*(tblCarga[Humor (1-5)]&lt;&gt;0)),ROWS(_xlfn._xlws.FILTER(tblCarga[Humor (1-5)],(tblCarga[Jogador]=A13)*(tblCarga[Humor (1-5)]&lt;&gt;0)))),"—"))</f>
        <v/>
      </c>
      <c r="F13" s="147">
        <f>IF(A13="","",IF(AND(ISNUMBER(B13),ISNUMBER(C13),ISNUMBER(D13),ISNUMBER(E13)),SUM(B13:E13),"—"))</f>
        <v/>
      </c>
      <c r="G13" s="147">
        <f>IF(A13="","",IF(F13="—","—",IF(F13&gt;12,"🔴",IF(F13&gt;8,"🟡","🟢"))))</f>
        <v/>
      </c>
      <c r="H13" s="147">
        <f>IF(A13="","",IF(F13="—","—",IFERROR(F13-AVERAGEIFS(tblCarga[Hooper Index],tblCarga[Jogador],A13,tblCarga[Hooper Index],"&gt;0"),"—")))</f>
        <v/>
      </c>
    </row>
    <row r="14" ht="26.1" customHeight="1">
      <c r="A14" s="466">
        <f t="array" ref="A14">IFERROR(INDEX(_xlfn._xlws.SORT(_xlfn.UNIQUE(tblCarga[Jogador])),8),"")</f>
        <v/>
      </c>
      <c r="B14" s="142">
        <f t="array" ref="B14">IF(A14="","",IFERROR(INDEX(_xlfn._xlws.FILTER(tblCarga[Sono (1-5)],(tblCarga[Jogador]=A14)*(tblCarga[Sono (1-5)]&lt;&gt;0)),ROWS(_xlfn._xlws.FILTER(tblCarga[Sono (1-5)],(tblCarga[Jogador]=A14)*(tblCarga[Sono (1-5)]&lt;&gt;0)))),"—"))</f>
        <v/>
      </c>
      <c r="C14" s="142">
        <f t="array" ref="C14">IF(A14="","",IFERROR(INDEX(_xlfn._xlws.FILTER(tblCarga[Dor Musc. (1-5)],(tblCarga[Jogador]=A14)*(tblCarga[Dor Musc. (1-5)]&lt;&gt;0)),ROWS(_xlfn._xlws.FILTER(tblCarga[Dor Musc. (1-5)],(tblCarga[Jogador]=A14)*(tblCarga[Dor Musc. (1-5)]&lt;&gt;0)))),"—"))</f>
        <v/>
      </c>
      <c r="D14" s="142">
        <f t="array" ref="D14">IF(A14="","",IFERROR(INDEX(_xlfn._xlws.FILTER(tblCarga[Stress (1-5)],(tblCarga[Jogador]=A14)*(tblCarga[Stress (1-5)]&lt;&gt;0)),ROWS(_xlfn._xlws.FILTER(tblCarga[Stress (1-5)],(tblCarga[Jogador]=A14)*(tblCarga[Stress (1-5)]&lt;&gt;0)))),"—"))</f>
        <v/>
      </c>
      <c r="E14" s="142">
        <f t="array" ref="E14">IF(A14="","",IFERROR(INDEX(_xlfn._xlws.FILTER(tblCarga[Humor (1-5)],(tblCarga[Jogador]=A14)*(tblCarga[Humor (1-5)]&lt;&gt;0)),ROWS(_xlfn._xlws.FILTER(tblCarga[Humor (1-5)],(tblCarga[Jogador]=A14)*(tblCarga[Humor (1-5)]&lt;&gt;0)))),"—"))</f>
        <v/>
      </c>
      <c r="F14" s="142">
        <f>IF(A14="","",IF(AND(ISNUMBER(B14),ISNUMBER(C14),ISNUMBER(D14),ISNUMBER(E14)),SUM(B14:E14),"—"))</f>
        <v/>
      </c>
      <c r="G14" s="142">
        <f>IF(A14="","",IF(F14="—","—",IF(F14&gt;12,"🔴",IF(F14&gt;8,"🟡","🟢"))))</f>
        <v/>
      </c>
      <c r="H14" s="142">
        <f>IF(A14="","",IF(F14="—","—",IFERROR(F14-AVERAGEIFS(tblCarga[Hooper Index],tblCarga[Jogador],A14,tblCarga[Hooper Index],"&gt;0"),"—")))</f>
        <v/>
      </c>
    </row>
    <row r="15" ht="26.1" customHeight="1">
      <c r="A15" s="470">
        <f t="array" ref="A15">IFERROR(INDEX(_xlfn._xlws.SORT(_xlfn.UNIQUE(tblCarga[Jogador])),9),"")</f>
        <v/>
      </c>
      <c r="B15" s="147">
        <f t="array" ref="B15">IF(A15="","",IFERROR(INDEX(_xlfn._xlws.FILTER(tblCarga[Sono (1-5)],(tblCarga[Jogador]=A15)*(tblCarga[Sono (1-5)]&lt;&gt;0)),ROWS(_xlfn._xlws.FILTER(tblCarga[Sono (1-5)],(tblCarga[Jogador]=A15)*(tblCarga[Sono (1-5)]&lt;&gt;0)))),"—"))</f>
        <v/>
      </c>
      <c r="C15" s="147">
        <f t="array" ref="C15">IF(A15="","",IFERROR(INDEX(_xlfn._xlws.FILTER(tblCarga[Dor Musc. (1-5)],(tblCarga[Jogador]=A15)*(tblCarga[Dor Musc. (1-5)]&lt;&gt;0)),ROWS(_xlfn._xlws.FILTER(tblCarga[Dor Musc. (1-5)],(tblCarga[Jogador]=A15)*(tblCarga[Dor Musc. (1-5)]&lt;&gt;0)))),"—"))</f>
        <v/>
      </c>
      <c r="D15" s="147">
        <f t="array" ref="D15">IF(A15="","",IFERROR(INDEX(_xlfn._xlws.FILTER(tblCarga[Stress (1-5)],(tblCarga[Jogador]=A15)*(tblCarga[Stress (1-5)]&lt;&gt;0)),ROWS(_xlfn._xlws.FILTER(tblCarga[Stress (1-5)],(tblCarga[Jogador]=A15)*(tblCarga[Stress (1-5)]&lt;&gt;0)))),"—"))</f>
        <v/>
      </c>
      <c r="E15" s="147">
        <f t="array" ref="E15">IF(A15="","",IFERROR(INDEX(_xlfn._xlws.FILTER(tblCarga[Humor (1-5)],(tblCarga[Jogador]=A15)*(tblCarga[Humor (1-5)]&lt;&gt;0)),ROWS(_xlfn._xlws.FILTER(tblCarga[Humor (1-5)],(tblCarga[Jogador]=A15)*(tblCarga[Humor (1-5)]&lt;&gt;0)))),"—"))</f>
        <v/>
      </c>
      <c r="F15" s="147">
        <f>IF(A15="","",IF(AND(ISNUMBER(B15),ISNUMBER(C15),ISNUMBER(D15),ISNUMBER(E15)),SUM(B15:E15),"—"))</f>
        <v/>
      </c>
      <c r="G15" s="147">
        <f>IF(A15="","",IF(F15="—","—",IF(F15&gt;12,"🔴",IF(F15&gt;8,"🟡","🟢"))))</f>
        <v/>
      </c>
      <c r="H15" s="147">
        <f>IF(A15="","",IF(F15="—","—",IFERROR(F15-AVERAGEIFS(tblCarga[Hooper Index],tblCarga[Jogador],A15,tblCarga[Hooper Index],"&gt;0"),"—")))</f>
        <v/>
      </c>
    </row>
    <row r="16" ht="26.1" customHeight="1">
      <c r="A16" s="466">
        <f t="array" ref="A16">IFERROR(INDEX(_xlfn._xlws.SORT(_xlfn.UNIQUE(tblCarga[Jogador])),10),"")</f>
        <v/>
      </c>
      <c r="B16" s="142">
        <f t="array" ref="B16">IF(A16="","",IFERROR(INDEX(_xlfn._xlws.FILTER(tblCarga[Sono (1-5)],(tblCarga[Jogador]=A16)*(tblCarga[Sono (1-5)]&lt;&gt;0)),ROWS(_xlfn._xlws.FILTER(tblCarga[Sono (1-5)],(tblCarga[Jogador]=A16)*(tblCarga[Sono (1-5)]&lt;&gt;0)))),"—"))</f>
        <v/>
      </c>
      <c r="C16" s="142">
        <f t="array" ref="C16">IF(A16="","",IFERROR(INDEX(_xlfn._xlws.FILTER(tblCarga[Dor Musc. (1-5)],(tblCarga[Jogador]=A16)*(tblCarga[Dor Musc. (1-5)]&lt;&gt;0)),ROWS(_xlfn._xlws.FILTER(tblCarga[Dor Musc. (1-5)],(tblCarga[Jogador]=A16)*(tblCarga[Dor Musc. (1-5)]&lt;&gt;0)))),"—"))</f>
        <v/>
      </c>
      <c r="D16" s="142">
        <f t="array" ref="D16">IF(A16="","",IFERROR(INDEX(_xlfn._xlws.FILTER(tblCarga[Stress (1-5)],(tblCarga[Jogador]=A16)*(tblCarga[Stress (1-5)]&lt;&gt;0)),ROWS(_xlfn._xlws.FILTER(tblCarga[Stress (1-5)],(tblCarga[Jogador]=A16)*(tblCarga[Stress (1-5)]&lt;&gt;0)))),"—"))</f>
        <v/>
      </c>
      <c r="E16" s="142">
        <f t="array" ref="E16">IF(A16="","",IFERROR(INDEX(_xlfn._xlws.FILTER(tblCarga[Humor (1-5)],(tblCarga[Jogador]=A16)*(tblCarga[Humor (1-5)]&lt;&gt;0)),ROWS(_xlfn._xlws.FILTER(tblCarga[Humor (1-5)],(tblCarga[Jogador]=A16)*(tblCarga[Humor (1-5)]&lt;&gt;0)))),"—"))</f>
        <v/>
      </c>
      <c r="F16" s="142">
        <f>IF(A16="","",IF(AND(ISNUMBER(B16),ISNUMBER(C16),ISNUMBER(D16),ISNUMBER(E16)),SUM(B16:E16),"—"))</f>
        <v/>
      </c>
      <c r="G16" s="142">
        <f>IF(A16="","",IF(F16="—","—",IF(F16&gt;12,"🔴",IF(F16&gt;8,"🟡","🟢"))))</f>
        <v/>
      </c>
      <c r="H16" s="142">
        <f>IF(A16="","",IF(F16="—","—",IFERROR(F16-AVERAGEIFS(tblCarga[Hooper Index],tblCarga[Jogador],A16,tblCarga[Hooper Index],"&gt;0"),"—")))</f>
        <v/>
      </c>
    </row>
    <row r="17" ht="26.1" customHeight="1">
      <c r="A17" s="469">
        <f t="array" ref="A17">IFERROR(INDEX(_xlfn._xlws.SORT(_xlfn.UNIQUE(tblCarga[Jogador])),11),"")</f>
        <v/>
      </c>
      <c r="B17" s="145">
        <f t="array" ref="B17">IF(A17="","",IFERROR(INDEX(_xlfn._xlws.FILTER(tblCarga[Sono (1-5)],(tblCarga[Jogador]=A17)*(tblCarga[Sono (1-5)]&lt;&gt;0)),ROWS(_xlfn._xlws.FILTER(tblCarga[Sono (1-5)],(tblCarga[Jogador]=A17)*(tblCarga[Sono (1-5)]&lt;&gt;0)))),"—"))</f>
        <v/>
      </c>
      <c r="C17" s="145">
        <f t="array" ref="C17">IF(A17="","",IFERROR(INDEX(_xlfn._xlws.FILTER(tblCarga[Dor Musc. (1-5)],(tblCarga[Jogador]=A17)*(tblCarga[Dor Musc. (1-5)]&lt;&gt;0)),ROWS(_xlfn._xlws.FILTER(tblCarga[Dor Musc. (1-5)],(tblCarga[Jogador]=A17)*(tblCarga[Dor Musc. (1-5)]&lt;&gt;0)))),"—"))</f>
        <v/>
      </c>
      <c r="D17" s="145">
        <f t="array" ref="D17">IF(A17="","",IFERROR(INDEX(_xlfn._xlws.FILTER(tblCarga[Stress (1-5)],(tblCarga[Jogador]=A17)*(tblCarga[Stress (1-5)]&lt;&gt;0)),ROWS(_xlfn._xlws.FILTER(tblCarga[Stress (1-5)],(tblCarga[Jogador]=A17)*(tblCarga[Stress (1-5)]&lt;&gt;0)))),"—"))</f>
        <v/>
      </c>
      <c r="E17" s="145">
        <f t="array" ref="E17">IF(A17="","",IFERROR(INDEX(_xlfn._xlws.FILTER(tblCarga[Humor (1-5)],(tblCarga[Jogador]=A17)*(tblCarga[Humor (1-5)]&lt;&gt;0)),ROWS(_xlfn._xlws.FILTER(tblCarga[Humor (1-5)],(tblCarga[Jogador]=A17)*(tblCarga[Humor (1-5)]&lt;&gt;0)))),"—"))</f>
        <v/>
      </c>
      <c r="F17" s="145">
        <f>IF(A17="","",IF(AND(ISNUMBER(B17),ISNUMBER(C17),ISNUMBER(D17),ISNUMBER(E17)),SUM(B17:E17),"—"))</f>
        <v/>
      </c>
      <c r="G17" s="145">
        <f>IF(A17="","",IF(F17="—","—",IF(F17&gt;12,"🔴",IF(F17&gt;8,"🟡","🟢"))))</f>
        <v/>
      </c>
      <c r="H17" s="145">
        <f>IF(A17="","",IF(F17="—","—",IFERROR(F17-AVERAGEIFS(tblCarga[Hooper Index],tblCarga[Jogador],A17,tblCarga[Hooper Index],"&gt;0"),"—")))</f>
        <v/>
      </c>
    </row>
    <row r="18">
      <c r="A18" s="42">
        <f t="array" ref="A18">IFERROR(INDEX(_xlfn._xlws.SORT(_xlfn.UNIQUE(tblCarga[Jogador])),12),"")</f>
        <v/>
      </c>
      <c r="B18" s="91">
        <f t="array" ref="B18">IF(A18="","",IFERROR(INDEX(_xlfn._xlws.FILTER(tblCarga[Sono (1-5)],(tblCarga[Jogador]=A18)*(tblCarga[Sono (1-5)]&lt;&gt;0)),ROWS(_xlfn._xlws.FILTER(tblCarga[Sono (1-5)],(tblCarga[Jogador]=A18)*(tblCarga[Sono (1-5)]&lt;&gt;0)))),"—"))</f>
        <v/>
      </c>
      <c r="C18" s="91">
        <f t="array" ref="C18">IF(A18="","",IFERROR(INDEX(_xlfn._xlws.FILTER(tblCarga[Dor Musc. (1-5)],(tblCarga[Jogador]=A18)*(tblCarga[Dor Musc. (1-5)]&lt;&gt;0)),ROWS(_xlfn._xlws.FILTER(tblCarga[Dor Musc. (1-5)],(tblCarga[Jogador]=A18)*(tblCarga[Dor Musc. (1-5)]&lt;&gt;0)))),"—"))</f>
        <v/>
      </c>
      <c r="D18" s="91">
        <f t="array" ref="D18">IF(A18="","",IFERROR(INDEX(_xlfn._xlws.FILTER(tblCarga[Stress (1-5)],(tblCarga[Jogador]=A18)*(tblCarga[Stress (1-5)]&lt;&gt;0)),ROWS(_xlfn._xlws.FILTER(tblCarga[Stress (1-5)],(tblCarga[Jogador]=A18)*(tblCarga[Stress (1-5)]&lt;&gt;0)))),"—"))</f>
        <v/>
      </c>
      <c r="E18" s="91">
        <f t="array" ref="E18">IF(A18="","",IFERROR(INDEX(_xlfn._xlws.FILTER(tblCarga[Humor (1-5)],(tblCarga[Jogador]=A18)*(tblCarga[Humor (1-5)]&lt;&gt;0)),ROWS(_xlfn._xlws.FILTER(tblCarga[Humor (1-5)],(tblCarga[Jogador]=A18)*(tblCarga[Humor (1-5)]&lt;&gt;0)))),"—"))</f>
        <v/>
      </c>
      <c r="F18" s="91">
        <f>IF(A18="","",IF(AND(ISNUMBER(B18),ISNUMBER(C18),ISNUMBER(D18),ISNUMBER(E18)),SUM(B18:E18),"—"))</f>
        <v/>
      </c>
      <c r="G18" s="91">
        <f>IF(A18="","",IF(F18="—","—",IF(F18&gt;12,"🔴",IF(F18&gt;8,"🟡","🟢"))))</f>
        <v/>
      </c>
      <c r="H18" s="91">
        <f>IF(A18="","",IF(F18="—","—",IFERROR(F18-AVERAGEIFS(tblCarga[Hooper Index],tblCarga[Jogador],A18,tblCarga[Hooper Index],"&gt;0"),"—")))</f>
        <v/>
      </c>
    </row>
    <row r="19">
      <c r="A19" s="42">
        <f t="array" ref="A19">IFERROR(INDEX(_xlfn._xlws.SORT(_xlfn.UNIQUE(tblCarga[Jogador])),13),"")</f>
        <v/>
      </c>
      <c r="B19" s="91">
        <f t="array" ref="B19">IF(A19="","",IFERROR(INDEX(_xlfn._xlws.FILTER(tblCarga[Sono (1-5)],(tblCarga[Jogador]=A19)*(tblCarga[Sono (1-5)]&lt;&gt;0)),ROWS(_xlfn._xlws.FILTER(tblCarga[Sono (1-5)],(tblCarga[Jogador]=A19)*(tblCarga[Sono (1-5)]&lt;&gt;0)))),"—"))</f>
        <v/>
      </c>
      <c r="C19" s="91">
        <f t="array" ref="C19">IF(A19="","",IFERROR(INDEX(_xlfn._xlws.FILTER(tblCarga[Dor Musc. (1-5)],(tblCarga[Jogador]=A19)*(tblCarga[Dor Musc. (1-5)]&lt;&gt;0)),ROWS(_xlfn._xlws.FILTER(tblCarga[Dor Musc. (1-5)],(tblCarga[Jogador]=A19)*(tblCarga[Dor Musc. (1-5)]&lt;&gt;0)))),"—"))</f>
        <v/>
      </c>
      <c r="D19" s="91">
        <f t="array" ref="D19">IF(A19="","",IFERROR(INDEX(_xlfn._xlws.FILTER(tblCarga[Stress (1-5)],(tblCarga[Jogador]=A19)*(tblCarga[Stress (1-5)]&lt;&gt;0)),ROWS(_xlfn._xlws.FILTER(tblCarga[Stress (1-5)],(tblCarga[Jogador]=A19)*(tblCarga[Stress (1-5)]&lt;&gt;0)))),"—"))</f>
        <v/>
      </c>
      <c r="E19" s="91">
        <f t="array" ref="E19">IF(A19="","",IFERROR(INDEX(_xlfn._xlws.FILTER(tblCarga[Humor (1-5)],(tblCarga[Jogador]=A19)*(tblCarga[Humor (1-5)]&lt;&gt;0)),ROWS(_xlfn._xlws.FILTER(tblCarga[Humor (1-5)],(tblCarga[Jogador]=A19)*(tblCarga[Humor (1-5)]&lt;&gt;0)))),"—"))</f>
        <v/>
      </c>
      <c r="F19" s="91">
        <f>IF(A19="","",IF(AND(ISNUMBER(B19),ISNUMBER(C19),ISNUMBER(D19),ISNUMBER(E19)),SUM(B19:E19),"—"))</f>
        <v/>
      </c>
      <c r="G19" s="91">
        <f>IF(A19="","",IF(F19="—","—",IF(F19&gt;12,"🔴",IF(F19&gt;8,"🟡","🟢"))))</f>
        <v/>
      </c>
      <c r="H19" s="91">
        <f>IF(A19="","",IF(F19="—","—",IFERROR(F19-AVERAGEIFS(tblCarga[Hooper Index],tblCarga[Jogador],A19,tblCarga[Hooper Index],"&gt;0"),"—")))</f>
        <v/>
      </c>
    </row>
    <row r="20">
      <c r="A20" s="42">
        <f t="array" ref="A20">IFERROR(INDEX(_xlfn._xlws.SORT(_xlfn.UNIQUE(tblCarga[Jogador])),14),"")</f>
        <v/>
      </c>
      <c r="B20" s="91">
        <f t="array" ref="B20">IF(A20="","",IFERROR(INDEX(_xlfn._xlws.FILTER(tblCarga[Sono (1-5)],(tblCarga[Jogador]=A20)*(tblCarga[Sono (1-5)]&lt;&gt;0)),ROWS(_xlfn._xlws.FILTER(tblCarga[Sono (1-5)],(tblCarga[Jogador]=A20)*(tblCarga[Sono (1-5)]&lt;&gt;0)))),"—"))</f>
        <v/>
      </c>
      <c r="C20" s="91">
        <f t="array" ref="C20">IF(A20="","",IFERROR(INDEX(_xlfn._xlws.FILTER(tblCarga[Dor Musc. (1-5)],(tblCarga[Jogador]=A20)*(tblCarga[Dor Musc. (1-5)]&lt;&gt;0)),ROWS(_xlfn._xlws.FILTER(tblCarga[Dor Musc. (1-5)],(tblCarga[Jogador]=A20)*(tblCarga[Dor Musc. (1-5)]&lt;&gt;0)))),"—"))</f>
        <v/>
      </c>
      <c r="D20" s="91">
        <f t="array" ref="D20">IF(A20="","",IFERROR(INDEX(_xlfn._xlws.FILTER(tblCarga[Stress (1-5)],(tblCarga[Jogador]=A20)*(tblCarga[Stress (1-5)]&lt;&gt;0)),ROWS(_xlfn._xlws.FILTER(tblCarga[Stress (1-5)],(tblCarga[Jogador]=A20)*(tblCarga[Stress (1-5)]&lt;&gt;0)))),"—"))</f>
        <v/>
      </c>
      <c r="E20" s="91">
        <f t="array" ref="E20">IF(A20="","",IFERROR(INDEX(_xlfn._xlws.FILTER(tblCarga[Humor (1-5)],(tblCarga[Jogador]=A20)*(tblCarga[Humor (1-5)]&lt;&gt;0)),ROWS(_xlfn._xlws.FILTER(tblCarga[Humor (1-5)],(tblCarga[Jogador]=A20)*(tblCarga[Humor (1-5)]&lt;&gt;0)))),"—"))</f>
        <v/>
      </c>
      <c r="F20" s="91">
        <f>IF(A20="","",IF(AND(ISNUMBER(B20),ISNUMBER(C20),ISNUMBER(D20),ISNUMBER(E20)),SUM(B20:E20),"—"))</f>
        <v/>
      </c>
      <c r="G20" s="91">
        <f>IF(A20="","",IF(F20="—","—",IF(F20&gt;12,"🔴",IF(F20&gt;8,"🟡","🟢"))))</f>
        <v/>
      </c>
      <c r="H20" s="91">
        <f>IF(A20="","",IF(F20="—","—",IFERROR(F20-AVERAGEIFS(tblCarga[Hooper Index],tblCarga[Jogador],A20,tblCarga[Hooper Index],"&gt;0"),"—")))</f>
        <v/>
      </c>
    </row>
    <row r="21">
      <c r="A21" s="42">
        <f t="array" ref="A21">IFERROR(INDEX(_xlfn._xlws.SORT(_xlfn.UNIQUE(tblCarga[Jogador])),15),"")</f>
        <v/>
      </c>
      <c r="B21" s="91">
        <f t="array" ref="B21">IF(A21="","",IFERROR(INDEX(_xlfn._xlws.FILTER(tblCarga[Sono (1-5)],(tblCarga[Jogador]=A21)*(tblCarga[Sono (1-5)]&lt;&gt;0)),ROWS(_xlfn._xlws.FILTER(tblCarga[Sono (1-5)],(tblCarga[Jogador]=A21)*(tblCarga[Sono (1-5)]&lt;&gt;0)))),"—"))</f>
        <v/>
      </c>
      <c r="C21" s="91">
        <f t="array" ref="C21">IF(A21="","",IFERROR(INDEX(_xlfn._xlws.FILTER(tblCarga[Dor Musc. (1-5)],(tblCarga[Jogador]=A21)*(tblCarga[Dor Musc. (1-5)]&lt;&gt;0)),ROWS(_xlfn._xlws.FILTER(tblCarga[Dor Musc. (1-5)],(tblCarga[Jogador]=A21)*(tblCarga[Dor Musc. (1-5)]&lt;&gt;0)))),"—"))</f>
        <v/>
      </c>
      <c r="D21" s="91">
        <f t="array" ref="D21">IF(A21="","",IFERROR(INDEX(_xlfn._xlws.FILTER(tblCarga[Stress (1-5)],(tblCarga[Jogador]=A21)*(tblCarga[Stress (1-5)]&lt;&gt;0)),ROWS(_xlfn._xlws.FILTER(tblCarga[Stress (1-5)],(tblCarga[Jogador]=A21)*(tblCarga[Stress (1-5)]&lt;&gt;0)))),"—"))</f>
        <v/>
      </c>
      <c r="E21" s="91">
        <f t="array" ref="E21">IF(A21="","",IFERROR(INDEX(_xlfn._xlws.FILTER(tblCarga[Humor (1-5)],(tblCarga[Jogador]=A21)*(tblCarga[Humor (1-5)]&lt;&gt;0)),ROWS(_xlfn._xlws.FILTER(tblCarga[Humor (1-5)],(tblCarga[Jogador]=A21)*(tblCarga[Humor (1-5)]&lt;&gt;0)))),"—"))</f>
        <v/>
      </c>
      <c r="F21" s="91">
        <f>IF(A21="","",IF(AND(ISNUMBER(B21),ISNUMBER(C21),ISNUMBER(D21),ISNUMBER(E21)),SUM(B21:E21),"—"))</f>
        <v/>
      </c>
      <c r="G21" s="91">
        <f>IF(A21="","",IF(F21="—","—",IF(F21&gt;12,"🔴",IF(F21&gt;8,"🟡","🟢"))))</f>
        <v/>
      </c>
      <c r="H21" s="91">
        <f>IF(A21="","",IF(F21="—","—",IFERROR(F21-AVERAGEIFS(tblCarga[Hooper Index],tblCarga[Jogador],A21,tblCarga[Hooper Index],"&gt;0"),"—")))</f>
        <v/>
      </c>
    </row>
    <row r="22">
      <c r="A22" s="42">
        <f t="array" ref="A22">IFERROR(INDEX(_xlfn._xlws.SORT(_xlfn.UNIQUE(tblCarga[Jogador])),16),"")</f>
        <v/>
      </c>
      <c r="B22" s="91">
        <f t="array" ref="B22">IF(A22="","",IFERROR(INDEX(_xlfn._xlws.FILTER(tblCarga[Sono (1-5)],(tblCarga[Jogador]=A22)*(tblCarga[Sono (1-5)]&lt;&gt;0)),ROWS(_xlfn._xlws.FILTER(tblCarga[Sono (1-5)],(tblCarga[Jogador]=A22)*(tblCarga[Sono (1-5)]&lt;&gt;0)))),"—"))</f>
        <v/>
      </c>
      <c r="C22" s="91">
        <f t="array" ref="C22">IF(A22="","",IFERROR(INDEX(_xlfn._xlws.FILTER(tblCarga[Dor Musc. (1-5)],(tblCarga[Jogador]=A22)*(tblCarga[Dor Musc. (1-5)]&lt;&gt;0)),ROWS(_xlfn._xlws.FILTER(tblCarga[Dor Musc. (1-5)],(tblCarga[Jogador]=A22)*(tblCarga[Dor Musc. (1-5)]&lt;&gt;0)))),"—"))</f>
        <v/>
      </c>
      <c r="D22" s="91">
        <f t="array" ref="D22">IF(A22="","",IFERROR(INDEX(_xlfn._xlws.FILTER(tblCarga[Stress (1-5)],(tblCarga[Jogador]=A22)*(tblCarga[Stress (1-5)]&lt;&gt;0)),ROWS(_xlfn._xlws.FILTER(tblCarga[Stress (1-5)],(tblCarga[Jogador]=A22)*(tblCarga[Stress (1-5)]&lt;&gt;0)))),"—"))</f>
        <v/>
      </c>
      <c r="E22" s="91">
        <f t="array" ref="E22">IF(A22="","",IFERROR(INDEX(_xlfn._xlws.FILTER(tblCarga[Humor (1-5)],(tblCarga[Jogador]=A22)*(tblCarga[Humor (1-5)]&lt;&gt;0)),ROWS(_xlfn._xlws.FILTER(tblCarga[Humor (1-5)],(tblCarga[Jogador]=A22)*(tblCarga[Humor (1-5)]&lt;&gt;0)))),"—"))</f>
        <v/>
      </c>
      <c r="F22" s="91">
        <f>IF(A22="","",IF(AND(ISNUMBER(B22),ISNUMBER(C22),ISNUMBER(D22),ISNUMBER(E22)),SUM(B22:E22),"—"))</f>
        <v/>
      </c>
      <c r="G22" s="91">
        <f>IF(A22="","",IF(F22="—","—",IF(F22&gt;12,"🔴",IF(F22&gt;8,"🟡","🟢"))))</f>
        <v/>
      </c>
      <c r="H22" s="91">
        <f>IF(A22="","",IF(F22="—","—",IFERROR(F22-AVERAGEIFS(tblCarga[Hooper Index],tblCarga[Jogador],A22,tblCarga[Hooper Index],"&gt;0"),"—")))</f>
        <v/>
      </c>
    </row>
    <row r="23">
      <c r="A23" s="42">
        <f t="array" ref="A23">IFERROR(INDEX(_xlfn._xlws.SORT(_xlfn.UNIQUE(tblCarga[Jogador])),17),"")</f>
        <v/>
      </c>
      <c r="B23" s="91">
        <f t="array" ref="B23">IF(A23="","",IFERROR(INDEX(_xlfn._xlws.FILTER(tblCarga[Sono (1-5)],(tblCarga[Jogador]=A23)*(tblCarga[Sono (1-5)]&lt;&gt;0)),ROWS(_xlfn._xlws.FILTER(tblCarga[Sono (1-5)],(tblCarga[Jogador]=A23)*(tblCarga[Sono (1-5)]&lt;&gt;0)))),"—"))</f>
        <v/>
      </c>
      <c r="C23" s="91">
        <f t="array" ref="C23">IF(A23="","",IFERROR(INDEX(_xlfn._xlws.FILTER(tblCarga[Dor Musc. (1-5)],(tblCarga[Jogador]=A23)*(tblCarga[Dor Musc. (1-5)]&lt;&gt;0)),ROWS(_xlfn._xlws.FILTER(tblCarga[Dor Musc. (1-5)],(tblCarga[Jogador]=A23)*(tblCarga[Dor Musc. (1-5)]&lt;&gt;0)))),"—"))</f>
        <v/>
      </c>
      <c r="D23" s="91">
        <f t="array" ref="D23">IF(A23="","",IFERROR(INDEX(_xlfn._xlws.FILTER(tblCarga[Stress (1-5)],(tblCarga[Jogador]=A23)*(tblCarga[Stress (1-5)]&lt;&gt;0)),ROWS(_xlfn._xlws.FILTER(tblCarga[Stress (1-5)],(tblCarga[Jogador]=A23)*(tblCarga[Stress (1-5)]&lt;&gt;0)))),"—"))</f>
        <v/>
      </c>
      <c r="E23" s="91">
        <f t="array" ref="E23">IF(A23="","",IFERROR(INDEX(_xlfn._xlws.FILTER(tblCarga[Humor (1-5)],(tblCarga[Jogador]=A23)*(tblCarga[Humor (1-5)]&lt;&gt;0)),ROWS(_xlfn._xlws.FILTER(tblCarga[Humor (1-5)],(tblCarga[Jogador]=A23)*(tblCarga[Humor (1-5)]&lt;&gt;0)))),"—"))</f>
        <v/>
      </c>
      <c r="F23" s="91">
        <f>IF(A23="","",IF(AND(ISNUMBER(B23),ISNUMBER(C23),ISNUMBER(D23),ISNUMBER(E23)),SUM(B23:E23),"—"))</f>
        <v/>
      </c>
      <c r="G23" s="91">
        <f>IF(A23="","",IF(F23="—","—",IF(F23&gt;12,"🔴",IF(F23&gt;8,"🟡","🟢"))))</f>
        <v/>
      </c>
      <c r="H23" s="91">
        <f>IF(A23="","",IF(F23="—","—",IFERROR(F23-AVERAGEIFS(tblCarga[Hooper Index],tblCarga[Jogador],A23,tblCarga[Hooper Index],"&gt;0"),"—")))</f>
        <v/>
      </c>
    </row>
    <row r="24">
      <c r="A24" s="42">
        <f t="array" ref="A24">IFERROR(INDEX(_xlfn._xlws.SORT(_xlfn.UNIQUE(tblCarga[Jogador])),18),"")</f>
        <v/>
      </c>
      <c r="B24" s="91">
        <f t="array" ref="B24">IF(A24="","",IFERROR(INDEX(_xlfn._xlws.FILTER(tblCarga[Sono (1-5)],(tblCarga[Jogador]=A24)*(tblCarga[Sono (1-5)]&lt;&gt;0)),ROWS(_xlfn._xlws.FILTER(tblCarga[Sono (1-5)],(tblCarga[Jogador]=A24)*(tblCarga[Sono (1-5)]&lt;&gt;0)))),"—"))</f>
        <v/>
      </c>
      <c r="C24" s="91">
        <f t="array" ref="C24">IF(A24="","",IFERROR(INDEX(_xlfn._xlws.FILTER(tblCarga[Dor Musc. (1-5)],(tblCarga[Jogador]=A24)*(tblCarga[Dor Musc. (1-5)]&lt;&gt;0)),ROWS(_xlfn._xlws.FILTER(tblCarga[Dor Musc. (1-5)],(tblCarga[Jogador]=A24)*(tblCarga[Dor Musc. (1-5)]&lt;&gt;0)))),"—"))</f>
        <v/>
      </c>
      <c r="D24" s="91">
        <f t="array" ref="D24">IF(A24="","",IFERROR(INDEX(_xlfn._xlws.FILTER(tblCarga[Stress (1-5)],(tblCarga[Jogador]=A24)*(tblCarga[Stress (1-5)]&lt;&gt;0)),ROWS(_xlfn._xlws.FILTER(tblCarga[Stress (1-5)],(tblCarga[Jogador]=A24)*(tblCarga[Stress (1-5)]&lt;&gt;0)))),"—"))</f>
        <v/>
      </c>
      <c r="E24" s="91">
        <f t="array" ref="E24">IF(A24="","",IFERROR(INDEX(_xlfn._xlws.FILTER(tblCarga[Humor (1-5)],(tblCarga[Jogador]=A24)*(tblCarga[Humor (1-5)]&lt;&gt;0)),ROWS(_xlfn._xlws.FILTER(tblCarga[Humor (1-5)],(tblCarga[Jogador]=A24)*(tblCarga[Humor (1-5)]&lt;&gt;0)))),"—"))</f>
        <v/>
      </c>
      <c r="F24" s="91">
        <f>IF(A24="","",IF(AND(ISNUMBER(B24),ISNUMBER(C24),ISNUMBER(D24),ISNUMBER(E24)),SUM(B24:E24),"—"))</f>
        <v/>
      </c>
      <c r="G24" s="91">
        <f>IF(A24="","",IF(F24="—","—",IF(F24&gt;12,"🔴",IF(F24&gt;8,"🟡","🟢"))))</f>
        <v/>
      </c>
      <c r="H24" s="91">
        <f>IF(A24="","",IF(F24="—","—",IFERROR(F24-AVERAGEIFS(tblCarga[Hooper Index],tblCarga[Jogador],A24,tblCarga[Hooper Index],"&gt;0"),"—")))</f>
        <v/>
      </c>
    </row>
    <row r="25">
      <c r="A25" s="42">
        <f t="array" ref="A25">IFERROR(INDEX(_xlfn._xlws.SORT(_xlfn.UNIQUE(tblCarga[Jogador])),19),"")</f>
        <v/>
      </c>
      <c r="B25" s="91">
        <f t="array" ref="B25">IF(A25="","",IFERROR(INDEX(_xlfn._xlws.FILTER(tblCarga[Sono (1-5)],(tblCarga[Jogador]=A25)*(tblCarga[Sono (1-5)]&lt;&gt;0)),ROWS(_xlfn._xlws.FILTER(tblCarga[Sono (1-5)],(tblCarga[Jogador]=A25)*(tblCarga[Sono (1-5)]&lt;&gt;0)))),"—"))</f>
        <v/>
      </c>
      <c r="C25" s="91">
        <f t="array" ref="C25">IF(A25="","",IFERROR(INDEX(_xlfn._xlws.FILTER(tblCarga[Dor Musc. (1-5)],(tblCarga[Jogador]=A25)*(tblCarga[Dor Musc. (1-5)]&lt;&gt;0)),ROWS(_xlfn._xlws.FILTER(tblCarga[Dor Musc. (1-5)],(tblCarga[Jogador]=A25)*(tblCarga[Dor Musc. (1-5)]&lt;&gt;0)))),"—"))</f>
        <v/>
      </c>
      <c r="D25" s="91">
        <f t="array" ref="D25">IF(A25="","",IFERROR(INDEX(_xlfn._xlws.FILTER(tblCarga[Stress (1-5)],(tblCarga[Jogador]=A25)*(tblCarga[Stress (1-5)]&lt;&gt;0)),ROWS(_xlfn._xlws.FILTER(tblCarga[Stress (1-5)],(tblCarga[Jogador]=A25)*(tblCarga[Stress (1-5)]&lt;&gt;0)))),"—"))</f>
        <v/>
      </c>
      <c r="E25" s="91">
        <f t="array" ref="E25">IF(A25="","",IFERROR(INDEX(_xlfn._xlws.FILTER(tblCarga[Humor (1-5)],(tblCarga[Jogador]=A25)*(tblCarga[Humor (1-5)]&lt;&gt;0)),ROWS(_xlfn._xlws.FILTER(tblCarga[Humor (1-5)],(tblCarga[Jogador]=A25)*(tblCarga[Humor (1-5)]&lt;&gt;0)))),"—"))</f>
        <v/>
      </c>
      <c r="F25" s="91">
        <f>IF(A25="","",IF(AND(ISNUMBER(B25),ISNUMBER(C25),ISNUMBER(D25),ISNUMBER(E25)),SUM(B25:E25),"—"))</f>
        <v/>
      </c>
      <c r="G25" s="91">
        <f>IF(A25="","",IF(F25="—","—",IF(F25&gt;12,"🔴",IF(F25&gt;8,"🟡","🟢"))))</f>
        <v/>
      </c>
      <c r="H25" s="91">
        <f>IF(A25="","",IF(F25="—","—",IFERROR(F25-AVERAGEIFS(tblCarga[Hooper Index],tblCarga[Jogador],A25,tblCarga[Hooper Index],"&gt;0"),"—")))</f>
        <v/>
      </c>
    </row>
    <row r="26">
      <c r="A26" s="42">
        <f t="array" ref="A26">IFERROR(INDEX(_xlfn._xlws.SORT(_xlfn.UNIQUE(tblCarga[Jogador])),20),"")</f>
        <v/>
      </c>
      <c r="B26" s="91">
        <f t="array" ref="B26">IF(A26="","",IFERROR(INDEX(_xlfn._xlws.FILTER(tblCarga[Sono (1-5)],(tblCarga[Jogador]=A26)*(tblCarga[Sono (1-5)]&lt;&gt;0)),ROWS(_xlfn._xlws.FILTER(tblCarga[Sono (1-5)],(tblCarga[Jogador]=A26)*(tblCarga[Sono (1-5)]&lt;&gt;0)))),"—"))</f>
        <v/>
      </c>
      <c r="C26" s="91">
        <f t="array" ref="C26">IF(A26="","",IFERROR(INDEX(_xlfn._xlws.FILTER(tblCarga[Dor Musc. (1-5)],(tblCarga[Jogador]=A26)*(tblCarga[Dor Musc. (1-5)]&lt;&gt;0)),ROWS(_xlfn._xlws.FILTER(tblCarga[Dor Musc. (1-5)],(tblCarga[Jogador]=A26)*(tblCarga[Dor Musc. (1-5)]&lt;&gt;0)))),"—"))</f>
        <v/>
      </c>
      <c r="D26" s="91">
        <f t="array" ref="D26">IF(A26="","",IFERROR(INDEX(_xlfn._xlws.FILTER(tblCarga[Stress (1-5)],(tblCarga[Jogador]=A26)*(tblCarga[Stress (1-5)]&lt;&gt;0)),ROWS(_xlfn._xlws.FILTER(tblCarga[Stress (1-5)],(tblCarga[Jogador]=A26)*(tblCarga[Stress (1-5)]&lt;&gt;0)))),"—"))</f>
        <v/>
      </c>
      <c r="E26" s="91">
        <f t="array" ref="E26">IF(A26="","",IFERROR(INDEX(_xlfn._xlws.FILTER(tblCarga[Humor (1-5)],(tblCarga[Jogador]=A26)*(tblCarga[Humor (1-5)]&lt;&gt;0)),ROWS(_xlfn._xlws.FILTER(tblCarga[Humor (1-5)],(tblCarga[Jogador]=A26)*(tblCarga[Humor (1-5)]&lt;&gt;0)))),"—"))</f>
        <v/>
      </c>
      <c r="F26" s="91">
        <f>IF(A26="","",IF(AND(ISNUMBER(B26),ISNUMBER(C26),ISNUMBER(D26),ISNUMBER(E26)),SUM(B26:E26),"—"))</f>
        <v/>
      </c>
      <c r="G26" s="91">
        <f>IF(A26="","",IF(F26="—","—",IF(F26&gt;12,"🔴",IF(F26&gt;8,"🟡","🟢"))))</f>
        <v/>
      </c>
      <c r="H26" s="91">
        <f>IF(A26="","",IF(F26="—","—",IFERROR(F26-AVERAGEIFS(tblCarga[Hooper Index],tblCarga[Jogador],A26,tblCarga[Hooper Index],"&gt;0"),"—")))</f>
        <v/>
      </c>
    </row>
    <row r="27">
      <c r="A27" s="42">
        <f t="array" ref="A27">IFERROR(INDEX(_xlfn._xlws.SORT(_xlfn.UNIQUE(tblCarga[Jogador])),21),"")</f>
        <v/>
      </c>
      <c r="B27" s="91">
        <f t="array" ref="B27">IF(A27="","",IFERROR(INDEX(_xlfn._xlws.FILTER(tblCarga[Sono (1-5)],(tblCarga[Jogador]=A27)*(tblCarga[Sono (1-5)]&lt;&gt;0)),ROWS(_xlfn._xlws.FILTER(tblCarga[Sono (1-5)],(tblCarga[Jogador]=A27)*(tblCarga[Sono (1-5)]&lt;&gt;0)))),"—"))</f>
        <v/>
      </c>
      <c r="C27" s="91">
        <f t="array" ref="C27">IF(A27="","",IFERROR(INDEX(_xlfn._xlws.FILTER(tblCarga[Dor Musc. (1-5)],(tblCarga[Jogador]=A27)*(tblCarga[Dor Musc. (1-5)]&lt;&gt;0)),ROWS(_xlfn._xlws.FILTER(tblCarga[Dor Musc. (1-5)],(tblCarga[Jogador]=A27)*(tblCarga[Dor Musc. (1-5)]&lt;&gt;0)))),"—"))</f>
        <v/>
      </c>
      <c r="D27" s="91">
        <f t="array" ref="D27">IF(A27="","",IFERROR(INDEX(_xlfn._xlws.FILTER(tblCarga[Stress (1-5)],(tblCarga[Jogador]=A27)*(tblCarga[Stress (1-5)]&lt;&gt;0)),ROWS(_xlfn._xlws.FILTER(tblCarga[Stress (1-5)],(tblCarga[Jogador]=A27)*(tblCarga[Stress (1-5)]&lt;&gt;0)))),"—"))</f>
        <v/>
      </c>
      <c r="E27" s="91">
        <f t="array" ref="E27">IF(A27="","",IFERROR(INDEX(_xlfn._xlws.FILTER(tblCarga[Humor (1-5)],(tblCarga[Jogador]=A27)*(tblCarga[Humor (1-5)]&lt;&gt;0)),ROWS(_xlfn._xlws.FILTER(tblCarga[Humor (1-5)],(tblCarga[Jogador]=A27)*(tblCarga[Humor (1-5)]&lt;&gt;0)))),"—"))</f>
        <v/>
      </c>
      <c r="F27" s="91">
        <f>IF(A27="","",IF(AND(ISNUMBER(B27),ISNUMBER(C27),ISNUMBER(D27),ISNUMBER(E27)),SUM(B27:E27),"—"))</f>
        <v/>
      </c>
      <c r="G27" s="91">
        <f>IF(A27="","",IF(F27="—","—",IF(F27&gt;12,"🔴",IF(F27&gt;8,"🟡","🟢"))))</f>
        <v/>
      </c>
      <c r="H27" s="91">
        <f>IF(A27="","",IF(F27="—","—",IFERROR(F27-AVERAGEIFS(tblCarga[Hooper Index],tblCarga[Jogador],A27,tblCarga[Hooper Index],"&gt;0"),"—")))</f>
        <v/>
      </c>
    </row>
    <row r="28">
      <c r="A28" s="42">
        <f t="array" ref="A28">IFERROR(INDEX(_xlfn._xlws.SORT(_xlfn.UNIQUE(tblCarga[Jogador])),22),"")</f>
        <v/>
      </c>
      <c r="B28" s="91">
        <f t="array" ref="B28">IF(A28="","",IFERROR(INDEX(_xlfn._xlws.FILTER(tblCarga[Sono (1-5)],(tblCarga[Jogador]=A28)*(tblCarga[Sono (1-5)]&lt;&gt;0)),ROWS(_xlfn._xlws.FILTER(tblCarga[Sono (1-5)],(tblCarga[Jogador]=A28)*(tblCarga[Sono (1-5)]&lt;&gt;0)))),"—"))</f>
        <v/>
      </c>
      <c r="C28" s="91">
        <f t="array" ref="C28">IF(A28="","",IFERROR(INDEX(_xlfn._xlws.FILTER(tblCarga[Dor Musc. (1-5)],(tblCarga[Jogador]=A28)*(tblCarga[Dor Musc. (1-5)]&lt;&gt;0)),ROWS(_xlfn._xlws.FILTER(tblCarga[Dor Musc. (1-5)],(tblCarga[Jogador]=A28)*(tblCarga[Dor Musc. (1-5)]&lt;&gt;0)))),"—"))</f>
        <v/>
      </c>
      <c r="D28" s="91">
        <f t="array" ref="D28">IF(A28="","",IFERROR(INDEX(_xlfn._xlws.FILTER(tblCarga[Stress (1-5)],(tblCarga[Jogador]=A28)*(tblCarga[Stress (1-5)]&lt;&gt;0)),ROWS(_xlfn._xlws.FILTER(tblCarga[Stress (1-5)],(tblCarga[Jogador]=A28)*(tblCarga[Stress (1-5)]&lt;&gt;0)))),"—"))</f>
        <v/>
      </c>
      <c r="E28" s="91">
        <f t="array" ref="E28">IF(A28="","",IFERROR(INDEX(_xlfn._xlws.FILTER(tblCarga[Humor (1-5)],(tblCarga[Jogador]=A28)*(tblCarga[Humor (1-5)]&lt;&gt;0)),ROWS(_xlfn._xlws.FILTER(tblCarga[Humor (1-5)],(tblCarga[Jogador]=A28)*(tblCarga[Humor (1-5)]&lt;&gt;0)))),"—"))</f>
        <v/>
      </c>
      <c r="F28" s="91">
        <f>IF(A28="","",IF(AND(ISNUMBER(B28),ISNUMBER(C28),ISNUMBER(D28),ISNUMBER(E28)),SUM(B28:E28),"—"))</f>
        <v/>
      </c>
      <c r="G28" s="91">
        <f>IF(A28="","",IF(F28="—","—",IF(F28&gt;12,"🔴",IF(F28&gt;8,"🟡","🟢"))))</f>
        <v/>
      </c>
      <c r="H28" s="91">
        <f>IF(A28="","",IF(F28="—","—",IFERROR(F28-AVERAGEIFS(tblCarga[Hooper Index],tblCarga[Jogador],A28,tblCarga[Hooper Index],"&gt;0"),"—")))</f>
        <v/>
      </c>
    </row>
    <row r="29">
      <c r="A29" s="42">
        <f t="array" ref="A29">IFERROR(INDEX(_xlfn._xlws.SORT(_xlfn.UNIQUE(tblCarga[Jogador])),23),"")</f>
        <v/>
      </c>
      <c r="B29" s="91">
        <f t="array" ref="B29">IF(A29="","",IFERROR(INDEX(_xlfn._xlws.FILTER(tblCarga[Sono (1-5)],(tblCarga[Jogador]=A29)*(tblCarga[Sono (1-5)]&lt;&gt;0)),ROWS(_xlfn._xlws.FILTER(tblCarga[Sono (1-5)],(tblCarga[Jogador]=A29)*(tblCarga[Sono (1-5)]&lt;&gt;0)))),"—"))</f>
        <v/>
      </c>
      <c r="C29" s="91">
        <f t="array" ref="C29">IF(A29="","",IFERROR(INDEX(_xlfn._xlws.FILTER(tblCarga[Dor Musc. (1-5)],(tblCarga[Jogador]=A29)*(tblCarga[Dor Musc. (1-5)]&lt;&gt;0)),ROWS(_xlfn._xlws.FILTER(tblCarga[Dor Musc. (1-5)],(tblCarga[Jogador]=A29)*(tblCarga[Dor Musc. (1-5)]&lt;&gt;0)))),"—"))</f>
        <v/>
      </c>
      <c r="D29" s="91">
        <f t="array" ref="D29">IF(A29="","",IFERROR(INDEX(_xlfn._xlws.FILTER(tblCarga[Stress (1-5)],(tblCarga[Jogador]=A29)*(tblCarga[Stress (1-5)]&lt;&gt;0)),ROWS(_xlfn._xlws.FILTER(tblCarga[Stress (1-5)],(tblCarga[Jogador]=A29)*(tblCarga[Stress (1-5)]&lt;&gt;0)))),"—"))</f>
        <v/>
      </c>
      <c r="E29" s="91">
        <f t="array" ref="E29">IF(A29="","",IFERROR(INDEX(_xlfn._xlws.FILTER(tblCarga[Humor (1-5)],(tblCarga[Jogador]=A29)*(tblCarga[Humor (1-5)]&lt;&gt;0)),ROWS(_xlfn._xlws.FILTER(tblCarga[Humor (1-5)],(tblCarga[Jogador]=A29)*(tblCarga[Humor (1-5)]&lt;&gt;0)))),"—"))</f>
        <v/>
      </c>
      <c r="F29" s="91">
        <f>IF(A29="","",IF(AND(ISNUMBER(B29),ISNUMBER(C29),ISNUMBER(D29),ISNUMBER(E29)),SUM(B29:E29),"—"))</f>
        <v/>
      </c>
      <c r="G29" s="91">
        <f>IF(A29="","",IF(F29="—","—",IF(F29&gt;12,"🔴",IF(F29&gt;8,"🟡","🟢"))))</f>
        <v/>
      </c>
      <c r="H29" s="91">
        <f>IF(A29="","",IF(F29="—","—",IFERROR(F29-AVERAGEIFS(tblCarga[Hooper Index],tblCarga[Jogador],A29,tblCarga[Hooper Index],"&gt;0"),"—")))</f>
        <v/>
      </c>
    </row>
    <row r="30">
      <c r="A30" s="42">
        <f t="array" ref="A30">IFERROR(INDEX(_xlfn._xlws.SORT(_xlfn.UNIQUE(tblCarga[Jogador])),24),"")</f>
        <v/>
      </c>
      <c r="B30" s="91">
        <f t="array" ref="B30">IF(A30="","",IFERROR(INDEX(_xlfn._xlws.FILTER(tblCarga[Sono (1-5)],(tblCarga[Jogador]=A30)*(tblCarga[Sono (1-5)]&lt;&gt;0)),ROWS(_xlfn._xlws.FILTER(tblCarga[Sono (1-5)],(tblCarga[Jogador]=A30)*(tblCarga[Sono (1-5)]&lt;&gt;0)))),"—"))</f>
        <v/>
      </c>
      <c r="C30" s="91">
        <f t="array" ref="C30">IF(A30="","",IFERROR(INDEX(_xlfn._xlws.FILTER(tblCarga[Dor Musc. (1-5)],(tblCarga[Jogador]=A30)*(tblCarga[Dor Musc. (1-5)]&lt;&gt;0)),ROWS(_xlfn._xlws.FILTER(tblCarga[Dor Musc. (1-5)],(tblCarga[Jogador]=A30)*(tblCarga[Dor Musc. (1-5)]&lt;&gt;0)))),"—"))</f>
        <v/>
      </c>
      <c r="D30" s="91">
        <f t="array" ref="D30">IF(A30="","",IFERROR(INDEX(_xlfn._xlws.FILTER(tblCarga[Stress (1-5)],(tblCarga[Jogador]=A30)*(tblCarga[Stress (1-5)]&lt;&gt;0)),ROWS(_xlfn._xlws.FILTER(tblCarga[Stress (1-5)],(tblCarga[Jogador]=A30)*(tblCarga[Stress (1-5)]&lt;&gt;0)))),"—"))</f>
        <v/>
      </c>
      <c r="E30" s="91">
        <f t="array" ref="E30">IF(A30="","",IFERROR(INDEX(_xlfn._xlws.FILTER(tblCarga[Humor (1-5)],(tblCarga[Jogador]=A30)*(tblCarga[Humor (1-5)]&lt;&gt;0)),ROWS(_xlfn._xlws.FILTER(tblCarga[Humor (1-5)],(tblCarga[Jogador]=A30)*(tblCarga[Humor (1-5)]&lt;&gt;0)))),"—"))</f>
        <v/>
      </c>
      <c r="F30" s="91">
        <f>IF(A30="","",IF(AND(ISNUMBER(B30),ISNUMBER(C30),ISNUMBER(D30),ISNUMBER(E30)),SUM(B30:E30),"—"))</f>
        <v/>
      </c>
      <c r="G30" s="91">
        <f>IF(A30="","",IF(F30="—","—",IF(F30&gt;12,"🔴",IF(F30&gt;8,"🟡","🟢"))))</f>
        <v/>
      </c>
      <c r="H30" s="91">
        <f>IF(A30="","",IF(F30="—","—",IFERROR(F30-AVERAGEIFS(tblCarga[Hooper Index],tblCarga[Jogador],A30,tblCarga[Hooper Index],"&gt;0"),"—")))</f>
        <v/>
      </c>
    </row>
    <row r="31">
      <c r="A31" s="42">
        <f t="array" ref="A31">IFERROR(INDEX(_xlfn._xlws.SORT(_xlfn.UNIQUE(tblCarga[Jogador])),25),"")</f>
        <v/>
      </c>
      <c r="B31" s="91">
        <f t="array" ref="B31">IF(A31="","",IFERROR(INDEX(_xlfn._xlws.FILTER(tblCarga[Sono (1-5)],(tblCarga[Jogador]=A31)*(tblCarga[Sono (1-5)]&lt;&gt;0)),ROWS(_xlfn._xlws.FILTER(tblCarga[Sono (1-5)],(tblCarga[Jogador]=A31)*(tblCarga[Sono (1-5)]&lt;&gt;0)))),"—"))</f>
        <v/>
      </c>
      <c r="C31" s="91">
        <f t="array" ref="C31">IF(A31="","",IFERROR(INDEX(_xlfn._xlws.FILTER(tblCarga[Dor Musc. (1-5)],(tblCarga[Jogador]=A31)*(tblCarga[Dor Musc. (1-5)]&lt;&gt;0)),ROWS(_xlfn._xlws.FILTER(tblCarga[Dor Musc. (1-5)],(tblCarga[Jogador]=A31)*(tblCarga[Dor Musc. (1-5)]&lt;&gt;0)))),"—"))</f>
        <v/>
      </c>
      <c r="D31" s="91">
        <f t="array" ref="D31">IF(A31="","",IFERROR(INDEX(_xlfn._xlws.FILTER(tblCarga[Stress (1-5)],(tblCarga[Jogador]=A31)*(tblCarga[Stress (1-5)]&lt;&gt;0)),ROWS(_xlfn._xlws.FILTER(tblCarga[Stress (1-5)],(tblCarga[Jogador]=A31)*(tblCarga[Stress (1-5)]&lt;&gt;0)))),"—"))</f>
        <v/>
      </c>
      <c r="E31" s="91">
        <f t="array" ref="E31">IF(A31="","",IFERROR(INDEX(_xlfn._xlws.FILTER(tblCarga[Humor (1-5)],(tblCarga[Jogador]=A31)*(tblCarga[Humor (1-5)]&lt;&gt;0)),ROWS(_xlfn._xlws.FILTER(tblCarga[Humor (1-5)],(tblCarga[Jogador]=A31)*(tblCarga[Humor (1-5)]&lt;&gt;0)))),"—"))</f>
        <v/>
      </c>
      <c r="F31" s="91">
        <f>IF(A31="","",IF(AND(ISNUMBER(B31),ISNUMBER(C31),ISNUMBER(D31),ISNUMBER(E31)),SUM(B31:E31),"—"))</f>
        <v/>
      </c>
      <c r="G31" s="91">
        <f>IF(A31="","",IF(F31="—","—",IF(F31&gt;12,"🔴",IF(F31&gt;8,"🟡","🟢"))))</f>
        <v/>
      </c>
      <c r="H31" s="91">
        <f>IF(A31="","",IF(F31="—","—",IFERROR(F31-AVERAGEIFS(tblCarga[Hooper Index],tblCarga[Jogador],A31,tblCarga[Hooper Index],"&gt;0"),"—")))</f>
        <v/>
      </c>
    </row>
    <row r="32">
      <c r="A32" s="42">
        <f t="array" ref="A32">IFERROR(INDEX(_xlfn._xlws.SORT(_xlfn.UNIQUE(tblCarga[Jogador])),26),"")</f>
        <v/>
      </c>
      <c r="B32" s="91">
        <f t="array" ref="B32">IF(A32="","",IFERROR(INDEX(_xlfn._xlws.FILTER(tblCarga[Sono (1-5)],(tblCarga[Jogador]=A32)*(tblCarga[Sono (1-5)]&lt;&gt;0)),ROWS(_xlfn._xlws.FILTER(tblCarga[Sono (1-5)],(tblCarga[Jogador]=A32)*(tblCarga[Sono (1-5)]&lt;&gt;0)))),"—"))</f>
        <v/>
      </c>
      <c r="C32" s="91">
        <f t="array" ref="C32">IF(A32="","",IFERROR(INDEX(_xlfn._xlws.FILTER(tblCarga[Dor Musc. (1-5)],(tblCarga[Jogador]=A32)*(tblCarga[Dor Musc. (1-5)]&lt;&gt;0)),ROWS(_xlfn._xlws.FILTER(tblCarga[Dor Musc. (1-5)],(tblCarga[Jogador]=A32)*(tblCarga[Dor Musc. (1-5)]&lt;&gt;0)))),"—"))</f>
        <v/>
      </c>
      <c r="D32" s="91">
        <f t="array" ref="D32">IF(A32="","",IFERROR(INDEX(_xlfn._xlws.FILTER(tblCarga[Stress (1-5)],(tblCarga[Jogador]=A32)*(tblCarga[Stress (1-5)]&lt;&gt;0)),ROWS(_xlfn._xlws.FILTER(tblCarga[Stress (1-5)],(tblCarga[Jogador]=A32)*(tblCarga[Stress (1-5)]&lt;&gt;0)))),"—"))</f>
        <v/>
      </c>
      <c r="E32" s="91">
        <f t="array" ref="E32">IF(A32="","",IFERROR(INDEX(_xlfn._xlws.FILTER(tblCarga[Humor (1-5)],(tblCarga[Jogador]=A32)*(tblCarga[Humor (1-5)]&lt;&gt;0)),ROWS(_xlfn._xlws.FILTER(tblCarga[Humor (1-5)],(tblCarga[Jogador]=A32)*(tblCarga[Humor (1-5)]&lt;&gt;0)))),"—"))</f>
        <v/>
      </c>
      <c r="F32" s="91">
        <f>IF(A32="","",IF(AND(ISNUMBER(B32),ISNUMBER(C32),ISNUMBER(D32),ISNUMBER(E32)),SUM(B32:E32),"—"))</f>
        <v/>
      </c>
      <c r="G32" s="91">
        <f>IF(A32="","",IF(F32="—","—",IF(F32&gt;12,"🔴",IF(F32&gt;8,"🟡","🟢"))))</f>
        <v/>
      </c>
      <c r="H32" s="91">
        <f>IF(A32="","",IF(F32="—","—",IFERROR(F32-AVERAGEIFS(tblCarga[Hooper Index],tblCarga[Jogador],A32,tblCarga[Hooper Index],"&gt;0"),"—")))</f>
        <v/>
      </c>
    </row>
    <row r="33">
      <c r="A33" s="42">
        <f t="array" ref="A33">IFERROR(INDEX(_xlfn._xlws.SORT(_xlfn.UNIQUE(tblCarga[Jogador])),27),"")</f>
        <v/>
      </c>
      <c r="B33" s="91">
        <f t="array" ref="B33">IF(A33="","",IFERROR(INDEX(_xlfn._xlws.FILTER(tblCarga[Sono (1-5)],(tblCarga[Jogador]=A33)*(tblCarga[Sono (1-5)]&lt;&gt;0)),ROWS(_xlfn._xlws.FILTER(tblCarga[Sono (1-5)],(tblCarga[Jogador]=A33)*(tblCarga[Sono (1-5)]&lt;&gt;0)))),"—"))</f>
        <v/>
      </c>
      <c r="C33" s="91">
        <f t="array" ref="C33">IF(A33="","",IFERROR(INDEX(_xlfn._xlws.FILTER(tblCarga[Dor Musc. (1-5)],(tblCarga[Jogador]=A33)*(tblCarga[Dor Musc. (1-5)]&lt;&gt;0)),ROWS(_xlfn._xlws.FILTER(tblCarga[Dor Musc. (1-5)],(tblCarga[Jogador]=A33)*(tblCarga[Dor Musc. (1-5)]&lt;&gt;0)))),"—"))</f>
        <v/>
      </c>
      <c r="D33" s="91">
        <f t="array" ref="D33">IF(A33="","",IFERROR(INDEX(_xlfn._xlws.FILTER(tblCarga[Stress (1-5)],(tblCarga[Jogador]=A33)*(tblCarga[Stress (1-5)]&lt;&gt;0)),ROWS(_xlfn._xlws.FILTER(tblCarga[Stress (1-5)],(tblCarga[Jogador]=A33)*(tblCarga[Stress (1-5)]&lt;&gt;0)))),"—"))</f>
        <v/>
      </c>
      <c r="E33" s="91">
        <f t="array" ref="E33">IF(A33="","",IFERROR(INDEX(_xlfn._xlws.FILTER(tblCarga[Humor (1-5)],(tblCarga[Jogador]=A33)*(tblCarga[Humor (1-5)]&lt;&gt;0)),ROWS(_xlfn._xlws.FILTER(tblCarga[Humor (1-5)],(tblCarga[Jogador]=A33)*(tblCarga[Humor (1-5)]&lt;&gt;0)))),"—"))</f>
        <v/>
      </c>
      <c r="F33" s="91">
        <f>IF(A33="","",IF(AND(ISNUMBER(B33),ISNUMBER(C33),ISNUMBER(D33),ISNUMBER(E33)),SUM(B33:E33),"—"))</f>
        <v/>
      </c>
      <c r="G33" s="91">
        <f>IF(A33="","",IF(F33="—","—",IF(F33&gt;12,"🔴",IF(F33&gt;8,"🟡","🟢"))))</f>
        <v/>
      </c>
      <c r="H33" s="91">
        <f>IF(A33="","",IF(F33="—","—",IFERROR(F33-AVERAGEIFS(tblCarga[Hooper Index],tblCarga[Jogador],A33,tblCarga[Hooper Index],"&gt;0"),"—")))</f>
        <v/>
      </c>
    </row>
    <row r="34">
      <c r="A34" s="42">
        <f t="array" ref="A34">IFERROR(INDEX(_xlfn._xlws.SORT(_xlfn.UNIQUE(tblCarga[Jogador])),28),"")</f>
        <v/>
      </c>
      <c r="B34" s="91">
        <f t="array" ref="B34">IF(A34="","",IFERROR(INDEX(_xlfn._xlws.FILTER(tblCarga[Sono (1-5)],(tblCarga[Jogador]=A34)*(tblCarga[Sono (1-5)]&lt;&gt;0)),ROWS(_xlfn._xlws.FILTER(tblCarga[Sono (1-5)],(tblCarga[Jogador]=A34)*(tblCarga[Sono (1-5)]&lt;&gt;0)))),"—"))</f>
        <v/>
      </c>
      <c r="C34" s="91">
        <f t="array" ref="C34">IF(A34="","",IFERROR(INDEX(_xlfn._xlws.FILTER(tblCarga[Dor Musc. (1-5)],(tblCarga[Jogador]=A34)*(tblCarga[Dor Musc. (1-5)]&lt;&gt;0)),ROWS(_xlfn._xlws.FILTER(tblCarga[Dor Musc. (1-5)],(tblCarga[Jogador]=A34)*(tblCarga[Dor Musc. (1-5)]&lt;&gt;0)))),"—"))</f>
        <v/>
      </c>
      <c r="D34" s="91">
        <f t="array" ref="D34">IF(A34="","",IFERROR(INDEX(_xlfn._xlws.FILTER(tblCarga[Stress (1-5)],(tblCarga[Jogador]=A34)*(tblCarga[Stress (1-5)]&lt;&gt;0)),ROWS(_xlfn._xlws.FILTER(tblCarga[Stress (1-5)],(tblCarga[Jogador]=A34)*(tblCarga[Stress (1-5)]&lt;&gt;0)))),"—"))</f>
        <v/>
      </c>
      <c r="E34" s="91">
        <f t="array" ref="E34">IF(A34="","",IFERROR(INDEX(_xlfn._xlws.FILTER(tblCarga[Humor (1-5)],(tblCarga[Jogador]=A34)*(tblCarga[Humor (1-5)]&lt;&gt;0)),ROWS(_xlfn._xlws.FILTER(tblCarga[Humor (1-5)],(tblCarga[Jogador]=A34)*(tblCarga[Humor (1-5)]&lt;&gt;0)))),"—"))</f>
        <v/>
      </c>
      <c r="F34" s="91">
        <f>IF(A34="","",IF(AND(ISNUMBER(B34),ISNUMBER(C34),ISNUMBER(D34),ISNUMBER(E34)),SUM(B34:E34),"—"))</f>
        <v/>
      </c>
      <c r="G34" s="91">
        <f>IF(A34="","",IF(F34="—","—",IF(F34&gt;12,"🔴",IF(F34&gt;8,"🟡","🟢"))))</f>
        <v/>
      </c>
      <c r="H34" s="91">
        <f>IF(A34="","",IF(F34="—","—",IFERROR(F34-AVERAGEIFS(tblCarga[Hooper Index],tblCarga[Jogador],A34,tblCarga[Hooper Index],"&gt;0"),"—")))</f>
        <v/>
      </c>
    </row>
    <row r="35">
      <c r="A35" s="42">
        <f t="array" ref="A35">IFERROR(INDEX(_xlfn._xlws.SORT(_xlfn.UNIQUE(tblCarga[Jogador])),29),"")</f>
        <v/>
      </c>
      <c r="B35" s="91">
        <f t="array" ref="B35">IF(A35="","",IFERROR(INDEX(_xlfn._xlws.FILTER(tblCarga[Sono (1-5)],(tblCarga[Jogador]=A35)*(tblCarga[Sono (1-5)]&lt;&gt;0)),ROWS(_xlfn._xlws.FILTER(tblCarga[Sono (1-5)],(tblCarga[Jogador]=A35)*(tblCarga[Sono (1-5)]&lt;&gt;0)))),"—"))</f>
        <v/>
      </c>
      <c r="C35" s="91">
        <f t="array" ref="C35">IF(A35="","",IFERROR(INDEX(_xlfn._xlws.FILTER(tblCarga[Dor Musc. (1-5)],(tblCarga[Jogador]=A35)*(tblCarga[Dor Musc. (1-5)]&lt;&gt;0)),ROWS(_xlfn._xlws.FILTER(tblCarga[Dor Musc. (1-5)],(tblCarga[Jogador]=A35)*(tblCarga[Dor Musc. (1-5)]&lt;&gt;0)))),"—"))</f>
        <v/>
      </c>
      <c r="D35" s="91">
        <f t="array" ref="D35">IF(A35="","",IFERROR(INDEX(_xlfn._xlws.FILTER(tblCarga[Stress (1-5)],(tblCarga[Jogador]=A35)*(tblCarga[Stress (1-5)]&lt;&gt;0)),ROWS(_xlfn._xlws.FILTER(tblCarga[Stress (1-5)],(tblCarga[Jogador]=A35)*(tblCarga[Stress (1-5)]&lt;&gt;0)))),"—"))</f>
        <v/>
      </c>
      <c r="E35" s="91">
        <f t="array" ref="E35">IF(A35="","",IFERROR(INDEX(_xlfn._xlws.FILTER(tblCarga[Humor (1-5)],(tblCarga[Jogador]=A35)*(tblCarga[Humor (1-5)]&lt;&gt;0)),ROWS(_xlfn._xlws.FILTER(tblCarga[Humor (1-5)],(tblCarga[Jogador]=A35)*(tblCarga[Humor (1-5)]&lt;&gt;0)))),"—"))</f>
        <v/>
      </c>
      <c r="F35" s="91">
        <f>IF(A35="","",IF(AND(ISNUMBER(B35),ISNUMBER(C35),ISNUMBER(D35),ISNUMBER(E35)),SUM(B35:E35),"—"))</f>
        <v/>
      </c>
      <c r="G35" s="91">
        <f>IF(A35="","",IF(F35="—","—",IF(F35&gt;12,"🔴",IF(F35&gt;8,"🟡","🟢"))))</f>
        <v/>
      </c>
      <c r="H35" s="91">
        <f>IF(A35="","",IF(F35="—","—",IFERROR(F35-AVERAGEIFS(tblCarga[Hooper Index],tblCarga[Jogador],A35,tblCarga[Hooper Index],"&gt;0"),"—")))</f>
        <v/>
      </c>
    </row>
    <row r="36">
      <c r="A36" s="42">
        <f t="array" ref="A36">IFERROR(INDEX(_xlfn._xlws.SORT(_xlfn.UNIQUE(tblCarga[Jogador])),30),"")</f>
        <v/>
      </c>
      <c r="B36" s="91">
        <f t="array" ref="B36">IF(A36="","",IFERROR(INDEX(_xlfn._xlws.FILTER(tblCarga[Sono (1-5)],(tblCarga[Jogador]=A36)*(tblCarga[Sono (1-5)]&lt;&gt;0)),ROWS(_xlfn._xlws.FILTER(tblCarga[Sono (1-5)],(tblCarga[Jogador]=A36)*(tblCarga[Sono (1-5)]&lt;&gt;0)))),"—"))</f>
        <v/>
      </c>
      <c r="C36" s="91">
        <f t="array" ref="C36">IF(A36="","",IFERROR(INDEX(_xlfn._xlws.FILTER(tblCarga[Dor Musc. (1-5)],(tblCarga[Jogador]=A36)*(tblCarga[Dor Musc. (1-5)]&lt;&gt;0)),ROWS(_xlfn._xlws.FILTER(tblCarga[Dor Musc. (1-5)],(tblCarga[Jogador]=A36)*(tblCarga[Dor Musc. (1-5)]&lt;&gt;0)))),"—"))</f>
        <v/>
      </c>
      <c r="D36" s="91">
        <f t="array" ref="D36">IF(A36="","",IFERROR(INDEX(_xlfn._xlws.FILTER(tblCarga[Stress (1-5)],(tblCarga[Jogador]=A36)*(tblCarga[Stress (1-5)]&lt;&gt;0)),ROWS(_xlfn._xlws.FILTER(tblCarga[Stress (1-5)],(tblCarga[Jogador]=A36)*(tblCarga[Stress (1-5)]&lt;&gt;0)))),"—"))</f>
        <v/>
      </c>
      <c r="E36" s="91">
        <f t="array" ref="E36">IF(A36="","",IFERROR(INDEX(_xlfn._xlws.FILTER(tblCarga[Humor (1-5)],(tblCarga[Jogador]=A36)*(tblCarga[Humor (1-5)]&lt;&gt;0)),ROWS(_xlfn._xlws.FILTER(tblCarga[Humor (1-5)],(tblCarga[Jogador]=A36)*(tblCarga[Humor (1-5)]&lt;&gt;0)))),"—"))</f>
        <v/>
      </c>
      <c r="F36" s="91">
        <f>IF(A36="","",IF(AND(ISNUMBER(B36),ISNUMBER(C36),ISNUMBER(D36),ISNUMBER(E36)),SUM(B36:E36),"—"))</f>
        <v/>
      </c>
      <c r="G36" s="91">
        <f>IF(A36="","",IF(F36="—","—",IF(F36&gt;12,"🔴",IF(F36&gt;8,"🟡","🟢"))))</f>
        <v/>
      </c>
      <c r="H36" s="91">
        <f>IF(A36="","",IF(F36="—","—",IFERROR(F36-AVERAGEIFS(tblCarga[Hooper Index],tblCarga[Jogador],A36,tblCarga[Hooper Index],"&gt;0"),"—")))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602" t="inlineStr">
        <is>
          <t>B — RESUMO EQUIPA &amp; EVOLUÇÃO POR MICROCICLO</t>
        </is>
      </c>
      <c r="B38" s="9" t="n"/>
      <c r="C38" s="9" t="n"/>
      <c r="D38" s="9" t="n"/>
      <c r="E38" s="9" t="n"/>
      <c r="F38" s="9" t="n"/>
      <c r="G38" s="9" t="n"/>
      <c r="H38" s="9" t="n"/>
    </row>
    <row r="39" ht="27.95" customHeight="1">
      <c r="A39" s="596" t="n"/>
      <c r="B39" s="601" t="n"/>
      <c r="C39" s="601" t="n"/>
      <c r="D39" s="601" t="n"/>
      <c r="E39" s="601" t="n"/>
      <c r="F39" s="601" t="n"/>
      <c r="G39" s="601" t="n"/>
      <c r="H39" s="601" t="n"/>
    </row>
    <row r="40" ht="6" customHeight="1">
      <c r="A40" s="153" t="inlineStr">
        <is>
          <t>Métrica</t>
        </is>
      </c>
      <c r="B40" s="367" t="inlineStr">
        <is>
          <t>Equipa
Atual</t>
        </is>
      </c>
      <c r="C40" s="367" t="inlineStr">
        <is>
          <t>Média
Histórica</t>
        </is>
      </c>
      <c r="D40" s="252" t="inlineStr">
        <is>
          <t>Δ</t>
        </is>
      </c>
      <c r="E40" s="9" t="n"/>
      <c r="F40" s="9" t="n"/>
      <c r="G40" s="9" t="n"/>
      <c r="H40" s="9" t="n"/>
    </row>
    <row r="41" ht="27.95" customHeight="1">
      <c r="A41" s="193" t="inlineStr">
        <is>
          <t>Hooper Médio</t>
        </is>
      </c>
      <c r="B41" s="551">
        <f t="array" ref="B41">IFERROR(AVERAGE(IF(ISNUMBER(F7:F36),F7:F36)),"—")</f>
        <v/>
      </c>
      <c r="C41" s="551">
        <f>IFERROR(AVERAGEIFS(tblCarga[Hooper Index],tblCarga[Hooper Index],"&gt;0"),"—")</f>
        <v/>
      </c>
      <c r="D41" s="551">
        <f>IF(OR(B41="—",C41="—"),"—",B41-C41)</f>
        <v/>
      </c>
    </row>
    <row r="42" ht="24" customHeight="1">
      <c r="A42" s="136" t="inlineStr">
        <is>
          <t>Sono Médio</t>
        </is>
      </c>
      <c r="B42" s="398">
        <f t="array" ref="B42">IFERROR(AVERAGE(IF(ISNUMBER(B7:B36),B7:B36)),"—")</f>
        <v/>
      </c>
      <c r="C42" s="398">
        <f>IFERROR(AVERAGEIFS(tblCarga[Sono (1-5)],tblCarga[Sono (1-5)],"&gt;0"),"—")</f>
        <v/>
      </c>
      <c r="D42" s="398">
        <f>IF(OR(B42="—",C42="—"),"—",B42-C42)</f>
        <v/>
      </c>
    </row>
    <row r="43" ht="24" customHeight="1">
      <c r="A43" s="85" t="inlineStr">
        <is>
          <t>Dor Musc. Média</t>
        </is>
      </c>
      <c r="B43" s="399">
        <f t="array" ref="B43">IFERROR(AVERAGE(IF(ISNUMBER(C7:C36),C7:C36)),"—")</f>
        <v/>
      </c>
      <c r="C43" s="399">
        <f>IFERROR(AVERAGEIFS(tblCarga[Dor Musc. (1-5)],tblCarga[Dor Musc. (1-5)],"&gt;0"),"—")</f>
        <v/>
      </c>
      <c r="D43" s="399">
        <f>IF(OR(B43="—",C43="—"),"—",B43-C43)</f>
        <v/>
      </c>
    </row>
    <row r="44" ht="24" customHeight="1">
      <c r="A44" s="136" t="inlineStr">
        <is>
          <t>Stress Médio</t>
        </is>
      </c>
      <c r="B44" s="398">
        <f t="array" ref="B44">IFERROR(AVERAGE(IF(ISNUMBER(D7:D36),D7:D36)),"—")</f>
        <v/>
      </c>
      <c r="C44" s="398">
        <f>IFERROR(AVERAGEIFS(tblCarga[Stress (1-5)],tblCarga[Stress (1-5)],"&gt;0"),"—")</f>
        <v/>
      </c>
      <c r="D44" s="398">
        <f>IF(OR(B44="—",C44="—"),"—",B44-C44)</f>
        <v/>
      </c>
    </row>
    <row r="45" ht="24" customHeight="1">
      <c r="A45" s="85" t="inlineStr">
        <is>
          <t>Humor Médio</t>
        </is>
      </c>
      <c r="B45" s="399">
        <f t="array" ref="B45">IFERROR(AVERAGE(IF(ISNUMBER(E7:E36),E7:E36)),"—")</f>
        <v/>
      </c>
      <c r="C45" s="399">
        <f>IFERROR(AVERAGEIFS(tblCarga[Humor (1-5)],tblCarga[Humor (1-5)],"&gt;0"),"—")</f>
        <v/>
      </c>
      <c r="D45" s="399">
        <f>IF(OR(B45="—",C45="—"),"—",B45-C45)</f>
        <v/>
      </c>
    </row>
    <row r="46" ht="24" customHeight="1">
      <c r="A46" s="136" t="n"/>
      <c r="B46" s="137" t="n"/>
      <c r="C46" s="137" t="n"/>
      <c r="D46" s="137" t="n"/>
    </row>
    <row r="47" ht="24" customHeight="1">
      <c r="A47" s="85" t="inlineStr">
        <is>
          <t>🟢 Bom (≤ 8)</t>
        </is>
      </c>
      <c r="B47" s="112">
        <f>COUNTIF(G7:G36,"🟢")</f>
        <v/>
      </c>
      <c r="C47" s="125" t="n"/>
      <c r="D47" s="125" t="n"/>
    </row>
    <row r="48" ht="24" customHeight="1">
      <c r="A48" s="136" t="inlineStr">
        <is>
          <t>🟡 Atenção (9-12)</t>
        </is>
      </c>
      <c r="B48" s="397">
        <f>COUNTIF(G7:G36,"🟡")</f>
        <v/>
      </c>
      <c r="C48" s="137" t="n"/>
      <c r="D48" s="137" t="n"/>
    </row>
    <row r="49" ht="24" customHeight="1">
      <c r="A49" s="85" t="inlineStr">
        <is>
          <t>🔴 Alerta (&gt; 12)</t>
        </is>
      </c>
      <c r="B49" s="112">
        <f>COUNTIF(G7:G36,"🔴")</f>
        <v/>
      </c>
      <c r="C49" s="125" t="n"/>
      <c r="D49" s="125" t="n"/>
    </row>
  </sheetData>
  <conditionalFormatting sqref="B7:E36">
    <cfRule type="cellIs" priority="4" operator="greaterThan" dxfId="4">
      <formula>3</formula>
    </cfRule>
    <cfRule type="cellIs" priority="5" operator="between" dxfId="1">
      <formula>3</formula>
      <formula>3</formula>
    </cfRule>
    <cfRule type="cellIs" priority="6" operator="lessThan" dxfId="0">
      <formula>3</formula>
    </cfRule>
  </conditionalFormatting>
  <conditionalFormatting sqref="F7:F36">
    <cfRule type="cellIs" priority="1" operator="greaterThan" dxfId="4">
      <formula>12</formula>
    </cfRule>
    <cfRule type="cellIs" priority="2" operator="between" dxfId="1">
      <formula>8</formula>
      <formula>12</formula>
    </cfRule>
    <cfRule type="cellIs" priority="3" operator="lessThanOrEqual" dxfId="0">
      <formula>8</formula>
    </cfRule>
  </conditionalFormatting>
  <conditionalFormatting sqref="H7:H36">
    <cfRule type="cellIs" priority="16" operator="greaterThan" dxfId="6">
      <formula>0</formula>
    </cfRule>
    <cfRule type="cellIs" priority="17" operator="lessThan" dxfId="5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Q60"/>
  <sheetViews>
    <sheetView tabSelected="1" workbookViewId="0">
      <pane ySplit="3" topLeftCell="A4" activePane="bottomLeft" state="frozen"/>
      <selection pane="bottomLeft" activeCell="G15" sqref="G15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28" customWidth="1" min="4" max="4"/>
    <col width="18" customWidth="1" min="5" max="5"/>
    <col width="11" customWidth="1" min="6" max="6"/>
    <col width="11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1" customWidth="1" min="14" max="14"/>
    <col width="22" customWidth="1" min="15" max="15"/>
    <col width="22" customWidth="1" min="17" max="17"/>
  </cols>
  <sheetData>
    <row r="1" ht="28" customHeight="1">
      <c r="A1" s="635" t="inlineStr">
        <is>
          <t>REGISTO DE EXERCÍCIOS — CARGA GPS POR EXERCÍCIO</t>
        </is>
      </c>
      <c r="Q1" s="636" t="inlineStr">
        <is>
          <t>CATEGORIAS SUGERIDAS</t>
        </is>
      </c>
    </row>
    <row r="2" ht="22" customHeight="1">
      <c r="A2" s="637" t="inlineStr">
        <is>
          <t>CONTEXTO DO EXERCÍCIO</t>
        </is>
      </c>
      <c r="F2" s="637" t="inlineStr">
        <is>
          <t>ESTRUTURA</t>
        </is>
      </c>
      <c r="H2" s="638" t="inlineStr">
        <is>
          <t>MÉTRICAS GPS (médias por jogador no exercício)</t>
        </is>
      </c>
      <c r="Q2" s="639" t="inlineStr">
        <is>
          <t>Ativação</t>
        </is>
      </c>
    </row>
    <row r="3" ht="36" customHeight="1">
      <c r="A3" s="640" t="inlineStr">
        <is>
          <t>Data</t>
        </is>
      </c>
      <c r="B3" s="640" t="inlineStr">
        <is>
          <t>Microciclo
(Nr)</t>
        </is>
      </c>
      <c r="C3" s="640" t="inlineStr">
        <is>
          <t>Dia MD</t>
        </is>
      </c>
      <c r="D3" s="640" t="inlineStr">
        <is>
          <t>Nome do
Exercício</t>
        </is>
      </c>
      <c r="E3" s="640" t="inlineStr">
        <is>
          <t>Categoria</t>
        </is>
      </c>
      <c r="F3" s="640" t="inlineStr">
        <is>
          <t>Duração
(min)</t>
        </is>
      </c>
      <c r="G3" s="640" t="inlineStr">
        <is>
          <t>Nº
Jogadores</t>
        </is>
      </c>
      <c r="H3" s="641" t="inlineStr">
        <is>
          <t>Distância
Total (m)</t>
        </is>
      </c>
      <c r="I3" s="641" t="inlineStr">
        <is>
          <t>HSR
(m)</t>
        </is>
      </c>
      <c r="J3" s="641" t="inlineStr">
        <is>
          <t>Sprint
(m)</t>
        </is>
      </c>
      <c r="K3" s="641" t="inlineStr">
        <is>
          <t>Acc
(n)</t>
        </is>
      </c>
      <c r="L3" s="641" t="inlineStr">
        <is>
          <t>Dcc
(n)</t>
        </is>
      </c>
      <c r="M3" s="641" t="inlineStr">
        <is>
          <t>Vel. Máx
(km/h)</t>
        </is>
      </c>
      <c r="N3" s="641" t="inlineStr">
        <is>
          <t>PSE
Exercício</t>
        </is>
      </c>
      <c r="O3" s="641" t="inlineStr">
        <is>
          <t>Notas</t>
        </is>
      </c>
      <c r="Q3" s="639" t="inlineStr">
        <is>
          <t>Técnico-Tático</t>
        </is>
      </c>
    </row>
    <row r="4" ht="18" customHeight="1">
      <c r="A4" s="642" t="inlineStr">
        <is>
          <t>13/01/2025</t>
        </is>
      </c>
      <c r="B4" s="642" t="n">
        <v>4</v>
      </c>
      <c r="C4" s="642" t="inlineStr">
        <is>
          <t>MD-3</t>
        </is>
      </c>
      <c r="D4" s="643" t="inlineStr">
        <is>
          <t>Rondo 5x2</t>
        </is>
      </c>
      <c r="E4" s="643" t="inlineStr">
        <is>
          <t>Ativação</t>
        </is>
      </c>
      <c r="F4" s="642" t="n">
        <v>12</v>
      </c>
      <c r="G4" s="642" t="n">
        <v>14</v>
      </c>
      <c r="H4" s="642" t="n">
        <v>850</v>
      </c>
      <c r="I4" s="642" t="n">
        <v>45</v>
      </c>
      <c r="J4" s="642" t="n">
        <v>10</v>
      </c>
      <c r="K4" s="642" t="n">
        <v>12</v>
      </c>
      <c r="L4" s="642" t="n">
        <v>10</v>
      </c>
      <c r="M4" s="642" t="n">
        <v>18.5</v>
      </c>
      <c r="N4" s="642" t="n">
        <v>4</v>
      </c>
      <c r="O4" s="643" t="inlineStr"/>
      <c r="Q4" s="639" t="inlineStr">
        <is>
          <t>Jogo Reduzido</t>
        </is>
      </c>
    </row>
    <row r="5" ht="18" customHeight="1">
      <c r="A5" s="642" t="inlineStr">
        <is>
          <t>13/01/2025</t>
        </is>
      </c>
      <c r="B5" s="642" t="n">
        <v>4</v>
      </c>
      <c r="C5" s="642" t="inlineStr">
        <is>
          <t>MD-3</t>
        </is>
      </c>
      <c r="D5" s="643" t="inlineStr">
        <is>
          <t>Joguinho posicional 4x4+2GR</t>
        </is>
      </c>
      <c r="E5" s="643" t="inlineStr">
        <is>
          <t>Técnico-Tático</t>
        </is>
      </c>
      <c r="F5" s="642" t="n">
        <v>20</v>
      </c>
      <c r="G5" s="642" t="n">
        <v>14</v>
      </c>
      <c r="H5" s="642" t="n">
        <v>2100</v>
      </c>
      <c r="I5" s="642" t="n">
        <v>210</v>
      </c>
      <c r="J5" s="642" t="n">
        <v>85</v>
      </c>
      <c r="K5" s="642" t="n">
        <v>35</v>
      </c>
      <c r="L5" s="642" t="n">
        <v>30</v>
      </c>
      <c r="M5" s="642" t="n">
        <v>26.3</v>
      </c>
      <c r="N5" s="642" t="n">
        <v>7</v>
      </c>
      <c r="O5" s="643" t="inlineStr">
        <is>
          <t>Alta intensidade</t>
        </is>
      </c>
      <c r="Q5" s="639" t="inlineStr">
        <is>
          <t>Físico</t>
        </is>
      </c>
    </row>
    <row r="6" ht="18" customHeight="1">
      <c r="A6" s="642" t="inlineStr">
        <is>
          <t>13/01/2025</t>
        </is>
      </c>
      <c r="B6" s="642" t="n">
        <v>4</v>
      </c>
      <c r="C6" s="642" t="inlineStr">
        <is>
          <t>MD-3</t>
        </is>
      </c>
      <c r="D6" s="643" t="inlineStr">
        <is>
          <t>Situação de jogo 8x8</t>
        </is>
      </c>
      <c r="E6" s="643" t="inlineStr">
        <is>
          <t>Jogo Reduzido</t>
        </is>
      </c>
      <c r="F6" s="642" t="n">
        <v>25</v>
      </c>
      <c r="G6" s="642" t="n">
        <v>14</v>
      </c>
      <c r="H6" s="642" t="n">
        <v>3200</v>
      </c>
      <c r="I6" s="642" t="n">
        <v>380</v>
      </c>
      <c r="J6" s="642" t="n">
        <v>150</v>
      </c>
      <c r="K6" s="642" t="n">
        <v>48</v>
      </c>
      <c r="L6" s="642" t="n">
        <v>42</v>
      </c>
      <c r="M6" s="642" t="n">
        <v>28.1</v>
      </c>
      <c r="N6" s="642" t="n">
        <v>8</v>
      </c>
      <c r="O6" s="643" t="inlineStr"/>
      <c r="Q6" s="639" t="inlineStr">
        <is>
          <t>Posicional</t>
        </is>
      </c>
    </row>
    <row r="7" ht="18" customHeight="1">
      <c r="A7" s="642" t="inlineStr">
        <is>
          <t>13/01/2025</t>
        </is>
      </c>
      <c r="B7" s="642" t="n">
        <v>4</v>
      </c>
      <c r="C7" s="642" t="inlineStr">
        <is>
          <t>MD-3</t>
        </is>
      </c>
      <c r="D7" s="643" t="inlineStr">
        <is>
          <t>Trabalho físico — sprints</t>
        </is>
      </c>
      <c r="E7" s="643" t="inlineStr">
        <is>
          <t>Físico</t>
        </is>
      </c>
      <c r="F7" s="642" t="n">
        <v>15</v>
      </c>
      <c r="G7" s="642" t="n">
        <v>14</v>
      </c>
      <c r="H7" s="642" t="n">
        <v>1800</v>
      </c>
      <c r="I7" s="642" t="n">
        <v>520</v>
      </c>
      <c r="J7" s="642" t="n">
        <v>380</v>
      </c>
      <c r="K7" s="642" t="n">
        <v>55</v>
      </c>
      <c r="L7" s="642" t="n">
        <v>52</v>
      </c>
      <c r="M7" s="642" t="n">
        <v>29.8</v>
      </c>
      <c r="N7" s="642" t="n">
        <v>8</v>
      </c>
      <c r="O7" s="643" t="inlineStr">
        <is>
          <t>Sprint ladder</t>
        </is>
      </c>
      <c r="Q7" s="639" t="inlineStr">
        <is>
          <t>Setorial</t>
        </is>
      </c>
    </row>
    <row r="8" ht="18" customHeight="1">
      <c r="A8" s="642" t="inlineStr">
        <is>
          <t>13/01/2025</t>
        </is>
      </c>
      <c r="B8" s="642" t="n">
        <v>4</v>
      </c>
      <c r="C8" s="642" t="inlineStr">
        <is>
          <t>MD-3</t>
        </is>
      </c>
      <c r="D8" s="643" t="inlineStr">
        <is>
          <t>Retorno à calma</t>
        </is>
      </c>
      <c r="E8" s="643" t="inlineStr">
        <is>
          <t>Recuperação</t>
        </is>
      </c>
      <c r="F8" s="642" t="n">
        <v>10</v>
      </c>
      <c r="G8" s="642" t="n">
        <v>14</v>
      </c>
      <c r="H8" s="642" t="n">
        <v>400</v>
      </c>
      <c r="I8" s="642" t="n">
        <v>10</v>
      </c>
      <c r="J8" s="642" t="n">
        <v>0</v>
      </c>
      <c r="K8" s="642" t="n">
        <v>5</v>
      </c>
      <c r="L8" s="642" t="n">
        <v>5</v>
      </c>
      <c r="M8" s="642" t="n">
        <v>12</v>
      </c>
      <c r="N8" s="642" t="n">
        <v>2</v>
      </c>
      <c r="O8" s="643" t="inlineStr">
        <is>
          <t>Alongamentos</t>
        </is>
      </c>
      <c r="Q8" s="639" t="inlineStr">
        <is>
          <t>Intersectorial</t>
        </is>
      </c>
    </row>
    <row r="9" ht="20" customHeight="1">
      <c r="A9" s="644" t="inlineStr">
        <is>
          <t>▼  INTRODUZ OS TEUS DADOS A PARTIR DAQUI  ▼</t>
        </is>
      </c>
      <c r="Q9" s="639" t="inlineStr">
        <is>
          <t>Jogo Formal</t>
        </is>
      </c>
    </row>
    <row r="10" ht="18" customHeight="1">
      <c r="A10" s="645" t="n"/>
      <c r="B10" s="646" t="n"/>
      <c r="C10" s="645" t="n"/>
      <c r="D10" s="645" t="n"/>
      <c r="E10" s="645" t="n"/>
      <c r="F10" s="646" t="n"/>
      <c r="G10" s="646" t="n"/>
      <c r="H10" s="646" t="n"/>
      <c r="I10" s="646" t="n"/>
      <c r="J10" s="646" t="n"/>
      <c r="K10" s="646" t="n"/>
      <c r="L10" s="646" t="n"/>
      <c r="M10" s="646" t="n"/>
      <c r="N10" s="646" t="n"/>
      <c r="O10" s="645" t="n"/>
      <c r="Q10" s="639" t="inlineStr">
        <is>
          <t>Recuperação</t>
        </is>
      </c>
    </row>
    <row r="11" ht="18" customHeight="1">
      <c r="A11" s="645" t="n"/>
      <c r="B11" s="646" t="n"/>
      <c r="C11" s="645" t="n"/>
      <c r="D11" s="645" t="n"/>
      <c r="E11" s="645" t="n"/>
      <c r="F11" s="646" t="n"/>
      <c r="G11" s="646" t="n"/>
      <c r="H11" s="646" t="n"/>
      <c r="I11" s="646" t="n"/>
      <c r="J11" s="646" t="n"/>
      <c r="K11" s="646" t="n"/>
      <c r="L11" s="646" t="n"/>
      <c r="M11" s="646" t="n"/>
      <c r="N11" s="646" t="n"/>
      <c r="O11" s="645" t="n"/>
    </row>
    <row r="12" ht="18" customHeight="1">
      <c r="A12" s="645" t="n"/>
      <c r="B12" s="646" t="n"/>
      <c r="C12" s="645" t="n"/>
      <c r="D12" s="645" t="n"/>
      <c r="E12" s="645" t="n"/>
      <c r="F12" s="646" t="n"/>
      <c r="G12" s="646" t="n"/>
      <c r="H12" s="646" t="n"/>
      <c r="I12" s="646" t="n"/>
      <c r="J12" s="646" t="n"/>
      <c r="K12" s="646" t="n"/>
      <c r="L12" s="646" t="n"/>
      <c r="M12" s="646" t="n"/>
      <c r="N12" s="646" t="n"/>
      <c r="O12" s="645" t="n"/>
    </row>
    <row r="13" ht="18" customHeight="1">
      <c r="A13" s="645" t="n"/>
      <c r="B13" s="646" t="n"/>
      <c r="C13" s="645" t="n"/>
      <c r="D13" s="645" t="n"/>
      <c r="E13" s="645" t="n"/>
      <c r="F13" s="646" t="n"/>
      <c r="G13" s="646" t="n"/>
      <c r="H13" s="646" t="n"/>
      <c r="I13" s="646" t="n"/>
      <c r="J13" s="646" t="n"/>
      <c r="K13" s="646" t="n"/>
      <c r="L13" s="646" t="n"/>
      <c r="M13" s="646" t="n"/>
      <c r="N13" s="646" t="n"/>
      <c r="O13" s="645" t="n"/>
    </row>
    <row r="14" ht="18" customHeight="1">
      <c r="A14" s="645" t="n"/>
      <c r="B14" s="646" t="n"/>
      <c r="C14" s="645" t="n"/>
      <c r="D14" s="645" t="n"/>
      <c r="E14" s="645" t="n"/>
      <c r="F14" s="646" t="n"/>
      <c r="G14" s="646" t="n"/>
      <c r="H14" s="646" t="n"/>
      <c r="I14" s="646" t="n"/>
      <c r="J14" s="646" t="n"/>
      <c r="K14" s="646" t="n"/>
      <c r="L14" s="646" t="n"/>
      <c r="M14" s="646" t="n"/>
      <c r="N14" s="646" t="n"/>
      <c r="O14" s="645" t="n"/>
    </row>
    <row r="15" ht="18" customHeight="1">
      <c r="A15" s="645" t="n"/>
      <c r="B15" s="646" t="n"/>
      <c r="C15" s="645" t="n"/>
      <c r="D15" s="645" t="n"/>
      <c r="E15" s="645" t="n"/>
      <c r="F15" s="646" t="n"/>
      <c r="G15" s="646" t="n"/>
      <c r="H15" s="646" t="n"/>
      <c r="I15" s="646" t="n"/>
      <c r="J15" s="646" t="n"/>
      <c r="K15" s="646" t="n"/>
      <c r="L15" s="646" t="n"/>
      <c r="M15" s="646" t="n"/>
      <c r="N15" s="646" t="n"/>
      <c r="O15" s="645" t="n"/>
    </row>
    <row r="16" ht="18" customHeight="1">
      <c r="A16" s="645" t="n"/>
      <c r="B16" s="646" t="n"/>
      <c r="C16" s="645" t="n"/>
      <c r="D16" s="645" t="n"/>
      <c r="E16" s="645" t="n"/>
      <c r="F16" s="646" t="n"/>
      <c r="G16" s="646" t="n"/>
      <c r="H16" s="646" t="n"/>
      <c r="I16" s="646" t="n"/>
      <c r="J16" s="646" t="n"/>
      <c r="K16" s="646" t="n"/>
      <c r="L16" s="646" t="n"/>
      <c r="M16" s="646" t="n"/>
      <c r="N16" s="646" t="n"/>
      <c r="O16" s="645" t="n"/>
    </row>
    <row r="17" ht="18" customHeight="1">
      <c r="A17" s="645" t="n"/>
      <c r="B17" s="646" t="n"/>
      <c r="C17" s="645" t="n"/>
      <c r="D17" s="645" t="n"/>
      <c r="E17" s="645" t="n"/>
      <c r="F17" s="646" t="n"/>
      <c r="G17" s="646" t="n"/>
      <c r="H17" s="646" t="n"/>
      <c r="I17" s="646" t="n"/>
      <c r="J17" s="646" t="n"/>
      <c r="K17" s="646" t="n"/>
      <c r="L17" s="646" t="n"/>
      <c r="M17" s="646" t="n"/>
      <c r="N17" s="646" t="n"/>
      <c r="O17" s="645" t="n"/>
    </row>
    <row r="18" ht="18" customHeight="1">
      <c r="A18" s="645" t="n"/>
      <c r="B18" s="646" t="n"/>
      <c r="C18" s="645" t="n"/>
      <c r="D18" s="645" t="n"/>
      <c r="E18" s="645" t="n"/>
      <c r="F18" s="646" t="n"/>
      <c r="G18" s="646" t="n"/>
      <c r="H18" s="646" t="n"/>
      <c r="I18" s="646" t="n"/>
      <c r="J18" s="646" t="n"/>
      <c r="K18" s="646" t="n"/>
      <c r="L18" s="646" t="n"/>
      <c r="M18" s="646" t="n"/>
      <c r="N18" s="646" t="n"/>
      <c r="O18" s="645" t="n"/>
    </row>
    <row r="19" ht="18" customHeight="1">
      <c r="A19" s="645" t="n"/>
      <c r="B19" s="646" t="n"/>
      <c r="C19" s="645" t="n"/>
      <c r="D19" s="645" t="n"/>
      <c r="E19" s="645" t="n"/>
      <c r="F19" s="646" t="n"/>
      <c r="G19" s="646" t="n"/>
      <c r="H19" s="646" t="n"/>
      <c r="I19" s="646" t="n"/>
      <c r="J19" s="646" t="n"/>
      <c r="K19" s="646" t="n"/>
      <c r="L19" s="646" t="n"/>
      <c r="M19" s="646" t="n"/>
      <c r="N19" s="646" t="n"/>
      <c r="O19" s="645" t="n"/>
    </row>
    <row r="20" ht="18" customHeight="1">
      <c r="A20" s="645" t="n"/>
      <c r="B20" s="646" t="n"/>
      <c r="C20" s="645" t="n"/>
      <c r="D20" s="645" t="n"/>
      <c r="E20" s="645" t="n"/>
      <c r="F20" s="646" t="n"/>
      <c r="G20" s="646" t="n"/>
      <c r="H20" s="646" t="n"/>
      <c r="I20" s="646" t="n"/>
      <c r="J20" s="646" t="n"/>
      <c r="K20" s="646" t="n"/>
      <c r="L20" s="646" t="n"/>
      <c r="M20" s="646" t="n"/>
      <c r="N20" s="646" t="n"/>
      <c r="O20" s="645" t="n"/>
    </row>
    <row r="21" ht="18" customHeight="1">
      <c r="A21" s="645" t="n"/>
      <c r="B21" s="646" t="n"/>
      <c r="C21" s="645" t="n"/>
      <c r="D21" s="645" t="n"/>
      <c r="E21" s="645" t="n"/>
      <c r="F21" s="646" t="n"/>
      <c r="G21" s="646" t="n"/>
      <c r="H21" s="646" t="n"/>
      <c r="I21" s="646" t="n"/>
      <c r="J21" s="646" t="n"/>
      <c r="K21" s="646" t="n"/>
      <c r="L21" s="646" t="n"/>
      <c r="M21" s="646" t="n"/>
      <c r="N21" s="646" t="n"/>
      <c r="O21" s="645" t="n"/>
    </row>
    <row r="22" ht="18" customHeight="1">
      <c r="A22" s="645" t="n"/>
      <c r="B22" s="646" t="n"/>
      <c r="C22" s="645" t="n"/>
      <c r="D22" s="645" t="n"/>
      <c r="E22" s="645" t="n"/>
      <c r="F22" s="646" t="n"/>
      <c r="G22" s="646" t="n"/>
      <c r="H22" s="646" t="n"/>
      <c r="I22" s="646" t="n"/>
      <c r="J22" s="646" t="n"/>
      <c r="K22" s="646" t="n"/>
      <c r="L22" s="646" t="n"/>
      <c r="M22" s="646" t="n"/>
      <c r="N22" s="646" t="n"/>
      <c r="O22" s="645" t="n"/>
    </row>
    <row r="23" ht="18" customHeight="1">
      <c r="A23" s="645" t="n"/>
      <c r="B23" s="646" t="n"/>
      <c r="C23" s="645" t="n"/>
      <c r="D23" s="645" t="n"/>
      <c r="E23" s="645" t="n"/>
      <c r="F23" s="646" t="n"/>
      <c r="G23" s="646" t="n"/>
      <c r="H23" s="646" t="n"/>
      <c r="I23" s="646" t="n"/>
      <c r="J23" s="646" t="n"/>
      <c r="K23" s="646" t="n"/>
      <c r="L23" s="646" t="n"/>
      <c r="M23" s="646" t="n"/>
      <c r="N23" s="646" t="n"/>
      <c r="O23" s="645" t="n"/>
    </row>
    <row r="24" ht="18" customHeight="1">
      <c r="A24" s="645" t="n"/>
      <c r="B24" s="646" t="n"/>
      <c r="C24" s="645" t="n"/>
      <c r="D24" s="645" t="n"/>
      <c r="E24" s="645" t="n"/>
      <c r="F24" s="646" t="n"/>
      <c r="G24" s="646" t="n"/>
      <c r="H24" s="646" t="n"/>
      <c r="I24" s="646" t="n"/>
      <c r="J24" s="646" t="n"/>
      <c r="K24" s="646" t="n"/>
      <c r="L24" s="646" t="n"/>
      <c r="M24" s="646" t="n"/>
      <c r="N24" s="646" t="n"/>
      <c r="O24" s="645" t="n"/>
    </row>
    <row r="25" ht="18" customHeight="1">
      <c r="A25" s="645" t="n"/>
      <c r="B25" s="646" t="n"/>
      <c r="C25" s="645" t="n"/>
      <c r="D25" s="645" t="n"/>
      <c r="E25" s="645" t="n"/>
      <c r="F25" s="646" t="n"/>
      <c r="G25" s="646" t="n"/>
      <c r="H25" s="646" t="n"/>
      <c r="I25" s="646" t="n"/>
      <c r="J25" s="646" t="n"/>
      <c r="K25" s="646" t="n"/>
      <c r="L25" s="646" t="n"/>
      <c r="M25" s="646" t="n"/>
      <c r="N25" s="646" t="n"/>
      <c r="O25" s="645" t="n"/>
    </row>
    <row r="26" ht="18" customHeight="1">
      <c r="A26" s="645" t="n"/>
      <c r="B26" s="646" t="n"/>
      <c r="C26" s="645" t="n"/>
      <c r="D26" s="645" t="n"/>
      <c r="E26" s="645" t="n"/>
      <c r="F26" s="646" t="n"/>
      <c r="G26" s="646" t="n"/>
      <c r="H26" s="646" t="n"/>
      <c r="I26" s="646" t="n"/>
      <c r="J26" s="646" t="n"/>
      <c r="K26" s="646" t="n"/>
      <c r="L26" s="646" t="n"/>
      <c r="M26" s="646" t="n"/>
      <c r="N26" s="646" t="n"/>
      <c r="O26" s="645" t="n"/>
    </row>
    <row r="27" ht="18" customHeight="1">
      <c r="A27" s="645" t="n"/>
      <c r="B27" s="646" t="n"/>
      <c r="C27" s="645" t="n"/>
      <c r="D27" s="645" t="n"/>
      <c r="E27" s="645" t="n"/>
      <c r="F27" s="646" t="n"/>
      <c r="G27" s="646" t="n"/>
      <c r="H27" s="646" t="n"/>
      <c r="I27" s="646" t="n"/>
      <c r="J27" s="646" t="n"/>
      <c r="K27" s="646" t="n"/>
      <c r="L27" s="646" t="n"/>
      <c r="M27" s="646" t="n"/>
      <c r="N27" s="646" t="n"/>
      <c r="O27" s="645" t="n"/>
    </row>
    <row r="28" ht="18" customHeight="1">
      <c r="A28" s="645" t="n"/>
      <c r="B28" s="646" t="n"/>
      <c r="C28" s="645" t="n"/>
      <c r="D28" s="645" t="n"/>
      <c r="E28" s="645" t="n"/>
      <c r="F28" s="646" t="n"/>
      <c r="G28" s="646" t="n"/>
      <c r="H28" s="646" t="n"/>
      <c r="I28" s="646" t="n"/>
      <c r="J28" s="646" t="n"/>
      <c r="K28" s="646" t="n"/>
      <c r="L28" s="646" t="n"/>
      <c r="M28" s="646" t="n"/>
      <c r="N28" s="646" t="n"/>
      <c r="O28" s="645" t="n"/>
    </row>
    <row r="29" ht="18" customHeight="1">
      <c r="A29" s="645" t="n"/>
      <c r="B29" s="646" t="n"/>
      <c r="C29" s="645" t="n"/>
      <c r="D29" s="645" t="n"/>
      <c r="E29" s="645" t="n"/>
      <c r="F29" s="646" t="n"/>
      <c r="G29" s="646" t="n"/>
      <c r="H29" s="646" t="n"/>
      <c r="I29" s="646" t="n"/>
      <c r="J29" s="646" t="n"/>
      <c r="K29" s="646" t="n"/>
      <c r="L29" s="646" t="n"/>
      <c r="M29" s="646" t="n"/>
      <c r="N29" s="646" t="n"/>
      <c r="O29" s="645" t="n"/>
    </row>
    <row r="30" ht="18" customHeight="1">
      <c r="A30" s="645" t="n"/>
      <c r="B30" s="646" t="n"/>
      <c r="C30" s="645" t="n"/>
      <c r="D30" s="645" t="n"/>
      <c r="E30" s="645" t="n"/>
      <c r="F30" s="646" t="n"/>
      <c r="G30" s="646" t="n"/>
      <c r="H30" s="646" t="n"/>
      <c r="I30" s="646" t="n"/>
      <c r="J30" s="646" t="n"/>
      <c r="K30" s="646" t="n"/>
      <c r="L30" s="646" t="n"/>
      <c r="M30" s="646" t="n"/>
      <c r="N30" s="646" t="n"/>
      <c r="O30" s="645" t="n"/>
    </row>
    <row r="31" ht="18" customHeight="1">
      <c r="A31" s="645" t="n"/>
      <c r="B31" s="646" t="n"/>
      <c r="C31" s="645" t="n"/>
      <c r="D31" s="645" t="n"/>
      <c r="E31" s="645" t="n"/>
      <c r="F31" s="646" t="n"/>
      <c r="G31" s="646" t="n"/>
      <c r="H31" s="646" t="n"/>
      <c r="I31" s="646" t="n"/>
      <c r="J31" s="646" t="n"/>
      <c r="K31" s="646" t="n"/>
      <c r="L31" s="646" t="n"/>
      <c r="M31" s="646" t="n"/>
      <c r="N31" s="646" t="n"/>
      <c r="O31" s="645" t="n"/>
    </row>
    <row r="32" ht="18" customHeight="1">
      <c r="A32" s="645" t="n"/>
      <c r="B32" s="646" t="n"/>
      <c r="C32" s="645" t="n"/>
      <c r="D32" s="645" t="n"/>
      <c r="E32" s="645" t="n"/>
      <c r="F32" s="646" t="n"/>
      <c r="G32" s="646" t="n"/>
      <c r="H32" s="646" t="n"/>
      <c r="I32" s="646" t="n"/>
      <c r="J32" s="646" t="n"/>
      <c r="K32" s="646" t="n"/>
      <c r="L32" s="646" t="n"/>
      <c r="M32" s="646" t="n"/>
      <c r="N32" s="646" t="n"/>
      <c r="O32" s="645" t="n"/>
    </row>
    <row r="33" ht="18" customHeight="1">
      <c r="A33" s="645" t="n"/>
      <c r="B33" s="646" t="n"/>
      <c r="C33" s="645" t="n"/>
      <c r="D33" s="645" t="n"/>
      <c r="E33" s="645" t="n"/>
      <c r="F33" s="646" t="n"/>
      <c r="G33" s="646" t="n"/>
      <c r="H33" s="646" t="n"/>
      <c r="I33" s="646" t="n"/>
      <c r="J33" s="646" t="n"/>
      <c r="K33" s="646" t="n"/>
      <c r="L33" s="646" t="n"/>
      <c r="M33" s="646" t="n"/>
      <c r="N33" s="646" t="n"/>
      <c r="O33" s="645" t="n"/>
    </row>
    <row r="34" ht="18" customHeight="1">
      <c r="A34" s="645" t="n"/>
      <c r="B34" s="646" t="n"/>
      <c r="C34" s="645" t="n"/>
      <c r="D34" s="645" t="n"/>
      <c r="E34" s="645" t="n"/>
      <c r="F34" s="646" t="n"/>
      <c r="G34" s="646" t="n"/>
      <c r="H34" s="646" t="n"/>
      <c r="I34" s="646" t="n"/>
      <c r="J34" s="646" t="n"/>
      <c r="K34" s="646" t="n"/>
      <c r="L34" s="646" t="n"/>
      <c r="M34" s="646" t="n"/>
      <c r="N34" s="646" t="n"/>
      <c r="O34" s="645" t="n"/>
    </row>
    <row r="35" ht="18" customHeight="1">
      <c r="A35" s="645" t="n"/>
      <c r="B35" s="646" t="n"/>
      <c r="C35" s="645" t="n"/>
      <c r="D35" s="645" t="n"/>
      <c r="E35" s="645" t="n"/>
      <c r="F35" s="646" t="n"/>
      <c r="G35" s="646" t="n"/>
      <c r="H35" s="646" t="n"/>
      <c r="I35" s="646" t="n"/>
      <c r="J35" s="646" t="n"/>
      <c r="K35" s="646" t="n"/>
      <c r="L35" s="646" t="n"/>
      <c r="M35" s="646" t="n"/>
      <c r="N35" s="646" t="n"/>
      <c r="O35" s="645" t="n"/>
    </row>
    <row r="36" ht="18" customHeight="1">
      <c r="A36" s="645" t="n"/>
      <c r="B36" s="646" t="n"/>
      <c r="C36" s="645" t="n"/>
      <c r="D36" s="645" t="n"/>
      <c r="E36" s="645" t="n"/>
      <c r="F36" s="646" t="n"/>
      <c r="G36" s="646" t="n"/>
      <c r="H36" s="646" t="n"/>
      <c r="I36" s="646" t="n"/>
      <c r="J36" s="646" t="n"/>
      <c r="K36" s="646" t="n"/>
      <c r="L36" s="646" t="n"/>
      <c r="M36" s="646" t="n"/>
      <c r="N36" s="646" t="n"/>
      <c r="O36" s="645" t="n"/>
    </row>
    <row r="37" ht="18" customHeight="1">
      <c r="A37" s="645" t="n"/>
      <c r="B37" s="646" t="n"/>
      <c r="C37" s="645" t="n"/>
      <c r="D37" s="645" t="n"/>
      <c r="E37" s="645" t="n"/>
      <c r="F37" s="646" t="n"/>
      <c r="G37" s="646" t="n"/>
      <c r="H37" s="646" t="n"/>
      <c r="I37" s="646" t="n"/>
      <c r="J37" s="646" t="n"/>
      <c r="K37" s="646" t="n"/>
      <c r="L37" s="646" t="n"/>
      <c r="M37" s="646" t="n"/>
      <c r="N37" s="646" t="n"/>
      <c r="O37" s="645" t="n"/>
    </row>
    <row r="38" ht="18" customHeight="1">
      <c r="A38" s="645" t="n"/>
      <c r="B38" s="646" t="n"/>
      <c r="C38" s="645" t="n"/>
      <c r="D38" s="645" t="n"/>
      <c r="E38" s="645" t="n"/>
      <c r="F38" s="646" t="n"/>
      <c r="G38" s="646" t="n"/>
      <c r="H38" s="646" t="n"/>
      <c r="I38" s="646" t="n"/>
      <c r="J38" s="646" t="n"/>
      <c r="K38" s="646" t="n"/>
      <c r="L38" s="646" t="n"/>
      <c r="M38" s="646" t="n"/>
      <c r="N38" s="646" t="n"/>
      <c r="O38" s="645" t="n"/>
    </row>
    <row r="39" ht="18" customHeight="1">
      <c r="A39" s="645" t="n"/>
      <c r="B39" s="646" t="n"/>
      <c r="C39" s="645" t="n"/>
      <c r="D39" s="645" t="n"/>
      <c r="E39" s="645" t="n"/>
      <c r="F39" s="646" t="n"/>
      <c r="G39" s="646" t="n"/>
      <c r="H39" s="646" t="n"/>
      <c r="I39" s="646" t="n"/>
      <c r="J39" s="646" t="n"/>
      <c r="K39" s="646" t="n"/>
      <c r="L39" s="646" t="n"/>
      <c r="M39" s="646" t="n"/>
      <c r="N39" s="646" t="n"/>
      <c r="O39" s="645" t="n"/>
    </row>
    <row r="40" ht="18" customHeight="1">
      <c r="A40" s="645" t="n"/>
      <c r="B40" s="646" t="n"/>
      <c r="C40" s="645" t="n"/>
      <c r="D40" s="645" t="n"/>
      <c r="E40" s="645" t="n"/>
      <c r="F40" s="646" t="n"/>
      <c r="G40" s="646" t="n"/>
      <c r="H40" s="646" t="n"/>
      <c r="I40" s="646" t="n"/>
      <c r="J40" s="646" t="n"/>
      <c r="K40" s="646" t="n"/>
      <c r="L40" s="646" t="n"/>
      <c r="M40" s="646" t="n"/>
      <c r="N40" s="646" t="n"/>
      <c r="O40" s="645" t="n"/>
    </row>
    <row r="41" ht="18" customHeight="1">
      <c r="A41" s="645" t="n"/>
      <c r="B41" s="646" t="n"/>
      <c r="C41" s="645" t="n"/>
      <c r="D41" s="645" t="n"/>
      <c r="E41" s="645" t="n"/>
      <c r="F41" s="646" t="n"/>
      <c r="G41" s="646" t="n"/>
      <c r="H41" s="646" t="n"/>
      <c r="I41" s="646" t="n"/>
      <c r="J41" s="646" t="n"/>
      <c r="K41" s="646" t="n"/>
      <c r="L41" s="646" t="n"/>
      <c r="M41" s="646" t="n"/>
      <c r="N41" s="646" t="n"/>
      <c r="O41" s="645" t="n"/>
    </row>
    <row r="42" ht="18" customHeight="1">
      <c r="A42" s="645" t="n"/>
      <c r="B42" s="646" t="n"/>
      <c r="C42" s="645" t="n"/>
      <c r="D42" s="645" t="n"/>
      <c r="E42" s="645" t="n"/>
      <c r="F42" s="646" t="n"/>
      <c r="G42" s="646" t="n"/>
      <c r="H42" s="646" t="n"/>
      <c r="I42" s="646" t="n"/>
      <c r="J42" s="646" t="n"/>
      <c r="K42" s="646" t="n"/>
      <c r="L42" s="646" t="n"/>
      <c r="M42" s="646" t="n"/>
      <c r="N42" s="646" t="n"/>
      <c r="O42" s="645" t="n"/>
    </row>
    <row r="43" ht="18" customHeight="1">
      <c r="A43" s="645" t="n"/>
      <c r="B43" s="646" t="n"/>
      <c r="C43" s="645" t="n"/>
      <c r="D43" s="645" t="n"/>
      <c r="E43" s="645" t="n"/>
      <c r="F43" s="646" t="n"/>
      <c r="G43" s="646" t="n"/>
      <c r="H43" s="646" t="n"/>
      <c r="I43" s="646" t="n"/>
      <c r="J43" s="646" t="n"/>
      <c r="K43" s="646" t="n"/>
      <c r="L43" s="646" t="n"/>
      <c r="M43" s="646" t="n"/>
      <c r="N43" s="646" t="n"/>
      <c r="O43" s="645" t="n"/>
    </row>
    <row r="44" ht="18" customHeight="1">
      <c r="A44" s="645" t="n"/>
      <c r="B44" s="646" t="n"/>
      <c r="C44" s="645" t="n"/>
      <c r="D44" s="645" t="n"/>
      <c r="E44" s="645" t="n"/>
      <c r="F44" s="646" t="n"/>
      <c r="G44" s="646" t="n"/>
      <c r="H44" s="646" t="n"/>
      <c r="I44" s="646" t="n"/>
      <c r="J44" s="646" t="n"/>
      <c r="K44" s="646" t="n"/>
      <c r="L44" s="646" t="n"/>
      <c r="M44" s="646" t="n"/>
      <c r="N44" s="646" t="n"/>
      <c r="O44" s="645" t="n"/>
    </row>
    <row r="45" ht="18" customHeight="1">
      <c r="A45" s="645" t="n"/>
      <c r="B45" s="646" t="n"/>
      <c r="C45" s="645" t="n"/>
      <c r="D45" s="645" t="n"/>
      <c r="E45" s="645" t="n"/>
      <c r="F45" s="646" t="n"/>
      <c r="G45" s="646" t="n"/>
      <c r="H45" s="646" t="n"/>
      <c r="I45" s="646" t="n"/>
      <c r="J45" s="646" t="n"/>
      <c r="K45" s="646" t="n"/>
      <c r="L45" s="646" t="n"/>
      <c r="M45" s="646" t="n"/>
      <c r="N45" s="646" t="n"/>
      <c r="O45" s="645" t="n"/>
    </row>
    <row r="46" ht="18" customHeight="1">
      <c r="A46" s="645" t="n"/>
      <c r="B46" s="646" t="n"/>
      <c r="C46" s="645" t="n"/>
      <c r="D46" s="645" t="n"/>
      <c r="E46" s="645" t="n"/>
      <c r="F46" s="646" t="n"/>
      <c r="G46" s="646" t="n"/>
      <c r="H46" s="646" t="n"/>
      <c r="I46" s="646" t="n"/>
      <c r="J46" s="646" t="n"/>
      <c r="K46" s="646" t="n"/>
      <c r="L46" s="646" t="n"/>
      <c r="M46" s="646" t="n"/>
      <c r="N46" s="646" t="n"/>
      <c r="O46" s="645" t="n"/>
    </row>
    <row r="47" ht="18" customHeight="1">
      <c r="A47" s="645" t="n"/>
      <c r="B47" s="646" t="n"/>
      <c r="C47" s="645" t="n"/>
      <c r="D47" s="645" t="n"/>
      <c r="E47" s="645" t="n"/>
      <c r="F47" s="646" t="n"/>
      <c r="G47" s="646" t="n"/>
      <c r="H47" s="646" t="n"/>
      <c r="I47" s="646" t="n"/>
      <c r="J47" s="646" t="n"/>
      <c r="K47" s="646" t="n"/>
      <c r="L47" s="646" t="n"/>
      <c r="M47" s="646" t="n"/>
      <c r="N47" s="646" t="n"/>
      <c r="O47" s="645" t="n"/>
    </row>
    <row r="48" ht="18" customHeight="1">
      <c r="A48" s="645" t="n"/>
      <c r="B48" s="646" t="n"/>
      <c r="C48" s="645" t="n"/>
      <c r="D48" s="645" t="n"/>
      <c r="E48" s="645" t="n"/>
      <c r="F48" s="646" t="n"/>
      <c r="G48" s="646" t="n"/>
      <c r="H48" s="646" t="n"/>
      <c r="I48" s="646" t="n"/>
      <c r="J48" s="646" t="n"/>
      <c r="K48" s="646" t="n"/>
      <c r="L48" s="646" t="n"/>
      <c r="M48" s="646" t="n"/>
      <c r="N48" s="646" t="n"/>
      <c r="O48" s="645" t="n"/>
    </row>
    <row r="49" ht="18" customHeight="1">
      <c r="A49" s="645" t="n"/>
      <c r="B49" s="646" t="n"/>
      <c r="C49" s="645" t="n"/>
      <c r="D49" s="645" t="n"/>
      <c r="E49" s="645" t="n"/>
      <c r="F49" s="646" t="n"/>
      <c r="G49" s="646" t="n"/>
      <c r="H49" s="646" t="n"/>
      <c r="I49" s="646" t="n"/>
      <c r="J49" s="646" t="n"/>
      <c r="K49" s="646" t="n"/>
      <c r="L49" s="646" t="n"/>
      <c r="M49" s="646" t="n"/>
      <c r="N49" s="646" t="n"/>
      <c r="O49" s="645" t="n"/>
    </row>
    <row r="50" ht="18" customHeight="1">
      <c r="A50" s="645" t="n"/>
      <c r="B50" s="646" t="n"/>
      <c r="C50" s="645" t="n"/>
      <c r="D50" s="645" t="n"/>
      <c r="E50" s="645" t="n"/>
      <c r="F50" s="646" t="n"/>
      <c r="G50" s="646" t="n"/>
      <c r="H50" s="646" t="n"/>
      <c r="I50" s="646" t="n"/>
      <c r="J50" s="646" t="n"/>
      <c r="K50" s="646" t="n"/>
      <c r="L50" s="646" t="n"/>
      <c r="M50" s="646" t="n"/>
      <c r="N50" s="646" t="n"/>
      <c r="O50" s="645" t="n"/>
    </row>
    <row r="51" ht="18" customHeight="1">
      <c r="A51" s="645" t="n"/>
      <c r="B51" s="646" t="n"/>
      <c r="C51" s="645" t="n"/>
      <c r="D51" s="645" t="n"/>
      <c r="E51" s="645" t="n"/>
      <c r="F51" s="646" t="n"/>
      <c r="G51" s="646" t="n"/>
      <c r="H51" s="646" t="n"/>
      <c r="I51" s="646" t="n"/>
      <c r="J51" s="646" t="n"/>
      <c r="K51" s="646" t="n"/>
      <c r="L51" s="646" t="n"/>
      <c r="M51" s="646" t="n"/>
      <c r="N51" s="646" t="n"/>
      <c r="O51" s="645" t="n"/>
    </row>
    <row r="52" ht="18" customHeight="1">
      <c r="A52" s="645" t="n"/>
      <c r="B52" s="646" t="n"/>
      <c r="C52" s="645" t="n"/>
      <c r="D52" s="645" t="n"/>
      <c r="E52" s="645" t="n"/>
      <c r="F52" s="646" t="n"/>
      <c r="G52" s="646" t="n"/>
      <c r="H52" s="646" t="n"/>
      <c r="I52" s="646" t="n"/>
      <c r="J52" s="646" t="n"/>
      <c r="K52" s="646" t="n"/>
      <c r="L52" s="646" t="n"/>
      <c r="M52" s="646" t="n"/>
      <c r="N52" s="646" t="n"/>
      <c r="O52" s="645" t="n"/>
    </row>
    <row r="53" ht="18" customHeight="1">
      <c r="A53" s="645" t="n"/>
      <c r="B53" s="646" t="n"/>
      <c r="C53" s="645" t="n"/>
      <c r="D53" s="645" t="n"/>
      <c r="E53" s="645" t="n"/>
      <c r="F53" s="646" t="n"/>
      <c r="G53" s="646" t="n"/>
      <c r="H53" s="646" t="n"/>
      <c r="I53" s="646" t="n"/>
      <c r="J53" s="646" t="n"/>
      <c r="K53" s="646" t="n"/>
      <c r="L53" s="646" t="n"/>
      <c r="M53" s="646" t="n"/>
      <c r="N53" s="646" t="n"/>
      <c r="O53" s="645" t="n"/>
    </row>
    <row r="54" ht="18" customHeight="1">
      <c r="A54" s="645" t="n"/>
      <c r="B54" s="646" t="n"/>
      <c r="C54" s="645" t="n"/>
      <c r="D54" s="645" t="n"/>
      <c r="E54" s="645" t="n"/>
      <c r="F54" s="646" t="n"/>
      <c r="G54" s="646" t="n"/>
      <c r="H54" s="646" t="n"/>
      <c r="I54" s="646" t="n"/>
      <c r="J54" s="646" t="n"/>
      <c r="K54" s="646" t="n"/>
      <c r="L54" s="646" t="n"/>
      <c r="M54" s="646" t="n"/>
      <c r="N54" s="646" t="n"/>
      <c r="O54" s="645" t="n"/>
    </row>
    <row r="55" ht="18" customHeight="1">
      <c r="A55" s="645" t="n"/>
      <c r="B55" s="646" t="n"/>
      <c r="C55" s="645" t="n"/>
      <c r="D55" s="645" t="n"/>
      <c r="E55" s="645" t="n"/>
      <c r="F55" s="646" t="n"/>
      <c r="G55" s="646" t="n"/>
      <c r="H55" s="646" t="n"/>
      <c r="I55" s="646" t="n"/>
      <c r="J55" s="646" t="n"/>
      <c r="K55" s="646" t="n"/>
      <c r="L55" s="646" t="n"/>
      <c r="M55" s="646" t="n"/>
      <c r="N55" s="646" t="n"/>
      <c r="O55" s="645" t="n"/>
    </row>
    <row r="56" ht="18" customHeight="1">
      <c r="A56" s="645" t="n"/>
      <c r="B56" s="646" t="n"/>
      <c r="C56" s="645" t="n"/>
      <c r="D56" s="645" t="n"/>
      <c r="E56" s="645" t="n"/>
      <c r="F56" s="646" t="n"/>
      <c r="G56" s="646" t="n"/>
      <c r="H56" s="646" t="n"/>
      <c r="I56" s="646" t="n"/>
      <c r="J56" s="646" t="n"/>
      <c r="K56" s="646" t="n"/>
      <c r="L56" s="646" t="n"/>
      <c r="M56" s="646" t="n"/>
      <c r="N56" s="646" t="n"/>
      <c r="O56" s="645" t="n"/>
    </row>
    <row r="57" ht="18" customHeight="1">
      <c r="A57" s="645" t="n"/>
      <c r="B57" s="646" t="n"/>
      <c r="C57" s="645" t="n"/>
      <c r="D57" s="645" t="n"/>
      <c r="E57" s="645" t="n"/>
      <c r="F57" s="646" t="n"/>
      <c r="G57" s="646" t="n"/>
      <c r="H57" s="646" t="n"/>
      <c r="I57" s="646" t="n"/>
      <c r="J57" s="646" t="n"/>
      <c r="K57" s="646" t="n"/>
      <c r="L57" s="646" t="n"/>
      <c r="M57" s="646" t="n"/>
      <c r="N57" s="646" t="n"/>
      <c r="O57" s="645" t="n"/>
    </row>
    <row r="58" ht="18" customHeight="1">
      <c r="A58" s="645" t="n"/>
      <c r="B58" s="646" t="n"/>
      <c r="C58" s="645" t="n"/>
      <c r="D58" s="645" t="n"/>
      <c r="E58" s="645" t="n"/>
      <c r="F58" s="646" t="n"/>
      <c r="G58" s="646" t="n"/>
      <c r="H58" s="646" t="n"/>
      <c r="I58" s="646" t="n"/>
      <c r="J58" s="646" t="n"/>
      <c r="K58" s="646" t="n"/>
      <c r="L58" s="646" t="n"/>
      <c r="M58" s="646" t="n"/>
      <c r="N58" s="646" t="n"/>
      <c r="O58" s="645" t="n"/>
    </row>
    <row r="59" ht="18" customHeight="1">
      <c r="A59" s="645" t="n"/>
      <c r="B59" s="646" t="n"/>
      <c r="C59" s="645" t="n"/>
      <c r="D59" s="645" t="n"/>
      <c r="E59" s="645" t="n"/>
      <c r="F59" s="646" t="n"/>
      <c r="G59" s="646" t="n"/>
      <c r="H59" s="646" t="n"/>
      <c r="I59" s="646" t="n"/>
      <c r="J59" s="646" t="n"/>
      <c r="K59" s="646" t="n"/>
      <c r="L59" s="646" t="n"/>
      <c r="M59" s="646" t="n"/>
      <c r="N59" s="646" t="n"/>
      <c r="O59" s="645" t="n"/>
    </row>
    <row r="60" ht="18" customHeight="1">
      <c r="A60" s="645" t="n"/>
      <c r="B60" s="646" t="n"/>
      <c r="C60" s="645" t="n"/>
      <c r="D60" s="645" t="n"/>
      <c r="E60" s="645" t="n"/>
      <c r="F60" s="646" t="n"/>
      <c r="G60" s="646" t="n"/>
      <c r="H60" s="646" t="n"/>
      <c r="I60" s="646" t="n"/>
      <c r="J60" s="646" t="n"/>
      <c r="K60" s="646" t="n"/>
      <c r="L60" s="646" t="n"/>
      <c r="M60" s="646" t="n"/>
      <c r="N60" s="646" t="n"/>
      <c r="O60" s="645" t="n"/>
    </row>
  </sheetData>
  <mergeCells count="5">
    <mergeCell ref="F2:G2"/>
    <mergeCell ref="H2:O2"/>
    <mergeCell ref="A2:E2"/>
    <mergeCell ref="A1:O1"/>
    <mergeCell ref="A9:O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61"/>
  <sheetViews>
    <sheetView workbookViewId="0">
      <selection activeCell="L8" sqref="L8"/>
    </sheetView>
  </sheetViews>
  <sheetFormatPr baseColWidth="8" defaultRowHeight="15"/>
  <cols>
    <col width="10.42578125" bestFit="1" customWidth="1" min="1" max="1"/>
    <col width="6.7109375" bestFit="1" customWidth="1" min="2" max="2"/>
    <col width="7" bestFit="1" customWidth="1" min="3" max="3"/>
    <col width="10.42578125" bestFit="1" customWidth="1" min="4" max="4"/>
    <col width="14.28515625" bestFit="1" customWidth="1" min="5" max="5"/>
    <col width="10.140625" bestFit="1" customWidth="1" min="6" max="6"/>
    <col width="10.28515625" bestFit="1" customWidth="1" min="7" max="7"/>
    <col width="7.140625" bestFit="1" customWidth="1" min="8" max="8"/>
    <col width="15.7109375" bestFit="1" customWidth="1" min="9" max="9"/>
    <col width="10.140625" bestFit="1" customWidth="1" min="10" max="10"/>
    <col width="15" bestFit="1" customWidth="1" min="11" max="11"/>
    <col width="19.85546875" bestFit="1" customWidth="1" min="12" max="12"/>
    <col width="9.7109375" bestFit="1" customWidth="1" min="13" max="13"/>
    <col width="11.28515625" bestFit="1" customWidth="1" min="14" max="14"/>
    <col width="8.42578125" bestFit="1" customWidth="1" min="15" max="15"/>
    <col width="8.7109375" bestFit="1" customWidth="1" min="16" max="16"/>
    <col width="14" bestFit="1" customWidth="1" min="17" max="17"/>
    <col width="15.42578125" bestFit="1" customWidth="1" min="18" max="18"/>
    <col width="16.28515625" bestFit="1" customWidth="1" min="19" max="21"/>
    <col width="11.42578125" bestFit="1" customWidth="1" min="22" max="22"/>
    <col width="12.7109375" bestFit="1" customWidth="1" min="23" max="23"/>
    <col width="11.5703125" bestFit="1" customWidth="1" min="24" max="24"/>
    <col width="16" bestFit="1" customWidth="1" min="25" max="25"/>
    <col width="12.7109375" bestFit="1" customWidth="1" min="26" max="26"/>
    <col width="13.140625" bestFit="1" customWidth="1" min="27" max="27"/>
    <col width="16" bestFit="1" customWidth="1" min="28" max="28"/>
  </cols>
  <sheetData>
    <row r="1">
      <c r="A1" s="574" t="inlineStr">
        <is>
          <t>Data</t>
        </is>
      </c>
      <c r="B1" s="574" t="inlineStr">
        <is>
          <t>Ano</t>
        </is>
      </c>
      <c r="C1" s="574" t="inlineStr">
        <is>
          <t>Mês</t>
        </is>
      </c>
      <c r="D1" s="574" t="inlineStr">
        <is>
          <t>Semana</t>
        </is>
      </c>
      <c r="E1" s="574" t="inlineStr">
        <is>
          <t>Dia_Semana</t>
        </is>
      </c>
      <c r="F1" s="574" t="inlineStr">
        <is>
          <t>Jogador</t>
        </is>
      </c>
      <c r="G1" s="574" t="inlineStr">
        <is>
          <t>Posicao</t>
        </is>
      </c>
      <c r="H1" s="574" t="inlineStr">
        <is>
          <t>Tipo</t>
        </is>
      </c>
      <c r="I1" s="574" t="inlineStr">
        <is>
          <t>Microciclo_Nr</t>
        </is>
      </c>
      <c r="J1" s="574" t="inlineStr">
        <is>
          <t>Dia_MD</t>
        </is>
      </c>
      <c r="K1" s="574" t="inlineStr">
        <is>
          <t>Duracao_min</t>
        </is>
      </c>
      <c r="L1" s="574" t="inlineStr">
        <is>
          <t>Distancia_Total_m</t>
        </is>
      </c>
      <c r="M1" s="574" t="inlineStr">
        <is>
          <t>HSR_m</t>
        </is>
      </c>
      <c r="N1" s="574" t="inlineStr">
        <is>
          <t>Sprint_m</t>
        </is>
      </c>
      <c r="O1" s="574" t="inlineStr">
        <is>
          <t>Acc_n</t>
        </is>
      </c>
      <c r="P1" s="574" t="inlineStr">
        <is>
          <t>Dcc_n</t>
        </is>
      </c>
      <c r="Q1" s="574" t="inlineStr">
        <is>
          <t>PSE_Sessao</t>
        </is>
      </c>
      <c r="R1" s="574" t="inlineStr">
        <is>
          <t>Vel_Max_kmh</t>
        </is>
      </c>
      <c r="S1" s="574" t="inlineStr">
        <is>
          <t>N_85pct_Vmax</t>
        </is>
      </c>
      <c r="T1" s="574" t="inlineStr">
        <is>
          <t>N_90pct_Vmax</t>
        </is>
      </c>
      <c r="U1" s="574" t="inlineStr">
        <is>
          <t>N_95pct_Vmax</t>
        </is>
      </c>
      <c r="V1" s="574" t="inlineStr">
        <is>
          <t>Min_Jogo</t>
        </is>
      </c>
      <c r="W1" s="574" t="inlineStr">
        <is>
          <t>Fadiga_1_5</t>
        </is>
      </c>
      <c r="X1" s="574" t="inlineStr">
        <is>
          <t>Sono_1_5</t>
        </is>
      </c>
      <c r="Y1" s="574" t="inlineStr">
        <is>
          <t>Dor_Musc_1_5</t>
        </is>
      </c>
      <c r="Z1" s="574" t="inlineStr">
        <is>
          <t>Stress_1_5</t>
        </is>
      </c>
      <c r="AA1" s="574" t="inlineStr">
        <is>
          <t>Humor_1_5</t>
        </is>
      </c>
      <c r="AB1" s="574" t="inlineStr">
        <is>
          <t>Hooper_Index</t>
        </is>
      </c>
      <c r="AC1" s="591" t="inlineStr">
        <is>
          <t>Z_Distancia_Pos</t>
        </is>
      </c>
      <c r="AD1" s="591" t="inlineStr">
        <is>
          <t>Z_HSR_Pos</t>
        </is>
      </c>
      <c r="AE1" s="591" t="inlineStr">
        <is>
          <t>Z_Sprint_Pos</t>
        </is>
      </c>
      <c r="AF1" s="591" t="inlineStr">
        <is>
          <t>Z_Acc_Pos</t>
        </is>
      </c>
      <c r="AG1" s="591" t="inlineStr">
        <is>
          <t>Z_Dcc_Pos</t>
        </is>
      </c>
      <c r="AH1" s="591" t="inlineStr">
        <is>
          <t>Z_Vmax_Pos</t>
        </is>
      </c>
      <c r="AI1" s="591" t="inlineStr">
        <is>
          <t>Z_Global_Pos</t>
        </is>
      </c>
      <c r="AJ1" s="592" t="inlineStr">
        <is>
          <t>Z_Distancia_Proprio</t>
        </is>
      </c>
      <c r="AK1" s="592" t="inlineStr">
        <is>
          <t>Z_HSR_Proprio</t>
        </is>
      </c>
      <c r="AL1" s="592" t="inlineStr">
        <is>
          <t>Z_Sprint_Proprio</t>
        </is>
      </c>
      <c r="AM1" s="592" t="inlineStr">
        <is>
          <t>Z_Acc_Proprio</t>
        </is>
      </c>
      <c r="AN1" s="592" t="inlineStr">
        <is>
          <t>Z_Dcc_Proprio</t>
        </is>
      </c>
      <c r="AO1" s="592" t="inlineStr">
        <is>
          <t>Z_Vmax_Proprio</t>
        </is>
      </c>
      <c r="AP1" s="592" t="inlineStr">
        <is>
          <t>Z_Global_Proprio</t>
        </is>
      </c>
      <c r="AQ1" s="593" t="inlineStr">
        <is>
          <t>WoW_Distancia_pct</t>
        </is>
      </c>
      <c r="AR1" s="593" t="inlineStr">
        <is>
          <t>WoW_HSR_pct</t>
        </is>
      </c>
      <c r="AS1" s="593" t="inlineStr">
        <is>
          <t>WoW_Sprint_pct</t>
        </is>
      </c>
      <c r="AT1" s="593" t="inlineStr">
        <is>
          <t>WoW_Acc_pct</t>
        </is>
      </c>
      <c r="AU1" s="593" t="inlineStr">
        <is>
          <t>WoW_Dcc_pct</t>
        </is>
      </c>
      <c r="AV1" s="593" t="inlineStr">
        <is>
          <t>WoW_Vmax_pct</t>
        </is>
      </c>
      <c r="AW1" s="591" t="inlineStr">
        <is>
          <t>Classificacao_ZPos</t>
        </is>
      </c>
      <c r="AX1" s="592" t="inlineStr">
        <is>
          <t>Classificacao_ZProprio</t>
        </is>
      </c>
    </row>
    <row r="2">
      <c r="A2" s="2">
        <f>IF(BD_Carga!A3&lt;&gt;"",BD_Carga!A3,"")</f>
        <v/>
      </c>
      <c r="B2">
        <f>IF(A2&lt;&gt;"",YEAR(A2),"")</f>
        <v/>
      </c>
      <c r="C2">
        <f>IF(A2&lt;&gt;"",MONTH(A2),"")</f>
        <v/>
      </c>
      <c r="D2">
        <f>IF(A2&lt;&gt;"",_xlfn.ISOWEEKNUM(A2),"")</f>
        <v/>
      </c>
      <c r="E2">
        <f>IF(A2&lt;&gt;"",TEXT(A2,"dddd"),"")</f>
        <v/>
      </c>
      <c r="F2">
        <f>IF(BD_Carga!C3&lt;&gt;"",BD_Carga!C3,"")</f>
        <v/>
      </c>
      <c r="G2">
        <f>IF(BD_Carga!D3&lt;&gt;"",BD_Carga!D3,"")</f>
        <v/>
      </c>
      <c r="H2">
        <f>IF(BD_Carga!Q3&lt;&gt;"",BD_Carga!Q3,"")</f>
        <v/>
      </c>
      <c r="I2">
        <f>IF(BD_Carga!R3&lt;&gt;"",BD_Carga!R3,"")</f>
        <v/>
      </c>
      <c r="J2">
        <f>IF(BD_Carga!S3&lt;&gt;"",BD_Carga!S3,"")</f>
        <v/>
      </c>
      <c r="K2" s="4">
        <f>IF(BD_Carga!E3&lt;&gt;"",BD_Carga!E3,0)</f>
        <v/>
      </c>
      <c r="L2" s="4">
        <f>IF(BD_Carga!F3&lt;&gt;"",BD_Carga!F3,0)</f>
        <v/>
      </c>
      <c r="M2" s="4">
        <f>IF(BD_Carga!G3&lt;&gt;"",BD_Carga!G3,0)</f>
        <v/>
      </c>
      <c r="N2" s="4">
        <f>IF(BD_Carga!H3&lt;&gt;"",BD_Carga!H3,0)</f>
        <v/>
      </c>
      <c r="O2" s="4">
        <f>IF(BD_Carga!I3&lt;&gt;"",BD_Carga!I3,0)</f>
        <v/>
      </c>
      <c r="P2" s="4">
        <f>IF(BD_Carga!J3&lt;&gt;"",BD_Carga!J3,0)</f>
        <v/>
      </c>
      <c r="Q2" s="5">
        <f>IF(BD_Carga!K3&lt;&gt;"",BD_Carga!K3,0)</f>
        <v/>
      </c>
      <c r="R2" s="5">
        <f>IF(BD_Carga!L3&lt;&gt;"",BD_Carga!L3,0)</f>
        <v/>
      </c>
      <c r="S2">
        <f>IF(BD_Carga!N3&lt;&gt;"",BD_Carga!N3,0)</f>
        <v/>
      </c>
      <c r="T2">
        <f>IF(BD_Carga!O3&lt;&gt;"",BD_Carga!O3,0)</f>
        <v/>
      </c>
      <c r="U2">
        <f>IF(BD_Carga!P3&lt;&gt;"",BD_Carga!P3,0)</f>
        <v/>
      </c>
      <c r="V2">
        <f>IF(BD_Carga!U3&lt;&gt;"",BD_Carga!U3,0)</f>
        <v/>
      </c>
      <c r="W2">
        <f>IF(BD_Carga!T3&lt;&gt;"",BD_Carga!T3,0)</f>
        <v/>
      </c>
      <c r="X2">
        <f>IF(BD_Carga!W3&lt;&gt;"",BD_Carga!W3,0)</f>
        <v/>
      </c>
      <c r="Y2">
        <f>IF(BD_Carga!X3&lt;&gt;"",BD_Carga!X3,0)</f>
        <v/>
      </c>
      <c r="Z2">
        <f>IF(BD_Carga!Y3&lt;&gt;"",BD_Carga!Y3,0)</f>
        <v/>
      </c>
      <c r="AA2">
        <f>IF(BD_Carga!Z3&lt;&gt;"",BD_Carga!Z3,0)</f>
        <v/>
      </c>
      <c r="AB2">
        <f>IF(BD_Carga!AA3&lt;&gt;"",BD_Carga!AA3,0)</f>
        <v/>
      </c>
      <c r="AC2" s="6">
        <f t="array" ref="AC2">IFERROR((L2-AVERAGEIF($G$2:$G$462,G2,$L$2:$L$462))/_xlfn.STDEV.P(IF($G$2:$G$462=G2,$L$2:$L$462)),0)</f>
        <v/>
      </c>
      <c r="AD2" s="6">
        <f t="array" ref="AD2">IFERROR((M2-AVERAGEIF($G$2:$G$462,G2,$M$2:$M$462))/_xlfn.STDEV.P(IF($G$2:$G$462=G2,$M$2:$M$462)),0)</f>
        <v/>
      </c>
      <c r="AE2" s="6">
        <f t="array" ref="AE2">IFERROR((N2-AVERAGEIF($G$2:$G$462,G2,$N$2:$N$462))/_xlfn.STDEV.P(IF($G$2:$G$462=G2,$N$2:$N$462)),0)</f>
        <v/>
      </c>
      <c r="AF2" s="6">
        <f t="array" ref="AF2">IFERROR((O2-AVERAGEIF($G$2:$G$462,G2,$O$2:$O$462))/_xlfn.STDEV.P(IF($G$2:$G$462=G2,$O$2:$O$462)),0)</f>
        <v/>
      </c>
      <c r="AG2" s="6">
        <f t="array" ref="AG2">IFERROR((P2-AVERAGEIF($G$2:$G$462,G2,$P$2:$P$462))/_xlfn.STDEV.P(IF($G$2:$G$462=G2,$P$2:$P$462)),0)</f>
        <v/>
      </c>
      <c r="AH2" s="6">
        <f t="array" ref="AH2">IFERROR((R2-AVERAGEIF($G$2:$G$462,G2,$R$2:$R$462))/_xlfn.STDEV.P(IF($G$2:$G$462=G2,$R$2:$R$462)),0)</f>
        <v/>
      </c>
      <c r="AI2" s="6">
        <f>IFERROR((AC2+AD2+AE2+AF2+AG2+AH2)/6,0)</f>
        <v/>
      </c>
    </row>
    <row r="3">
      <c r="A3" s="2">
        <f>IF(BD_Carga!A4&lt;&gt;"",BD_Carga!A4,"")</f>
        <v/>
      </c>
      <c r="B3">
        <f>IF(A3&lt;&gt;"",YEAR(A3),"")</f>
        <v/>
      </c>
      <c r="C3">
        <f>IF(A3&lt;&gt;"",MONTH(A3),"")</f>
        <v/>
      </c>
      <c r="D3">
        <f>IF(A3&lt;&gt;"",_xlfn.ISOWEEKNUM(A3),"")</f>
        <v/>
      </c>
      <c r="E3">
        <f>IF(A3&lt;&gt;"",TEXT(A3,"dddd"),"")</f>
        <v/>
      </c>
      <c r="F3">
        <f>IF(BD_Carga!C4&lt;&gt;"",BD_Carga!C4,"")</f>
        <v/>
      </c>
      <c r="G3">
        <f>IF(BD_Carga!D4&lt;&gt;"",BD_Carga!D4,"")</f>
        <v/>
      </c>
      <c r="H3">
        <f>IF(BD_Carga!Q4&lt;&gt;"",BD_Carga!Q4,"")</f>
        <v/>
      </c>
      <c r="I3">
        <f>IF(BD_Carga!R4&lt;&gt;"",BD_Carga!R4,"")</f>
        <v/>
      </c>
      <c r="J3">
        <f>IF(BD_Carga!S4&lt;&gt;"",BD_Carga!S4,"")</f>
        <v/>
      </c>
      <c r="K3" s="4">
        <f>IF(BD_Carga!E4&lt;&gt;"",BD_Carga!E4,0)</f>
        <v/>
      </c>
      <c r="L3" s="4">
        <f>IF(BD_Carga!F4&lt;&gt;"",BD_Carga!F4,0)</f>
        <v/>
      </c>
      <c r="M3" s="4">
        <f>IF(BD_Carga!G4&lt;&gt;"",BD_Carga!G4,0)</f>
        <v/>
      </c>
      <c r="N3" s="4">
        <f>IF(BD_Carga!H4&lt;&gt;"",BD_Carga!H4,0)</f>
        <v/>
      </c>
      <c r="O3" s="4">
        <f>IF(BD_Carga!I4&lt;&gt;"",BD_Carga!I4,0)</f>
        <v/>
      </c>
      <c r="P3" s="4">
        <f>IF(BD_Carga!J4&lt;&gt;"",BD_Carga!J4,0)</f>
        <v/>
      </c>
      <c r="Q3" s="5">
        <f>IF(BD_Carga!K4&lt;&gt;"",BD_Carga!K4,0)</f>
        <v/>
      </c>
      <c r="R3" s="5">
        <f>IF(BD_Carga!L4&lt;&gt;"",BD_Carga!L4,0)</f>
        <v/>
      </c>
      <c r="S3">
        <f>IF(BD_Carga!N4&lt;&gt;"",BD_Carga!N4,0)</f>
        <v/>
      </c>
      <c r="T3">
        <f>IF(BD_Carga!O4&lt;&gt;"",BD_Carga!O4,0)</f>
        <v/>
      </c>
      <c r="U3">
        <f>IF(BD_Carga!P4&lt;&gt;"",BD_Carga!P4,0)</f>
        <v/>
      </c>
      <c r="V3">
        <f>IF(BD_Carga!U4&lt;&gt;"",BD_Carga!U4,0)</f>
        <v/>
      </c>
      <c r="W3">
        <f>IF(BD_Carga!T4&lt;&gt;"",BD_Carga!T4,0)</f>
        <v/>
      </c>
      <c r="X3">
        <f>IF(BD_Carga!W4&lt;&gt;"",BD_Carga!W4,0)</f>
        <v/>
      </c>
      <c r="Y3">
        <f>IF(BD_Carga!X4&lt;&gt;"",BD_Carga!X4,0)</f>
        <v/>
      </c>
      <c r="Z3">
        <f>IF(BD_Carga!Y4&lt;&gt;"",BD_Carga!Y4,0)</f>
        <v/>
      </c>
      <c r="AA3">
        <f>IF(BD_Carga!Z4&lt;&gt;"",BD_Carga!Z4,0)</f>
        <v/>
      </c>
      <c r="AB3">
        <f>IF(BD_Carga!AA4&lt;&gt;"",BD_Carga!AA4,0)</f>
        <v/>
      </c>
      <c r="AC3" s="6">
        <f t="array" ref="AC3">IFERROR((L3-AVERAGEIF($G$2:$G$462,G3,$L$2:$L$462))/_xlfn.STDEV.P(IF($G$2:$G$462=G3,$L$2:$L$462)),0)</f>
        <v/>
      </c>
      <c r="AD3" s="6">
        <f t="array" ref="AD3">IFERROR((M3-AVERAGEIF($G$2:$G$462,G3,$M$2:$M$462))/_xlfn.STDEV.P(IF($G$2:$G$462=G3,$M$2:$M$462)),0)</f>
        <v/>
      </c>
      <c r="AE3" s="6">
        <f t="array" ref="AE3">IFERROR((N3-AVERAGEIF($G$2:$G$462,G3,$N$2:$N$462))/_xlfn.STDEV.P(IF($G$2:$G$462=G3,$N$2:$N$462)),0)</f>
        <v/>
      </c>
      <c r="AF3" s="6">
        <f t="array" ref="AF3">IFERROR((O3-AVERAGEIF($G$2:$G$462,G3,$O$2:$O$462))/_xlfn.STDEV.P(IF($G$2:$G$462=G3,$O$2:$O$462)),0)</f>
        <v/>
      </c>
      <c r="AG3" s="6">
        <f t="array" ref="AG3">IFERROR((P3-AVERAGEIF($G$2:$G$462,G3,$P$2:$P$462))/_xlfn.STDEV.P(IF($G$2:$G$462=G3,$P$2:$P$462)),0)</f>
        <v/>
      </c>
      <c r="AH3" s="6">
        <f t="array" ref="AH3">IFERROR((R3-AVERAGEIF($G$2:$G$462,G3,$R$2:$R$462))/_xlfn.STDEV.P(IF($G$2:$G$462=G3,$R$2:$R$462)),0)</f>
        <v/>
      </c>
      <c r="AI3" s="6">
        <f>IFERROR((AC3+AD3+AE3+AF3+AG3+AH3)/6,0)</f>
        <v/>
      </c>
    </row>
    <row r="4">
      <c r="A4" s="2">
        <f>IF(BD_Carga!A5&lt;&gt;"",BD_Carga!A5,"")</f>
        <v/>
      </c>
      <c r="B4">
        <f>IF(A4&lt;&gt;"",YEAR(A4),"")</f>
        <v/>
      </c>
      <c r="C4">
        <f>IF(A4&lt;&gt;"",MONTH(A4),"")</f>
        <v/>
      </c>
      <c r="D4">
        <f>IF(A4&lt;&gt;"",_xlfn.ISOWEEKNUM(A4),"")</f>
        <v/>
      </c>
      <c r="E4">
        <f>IF(A4&lt;&gt;"",TEXT(A4,"dddd"),"")</f>
        <v/>
      </c>
      <c r="F4">
        <f>IF(BD_Carga!C5&lt;&gt;"",BD_Carga!C5,"")</f>
        <v/>
      </c>
      <c r="G4">
        <f>IF(BD_Carga!D5&lt;&gt;"",BD_Carga!D5,"")</f>
        <v/>
      </c>
      <c r="H4">
        <f>IF(BD_Carga!Q5&lt;&gt;"",BD_Carga!Q5,"")</f>
        <v/>
      </c>
      <c r="I4">
        <f>IF(BD_Carga!R5&lt;&gt;"",BD_Carga!R5,"")</f>
        <v/>
      </c>
      <c r="J4">
        <f>IF(BD_Carga!S5&lt;&gt;"",BD_Carga!S5,"")</f>
        <v/>
      </c>
      <c r="K4" s="4">
        <f>IF(BD_Carga!E5&lt;&gt;"",BD_Carga!E5,0)</f>
        <v/>
      </c>
      <c r="L4" s="4">
        <f>IF(BD_Carga!F5&lt;&gt;"",BD_Carga!F5,0)</f>
        <v/>
      </c>
      <c r="M4" s="4">
        <f>IF(BD_Carga!G5&lt;&gt;"",BD_Carga!G5,0)</f>
        <v/>
      </c>
      <c r="N4" s="4">
        <f>IF(BD_Carga!H5&lt;&gt;"",BD_Carga!H5,0)</f>
        <v/>
      </c>
      <c r="O4" s="4">
        <f>IF(BD_Carga!I5&lt;&gt;"",BD_Carga!I5,0)</f>
        <v/>
      </c>
      <c r="P4" s="4">
        <f>IF(BD_Carga!J5&lt;&gt;"",BD_Carga!J5,0)</f>
        <v/>
      </c>
      <c r="Q4" s="5">
        <f>IF(BD_Carga!K5&lt;&gt;"",BD_Carga!K5,0)</f>
        <v/>
      </c>
      <c r="R4" s="5">
        <f>IF(BD_Carga!L5&lt;&gt;"",BD_Carga!L5,0)</f>
        <v/>
      </c>
      <c r="S4">
        <f>IF(BD_Carga!N5&lt;&gt;"",BD_Carga!N5,0)</f>
        <v/>
      </c>
      <c r="T4">
        <f>IF(BD_Carga!O5&lt;&gt;"",BD_Carga!O5,0)</f>
        <v/>
      </c>
      <c r="U4">
        <f>IF(BD_Carga!P5&lt;&gt;"",BD_Carga!P5,0)</f>
        <v/>
      </c>
      <c r="V4">
        <f>IF(BD_Carga!U5&lt;&gt;"",BD_Carga!U5,0)</f>
        <v/>
      </c>
      <c r="W4">
        <f>IF(BD_Carga!T5&lt;&gt;"",BD_Carga!T5,0)</f>
        <v/>
      </c>
      <c r="X4">
        <f>IF(BD_Carga!W5&lt;&gt;"",BD_Carga!W5,0)</f>
        <v/>
      </c>
      <c r="Y4">
        <f>IF(BD_Carga!X5&lt;&gt;"",BD_Carga!X5,0)</f>
        <v/>
      </c>
      <c r="Z4">
        <f>IF(BD_Carga!Y5&lt;&gt;"",BD_Carga!Y5,0)</f>
        <v/>
      </c>
      <c r="AA4">
        <f>IF(BD_Carga!Z5&lt;&gt;"",BD_Carga!Z5,0)</f>
        <v/>
      </c>
      <c r="AB4">
        <f>IF(BD_Carga!AA5&lt;&gt;"",BD_Carga!AA5,0)</f>
        <v/>
      </c>
      <c r="AC4" s="6">
        <f t="array" ref="AC4">IFERROR((L4-AVERAGEIF($G$2:$G$462,G4,$L$2:$L$462))/_xlfn.STDEV.P(IF($G$2:$G$462=G4,$L$2:$L$462)),0)</f>
        <v/>
      </c>
      <c r="AD4" s="6">
        <f t="array" ref="AD4">IFERROR((M4-AVERAGEIF($G$2:$G$462,G4,$M$2:$M$462))/_xlfn.STDEV.P(IF($G$2:$G$462=G4,$M$2:$M$462)),0)</f>
        <v/>
      </c>
      <c r="AE4" s="6">
        <f t="array" ref="AE4">IFERROR((N4-AVERAGEIF($G$2:$G$462,G4,$N$2:$N$462))/_xlfn.STDEV.P(IF($G$2:$G$462=G4,$N$2:$N$462)),0)</f>
        <v/>
      </c>
      <c r="AF4" s="6">
        <f t="array" ref="AF4">IFERROR((O4-AVERAGEIF($G$2:$G$462,G4,$O$2:$O$462))/_xlfn.STDEV.P(IF($G$2:$G$462=G4,$O$2:$O$462)),0)</f>
        <v/>
      </c>
      <c r="AG4" s="6">
        <f t="array" ref="AG4">IFERROR((P4-AVERAGEIF($G$2:$G$462,G4,$P$2:$P$462))/_xlfn.STDEV.P(IF($G$2:$G$462=G4,$P$2:$P$462)),0)</f>
        <v/>
      </c>
      <c r="AH4" s="6">
        <f t="array" ref="AH4">IFERROR((R4-AVERAGEIF($G$2:$G$462,G4,$R$2:$R$462))/_xlfn.STDEV.P(IF($G$2:$G$462=G4,$R$2:$R$462)),0)</f>
        <v/>
      </c>
      <c r="AI4" s="6">
        <f>IFERROR((AC4+AD4+AE4+AF4+AG4+AH4)/6,0)</f>
        <v/>
      </c>
    </row>
    <row r="5">
      <c r="A5" s="2">
        <f>IF(BD_Carga!A6&lt;&gt;"",BD_Carga!A6,"")</f>
        <v/>
      </c>
      <c r="B5">
        <f>IF(A5&lt;&gt;"",YEAR(A5),"")</f>
        <v/>
      </c>
      <c r="C5">
        <f>IF(A5&lt;&gt;"",MONTH(A5),"")</f>
        <v/>
      </c>
      <c r="D5">
        <f>IF(A5&lt;&gt;"",_xlfn.ISOWEEKNUM(A5),"")</f>
        <v/>
      </c>
      <c r="E5">
        <f>IF(A5&lt;&gt;"",TEXT(A5,"dddd"),"")</f>
        <v/>
      </c>
      <c r="F5">
        <f>IF(BD_Carga!C6&lt;&gt;"",BD_Carga!C6,"")</f>
        <v/>
      </c>
      <c r="G5">
        <f>IF(BD_Carga!D6&lt;&gt;"",BD_Carga!D6,"")</f>
        <v/>
      </c>
      <c r="H5">
        <f>IF(BD_Carga!Q6&lt;&gt;"",BD_Carga!Q6,"")</f>
        <v/>
      </c>
      <c r="I5">
        <f>IF(BD_Carga!R6&lt;&gt;"",BD_Carga!R6,"")</f>
        <v/>
      </c>
      <c r="J5">
        <f>IF(BD_Carga!S6&lt;&gt;"",BD_Carga!S6,"")</f>
        <v/>
      </c>
      <c r="K5" s="4">
        <f>IF(BD_Carga!E6&lt;&gt;"",BD_Carga!E6,0)</f>
        <v/>
      </c>
      <c r="L5" s="4">
        <f>IF(BD_Carga!F6&lt;&gt;"",BD_Carga!F6,0)</f>
        <v/>
      </c>
      <c r="M5" s="4">
        <f>IF(BD_Carga!G6&lt;&gt;"",BD_Carga!G6,0)</f>
        <v/>
      </c>
      <c r="N5" s="4">
        <f>IF(BD_Carga!H6&lt;&gt;"",BD_Carga!H6,0)</f>
        <v/>
      </c>
      <c r="O5" s="4">
        <f>IF(BD_Carga!I6&lt;&gt;"",BD_Carga!I6,0)</f>
        <v/>
      </c>
      <c r="P5" s="4">
        <f>IF(BD_Carga!J6&lt;&gt;"",BD_Carga!J6,0)</f>
        <v/>
      </c>
      <c r="Q5" s="5">
        <f>IF(BD_Carga!K6&lt;&gt;"",BD_Carga!K6,0)</f>
        <v/>
      </c>
      <c r="R5" s="5">
        <f>IF(BD_Carga!L6&lt;&gt;"",BD_Carga!L6,0)</f>
        <v/>
      </c>
      <c r="S5">
        <f>IF(BD_Carga!N6&lt;&gt;"",BD_Carga!N6,0)</f>
        <v/>
      </c>
      <c r="T5">
        <f>IF(BD_Carga!O6&lt;&gt;"",BD_Carga!O6,0)</f>
        <v/>
      </c>
      <c r="U5">
        <f>IF(BD_Carga!P6&lt;&gt;"",BD_Carga!P6,0)</f>
        <v/>
      </c>
      <c r="V5">
        <f>IF(BD_Carga!U6&lt;&gt;"",BD_Carga!U6,0)</f>
        <v/>
      </c>
      <c r="W5">
        <f>IF(BD_Carga!T6&lt;&gt;"",BD_Carga!T6,0)</f>
        <v/>
      </c>
      <c r="X5">
        <f>IF(BD_Carga!W6&lt;&gt;"",BD_Carga!W6,0)</f>
        <v/>
      </c>
      <c r="Y5">
        <f>IF(BD_Carga!X6&lt;&gt;"",BD_Carga!X6,0)</f>
        <v/>
      </c>
      <c r="Z5">
        <f>IF(BD_Carga!Y6&lt;&gt;"",BD_Carga!Y6,0)</f>
        <v/>
      </c>
      <c r="AA5">
        <f>IF(BD_Carga!Z6&lt;&gt;"",BD_Carga!Z6,0)</f>
        <v/>
      </c>
      <c r="AB5">
        <f>IF(BD_Carga!AA6&lt;&gt;"",BD_Carga!AA6,0)</f>
        <v/>
      </c>
      <c r="AC5" s="6">
        <f t="array" ref="AC5">IFERROR((L5-AVERAGEIF($G$2:$G$462,G5,$L$2:$L$462))/_xlfn.STDEV.P(IF($G$2:$G$462=G5,$L$2:$L$462)),0)</f>
        <v/>
      </c>
      <c r="AD5" s="6">
        <f t="array" ref="AD5">IFERROR((M5-AVERAGEIF($G$2:$G$462,G5,$M$2:$M$462))/_xlfn.STDEV.P(IF($G$2:$G$462=G5,$M$2:$M$462)),0)</f>
        <v/>
      </c>
      <c r="AE5" s="6">
        <f t="array" ref="AE5">IFERROR((N5-AVERAGEIF($G$2:$G$462,G5,$N$2:$N$462))/_xlfn.STDEV.P(IF($G$2:$G$462=G5,$N$2:$N$462)),0)</f>
        <v/>
      </c>
      <c r="AF5" s="6">
        <f t="array" ref="AF5">IFERROR((O5-AVERAGEIF($G$2:$G$462,G5,$O$2:$O$462))/_xlfn.STDEV.P(IF($G$2:$G$462=G5,$O$2:$O$462)),0)</f>
        <v/>
      </c>
      <c r="AG5" s="6">
        <f t="array" ref="AG5">IFERROR((P5-AVERAGEIF($G$2:$G$462,G5,$P$2:$P$462))/_xlfn.STDEV.P(IF($G$2:$G$462=G5,$P$2:$P$462)),0)</f>
        <v/>
      </c>
      <c r="AH5" s="6">
        <f t="array" ref="AH5">IFERROR((R5-AVERAGEIF($G$2:$G$462,G5,$R$2:$R$462))/_xlfn.STDEV.P(IF($G$2:$G$462=G5,$R$2:$R$462)),0)</f>
        <v/>
      </c>
      <c r="AI5" s="6">
        <f>IFERROR((AC5+AD5+AE5+AF5+AG5+AH5)/6,0)</f>
        <v/>
      </c>
    </row>
    <row r="6">
      <c r="A6" s="2">
        <f>IF(BD_Carga!A7&lt;&gt;"",BD_Carga!A7,"")</f>
        <v/>
      </c>
      <c r="B6">
        <f>IF(A6&lt;&gt;"",YEAR(A6),"")</f>
        <v/>
      </c>
      <c r="C6">
        <f>IF(A6&lt;&gt;"",MONTH(A6),"")</f>
        <v/>
      </c>
      <c r="D6">
        <f>IF(A6&lt;&gt;"",_xlfn.ISOWEEKNUM(A6),"")</f>
        <v/>
      </c>
      <c r="E6">
        <f>IF(A6&lt;&gt;"",TEXT(A6,"dddd"),"")</f>
        <v/>
      </c>
      <c r="F6">
        <f>IF(BD_Carga!C7&lt;&gt;"",BD_Carga!C7,"")</f>
        <v/>
      </c>
      <c r="G6">
        <f>IF(BD_Carga!D7&lt;&gt;"",BD_Carga!D7,"")</f>
        <v/>
      </c>
      <c r="H6">
        <f>IF(BD_Carga!Q7&lt;&gt;"",BD_Carga!Q7,"")</f>
        <v/>
      </c>
      <c r="I6">
        <f>IF(BD_Carga!R7&lt;&gt;"",BD_Carga!R7,"")</f>
        <v/>
      </c>
      <c r="J6">
        <f>IF(BD_Carga!S7&lt;&gt;"",BD_Carga!S7,"")</f>
        <v/>
      </c>
      <c r="K6" s="4">
        <f>IF(BD_Carga!E7&lt;&gt;"",BD_Carga!E7,0)</f>
        <v/>
      </c>
      <c r="L6" s="4">
        <f>IF(BD_Carga!F7&lt;&gt;"",BD_Carga!F7,0)</f>
        <v/>
      </c>
      <c r="M6" s="4">
        <f>IF(BD_Carga!G7&lt;&gt;"",BD_Carga!G7,0)</f>
        <v/>
      </c>
      <c r="N6" s="4">
        <f>IF(BD_Carga!H7&lt;&gt;"",BD_Carga!H7,0)</f>
        <v/>
      </c>
      <c r="O6" s="4">
        <f>IF(BD_Carga!I7&lt;&gt;"",BD_Carga!I7,0)</f>
        <v/>
      </c>
      <c r="P6" s="4">
        <f>IF(BD_Carga!J7&lt;&gt;"",BD_Carga!J7,0)</f>
        <v/>
      </c>
      <c r="Q6" s="5">
        <f>IF(BD_Carga!K7&lt;&gt;"",BD_Carga!K7,0)</f>
        <v/>
      </c>
      <c r="R6" s="5">
        <f>IF(BD_Carga!L7&lt;&gt;"",BD_Carga!L7,0)</f>
        <v/>
      </c>
      <c r="S6">
        <f>IF(BD_Carga!N7&lt;&gt;"",BD_Carga!N7,0)</f>
        <v/>
      </c>
      <c r="T6">
        <f>IF(BD_Carga!O7&lt;&gt;"",BD_Carga!O7,0)</f>
        <v/>
      </c>
      <c r="U6">
        <f>IF(BD_Carga!P7&lt;&gt;"",BD_Carga!P7,0)</f>
        <v/>
      </c>
      <c r="V6">
        <f>IF(BD_Carga!U7&lt;&gt;"",BD_Carga!U7,0)</f>
        <v/>
      </c>
      <c r="W6">
        <f>IF(BD_Carga!T7&lt;&gt;"",BD_Carga!T7,0)</f>
        <v/>
      </c>
      <c r="X6">
        <f>IF(BD_Carga!W7&lt;&gt;"",BD_Carga!W7,0)</f>
        <v/>
      </c>
      <c r="Y6">
        <f>IF(BD_Carga!X7&lt;&gt;"",BD_Carga!X7,0)</f>
        <v/>
      </c>
      <c r="Z6">
        <f>IF(BD_Carga!Y7&lt;&gt;"",BD_Carga!Y7,0)</f>
        <v/>
      </c>
      <c r="AA6">
        <f>IF(BD_Carga!Z7&lt;&gt;"",BD_Carga!Z7,0)</f>
        <v/>
      </c>
      <c r="AB6">
        <f>IF(BD_Carga!AA7&lt;&gt;"",BD_Carga!AA7,0)</f>
        <v/>
      </c>
      <c r="AC6" s="6">
        <f t="array" ref="AC6">IFERROR((L6-AVERAGEIF($G$2:$G$462,G6,$L$2:$L$462))/_xlfn.STDEV.P(IF($G$2:$G$462=G6,$L$2:$L$462)),0)</f>
        <v/>
      </c>
      <c r="AD6" s="6">
        <f t="array" ref="AD6">IFERROR((M6-AVERAGEIF($G$2:$G$462,G6,$M$2:$M$462))/_xlfn.STDEV.P(IF($G$2:$G$462=G6,$M$2:$M$462)),0)</f>
        <v/>
      </c>
      <c r="AE6" s="6">
        <f t="array" ref="AE6">IFERROR((N6-AVERAGEIF($G$2:$G$462,G6,$N$2:$N$462))/_xlfn.STDEV.P(IF($G$2:$G$462=G6,$N$2:$N$462)),0)</f>
        <v/>
      </c>
      <c r="AF6" s="6">
        <f t="array" ref="AF6">IFERROR((O6-AVERAGEIF($G$2:$G$462,G6,$O$2:$O$462))/_xlfn.STDEV.P(IF($G$2:$G$462=G6,$O$2:$O$462)),0)</f>
        <v/>
      </c>
      <c r="AG6" s="6">
        <f t="array" ref="AG6">IFERROR((P6-AVERAGEIF($G$2:$G$462,G6,$P$2:$P$462))/_xlfn.STDEV.P(IF($G$2:$G$462=G6,$P$2:$P$462)),0)</f>
        <v/>
      </c>
      <c r="AH6" s="6">
        <f t="array" ref="AH6">IFERROR((R6-AVERAGEIF($G$2:$G$462,G6,$R$2:$R$462))/_xlfn.STDEV.P(IF($G$2:$G$462=G6,$R$2:$R$462)),0)</f>
        <v/>
      </c>
      <c r="AI6" s="6">
        <f>IFERROR((AC6+AD6+AE6+AF6+AG6+AH6)/6,0)</f>
        <v/>
      </c>
    </row>
    <row r="7">
      <c r="A7" s="2">
        <f>IF(BD_Carga!A8&lt;&gt;"",BD_Carga!A8,"")</f>
        <v/>
      </c>
      <c r="B7">
        <f>IF(A7&lt;&gt;"",YEAR(A7),"")</f>
        <v/>
      </c>
      <c r="C7">
        <f>IF(A7&lt;&gt;"",MONTH(A7),"")</f>
        <v/>
      </c>
      <c r="D7">
        <f>IF(A7&lt;&gt;"",_xlfn.ISOWEEKNUM(A7),"")</f>
        <v/>
      </c>
      <c r="E7">
        <f>IF(A7&lt;&gt;"",TEXT(A7,"dddd"),"")</f>
        <v/>
      </c>
      <c r="F7">
        <f>IF(BD_Carga!C8&lt;&gt;"",BD_Carga!C8,"")</f>
        <v/>
      </c>
      <c r="G7">
        <f>IF(BD_Carga!D8&lt;&gt;"",BD_Carga!D8,"")</f>
        <v/>
      </c>
      <c r="H7">
        <f>IF(BD_Carga!Q8&lt;&gt;"",BD_Carga!Q8,"")</f>
        <v/>
      </c>
      <c r="I7">
        <f>IF(BD_Carga!R8&lt;&gt;"",BD_Carga!R8,"")</f>
        <v/>
      </c>
      <c r="J7">
        <f>IF(BD_Carga!S8&lt;&gt;"",BD_Carga!S8,"")</f>
        <v/>
      </c>
      <c r="K7" s="4">
        <f>IF(BD_Carga!E8&lt;&gt;"",BD_Carga!E8,0)</f>
        <v/>
      </c>
      <c r="L7" s="4">
        <f>IF(BD_Carga!F8&lt;&gt;"",BD_Carga!F8,0)</f>
        <v/>
      </c>
      <c r="M7" s="4">
        <f>IF(BD_Carga!G8&lt;&gt;"",BD_Carga!G8,0)</f>
        <v/>
      </c>
      <c r="N7" s="4">
        <f>IF(BD_Carga!H8&lt;&gt;"",BD_Carga!H8,0)</f>
        <v/>
      </c>
      <c r="O7" s="4">
        <f>IF(BD_Carga!I8&lt;&gt;"",BD_Carga!I8,0)</f>
        <v/>
      </c>
      <c r="P7" s="4">
        <f>IF(BD_Carga!J8&lt;&gt;"",BD_Carga!J8,0)</f>
        <v/>
      </c>
      <c r="Q7" s="5">
        <f>IF(BD_Carga!K8&lt;&gt;"",BD_Carga!K8,0)</f>
        <v/>
      </c>
      <c r="R7" s="5">
        <f>IF(BD_Carga!L8&lt;&gt;"",BD_Carga!L8,0)</f>
        <v/>
      </c>
      <c r="S7">
        <f>IF(BD_Carga!N8&lt;&gt;"",BD_Carga!N8,0)</f>
        <v/>
      </c>
      <c r="T7">
        <f>IF(BD_Carga!O8&lt;&gt;"",BD_Carga!O8,0)</f>
        <v/>
      </c>
      <c r="U7">
        <f>IF(BD_Carga!P8&lt;&gt;"",BD_Carga!P8,0)</f>
        <v/>
      </c>
      <c r="V7">
        <f>IF(BD_Carga!U8&lt;&gt;"",BD_Carga!U8,0)</f>
        <v/>
      </c>
      <c r="W7">
        <f>IF(BD_Carga!T8&lt;&gt;"",BD_Carga!T8,0)</f>
        <v/>
      </c>
      <c r="X7">
        <f>IF(BD_Carga!W8&lt;&gt;"",BD_Carga!W8,0)</f>
        <v/>
      </c>
      <c r="Y7">
        <f>IF(BD_Carga!X8&lt;&gt;"",BD_Carga!X8,0)</f>
        <v/>
      </c>
      <c r="Z7">
        <f>IF(BD_Carga!Y8&lt;&gt;"",BD_Carga!Y8,0)</f>
        <v/>
      </c>
      <c r="AA7">
        <f>IF(BD_Carga!Z8&lt;&gt;"",BD_Carga!Z8,0)</f>
        <v/>
      </c>
      <c r="AB7">
        <f>IF(BD_Carga!AA8&lt;&gt;"",BD_Carga!AA8,0)</f>
        <v/>
      </c>
      <c r="AC7" s="6">
        <f t="array" ref="AC7">IFERROR((L7-AVERAGEIF($G$2:$G$462,G7,$L$2:$L$462))/_xlfn.STDEV.P(IF($G$2:$G$462=G7,$L$2:$L$462)),0)</f>
        <v/>
      </c>
      <c r="AD7" s="6">
        <f t="array" ref="AD7">IFERROR((M7-AVERAGEIF($G$2:$G$462,G7,$M$2:$M$462))/_xlfn.STDEV.P(IF($G$2:$G$462=G7,$M$2:$M$462)),0)</f>
        <v/>
      </c>
      <c r="AE7" s="6">
        <f t="array" ref="AE7">IFERROR((N7-AVERAGEIF($G$2:$G$462,G7,$N$2:$N$462))/_xlfn.STDEV.P(IF($G$2:$G$462=G7,$N$2:$N$462)),0)</f>
        <v/>
      </c>
      <c r="AF7" s="6">
        <f t="array" ref="AF7">IFERROR((O7-AVERAGEIF($G$2:$G$462,G7,$O$2:$O$462))/_xlfn.STDEV.P(IF($G$2:$G$462=G7,$O$2:$O$462)),0)</f>
        <v/>
      </c>
      <c r="AG7" s="6">
        <f t="array" ref="AG7">IFERROR((P7-AVERAGEIF($G$2:$G$462,G7,$P$2:$P$462))/_xlfn.STDEV.P(IF($G$2:$G$462=G7,$P$2:$P$462)),0)</f>
        <v/>
      </c>
      <c r="AH7" s="6">
        <f t="array" ref="AH7">IFERROR((R7-AVERAGEIF($G$2:$G$462,G7,$R$2:$R$462))/_xlfn.STDEV.P(IF($G$2:$G$462=G7,$R$2:$R$462)),0)</f>
        <v/>
      </c>
      <c r="AI7" s="6">
        <f>IFERROR((AC7+AD7+AE7+AF7+AG7+AH7)/6,0)</f>
        <v/>
      </c>
    </row>
    <row r="8">
      <c r="A8" s="2">
        <f>IF(BD_Carga!A9&lt;&gt;"",BD_Carga!A9,"")</f>
        <v/>
      </c>
      <c r="B8">
        <f>IF(A8&lt;&gt;"",YEAR(A8),"")</f>
        <v/>
      </c>
      <c r="C8">
        <f>IF(A8&lt;&gt;"",MONTH(A8),"")</f>
        <v/>
      </c>
      <c r="D8">
        <f>IF(A8&lt;&gt;"",_xlfn.ISOWEEKNUM(A8),"")</f>
        <v/>
      </c>
      <c r="E8">
        <f>IF(A8&lt;&gt;"",TEXT(A8,"dddd"),"")</f>
        <v/>
      </c>
      <c r="F8">
        <f>IF(BD_Carga!C9&lt;&gt;"",BD_Carga!C9,"")</f>
        <v/>
      </c>
      <c r="G8">
        <f>IF(BD_Carga!D9&lt;&gt;"",BD_Carga!D9,"")</f>
        <v/>
      </c>
      <c r="H8">
        <f>IF(BD_Carga!Q9&lt;&gt;"",BD_Carga!Q9,"")</f>
        <v/>
      </c>
      <c r="I8">
        <f>IF(BD_Carga!R9&lt;&gt;"",BD_Carga!R9,"")</f>
        <v/>
      </c>
      <c r="J8">
        <f>IF(BD_Carga!S9&lt;&gt;"",BD_Carga!S9,"")</f>
        <v/>
      </c>
      <c r="K8" s="4">
        <f>IF(BD_Carga!E9&lt;&gt;"",BD_Carga!E9,0)</f>
        <v/>
      </c>
      <c r="L8" s="4">
        <f>IF(BD_Carga!F9&lt;&gt;"",BD_Carga!F9,0)</f>
        <v/>
      </c>
      <c r="M8" s="4">
        <f>IF(BD_Carga!G9&lt;&gt;"",BD_Carga!G9,0)</f>
        <v/>
      </c>
      <c r="N8" s="4">
        <f>IF(BD_Carga!H9&lt;&gt;"",BD_Carga!H9,0)</f>
        <v/>
      </c>
      <c r="O8" s="4">
        <f>IF(BD_Carga!I9&lt;&gt;"",BD_Carga!I9,0)</f>
        <v/>
      </c>
      <c r="P8" s="4">
        <f>IF(BD_Carga!J9&lt;&gt;"",BD_Carga!J9,0)</f>
        <v/>
      </c>
      <c r="Q8" s="5">
        <f>IF(BD_Carga!K9&lt;&gt;"",BD_Carga!K9,0)</f>
        <v/>
      </c>
      <c r="R8" s="5">
        <f>IF(BD_Carga!L9&lt;&gt;"",BD_Carga!L9,0)</f>
        <v/>
      </c>
      <c r="S8">
        <f>IF(BD_Carga!N9&lt;&gt;"",BD_Carga!N9,0)</f>
        <v/>
      </c>
      <c r="T8">
        <f>IF(BD_Carga!O9&lt;&gt;"",BD_Carga!O9,0)</f>
        <v/>
      </c>
      <c r="U8">
        <f>IF(BD_Carga!P9&lt;&gt;"",BD_Carga!P9,0)</f>
        <v/>
      </c>
      <c r="V8">
        <f>IF(BD_Carga!U9&lt;&gt;"",BD_Carga!U9,0)</f>
        <v/>
      </c>
      <c r="W8">
        <f>IF(BD_Carga!T9&lt;&gt;"",BD_Carga!T9,0)</f>
        <v/>
      </c>
      <c r="X8">
        <f>IF(BD_Carga!W9&lt;&gt;"",BD_Carga!W9,0)</f>
        <v/>
      </c>
      <c r="Y8">
        <f>IF(BD_Carga!X9&lt;&gt;"",BD_Carga!X9,0)</f>
        <v/>
      </c>
      <c r="Z8">
        <f>IF(BD_Carga!Y9&lt;&gt;"",BD_Carga!Y9,0)</f>
        <v/>
      </c>
      <c r="AA8">
        <f>IF(BD_Carga!Z9&lt;&gt;"",BD_Carga!Z9,0)</f>
        <v/>
      </c>
      <c r="AB8">
        <f>IF(BD_Carga!AA9&lt;&gt;"",BD_Carga!AA9,0)</f>
        <v/>
      </c>
      <c r="AC8" s="6">
        <f t="array" ref="AC8">IFERROR((L8-AVERAGEIF($G$2:$G$462,G8,$L$2:$L$462))/_xlfn.STDEV.P(IF($G$2:$G$462=G8,$L$2:$L$462)),0)</f>
        <v/>
      </c>
      <c r="AD8" s="6">
        <f t="array" ref="AD8">IFERROR((M8-AVERAGEIF($G$2:$G$462,G8,$M$2:$M$462))/_xlfn.STDEV.P(IF($G$2:$G$462=G8,$M$2:$M$462)),0)</f>
        <v/>
      </c>
      <c r="AE8" s="6">
        <f t="array" ref="AE8">IFERROR((N8-AVERAGEIF($G$2:$G$462,G8,$N$2:$N$462))/_xlfn.STDEV.P(IF($G$2:$G$462=G8,$N$2:$N$462)),0)</f>
        <v/>
      </c>
      <c r="AF8" s="6">
        <f t="array" ref="AF8">IFERROR((O8-AVERAGEIF($G$2:$G$462,G8,$O$2:$O$462))/_xlfn.STDEV.P(IF($G$2:$G$462=G8,$O$2:$O$462)),0)</f>
        <v/>
      </c>
      <c r="AG8" s="6">
        <f t="array" ref="AG8">IFERROR((P8-AVERAGEIF($G$2:$G$462,G8,$P$2:$P$462))/_xlfn.STDEV.P(IF($G$2:$G$462=G8,$P$2:$P$462)),0)</f>
        <v/>
      </c>
      <c r="AH8" s="6">
        <f t="array" ref="AH8">IFERROR((R8-AVERAGEIF($G$2:$G$462,G8,$R$2:$R$462))/_xlfn.STDEV.P(IF($G$2:$G$462=G8,$R$2:$R$462)),0)</f>
        <v/>
      </c>
      <c r="AI8" s="6">
        <f>IFERROR((AC8+AD8+AE8+AF8+AG8+AH8)/6,0)</f>
        <v/>
      </c>
    </row>
    <row r="9">
      <c r="A9" s="2">
        <f>IF(BD_Carga!A10&lt;&gt;"",BD_Carga!A10,"")</f>
        <v/>
      </c>
      <c r="B9">
        <f>IF(A9&lt;&gt;"",YEAR(A9),"")</f>
        <v/>
      </c>
      <c r="C9">
        <f>IF(A9&lt;&gt;"",MONTH(A9),"")</f>
        <v/>
      </c>
      <c r="D9">
        <f>IF(A9&lt;&gt;"",_xlfn.ISOWEEKNUM(A9),"")</f>
        <v/>
      </c>
      <c r="E9">
        <f>IF(A9&lt;&gt;"",TEXT(A9,"dddd"),"")</f>
        <v/>
      </c>
      <c r="F9">
        <f>IF(BD_Carga!C10&lt;&gt;"",BD_Carga!C10,"")</f>
        <v/>
      </c>
      <c r="G9">
        <f>IF(BD_Carga!D10&lt;&gt;"",BD_Carga!D10,"")</f>
        <v/>
      </c>
      <c r="H9">
        <f>IF(BD_Carga!Q10&lt;&gt;"",BD_Carga!Q10,"")</f>
        <v/>
      </c>
      <c r="I9">
        <f>IF(BD_Carga!R10&lt;&gt;"",BD_Carga!R10,"")</f>
        <v/>
      </c>
      <c r="J9">
        <f>IF(BD_Carga!S10&lt;&gt;"",BD_Carga!S10,"")</f>
        <v/>
      </c>
      <c r="K9" s="4">
        <f>IF(BD_Carga!E10&lt;&gt;"",BD_Carga!E10,0)</f>
        <v/>
      </c>
      <c r="L9" s="4">
        <f>IF(BD_Carga!F10&lt;&gt;"",BD_Carga!F10,0)</f>
        <v/>
      </c>
      <c r="M9" s="4">
        <f>IF(BD_Carga!G10&lt;&gt;"",BD_Carga!G10,0)</f>
        <v/>
      </c>
      <c r="N9" s="4">
        <f>IF(BD_Carga!H10&lt;&gt;"",BD_Carga!H10,0)</f>
        <v/>
      </c>
      <c r="O9" s="4">
        <f>IF(BD_Carga!I10&lt;&gt;"",BD_Carga!I10,0)</f>
        <v/>
      </c>
      <c r="P9" s="4">
        <f>IF(BD_Carga!J10&lt;&gt;"",BD_Carga!J10,0)</f>
        <v/>
      </c>
      <c r="Q9" s="5">
        <f>IF(BD_Carga!K10&lt;&gt;"",BD_Carga!K10,0)</f>
        <v/>
      </c>
      <c r="R9" s="5">
        <f>IF(BD_Carga!L10&lt;&gt;"",BD_Carga!L10,0)</f>
        <v/>
      </c>
      <c r="S9">
        <f>IF(BD_Carga!N10&lt;&gt;"",BD_Carga!N10,0)</f>
        <v/>
      </c>
      <c r="T9">
        <f>IF(BD_Carga!O10&lt;&gt;"",BD_Carga!O10,0)</f>
        <v/>
      </c>
      <c r="U9">
        <f>IF(BD_Carga!P10&lt;&gt;"",BD_Carga!P10,0)</f>
        <v/>
      </c>
      <c r="V9">
        <f>IF(BD_Carga!U10&lt;&gt;"",BD_Carga!U10,0)</f>
        <v/>
      </c>
      <c r="W9">
        <f>IF(BD_Carga!T10&lt;&gt;"",BD_Carga!T10,0)</f>
        <v/>
      </c>
      <c r="X9">
        <f>IF(BD_Carga!W10&lt;&gt;"",BD_Carga!W10,0)</f>
        <v/>
      </c>
      <c r="Y9">
        <f>IF(BD_Carga!X10&lt;&gt;"",BD_Carga!X10,0)</f>
        <v/>
      </c>
      <c r="Z9">
        <f>IF(BD_Carga!Y10&lt;&gt;"",BD_Carga!Y10,0)</f>
        <v/>
      </c>
      <c r="AA9">
        <f>IF(BD_Carga!Z10&lt;&gt;"",BD_Carga!Z10,0)</f>
        <v/>
      </c>
      <c r="AB9">
        <f>IF(BD_Carga!AA10&lt;&gt;"",BD_Carga!AA10,0)</f>
        <v/>
      </c>
      <c r="AC9" s="6">
        <f t="array" ref="AC9">IFERROR((L9-AVERAGEIF($G$2:$G$462,G9,$L$2:$L$462))/_xlfn.STDEV.P(IF($G$2:$G$462=G9,$L$2:$L$462)),0)</f>
        <v/>
      </c>
      <c r="AD9" s="6">
        <f t="array" ref="AD9">IFERROR((M9-AVERAGEIF($G$2:$G$462,G9,$M$2:$M$462))/_xlfn.STDEV.P(IF($G$2:$G$462=G9,$M$2:$M$462)),0)</f>
        <v/>
      </c>
      <c r="AE9" s="6">
        <f t="array" ref="AE9">IFERROR((N9-AVERAGEIF($G$2:$G$462,G9,$N$2:$N$462))/_xlfn.STDEV.P(IF($G$2:$G$462=G9,$N$2:$N$462)),0)</f>
        <v/>
      </c>
      <c r="AF9" s="6">
        <f t="array" ref="AF9">IFERROR((O9-AVERAGEIF($G$2:$G$462,G9,$O$2:$O$462))/_xlfn.STDEV.P(IF($G$2:$G$462=G9,$O$2:$O$462)),0)</f>
        <v/>
      </c>
      <c r="AG9" s="6">
        <f t="array" ref="AG9">IFERROR((P9-AVERAGEIF($G$2:$G$462,G9,$P$2:$P$462))/_xlfn.STDEV.P(IF($G$2:$G$462=G9,$P$2:$P$462)),0)</f>
        <v/>
      </c>
      <c r="AH9" s="6">
        <f t="array" ref="AH9">IFERROR((R9-AVERAGEIF($G$2:$G$462,G9,$R$2:$R$462))/_xlfn.STDEV.P(IF($G$2:$G$462=G9,$R$2:$R$462)),0)</f>
        <v/>
      </c>
      <c r="AI9" s="6">
        <f>IFERROR((AC9+AD9+AE9+AF9+AG9+AH9)/6,0)</f>
        <v/>
      </c>
    </row>
    <row r="10">
      <c r="A10" s="2">
        <f>IF(BD_Carga!A11&lt;&gt;"",BD_Carga!A11,"")</f>
        <v/>
      </c>
      <c r="B10">
        <f>IF(A10&lt;&gt;"",YEAR(A10),"")</f>
        <v/>
      </c>
      <c r="C10">
        <f>IF(A10&lt;&gt;"",MONTH(A10),"")</f>
        <v/>
      </c>
      <c r="D10">
        <f>IF(A10&lt;&gt;"",_xlfn.ISOWEEKNUM(A10),"")</f>
        <v/>
      </c>
      <c r="E10">
        <f>IF(A10&lt;&gt;"",TEXT(A10,"dddd"),"")</f>
        <v/>
      </c>
      <c r="F10">
        <f>IF(BD_Carga!C11&lt;&gt;"",BD_Carga!C11,"")</f>
        <v/>
      </c>
      <c r="G10">
        <f>IF(BD_Carga!D11&lt;&gt;"",BD_Carga!D11,"")</f>
        <v/>
      </c>
      <c r="H10">
        <f>IF(BD_Carga!Q11&lt;&gt;"",BD_Carga!Q11,"")</f>
        <v/>
      </c>
      <c r="I10">
        <f>IF(BD_Carga!R11&lt;&gt;"",BD_Carga!R11,"")</f>
        <v/>
      </c>
      <c r="J10">
        <f>IF(BD_Carga!S11&lt;&gt;"",BD_Carga!S11,"")</f>
        <v/>
      </c>
      <c r="K10" s="4">
        <f>IF(BD_Carga!E11&lt;&gt;"",BD_Carga!E11,0)</f>
        <v/>
      </c>
      <c r="L10" s="4">
        <f>IF(BD_Carga!F11&lt;&gt;"",BD_Carga!F11,0)</f>
        <v/>
      </c>
      <c r="M10" s="4">
        <f>IF(BD_Carga!G11&lt;&gt;"",BD_Carga!G11,0)</f>
        <v/>
      </c>
      <c r="N10" s="4">
        <f>IF(BD_Carga!H11&lt;&gt;"",BD_Carga!H11,0)</f>
        <v/>
      </c>
      <c r="O10" s="4">
        <f>IF(BD_Carga!I11&lt;&gt;"",BD_Carga!I11,0)</f>
        <v/>
      </c>
      <c r="P10" s="4">
        <f>IF(BD_Carga!J11&lt;&gt;"",BD_Carga!J11,0)</f>
        <v/>
      </c>
      <c r="Q10" s="5">
        <f>IF(BD_Carga!K11&lt;&gt;"",BD_Carga!K11,0)</f>
        <v/>
      </c>
      <c r="R10" s="5">
        <f>IF(BD_Carga!L11&lt;&gt;"",BD_Carga!L11,0)</f>
        <v/>
      </c>
      <c r="S10">
        <f>IF(BD_Carga!N11&lt;&gt;"",BD_Carga!N11,0)</f>
        <v/>
      </c>
      <c r="T10">
        <f>IF(BD_Carga!O11&lt;&gt;"",BD_Carga!O11,0)</f>
        <v/>
      </c>
      <c r="U10">
        <f>IF(BD_Carga!P11&lt;&gt;"",BD_Carga!P11,0)</f>
        <v/>
      </c>
      <c r="V10">
        <f>IF(BD_Carga!U11&lt;&gt;"",BD_Carga!U11,0)</f>
        <v/>
      </c>
      <c r="W10">
        <f>IF(BD_Carga!T11&lt;&gt;"",BD_Carga!T11,0)</f>
        <v/>
      </c>
      <c r="X10">
        <f>IF(BD_Carga!W11&lt;&gt;"",BD_Carga!W11,0)</f>
        <v/>
      </c>
      <c r="Y10">
        <f>IF(BD_Carga!X11&lt;&gt;"",BD_Carga!X11,0)</f>
        <v/>
      </c>
      <c r="Z10">
        <f>IF(BD_Carga!Y11&lt;&gt;"",BD_Carga!Y11,0)</f>
        <v/>
      </c>
      <c r="AA10">
        <f>IF(BD_Carga!Z11&lt;&gt;"",BD_Carga!Z11,0)</f>
        <v/>
      </c>
      <c r="AB10">
        <f>IF(BD_Carga!AA11&lt;&gt;"",BD_Carga!AA11,0)</f>
        <v/>
      </c>
      <c r="AC10" s="6">
        <f t="array" ref="AC10">IFERROR((L10-AVERAGEIF($G$2:$G$462,G10,$L$2:$L$462))/_xlfn.STDEV.P(IF($G$2:$G$462=G10,$L$2:$L$462)),0)</f>
        <v/>
      </c>
      <c r="AD10" s="6">
        <f t="array" ref="AD10">IFERROR((M10-AVERAGEIF($G$2:$G$462,G10,$M$2:$M$462))/_xlfn.STDEV.P(IF($G$2:$G$462=G10,$M$2:$M$462)),0)</f>
        <v/>
      </c>
      <c r="AE10" s="6">
        <f t="array" ref="AE10">IFERROR((N10-AVERAGEIF($G$2:$G$462,G10,$N$2:$N$462))/_xlfn.STDEV.P(IF($G$2:$G$462=G10,$N$2:$N$462)),0)</f>
        <v/>
      </c>
      <c r="AF10" s="6">
        <f t="array" ref="AF10">IFERROR((O10-AVERAGEIF($G$2:$G$462,G10,$O$2:$O$462))/_xlfn.STDEV.P(IF($G$2:$G$462=G10,$O$2:$O$462)),0)</f>
        <v/>
      </c>
      <c r="AG10" s="6">
        <f t="array" ref="AG10">IFERROR((P10-AVERAGEIF($G$2:$G$462,G10,$P$2:$P$462))/_xlfn.STDEV.P(IF($G$2:$G$462=G10,$P$2:$P$462)),0)</f>
        <v/>
      </c>
      <c r="AH10" s="6">
        <f t="array" ref="AH10">IFERROR((R10-AVERAGEIF($G$2:$G$462,G10,$R$2:$R$462))/_xlfn.STDEV.P(IF($G$2:$G$462=G10,$R$2:$R$462)),0)</f>
        <v/>
      </c>
      <c r="AI10" s="6">
        <f>IFERROR((AC10+AD10+AE10+AF10+AG10+AH10)/6,0)</f>
        <v/>
      </c>
    </row>
    <row r="11">
      <c r="A11" s="2">
        <f>IF(BD_Carga!A12&lt;&gt;"",BD_Carga!A12,"")</f>
        <v/>
      </c>
      <c r="B11">
        <f>IF(A11&lt;&gt;"",YEAR(A11),"")</f>
        <v/>
      </c>
      <c r="C11">
        <f>IF(A11&lt;&gt;"",MONTH(A11),"")</f>
        <v/>
      </c>
      <c r="D11">
        <f>IF(A11&lt;&gt;"",_xlfn.ISOWEEKNUM(A11),"")</f>
        <v/>
      </c>
      <c r="E11">
        <f>IF(A11&lt;&gt;"",TEXT(A11,"dddd"),"")</f>
        <v/>
      </c>
      <c r="F11">
        <f>IF(BD_Carga!C12&lt;&gt;"",BD_Carga!C12,"")</f>
        <v/>
      </c>
      <c r="G11">
        <f>IF(BD_Carga!D12&lt;&gt;"",BD_Carga!D12,"")</f>
        <v/>
      </c>
      <c r="H11">
        <f>IF(BD_Carga!Q12&lt;&gt;"",BD_Carga!Q12,"")</f>
        <v/>
      </c>
      <c r="I11">
        <f>IF(BD_Carga!R12&lt;&gt;"",BD_Carga!R12,"")</f>
        <v/>
      </c>
      <c r="J11">
        <f>IF(BD_Carga!S12&lt;&gt;"",BD_Carga!S12,"")</f>
        <v/>
      </c>
      <c r="K11" s="4">
        <f>IF(BD_Carga!E12&lt;&gt;"",BD_Carga!E12,0)</f>
        <v/>
      </c>
      <c r="L11" s="4">
        <f>IF(BD_Carga!F12&lt;&gt;"",BD_Carga!F12,0)</f>
        <v/>
      </c>
      <c r="M11" s="4">
        <f>IF(BD_Carga!G12&lt;&gt;"",BD_Carga!G12,0)</f>
        <v/>
      </c>
      <c r="N11" s="4">
        <f>IF(BD_Carga!H12&lt;&gt;"",BD_Carga!H12,0)</f>
        <v/>
      </c>
      <c r="O11" s="4">
        <f>IF(BD_Carga!I12&lt;&gt;"",BD_Carga!I12,0)</f>
        <v/>
      </c>
      <c r="P11" s="4">
        <f>IF(BD_Carga!J12&lt;&gt;"",BD_Carga!J12,0)</f>
        <v/>
      </c>
      <c r="Q11" s="5">
        <f>IF(BD_Carga!K12&lt;&gt;"",BD_Carga!K12,0)</f>
        <v/>
      </c>
      <c r="R11" s="5">
        <f>IF(BD_Carga!L12&lt;&gt;"",BD_Carga!L12,0)</f>
        <v/>
      </c>
      <c r="S11">
        <f>IF(BD_Carga!N12&lt;&gt;"",BD_Carga!N12,0)</f>
        <v/>
      </c>
      <c r="T11">
        <f>IF(BD_Carga!O12&lt;&gt;"",BD_Carga!O12,0)</f>
        <v/>
      </c>
      <c r="U11">
        <f>IF(BD_Carga!P12&lt;&gt;"",BD_Carga!P12,0)</f>
        <v/>
      </c>
      <c r="V11">
        <f>IF(BD_Carga!U12&lt;&gt;"",BD_Carga!U12,0)</f>
        <v/>
      </c>
      <c r="W11">
        <f>IF(BD_Carga!T12&lt;&gt;"",BD_Carga!T12,0)</f>
        <v/>
      </c>
      <c r="X11">
        <f>IF(BD_Carga!W12&lt;&gt;"",BD_Carga!W12,0)</f>
        <v/>
      </c>
      <c r="Y11">
        <f>IF(BD_Carga!X12&lt;&gt;"",BD_Carga!X12,0)</f>
        <v/>
      </c>
      <c r="Z11">
        <f>IF(BD_Carga!Y12&lt;&gt;"",BD_Carga!Y12,0)</f>
        <v/>
      </c>
      <c r="AA11">
        <f>IF(BD_Carga!Z12&lt;&gt;"",BD_Carga!Z12,0)</f>
        <v/>
      </c>
      <c r="AB11">
        <f>IF(BD_Carga!AA12&lt;&gt;"",BD_Carga!AA12,0)</f>
        <v/>
      </c>
      <c r="AC11" s="6">
        <f t="array" ref="AC11">IFERROR((L11-AVERAGEIF($G$2:$G$462,G11,$L$2:$L$462))/_xlfn.STDEV.P(IF($G$2:$G$462=G11,$L$2:$L$462)),0)</f>
        <v/>
      </c>
      <c r="AD11" s="6">
        <f t="array" ref="AD11">IFERROR((M11-AVERAGEIF($G$2:$G$462,G11,$M$2:$M$462))/_xlfn.STDEV.P(IF($G$2:$G$462=G11,$M$2:$M$462)),0)</f>
        <v/>
      </c>
      <c r="AE11" s="6">
        <f t="array" ref="AE11">IFERROR((N11-AVERAGEIF($G$2:$G$462,G11,$N$2:$N$462))/_xlfn.STDEV.P(IF($G$2:$G$462=G11,$N$2:$N$462)),0)</f>
        <v/>
      </c>
      <c r="AF11" s="6">
        <f t="array" ref="AF11">IFERROR((O11-AVERAGEIF($G$2:$G$462,G11,$O$2:$O$462))/_xlfn.STDEV.P(IF($G$2:$G$462=G11,$O$2:$O$462)),0)</f>
        <v/>
      </c>
      <c r="AG11" s="6">
        <f t="array" ref="AG11">IFERROR((P11-AVERAGEIF($G$2:$G$462,G11,$P$2:$P$462))/_xlfn.STDEV.P(IF($G$2:$G$462=G11,$P$2:$P$462)),0)</f>
        <v/>
      </c>
      <c r="AH11" s="6">
        <f t="array" ref="AH11">IFERROR((R11-AVERAGEIF($G$2:$G$462,G11,$R$2:$R$462))/_xlfn.STDEV.P(IF($G$2:$G$462=G11,$R$2:$R$462)),0)</f>
        <v/>
      </c>
      <c r="AI11" s="6">
        <f>IFERROR((AC11+AD11+AE11+AF11+AG11+AH11)/6,0)</f>
        <v/>
      </c>
    </row>
    <row r="12">
      <c r="A12" s="2">
        <f>IF(BD_Carga!A13&lt;&gt;"",BD_Carga!A13,"")</f>
        <v/>
      </c>
      <c r="B12">
        <f>IF(A12&lt;&gt;"",YEAR(A12),"")</f>
        <v/>
      </c>
      <c r="C12">
        <f>IF(A12&lt;&gt;"",MONTH(A12),"")</f>
        <v/>
      </c>
      <c r="D12">
        <f>IF(A12&lt;&gt;"",_xlfn.ISOWEEKNUM(A12),"")</f>
        <v/>
      </c>
      <c r="E12">
        <f>IF(A12&lt;&gt;"",TEXT(A12,"dddd"),"")</f>
        <v/>
      </c>
      <c r="F12">
        <f>IF(BD_Carga!C13&lt;&gt;"",BD_Carga!C13,"")</f>
        <v/>
      </c>
      <c r="G12">
        <f>IF(BD_Carga!D13&lt;&gt;"",BD_Carga!D13,"")</f>
        <v/>
      </c>
      <c r="H12">
        <f>IF(BD_Carga!Q13&lt;&gt;"",BD_Carga!Q13,"")</f>
        <v/>
      </c>
      <c r="I12">
        <f>IF(BD_Carga!R13&lt;&gt;"",BD_Carga!R13,"")</f>
        <v/>
      </c>
      <c r="J12">
        <f>IF(BD_Carga!S13&lt;&gt;"",BD_Carga!S13,"")</f>
        <v/>
      </c>
      <c r="K12" s="4">
        <f>IF(BD_Carga!E13&lt;&gt;"",BD_Carga!E13,0)</f>
        <v/>
      </c>
      <c r="L12" s="4">
        <f>IF(BD_Carga!F13&lt;&gt;"",BD_Carga!F13,0)</f>
        <v/>
      </c>
      <c r="M12" s="4">
        <f>IF(BD_Carga!G13&lt;&gt;"",BD_Carga!G13,0)</f>
        <v/>
      </c>
      <c r="N12" s="4">
        <f>IF(BD_Carga!H13&lt;&gt;"",BD_Carga!H13,0)</f>
        <v/>
      </c>
      <c r="O12" s="4">
        <f>IF(BD_Carga!I13&lt;&gt;"",BD_Carga!I13,0)</f>
        <v/>
      </c>
      <c r="P12" s="4">
        <f>IF(BD_Carga!J13&lt;&gt;"",BD_Carga!J13,0)</f>
        <v/>
      </c>
      <c r="Q12" s="5">
        <f>IF(BD_Carga!K13&lt;&gt;"",BD_Carga!K13,0)</f>
        <v/>
      </c>
      <c r="R12" s="5">
        <f>IF(BD_Carga!L13&lt;&gt;"",BD_Carga!L13,0)</f>
        <v/>
      </c>
      <c r="S12">
        <f>IF(BD_Carga!N13&lt;&gt;"",BD_Carga!N13,0)</f>
        <v/>
      </c>
      <c r="T12">
        <f>IF(BD_Carga!O13&lt;&gt;"",BD_Carga!O13,0)</f>
        <v/>
      </c>
      <c r="U12">
        <f>IF(BD_Carga!P13&lt;&gt;"",BD_Carga!P13,0)</f>
        <v/>
      </c>
      <c r="V12">
        <f>IF(BD_Carga!U13&lt;&gt;"",BD_Carga!U13,0)</f>
        <v/>
      </c>
      <c r="W12">
        <f>IF(BD_Carga!T13&lt;&gt;"",BD_Carga!T13,0)</f>
        <v/>
      </c>
      <c r="X12">
        <f>IF(BD_Carga!W13&lt;&gt;"",BD_Carga!W13,0)</f>
        <v/>
      </c>
      <c r="Y12">
        <f>IF(BD_Carga!X13&lt;&gt;"",BD_Carga!X13,0)</f>
        <v/>
      </c>
      <c r="Z12">
        <f>IF(BD_Carga!Y13&lt;&gt;"",BD_Carga!Y13,0)</f>
        <v/>
      </c>
      <c r="AA12">
        <f>IF(BD_Carga!Z13&lt;&gt;"",BD_Carga!Z13,0)</f>
        <v/>
      </c>
      <c r="AB12">
        <f>IF(BD_Carga!AA13&lt;&gt;"",BD_Carga!AA13,0)</f>
        <v/>
      </c>
      <c r="AC12" s="6">
        <f t="array" ref="AC12">IFERROR((L12-AVERAGEIF($G$2:$G$462,G12,$L$2:$L$462))/_xlfn.STDEV.P(IF($G$2:$G$462=G12,$L$2:$L$462)),0)</f>
        <v/>
      </c>
      <c r="AD12" s="6">
        <f t="array" ref="AD12">IFERROR((M12-AVERAGEIF($G$2:$G$462,G12,$M$2:$M$462))/_xlfn.STDEV.P(IF($G$2:$G$462=G12,$M$2:$M$462)),0)</f>
        <v/>
      </c>
      <c r="AE12" s="6">
        <f t="array" ref="AE12">IFERROR((N12-AVERAGEIF($G$2:$G$462,G12,$N$2:$N$462))/_xlfn.STDEV.P(IF($G$2:$G$462=G12,$N$2:$N$462)),0)</f>
        <v/>
      </c>
      <c r="AF12" s="6">
        <f t="array" ref="AF12">IFERROR((O12-AVERAGEIF($G$2:$G$462,G12,$O$2:$O$462))/_xlfn.STDEV.P(IF($G$2:$G$462=G12,$O$2:$O$462)),0)</f>
        <v/>
      </c>
      <c r="AG12" s="6">
        <f t="array" ref="AG12">IFERROR((P12-AVERAGEIF($G$2:$G$462,G12,$P$2:$P$462))/_xlfn.STDEV.P(IF($G$2:$G$462=G12,$P$2:$P$462)),0)</f>
        <v/>
      </c>
      <c r="AH12" s="6">
        <f t="array" ref="AH12">IFERROR((R12-AVERAGEIF($G$2:$G$462,G12,$R$2:$R$462))/_xlfn.STDEV.P(IF($G$2:$G$462=G12,$R$2:$R$462)),0)</f>
        <v/>
      </c>
      <c r="AI12" s="6">
        <f>IFERROR((AC12+AD12+AE12+AF12+AG12+AH12)/6,0)</f>
        <v/>
      </c>
    </row>
    <row r="13">
      <c r="A13" s="2">
        <f>IF(BD_Carga!A14&lt;&gt;"",BD_Carga!A14,"")</f>
        <v/>
      </c>
      <c r="B13">
        <f>IF(A13&lt;&gt;"",YEAR(A13),"")</f>
        <v/>
      </c>
      <c r="C13">
        <f>IF(A13&lt;&gt;"",MONTH(A13),"")</f>
        <v/>
      </c>
      <c r="D13">
        <f>IF(A13&lt;&gt;"",_xlfn.ISOWEEKNUM(A13),"")</f>
        <v/>
      </c>
      <c r="E13">
        <f>IF(A13&lt;&gt;"",TEXT(A13,"dddd"),"")</f>
        <v/>
      </c>
      <c r="F13">
        <f>IF(BD_Carga!C14&lt;&gt;"",BD_Carga!C14,"")</f>
        <v/>
      </c>
      <c r="G13">
        <f>IF(BD_Carga!D14&lt;&gt;"",BD_Carga!D14,"")</f>
        <v/>
      </c>
      <c r="H13">
        <f>IF(BD_Carga!Q14&lt;&gt;"",BD_Carga!Q14,"")</f>
        <v/>
      </c>
      <c r="I13">
        <f>IF(BD_Carga!R14&lt;&gt;"",BD_Carga!R14,"")</f>
        <v/>
      </c>
      <c r="J13">
        <f>IF(BD_Carga!S14&lt;&gt;"",BD_Carga!S14,"")</f>
        <v/>
      </c>
      <c r="K13" s="4">
        <f>IF(BD_Carga!E14&lt;&gt;"",BD_Carga!E14,0)</f>
        <v/>
      </c>
      <c r="L13" s="4">
        <f>IF(BD_Carga!F14&lt;&gt;"",BD_Carga!F14,0)</f>
        <v/>
      </c>
      <c r="M13" s="4">
        <f>IF(BD_Carga!G14&lt;&gt;"",BD_Carga!G14,0)</f>
        <v/>
      </c>
      <c r="N13" s="4">
        <f>IF(BD_Carga!H14&lt;&gt;"",BD_Carga!H14,0)</f>
        <v/>
      </c>
      <c r="O13" s="4">
        <f>IF(BD_Carga!I14&lt;&gt;"",BD_Carga!I14,0)</f>
        <v/>
      </c>
      <c r="P13" s="4">
        <f>IF(BD_Carga!J14&lt;&gt;"",BD_Carga!J14,0)</f>
        <v/>
      </c>
      <c r="Q13" s="5">
        <f>IF(BD_Carga!K14&lt;&gt;"",BD_Carga!K14,0)</f>
        <v/>
      </c>
      <c r="R13" s="5">
        <f>IF(BD_Carga!L14&lt;&gt;"",BD_Carga!L14,0)</f>
        <v/>
      </c>
      <c r="S13">
        <f>IF(BD_Carga!N14&lt;&gt;"",BD_Carga!N14,0)</f>
        <v/>
      </c>
      <c r="T13">
        <f>IF(BD_Carga!O14&lt;&gt;"",BD_Carga!O14,0)</f>
        <v/>
      </c>
      <c r="U13">
        <f>IF(BD_Carga!P14&lt;&gt;"",BD_Carga!P14,0)</f>
        <v/>
      </c>
      <c r="V13">
        <f>IF(BD_Carga!U14&lt;&gt;"",BD_Carga!U14,0)</f>
        <v/>
      </c>
      <c r="W13">
        <f>IF(BD_Carga!T14&lt;&gt;"",BD_Carga!T14,0)</f>
        <v/>
      </c>
      <c r="X13">
        <f>IF(BD_Carga!W14&lt;&gt;"",BD_Carga!W14,0)</f>
        <v/>
      </c>
      <c r="Y13">
        <f>IF(BD_Carga!X14&lt;&gt;"",BD_Carga!X14,0)</f>
        <v/>
      </c>
      <c r="Z13">
        <f>IF(BD_Carga!Y14&lt;&gt;"",BD_Carga!Y14,0)</f>
        <v/>
      </c>
      <c r="AA13">
        <f>IF(BD_Carga!Z14&lt;&gt;"",BD_Carga!Z14,0)</f>
        <v/>
      </c>
      <c r="AB13">
        <f>IF(BD_Carga!AA14&lt;&gt;"",BD_Carga!AA14,0)</f>
        <v/>
      </c>
      <c r="AC13" s="6">
        <f t="array" ref="AC13">IFERROR((L13-AVERAGEIF($G$2:$G$462,G13,$L$2:$L$462))/_xlfn.STDEV.P(IF($G$2:$G$462=G13,$L$2:$L$462)),0)</f>
        <v/>
      </c>
      <c r="AD13" s="6">
        <f t="array" ref="AD13">IFERROR((M13-AVERAGEIF($G$2:$G$462,G13,$M$2:$M$462))/_xlfn.STDEV.P(IF($G$2:$G$462=G13,$M$2:$M$462)),0)</f>
        <v/>
      </c>
      <c r="AE13" s="6">
        <f t="array" ref="AE13">IFERROR((N13-AVERAGEIF($G$2:$G$462,G13,$N$2:$N$462))/_xlfn.STDEV.P(IF($G$2:$G$462=G13,$N$2:$N$462)),0)</f>
        <v/>
      </c>
      <c r="AF13" s="6">
        <f t="array" ref="AF13">IFERROR((O13-AVERAGEIF($G$2:$G$462,G13,$O$2:$O$462))/_xlfn.STDEV.P(IF($G$2:$G$462=G13,$O$2:$O$462)),0)</f>
        <v/>
      </c>
      <c r="AG13" s="6">
        <f t="array" ref="AG13">IFERROR((P13-AVERAGEIF($G$2:$G$462,G13,$P$2:$P$462))/_xlfn.STDEV.P(IF($G$2:$G$462=G13,$P$2:$P$462)),0)</f>
        <v/>
      </c>
      <c r="AH13" s="6">
        <f t="array" ref="AH13">IFERROR((R13-AVERAGEIF($G$2:$G$462,G13,$R$2:$R$462))/_xlfn.STDEV.P(IF($G$2:$G$462=G13,$R$2:$R$462)),0)</f>
        <v/>
      </c>
      <c r="AI13" s="6">
        <f>IFERROR((AC13+AD13+AE13+AF13+AG13+AH13)/6,0)</f>
        <v/>
      </c>
    </row>
    <row r="14">
      <c r="A14" s="2">
        <f>IF(BD_Carga!A15&lt;&gt;"",BD_Carga!A15,"")</f>
        <v/>
      </c>
      <c r="B14">
        <f>IF(A14&lt;&gt;"",YEAR(A14),"")</f>
        <v/>
      </c>
      <c r="C14">
        <f>IF(A14&lt;&gt;"",MONTH(A14),"")</f>
        <v/>
      </c>
      <c r="D14">
        <f>IF(A14&lt;&gt;"",_xlfn.ISOWEEKNUM(A14),"")</f>
        <v/>
      </c>
      <c r="E14">
        <f>IF(A14&lt;&gt;"",TEXT(A14,"dddd"),"")</f>
        <v/>
      </c>
      <c r="F14">
        <f>IF(BD_Carga!C15&lt;&gt;"",BD_Carga!C15,"")</f>
        <v/>
      </c>
      <c r="G14">
        <f>IF(BD_Carga!D15&lt;&gt;"",BD_Carga!D15,"")</f>
        <v/>
      </c>
      <c r="H14">
        <f>IF(BD_Carga!Q15&lt;&gt;"",BD_Carga!Q15,"")</f>
        <v/>
      </c>
      <c r="I14">
        <f>IF(BD_Carga!R15&lt;&gt;"",BD_Carga!R15,"")</f>
        <v/>
      </c>
      <c r="J14">
        <f>IF(BD_Carga!S15&lt;&gt;"",BD_Carga!S15,"")</f>
        <v/>
      </c>
      <c r="K14" s="4">
        <f>IF(BD_Carga!E15&lt;&gt;"",BD_Carga!E15,0)</f>
        <v/>
      </c>
      <c r="L14" s="4">
        <f>IF(BD_Carga!F15&lt;&gt;"",BD_Carga!F15,0)</f>
        <v/>
      </c>
      <c r="M14" s="4">
        <f>IF(BD_Carga!G15&lt;&gt;"",BD_Carga!G15,0)</f>
        <v/>
      </c>
      <c r="N14" s="4">
        <f>IF(BD_Carga!H15&lt;&gt;"",BD_Carga!H15,0)</f>
        <v/>
      </c>
      <c r="O14" s="4">
        <f>IF(BD_Carga!I15&lt;&gt;"",BD_Carga!I15,0)</f>
        <v/>
      </c>
      <c r="P14" s="4">
        <f>IF(BD_Carga!J15&lt;&gt;"",BD_Carga!J15,0)</f>
        <v/>
      </c>
      <c r="Q14" s="5">
        <f>IF(BD_Carga!K15&lt;&gt;"",BD_Carga!K15,0)</f>
        <v/>
      </c>
      <c r="R14" s="5">
        <f>IF(BD_Carga!L15&lt;&gt;"",BD_Carga!L15,0)</f>
        <v/>
      </c>
      <c r="S14">
        <f>IF(BD_Carga!N15&lt;&gt;"",BD_Carga!N15,0)</f>
        <v/>
      </c>
      <c r="T14">
        <f>IF(BD_Carga!O15&lt;&gt;"",BD_Carga!O15,0)</f>
        <v/>
      </c>
      <c r="U14">
        <f>IF(BD_Carga!P15&lt;&gt;"",BD_Carga!P15,0)</f>
        <v/>
      </c>
      <c r="V14">
        <f>IF(BD_Carga!U15&lt;&gt;"",BD_Carga!U15,0)</f>
        <v/>
      </c>
      <c r="W14">
        <f>IF(BD_Carga!T15&lt;&gt;"",BD_Carga!T15,0)</f>
        <v/>
      </c>
      <c r="X14">
        <f>IF(BD_Carga!W15&lt;&gt;"",BD_Carga!W15,0)</f>
        <v/>
      </c>
      <c r="Y14">
        <f>IF(BD_Carga!X15&lt;&gt;"",BD_Carga!X15,0)</f>
        <v/>
      </c>
      <c r="Z14">
        <f>IF(BD_Carga!Y15&lt;&gt;"",BD_Carga!Y15,0)</f>
        <v/>
      </c>
      <c r="AA14">
        <f>IF(BD_Carga!Z15&lt;&gt;"",BD_Carga!Z15,0)</f>
        <v/>
      </c>
      <c r="AB14">
        <f>IF(BD_Carga!AA15&lt;&gt;"",BD_Carga!AA15,0)</f>
        <v/>
      </c>
      <c r="AC14" s="6">
        <f t="array" ref="AC14">IFERROR((L14-AVERAGEIF($G$2:$G$462,G14,$L$2:$L$462))/_xlfn.STDEV.P(IF($G$2:$G$462=G14,$L$2:$L$462)),0)</f>
        <v/>
      </c>
      <c r="AD14" s="6">
        <f t="array" ref="AD14">IFERROR((M14-AVERAGEIF($G$2:$G$462,G14,$M$2:$M$462))/_xlfn.STDEV.P(IF($G$2:$G$462=G14,$M$2:$M$462)),0)</f>
        <v/>
      </c>
      <c r="AE14" s="6">
        <f t="array" ref="AE14">IFERROR((N14-AVERAGEIF($G$2:$G$462,G14,$N$2:$N$462))/_xlfn.STDEV.P(IF($G$2:$G$462=G14,$N$2:$N$462)),0)</f>
        <v/>
      </c>
      <c r="AF14" s="6">
        <f t="array" ref="AF14">IFERROR((O14-AVERAGEIF($G$2:$G$462,G14,$O$2:$O$462))/_xlfn.STDEV.P(IF($G$2:$G$462=G14,$O$2:$O$462)),0)</f>
        <v/>
      </c>
      <c r="AG14" s="6">
        <f t="array" ref="AG14">IFERROR((P14-AVERAGEIF($G$2:$G$462,G14,$P$2:$P$462))/_xlfn.STDEV.P(IF($G$2:$G$462=G14,$P$2:$P$462)),0)</f>
        <v/>
      </c>
      <c r="AH14" s="6">
        <f t="array" ref="AH14">IFERROR((R14-AVERAGEIF($G$2:$G$462,G14,$R$2:$R$462))/_xlfn.STDEV.P(IF($G$2:$G$462=G14,$R$2:$R$462)),0)</f>
        <v/>
      </c>
      <c r="AI14" s="6">
        <f>IFERROR((AC14+AD14+AE14+AF14+AG14+AH14)/6,0)</f>
        <v/>
      </c>
    </row>
    <row r="15">
      <c r="A15" s="2">
        <f>IF(BD_Carga!A16&lt;&gt;"",BD_Carga!A16,"")</f>
        <v/>
      </c>
      <c r="B15">
        <f>IF(A15&lt;&gt;"",YEAR(A15),"")</f>
        <v/>
      </c>
      <c r="C15">
        <f>IF(A15&lt;&gt;"",MONTH(A15),"")</f>
        <v/>
      </c>
      <c r="D15">
        <f>IF(A15&lt;&gt;"",_xlfn.ISOWEEKNUM(A15),"")</f>
        <v/>
      </c>
      <c r="E15">
        <f>IF(A15&lt;&gt;"",TEXT(A15,"dddd"),"")</f>
        <v/>
      </c>
      <c r="F15">
        <f>IF(BD_Carga!C16&lt;&gt;"",BD_Carga!C16,"")</f>
        <v/>
      </c>
      <c r="G15">
        <f>IF(BD_Carga!D16&lt;&gt;"",BD_Carga!D16,"")</f>
        <v/>
      </c>
      <c r="H15">
        <f>IF(BD_Carga!Q16&lt;&gt;"",BD_Carga!Q16,"")</f>
        <v/>
      </c>
      <c r="I15">
        <f>IF(BD_Carga!R16&lt;&gt;"",BD_Carga!R16,"")</f>
        <v/>
      </c>
      <c r="J15">
        <f>IF(BD_Carga!S16&lt;&gt;"",BD_Carga!S16,"")</f>
        <v/>
      </c>
      <c r="K15" s="4">
        <f>IF(BD_Carga!E16&lt;&gt;"",BD_Carga!E16,0)</f>
        <v/>
      </c>
      <c r="L15" s="4">
        <f>IF(BD_Carga!F16&lt;&gt;"",BD_Carga!F16,0)</f>
        <v/>
      </c>
      <c r="M15" s="4">
        <f>IF(BD_Carga!G16&lt;&gt;"",BD_Carga!G16,0)</f>
        <v/>
      </c>
      <c r="N15" s="4">
        <f>IF(BD_Carga!H16&lt;&gt;"",BD_Carga!H16,0)</f>
        <v/>
      </c>
      <c r="O15" s="4">
        <f>IF(BD_Carga!I16&lt;&gt;"",BD_Carga!I16,0)</f>
        <v/>
      </c>
      <c r="P15" s="4">
        <f>IF(BD_Carga!J16&lt;&gt;"",BD_Carga!J16,0)</f>
        <v/>
      </c>
      <c r="Q15" s="5">
        <f>IF(BD_Carga!K16&lt;&gt;"",BD_Carga!K16,0)</f>
        <v/>
      </c>
      <c r="R15" s="5">
        <f>IF(BD_Carga!L16&lt;&gt;"",BD_Carga!L16,0)</f>
        <v/>
      </c>
      <c r="S15">
        <f>IF(BD_Carga!N16&lt;&gt;"",BD_Carga!N16,0)</f>
        <v/>
      </c>
      <c r="T15">
        <f>IF(BD_Carga!O16&lt;&gt;"",BD_Carga!O16,0)</f>
        <v/>
      </c>
      <c r="U15">
        <f>IF(BD_Carga!P16&lt;&gt;"",BD_Carga!P16,0)</f>
        <v/>
      </c>
      <c r="V15">
        <f>IF(BD_Carga!U16&lt;&gt;"",BD_Carga!U16,0)</f>
        <v/>
      </c>
      <c r="W15">
        <f>IF(BD_Carga!T16&lt;&gt;"",BD_Carga!T16,0)</f>
        <v/>
      </c>
      <c r="X15">
        <f>IF(BD_Carga!W16&lt;&gt;"",BD_Carga!W16,0)</f>
        <v/>
      </c>
      <c r="Y15">
        <f>IF(BD_Carga!X16&lt;&gt;"",BD_Carga!X16,0)</f>
        <v/>
      </c>
      <c r="Z15">
        <f>IF(BD_Carga!Y16&lt;&gt;"",BD_Carga!Y16,0)</f>
        <v/>
      </c>
      <c r="AA15">
        <f>IF(BD_Carga!Z16&lt;&gt;"",BD_Carga!Z16,0)</f>
        <v/>
      </c>
      <c r="AB15">
        <f>IF(BD_Carga!AA16&lt;&gt;"",BD_Carga!AA16,0)</f>
        <v/>
      </c>
      <c r="AC15" s="6">
        <f t="array" ref="AC15">IFERROR((L15-AVERAGEIF($G$2:$G$462,G15,$L$2:$L$462))/_xlfn.STDEV.P(IF($G$2:$G$462=G15,$L$2:$L$462)),0)</f>
        <v/>
      </c>
      <c r="AD15" s="6">
        <f t="array" ref="AD15">IFERROR((M15-AVERAGEIF($G$2:$G$462,G15,$M$2:$M$462))/_xlfn.STDEV.P(IF($G$2:$G$462=G15,$M$2:$M$462)),0)</f>
        <v/>
      </c>
      <c r="AE15" s="6">
        <f t="array" ref="AE15">IFERROR((N15-AVERAGEIF($G$2:$G$462,G15,$N$2:$N$462))/_xlfn.STDEV.P(IF($G$2:$G$462=G15,$N$2:$N$462)),0)</f>
        <v/>
      </c>
      <c r="AF15" s="6">
        <f t="array" ref="AF15">IFERROR((O15-AVERAGEIF($G$2:$G$462,G15,$O$2:$O$462))/_xlfn.STDEV.P(IF($G$2:$G$462=G15,$O$2:$O$462)),0)</f>
        <v/>
      </c>
      <c r="AG15" s="6">
        <f t="array" ref="AG15">IFERROR((P15-AVERAGEIF($G$2:$G$462,G15,$P$2:$P$462))/_xlfn.STDEV.P(IF($G$2:$G$462=G15,$P$2:$P$462)),0)</f>
        <v/>
      </c>
      <c r="AH15" s="6">
        <f t="array" ref="AH15">IFERROR((R15-AVERAGEIF($G$2:$G$462,G15,$R$2:$R$462))/_xlfn.STDEV.P(IF($G$2:$G$462=G15,$R$2:$R$462)),0)</f>
        <v/>
      </c>
      <c r="AI15" s="6">
        <f>IFERROR((AC15+AD15+AE15+AF15+AG15+AH15)/6,0)</f>
        <v/>
      </c>
    </row>
    <row r="16">
      <c r="A16" s="2">
        <f>IF(BD_Carga!A17&lt;&gt;"",BD_Carga!A17,"")</f>
        <v/>
      </c>
      <c r="B16">
        <f>IF(A16&lt;&gt;"",YEAR(A16),"")</f>
        <v/>
      </c>
      <c r="C16">
        <f>IF(A16&lt;&gt;"",MONTH(A16),"")</f>
        <v/>
      </c>
      <c r="D16">
        <f>IF(A16&lt;&gt;"",_xlfn.ISOWEEKNUM(A16),"")</f>
        <v/>
      </c>
      <c r="E16">
        <f>IF(A16&lt;&gt;"",TEXT(A16,"dddd"),"")</f>
        <v/>
      </c>
      <c r="F16">
        <f>IF(BD_Carga!C17&lt;&gt;"",BD_Carga!C17,"")</f>
        <v/>
      </c>
      <c r="G16">
        <f>IF(BD_Carga!D17&lt;&gt;"",BD_Carga!D17,"")</f>
        <v/>
      </c>
      <c r="H16">
        <f>IF(BD_Carga!Q17&lt;&gt;"",BD_Carga!Q17,"")</f>
        <v/>
      </c>
      <c r="I16">
        <f>IF(BD_Carga!R17&lt;&gt;"",BD_Carga!R17,"")</f>
        <v/>
      </c>
      <c r="J16">
        <f>IF(BD_Carga!S17&lt;&gt;"",BD_Carga!S17,"")</f>
        <v/>
      </c>
      <c r="K16" s="4">
        <f>IF(BD_Carga!E17&lt;&gt;"",BD_Carga!E17,0)</f>
        <v/>
      </c>
      <c r="L16" s="4">
        <f>IF(BD_Carga!F17&lt;&gt;"",BD_Carga!F17,0)</f>
        <v/>
      </c>
      <c r="M16" s="4">
        <f>IF(BD_Carga!G17&lt;&gt;"",BD_Carga!G17,0)</f>
        <v/>
      </c>
      <c r="N16" s="4">
        <f>IF(BD_Carga!H17&lt;&gt;"",BD_Carga!H17,0)</f>
        <v/>
      </c>
      <c r="O16" s="4">
        <f>IF(BD_Carga!I17&lt;&gt;"",BD_Carga!I17,0)</f>
        <v/>
      </c>
      <c r="P16" s="4">
        <f>IF(BD_Carga!J17&lt;&gt;"",BD_Carga!J17,0)</f>
        <v/>
      </c>
      <c r="Q16" s="5">
        <f>IF(BD_Carga!K17&lt;&gt;"",BD_Carga!K17,0)</f>
        <v/>
      </c>
      <c r="R16" s="5">
        <f>IF(BD_Carga!L17&lt;&gt;"",BD_Carga!L17,0)</f>
        <v/>
      </c>
      <c r="S16">
        <f>IF(BD_Carga!N17&lt;&gt;"",BD_Carga!N17,0)</f>
        <v/>
      </c>
      <c r="T16">
        <f>IF(BD_Carga!O17&lt;&gt;"",BD_Carga!O17,0)</f>
        <v/>
      </c>
      <c r="U16">
        <f>IF(BD_Carga!P17&lt;&gt;"",BD_Carga!P17,0)</f>
        <v/>
      </c>
      <c r="V16">
        <f>IF(BD_Carga!U17&lt;&gt;"",BD_Carga!U17,0)</f>
        <v/>
      </c>
      <c r="W16">
        <f>IF(BD_Carga!T17&lt;&gt;"",BD_Carga!T17,0)</f>
        <v/>
      </c>
      <c r="X16">
        <f>IF(BD_Carga!W17&lt;&gt;"",BD_Carga!W17,0)</f>
        <v/>
      </c>
      <c r="Y16">
        <f>IF(BD_Carga!X17&lt;&gt;"",BD_Carga!X17,0)</f>
        <v/>
      </c>
      <c r="Z16">
        <f>IF(BD_Carga!Y17&lt;&gt;"",BD_Carga!Y17,0)</f>
        <v/>
      </c>
      <c r="AA16">
        <f>IF(BD_Carga!Z17&lt;&gt;"",BD_Carga!Z17,0)</f>
        <v/>
      </c>
      <c r="AB16">
        <f>IF(BD_Carga!AA17&lt;&gt;"",BD_Carga!AA17,0)</f>
        <v/>
      </c>
      <c r="AC16" s="6">
        <f t="array" ref="AC16">IFERROR((L16-AVERAGEIF($G$2:$G$462,G16,$L$2:$L$462))/_xlfn.STDEV.P(IF($G$2:$G$462=G16,$L$2:$L$462)),0)</f>
        <v/>
      </c>
      <c r="AD16" s="6">
        <f t="array" ref="AD16">IFERROR((M16-AVERAGEIF($G$2:$G$462,G16,$M$2:$M$462))/_xlfn.STDEV.P(IF($G$2:$G$462=G16,$M$2:$M$462)),0)</f>
        <v/>
      </c>
      <c r="AE16" s="6">
        <f t="array" ref="AE16">IFERROR((N16-AVERAGEIF($G$2:$G$462,G16,$N$2:$N$462))/_xlfn.STDEV.P(IF($G$2:$G$462=G16,$N$2:$N$462)),0)</f>
        <v/>
      </c>
      <c r="AF16" s="6">
        <f t="array" ref="AF16">IFERROR((O16-AVERAGEIF($G$2:$G$462,G16,$O$2:$O$462))/_xlfn.STDEV.P(IF($G$2:$G$462=G16,$O$2:$O$462)),0)</f>
        <v/>
      </c>
      <c r="AG16" s="6">
        <f t="array" ref="AG16">IFERROR((P16-AVERAGEIF($G$2:$G$462,G16,$P$2:$P$462))/_xlfn.STDEV.P(IF($G$2:$G$462=G16,$P$2:$P$462)),0)</f>
        <v/>
      </c>
      <c r="AH16" s="6">
        <f t="array" ref="AH16">IFERROR((R16-AVERAGEIF($G$2:$G$462,G16,$R$2:$R$462))/_xlfn.STDEV.P(IF($G$2:$G$462=G16,$R$2:$R$462)),0)</f>
        <v/>
      </c>
      <c r="AI16" s="6">
        <f>IFERROR((AC16+AD16+AE16+AF16+AG16+AH16)/6,0)</f>
        <v/>
      </c>
    </row>
    <row r="17">
      <c r="A17" s="2">
        <f>IF(BD_Carga!A18&lt;&gt;"",BD_Carga!A18,"")</f>
        <v/>
      </c>
      <c r="B17">
        <f>IF(A17&lt;&gt;"",YEAR(A17),"")</f>
        <v/>
      </c>
      <c r="C17">
        <f>IF(A17&lt;&gt;"",MONTH(A17),"")</f>
        <v/>
      </c>
      <c r="D17">
        <f>IF(A17&lt;&gt;"",_xlfn.ISOWEEKNUM(A17),"")</f>
        <v/>
      </c>
      <c r="E17">
        <f>IF(A17&lt;&gt;"",TEXT(A17,"dddd"),"")</f>
        <v/>
      </c>
      <c r="F17">
        <f>IF(BD_Carga!C18&lt;&gt;"",BD_Carga!C18,"")</f>
        <v/>
      </c>
      <c r="G17">
        <f>IF(BD_Carga!D18&lt;&gt;"",BD_Carga!D18,"")</f>
        <v/>
      </c>
      <c r="H17">
        <f>IF(BD_Carga!Q18&lt;&gt;"",BD_Carga!Q18,"")</f>
        <v/>
      </c>
      <c r="I17">
        <f>IF(BD_Carga!R18&lt;&gt;"",BD_Carga!R18,"")</f>
        <v/>
      </c>
      <c r="J17">
        <f>IF(BD_Carga!S18&lt;&gt;"",BD_Carga!S18,"")</f>
        <v/>
      </c>
      <c r="K17" s="4">
        <f>IF(BD_Carga!E18&lt;&gt;"",BD_Carga!E18,0)</f>
        <v/>
      </c>
      <c r="L17" s="4">
        <f>IF(BD_Carga!F18&lt;&gt;"",BD_Carga!F18,0)</f>
        <v/>
      </c>
      <c r="M17" s="4">
        <f>IF(BD_Carga!G18&lt;&gt;"",BD_Carga!G18,0)</f>
        <v/>
      </c>
      <c r="N17" s="4">
        <f>IF(BD_Carga!H18&lt;&gt;"",BD_Carga!H18,0)</f>
        <v/>
      </c>
      <c r="O17" s="4">
        <f>IF(BD_Carga!I18&lt;&gt;"",BD_Carga!I18,0)</f>
        <v/>
      </c>
      <c r="P17" s="4">
        <f>IF(BD_Carga!J18&lt;&gt;"",BD_Carga!J18,0)</f>
        <v/>
      </c>
      <c r="Q17" s="5">
        <f>IF(BD_Carga!K18&lt;&gt;"",BD_Carga!K18,0)</f>
        <v/>
      </c>
      <c r="R17" s="5">
        <f>IF(BD_Carga!L18&lt;&gt;"",BD_Carga!L18,0)</f>
        <v/>
      </c>
      <c r="S17">
        <f>IF(BD_Carga!N18&lt;&gt;"",BD_Carga!N18,0)</f>
        <v/>
      </c>
      <c r="T17">
        <f>IF(BD_Carga!O18&lt;&gt;"",BD_Carga!O18,0)</f>
        <v/>
      </c>
      <c r="U17">
        <f>IF(BD_Carga!P18&lt;&gt;"",BD_Carga!P18,0)</f>
        <v/>
      </c>
      <c r="V17">
        <f>IF(BD_Carga!U18&lt;&gt;"",BD_Carga!U18,0)</f>
        <v/>
      </c>
      <c r="W17">
        <f>IF(BD_Carga!T18&lt;&gt;"",BD_Carga!T18,0)</f>
        <v/>
      </c>
      <c r="X17">
        <f>IF(BD_Carga!W18&lt;&gt;"",BD_Carga!W18,0)</f>
        <v/>
      </c>
      <c r="Y17">
        <f>IF(BD_Carga!X18&lt;&gt;"",BD_Carga!X18,0)</f>
        <v/>
      </c>
      <c r="Z17">
        <f>IF(BD_Carga!Y18&lt;&gt;"",BD_Carga!Y18,0)</f>
        <v/>
      </c>
      <c r="AA17">
        <f>IF(BD_Carga!Z18&lt;&gt;"",BD_Carga!Z18,0)</f>
        <v/>
      </c>
      <c r="AB17">
        <f>IF(BD_Carga!AA18&lt;&gt;"",BD_Carga!AA18,0)</f>
        <v/>
      </c>
      <c r="AC17" s="6">
        <f t="array" ref="AC17">IFERROR((L17-AVERAGEIF($G$2:$G$462,G17,$L$2:$L$462))/_xlfn.STDEV.P(IF($G$2:$G$462=G17,$L$2:$L$462)),0)</f>
        <v/>
      </c>
      <c r="AD17" s="6">
        <f t="array" ref="AD17">IFERROR((M17-AVERAGEIF($G$2:$G$462,G17,$M$2:$M$462))/_xlfn.STDEV.P(IF($G$2:$G$462=G17,$M$2:$M$462)),0)</f>
        <v/>
      </c>
      <c r="AE17" s="6">
        <f t="array" ref="AE17">IFERROR((N17-AVERAGEIF($G$2:$G$462,G17,$N$2:$N$462))/_xlfn.STDEV.P(IF($G$2:$G$462=G17,$N$2:$N$462)),0)</f>
        <v/>
      </c>
      <c r="AF17" s="6">
        <f t="array" ref="AF17">IFERROR((O17-AVERAGEIF($G$2:$G$462,G17,$O$2:$O$462))/_xlfn.STDEV.P(IF($G$2:$G$462=G17,$O$2:$O$462)),0)</f>
        <v/>
      </c>
      <c r="AG17" s="6">
        <f t="array" ref="AG17">IFERROR((P17-AVERAGEIF($G$2:$G$462,G17,$P$2:$P$462))/_xlfn.STDEV.P(IF($G$2:$G$462=G17,$P$2:$P$462)),0)</f>
        <v/>
      </c>
      <c r="AH17" s="6">
        <f t="array" ref="AH17">IFERROR((R17-AVERAGEIF($G$2:$G$462,G17,$R$2:$R$462))/_xlfn.STDEV.P(IF($G$2:$G$462=G17,$R$2:$R$462)),0)</f>
        <v/>
      </c>
      <c r="AI17" s="6">
        <f>IFERROR((AC17+AD17+AE17+AF17+AG17+AH17)/6,0)</f>
        <v/>
      </c>
    </row>
    <row r="18">
      <c r="A18" s="2">
        <f>IF(BD_Carga!A19&lt;&gt;"",BD_Carga!A19,"")</f>
        <v/>
      </c>
      <c r="B18">
        <f>IF(A18&lt;&gt;"",YEAR(A18),"")</f>
        <v/>
      </c>
      <c r="C18">
        <f>IF(A18&lt;&gt;"",MONTH(A18),"")</f>
        <v/>
      </c>
      <c r="D18">
        <f>IF(A18&lt;&gt;"",_xlfn.ISOWEEKNUM(A18),"")</f>
        <v/>
      </c>
      <c r="E18">
        <f>IF(A18&lt;&gt;"",TEXT(A18,"dddd"),"")</f>
        <v/>
      </c>
      <c r="F18">
        <f>IF(BD_Carga!C19&lt;&gt;"",BD_Carga!C19,"")</f>
        <v/>
      </c>
      <c r="G18">
        <f>IF(BD_Carga!D19&lt;&gt;"",BD_Carga!D19,"")</f>
        <v/>
      </c>
      <c r="H18">
        <f>IF(BD_Carga!Q19&lt;&gt;"",BD_Carga!Q19,"")</f>
        <v/>
      </c>
      <c r="I18">
        <f>IF(BD_Carga!R19&lt;&gt;"",BD_Carga!R19,"")</f>
        <v/>
      </c>
      <c r="J18">
        <f>IF(BD_Carga!S19&lt;&gt;"",BD_Carga!S19,"")</f>
        <v/>
      </c>
      <c r="K18" s="4">
        <f>IF(BD_Carga!E19&lt;&gt;"",BD_Carga!E19,0)</f>
        <v/>
      </c>
      <c r="L18" s="4">
        <f>IF(BD_Carga!F19&lt;&gt;"",BD_Carga!F19,0)</f>
        <v/>
      </c>
      <c r="M18" s="4">
        <f>IF(BD_Carga!G19&lt;&gt;"",BD_Carga!G19,0)</f>
        <v/>
      </c>
      <c r="N18" s="4">
        <f>IF(BD_Carga!H19&lt;&gt;"",BD_Carga!H19,0)</f>
        <v/>
      </c>
      <c r="O18" s="4">
        <f>IF(BD_Carga!I19&lt;&gt;"",BD_Carga!I19,0)</f>
        <v/>
      </c>
      <c r="P18" s="4">
        <f>IF(BD_Carga!J19&lt;&gt;"",BD_Carga!J19,0)</f>
        <v/>
      </c>
      <c r="Q18" s="5">
        <f>IF(BD_Carga!K19&lt;&gt;"",BD_Carga!K19,0)</f>
        <v/>
      </c>
      <c r="R18" s="5">
        <f>IF(BD_Carga!L19&lt;&gt;"",BD_Carga!L19,0)</f>
        <v/>
      </c>
      <c r="S18">
        <f>IF(BD_Carga!N19&lt;&gt;"",BD_Carga!N19,0)</f>
        <v/>
      </c>
      <c r="T18">
        <f>IF(BD_Carga!O19&lt;&gt;"",BD_Carga!O19,0)</f>
        <v/>
      </c>
      <c r="U18">
        <f>IF(BD_Carga!P19&lt;&gt;"",BD_Carga!P19,0)</f>
        <v/>
      </c>
      <c r="V18">
        <f>IF(BD_Carga!U19&lt;&gt;"",BD_Carga!U19,0)</f>
        <v/>
      </c>
      <c r="W18">
        <f>IF(BD_Carga!T19&lt;&gt;"",BD_Carga!T19,0)</f>
        <v/>
      </c>
      <c r="X18">
        <f>IF(BD_Carga!W19&lt;&gt;"",BD_Carga!W19,0)</f>
        <v/>
      </c>
      <c r="Y18">
        <f>IF(BD_Carga!X19&lt;&gt;"",BD_Carga!X19,0)</f>
        <v/>
      </c>
      <c r="Z18">
        <f>IF(BD_Carga!Y19&lt;&gt;"",BD_Carga!Y19,0)</f>
        <v/>
      </c>
      <c r="AA18">
        <f>IF(BD_Carga!Z19&lt;&gt;"",BD_Carga!Z19,0)</f>
        <v/>
      </c>
      <c r="AB18">
        <f>IF(BD_Carga!AA19&lt;&gt;"",BD_Carga!AA19,0)</f>
        <v/>
      </c>
      <c r="AC18" s="6">
        <f t="array" ref="AC18">IFERROR((L18-AVERAGEIF($G$2:$G$462,G18,$L$2:$L$462))/_xlfn.STDEV.P(IF($G$2:$G$462=G18,$L$2:$L$462)),0)</f>
        <v/>
      </c>
      <c r="AD18" s="6">
        <f t="array" ref="AD18">IFERROR((M18-AVERAGEIF($G$2:$G$462,G18,$M$2:$M$462))/_xlfn.STDEV.P(IF($G$2:$G$462=G18,$M$2:$M$462)),0)</f>
        <v/>
      </c>
      <c r="AE18" s="6">
        <f t="array" ref="AE18">IFERROR((N18-AVERAGEIF($G$2:$G$462,G18,$N$2:$N$462))/_xlfn.STDEV.P(IF($G$2:$G$462=G18,$N$2:$N$462)),0)</f>
        <v/>
      </c>
      <c r="AF18" s="6">
        <f t="array" ref="AF18">IFERROR((O18-AVERAGEIF($G$2:$G$462,G18,$O$2:$O$462))/_xlfn.STDEV.P(IF($G$2:$G$462=G18,$O$2:$O$462)),0)</f>
        <v/>
      </c>
      <c r="AG18" s="6">
        <f t="array" ref="AG18">IFERROR((P18-AVERAGEIF($G$2:$G$462,G18,$P$2:$P$462))/_xlfn.STDEV.P(IF($G$2:$G$462=G18,$P$2:$P$462)),0)</f>
        <v/>
      </c>
      <c r="AH18" s="6">
        <f t="array" ref="AH18">IFERROR((R18-AVERAGEIF($G$2:$G$462,G18,$R$2:$R$462))/_xlfn.STDEV.P(IF($G$2:$G$462=G18,$R$2:$R$462)),0)</f>
        <v/>
      </c>
      <c r="AI18" s="6">
        <f>IFERROR((AC18+AD18+AE18+AF18+AG18+AH18)/6,0)</f>
        <v/>
      </c>
    </row>
    <row r="19">
      <c r="A19" s="2">
        <f>IF(BD_Carga!A20&lt;&gt;"",BD_Carga!A20,"")</f>
        <v/>
      </c>
      <c r="B19">
        <f>IF(A19&lt;&gt;"",YEAR(A19),"")</f>
        <v/>
      </c>
      <c r="C19">
        <f>IF(A19&lt;&gt;"",MONTH(A19),"")</f>
        <v/>
      </c>
      <c r="D19">
        <f>IF(A19&lt;&gt;"",_xlfn.ISOWEEKNUM(A19),"")</f>
        <v/>
      </c>
      <c r="E19">
        <f>IF(A19&lt;&gt;"",TEXT(A19,"dddd"),"")</f>
        <v/>
      </c>
      <c r="F19">
        <f>IF(BD_Carga!C20&lt;&gt;"",BD_Carga!C20,"")</f>
        <v/>
      </c>
      <c r="G19">
        <f>IF(BD_Carga!D20&lt;&gt;"",BD_Carga!D20,"")</f>
        <v/>
      </c>
      <c r="H19">
        <f>IF(BD_Carga!Q20&lt;&gt;"",BD_Carga!Q20,"")</f>
        <v/>
      </c>
      <c r="I19">
        <f>IF(BD_Carga!R20&lt;&gt;"",BD_Carga!R20,"")</f>
        <v/>
      </c>
      <c r="J19">
        <f>IF(BD_Carga!S20&lt;&gt;"",BD_Carga!S20,"")</f>
        <v/>
      </c>
      <c r="K19" s="4">
        <f>IF(BD_Carga!E20&lt;&gt;"",BD_Carga!E20,0)</f>
        <v/>
      </c>
      <c r="L19" s="4">
        <f>IF(BD_Carga!F20&lt;&gt;"",BD_Carga!F20,0)</f>
        <v/>
      </c>
      <c r="M19" s="4">
        <f>IF(BD_Carga!G20&lt;&gt;"",BD_Carga!G20,0)</f>
        <v/>
      </c>
      <c r="N19" s="4">
        <f>IF(BD_Carga!H20&lt;&gt;"",BD_Carga!H20,0)</f>
        <v/>
      </c>
      <c r="O19" s="4">
        <f>IF(BD_Carga!I20&lt;&gt;"",BD_Carga!I20,0)</f>
        <v/>
      </c>
      <c r="P19" s="4">
        <f>IF(BD_Carga!J20&lt;&gt;"",BD_Carga!J20,0)</f>
        <v/>
      </c>
      <c r="Q19" s="5">
        <f>IF(BD_Carga!K20&lt;&gt;"",BD_Carga!K20,0)</f>
        <v/>
      </c>
      <c r="R19" s="5">
        <f>IF(BD_Carga!L20&lt;&gt;"",BD_Carga!L20,0)</f>
        <v/>
      </c>
      <c r="S19">
        <f>IF(BD_Carga!N20&lt;&gt;"",BD_Carga!N20,0)</f>
        <v/>
      </c>
      <c r="T19">
        <f>IF(BD_Carga!O20&lt;&gt;"",BD_Carga!O20,0)</f>
        <v/>
      </c>
      <c r="U19">
        <f>IF(BD_Carga!P20&lt;&gt;"",BD_Carga!P20,0)</f>
        <v/>
      </c>
      <c r="V19">
        <f>IF(BD_Carga!U20&lt;&gt;"",BD_Carga!U20,0)</f>
        <v/>
      </c>
      <c r="W19">
        <f>IF(BD_Carga!T20&lt;&gt;"",BD_Carga!T20,0)</f>
        <v/>
      </c>
      <c r="X19">
        <f>IF(BD_Carga!W20&lt;&gt;"",BD_Carga!W20,0)</f>
        <v/>
      </c>
      <c r="Y19">
        <f>IF(BD_Carga!X20&lt;&gt;"",BD_Carga!X20,0)</f>
        <v/>
      </c>
      <c r="Z19">
        <f>IF(BD_Carga!Y20&lt;&gt;"",BD_Carga!Y20,0)</f>
        <v/>
      </c>
      <c r="AA19">
        <f>IF(BD_Carga!Z20&lt;&gt;"",BD_Carga!Z20,0)</f>
        <v/>
      </c>
      <c r="AB19">
        <f>IF(BD_Carga!AA20&lt;&gt;"",BD_Carga!AA20,0)</f>
        <v/>
      </c>
      <c r="AC19" s="6">
        <f t="array" ref="AC19">IFERROR((L19-AVERAGEIF($G$2:$G$462,G19,$L$2:$L$462))/_xlfn.STDEV.P(IF($G$2:$G$462=G19,$L$2:$L$462)),0)</f>
        <v/>
      </c>
      <c r="AD19" s="6">
        <f t="array" ref="AD19">IFERROR((M19-AVERAGEIF($G$2:$G$462,G19,$M$2:$M$462))/_xlfn.STDEV.P(IF($G$2:$G$462=G19,$M$2:$M$462)),0)</f>
        <v/>
      </c>
      <c r="AE19" s="6">
        <f t="array" ref="AE19">IFERROR((N19-AVERAGEIF($G$2:$G$462,G19,$N$2:$N$462))/_xlfn.STDEV.P(IF($G$2:$G$462=G19,$N$2:$N$462)),0)</f>
        <v/>
      </c>
      <c r="AF19" s="6">
        <f t="array" ref="AF19">IFERROR((O19-AVERAGEIF($G$2:$G$462,G19,$O$2:$O$462))/_xlfn.STDEV.P(IF($G$2:$G$462=G19,$O$2:$O$462)),0)</f>
        <v/>
      </c>
      <c r="AG19" s="6">
        <f t="array" ref="AG19">IFERROR((P19-AVERAGEIF($G$2:$G$462,G19,$P$2:$P$462))/_xlfn.STDEV.P(IF($G$2:$G$462=G19,$P$2:$P$462)),0)</f>
        <v/>
      </c>
      <c r="AH19" s="6">
        <f t="array" ref="AH19">IFERROR((R19-AVERAGEIF($G$2:$G$462,G19,$R$2:$R$462))/_xlfn.STDEV.P(IF($G$2:$G$462=G19,$R$2:$R$462)),0)</f>
        <v/>
      </c>
      <c r="AI19" s="6">
        <f>IFERROR((AC19+AD19+AE19+AF19+AG19+AH19)/6,0)</f>
        <v/>
      </c>
    </row>
    <row r="20">
      <c r="A20" s="2">
        <f>IF(BD_Carga!A21&lt;&gt;"",BD_Carga!A21,"")</f>
        <v/>
      </c>
      <c r="B20">
        <f>IF(A20&lt;&gt;"",YEAR(A20),"")</f>
        <v/>
      </c>
      <c r="C20">
        <f>IF(A20&lt;&gt;"",MONTH(A20),"")</f>
        <v/>
      </c>
      <c r="D20">
        <f>IF(A20&lt;&gt;"",_xlfn.ISOWEEKNUM(A20),"")</f>
        <v/>
      </c>
      <c r="E20">
        <f>IF(A20&lt;&gt;"",TEXT(A20,"dddd"),"")</f>
        <v/>
      </c>
      <c r="F20">
        <f>IF(BD_Carga!C21&lt;&gt;"",BD_Carga!C21,"")</f>
        <v/>
      </c>
      <c r="G20">
        <f>IF(BD_Carga!D21&lt;&gt;"",BD_Carga!D21,"")</f>
        <v/>
      </c>
      <c r="H20">
        <f>IF(BD_Carga!Q21&lt;&gt;"",BD_Carga!Q21,"")</f>
        <v/>
      </c>
      <c r="I20">
        <f>IF(BD_Carga!R21&lt;&gt;"",BD_Carga!R21,"")</f>
        <v/>
      </c>
      <c r="J20">
        <f>IF(BD_Carga!S21&lt;&gt;"",BD_Carga!S21,"")</f>
        <v/>
      </c>
      <c r="K20" s="4">
        <f>IF(BD_Carga!E21&lt;&gt;"",BD_Carga!E21,0)</f>
        <v/>
      </c>
      <c r="L20" s="4">
        <f>IF(BD_Carga!F21&lt;&gt;"",BD_Carga!F21,0)</f>
        <v/>
      </c>
      <c r="M20" s="4">
        <f>IF(BD_Carga!G21&lt;&gt;"",BD_Carga!G21,0)</f>
        <v/>
      </c>
      <c r="N20" s="4">
        <f>IF(BD_Carga!H21&lt;&gt;"",BD_Carga!H21,0)</f>
        <v/>
      </c>
      <c r="O20" s="4">
        <f>IF(BD_Carga!I21&lt;&gt;"",BD_Carga!I21,0)</f>
        <v/>
      </c>
      <c r="P20" s="4">
        <f>IF(BD_Carga!J21&lt;&gt;"",BD_Carga!J21,0)</f>
        <v/>
      </c>
      <c r="Q20" s="5">
        <f>IF(BD_Carga!K21&lt;&gt;"",BD_Carga!K21,0)</f>
        <v/>
      </c>
      <c r="R20" s="5">
        <f>IF(BD_Carga!L21&lt;&gt;"",BD_Carga!L21,0)</f>
        <v/>
      </c>
      <c r="S20">
        <f>IF(BD_Carga!N21&lt;&gt;"",BD_Carga!N21,0)</f>
        <v/>
      </c>
      <c r="T20">
        <f>IF(BD_Carga!O21&lt;&gt;"",BD_Carga!O21,0)</f>
        <v/>
      </c>
      <c r="U20">
        <f>IF(BD_Carga!P21&lt;&gt;"",BD_Carga!P21,0)</f>
        <v/>
      </c>
      <c r="V20">
        <f>IF(BD_Carga!U21&lt;&gt;"",BD_Carga!U21,0)</f>
        <v/>
      </c>
      <c r="W20">
        <f>IF(BD_Carga!T21&lt;&gt;"",BD_Carga!T21,0)</f>
        <v/>
      </c>
      <c r="X20">
        <f>IF(BD_Carga!W21&lt;&gt;"",BD_Carga!W21,0)</f>
        <v/>
      </c>
      <c r="Y20">
        <f>IF(BD_Carga!X21&lt;&gt;"",BD_Carga!X21,0)</f>
        <v/>
      </c>
      <c r="Z20">
        <f>IF(BD_Carga!Y21&lt;&gt;"",BD_Carga!Y21,0)</f>
        <v/>
      </c>
      <c r="AA20">
        <f>IF(BD_Carga!Z21&lt;&gt;"",BD_Carga!Z21,0)</f>
        <v/>
      </c>
      <c r="AB20">
        <f>IF(BD_Carga!AA21&lt;&gt;"",BD_Carga!AA21,0)</f>
        <v/>
      </c>
      <c r="AC20" s="6">
        <f t="array" ref="AC20">IFERROR((L20-AVERAGEIF($G$2:$G$462,G20,$L$2:$L$462))/_xlfn.STDEV.P(IF($G$2:$G$462=G20,$L$2:$L$462)),0)</f>
        <v/>
      </c>
      <c r="AD20" s="6">
        <f t="array" ref="AD20">IFERROR((M20-AVERAGEIF($G$2:$G$462,G20,$M$2:$M$462))/_xlfn.STDEV.P(IF($G$2:$G$462=G20,$M$2:$M$462)),0)</f>
        <v/>
      </c>
      <c r="AE20" s="6">
        <f t="array" ref="AE20">IFERROR((N20-AVERAGEIF($G$2:$G$462,G20,$N$2:$N$462))/_xlfn.STDEV.P(IF($G$2:$G$462=G20,$N$2:$N$462)),0)</f>
        <v/>
      </c>
      <c r="AF20" s="6">
        <f t="array" ref="AF20">IFERROR((O20-AVERAGEIF($G$2:$G$462,G20,$O$2:$O$462))/_xlfn.STDEV.P(IF($G$2:$G$462=G20,$O$2:$O$462)),0)</f>
        <v/>
      </c>
      <c r="AG20" s="6">
        <f t="array" ref="AG20">IFERROR((P20-AVERAGEIF($G$2:$G$462,G20,$P$2:$P$462))/_xlfn.STDEV.P(IF($G$2:$G$462=G20,$P$2:$P$462)),0)</f>
        <v/>
      </c>
      <c r="AH20" s="6">
        <f t="array" ref="AH20">IFERROR((R20-AVERAGEIF($G$2:$G$462,G20,$R$2:$R$462))/_xlfn.STDEV.P(IF($G$2:$G$462=G20,$R$2:$R$462)),0)</f>
        <v/>
      </c>
      <c r="AI20" s="6">
        <f>IFERROR((AC20+AD20+AE20+AF20+AG20+AH20)/6,0)</f>
        <v/>
      </c>
    </row>
    <row r="21">
      <c r="A21" s="2">
        <f>IF(BD_Carga!A22&lt;&gt;"",BD_Carga!A22,"")</f>
        <v/>
      </c>
      <c r="B21">
        <f>IF(A21&lt;&gt;"",YEAR(A21),"")</f>
        <v/>
      </c>
      <c r="C21">
        <f>IF(A21&lt;&gt;"",MONTH(A21),"")</f>
        <v/>
      </c>
      <c r="D21">
        <f>IF(A21&lt;&gt;"",_xlfn.ISOWEEKNUM(A21),"")</f>
        <v/>
      </c>
      <c r="E21">
        <f>IF(A21&lt;&gt;"",TEXT(A21,"dddd"),"")</f>
        <v/>
      </c>
      <c r="F21">
        <f>IF(BD_Carga!C22&lt;&gt;"",BD_Carga!C22,"")</f>
        <v/>
      </c>
      <c r="G21">
        <f>IF(BD_Carga!D22&lt;&gt;"",BD_Carga!D22,"")</f>
        <v/>
      </c>
      <c r="H21">
        <f>IF(BD_Carga!Q22&lt;&gt;"",BD_Carga!Q22,"")</f>
        <v/>
      </c>
      <c r="I21">
        <f>IF(BD_Carga!R22&lt;&gt;"",BD_Carga!R22,"")</f>
        <v/>
      </c>
      <c r="J21">
        <f>IF(BD_Carga!S22&lt;&gt;"",BD_Carga!S22,"")</f>
        <v/>
      </c>
      <c r="K21" s="4">
        <f>IF(BD_Carga!E22&lt;&gt;"",BD_Carga!E22,0)</f>
        <v/>
      </c>
      <c r="L21" s="4">
        <f>IF(BD_Carga!F22&lt;&gt;"",BD_Carga!F22,0)</f>
        <v/>
      </c>
      <c r="M21" s="4">
        <f>IF(BD_Carga!G22&lt;&gt;"",BD_Carga!G22,0)</f>
        <v/>
      </c>
      <c r="N21" s="4">
        <f>IF(BD_Carga!H22&lt;&gt;"",BD_Carga!H22,0)</f>
        <v/>
      </c>
      <c r="O21" s="4">
        <f>IF(BD_Carga!I22&lt;&gt;"",BD_Carga!I22,0)</f>
        <v/>
      </c>
      <c r="P21" s="4">
        <f>IF(BD_Carga!J22&lt;&gt;"",BD_Carga!J22,0)</f>
        <v/>
      </c>
      <c r="Q21" s="5">
        <f>IF(BD_Carga!K22&lt;&gt;"",BD_Carga!K22,0)</f>
        <v/>
      </c>
      <c r="R21" s="5">
        <f>IF(BD_Carga!L22&lt;&gt;"",BD_Carga!L22,0)</f>
        <v/>
      </c>
      <c r="S21">
        <f>IF(BD_Carga!N22&lt;&gt;"",BD_Carga!N22,0)</f>
        <v/>
      </c>
      <c r="T21">
        <f>IF(BD_Carga!O22&lt;&gt;"",BD_Carga!O22,0)</f>
        <v/>
      </c>
      <c r="U21">
        <f>IF(BD_Carga!P22&lt;&gt;"",BD_Carga!P22,0)</f>
        <v/>
      </c>
      <c r="V21">
        <f>IF(BD_Carga!U22&lt;&gt;"",BD_Carga!U22,0)</f>
        <v/>
      </c>
      <c r="W21">
        <f>IF(BD_Carga!T22&lt;&gt;"",BD_Carga!T22,0)</f>
        <v/>
      </c>
      <c r="X21">
        <f>IF(BD_Carga!W22&lt;&gt;"",BD_Carga!W22,0)</f>
        <v/>
      </c>
      <c r="Y21">
        <f>IF(BD_Carga!X22&lt;&gt;"",BD_Carga!X22,0)</f>
        <v/>
      </c>
      <c r="Z21">
        <f>IF(BD_Carga!Y22&lt;&gt;"",BD_Carga!Y22,0)</f>
        <v/>
      </c>
      <c r="AA21">
        <f>IF(BD_Carga!Z22&lt;&gt;"",BD_Carga!Z22,0)</f>
        <v/>
      </c>
      <c r="AB21">
        <f>IF(BD_Carga!AA22&lt;&gt;"",BD_Carga!AA22,0)</f>
        <v/>
      </c>
      <c r="AC21" s="6">
        <f t="array" ref="AC21">IFERROR((L21-AVERAGEIF($G$2:$G$462,G21,$L$2:$L$462))/_xlfn.STDEV.P(IF($G$2:$G$462=G21,$L$2:$L$462)),0)</f>
        <v/>
      </c>
      <c r="AD21" s="6">
        <f t="array" ref="AD21">IFERROR((M21-AVERAGEIF($G$2:$G$462,G21,$M$2:$M$462))/_xlfn.STDEV.P(IF($G$2:$G$462=G21,$M$2:$M$462)),0)</f>
        <v/>
      </c>
      <c r="AE21" s="6">
        <f t="array" ref="AE21">IFERROR((N21-AVERAGEIF($G$2:$G$462,G21,$N$2:$N$462))/_xlfn.STDEV.P(IF($G$2:$G$462=G21,$N$2:$N$462)),0)</f>
        <v/>
      </c>
      <c r="AF21" s="6">
        <f t="array" ref="AF21">IFERROR((O21-AVERAGEIF($G$2:$G$462,G21,$O$2:$O$462))/_xlfn.STDEV.P(IF($G$2:$G$462=G21,$O$2:$O$462)),0)</f>
        <v/>
      </c>
      <c r="AG21" s="6">
        <f t="array" ref="AG21">IFERROR((P21-AVERAGEIF($G$2:$G$462,G21,$P$2:$P$462))/_xlfn.STDEV.P(IF($G$2:$G$462=G21,$P$2:$P$462)),0)</f>
        <v/>
      </c>
      <c r="AH21" s="6">
        <f t="array" ref="AH21">IFERROR((R21-AVERAGEIF($G$2:$G$462,G21,$R$2:$R$462))/_xlfn.STDEV.P(IF($G$2:$G$462=G21,$R$2:$R$462)),0)</f>
        <v/>
      </c>
      <c r="AI21" s="6">
        <f>IFERROR((AC21+AD21+AE21+AF21+AG21+AH21)/6,0)</f>
        <v/>
      </c>
    </row>
    <row r="22">
      <c r="A22" s="2">
        <f>IF(BD_Carga!A23&lt;&gt;"",BD_Carga!A23,"")</f>
        <v/>
      </c>
      <c r="B22">
        <f>IF(A22&lt;&gt;"",YEAR(A22),"")</f>
        <v/>
      </c>
      <c r="C22">
        <f>IF(A22&lt;&gt;"",MONTH(A22),"")</f>
        <v/>
      </c>
      <c r="D22">
        <f>IF(A22&lt;&gt;"",_xlfn.ISOWEEKNUM(A22),"")</f>
        <v/>
      </c>
      <c r="E22">
        <f>IF(A22&lt;&gt;"",TEXT(A22,"dddd"),"")</f>
        <v/>
      </c>
      <c r="F22">
        <f>IF(BD_Carga!C23&lt;&gt;"",BD_Carga!C23,"")</f>
        <v/>
      </c>
      <c r="G22">
        <f>IF(BD_Carga!D23&lt;&gt;"",BD_Carga!D23,"")</f>
        <v/>
      </c>
      <c r="H22">
        <f>IF(BD_Carga!Q23&lt;&gt;"",BD_Carga!Q23,"")</f>
        <v/>
      </c>
      <c r="I22">
        <f>IF(BD_Carga!R23&lt;&gt;"",BD_Carga!R23,"")</f>
        <v/>
      </c>
      <c r="J22">
        <f>IF(BD_Carga!S23&lt;&gt;"",BD_Carga!S23,"")</f>
        <v/>
      </c>
      <c r="K22" s="4">
        <f>IF(BD_Carga!E23&lt;&gt;"",BD_Carga!E23,0)</f>
        <v/>
      </c>
      <c r="L22" s="4">
        <f>IF(BD_Carga!F23&lt;&gt;"",BD_Carga!F23,0)</f>
        <v/>
      </c>
      <c r="M22" s="4">
        <f>IF(BD_Carga!G23&lt;&gt;"",BD_Carga!G23,0)</f>
        <v/>
      </c>
      <c r="N22" s="4">
        <f>IF(BD_Carga!H23&lt;&gt;"",BD_Carga!H23,0)</f>
        <v/>
      </c>
      <c r="O22" s="4">
        <f>IF(BD_Carga!I23&lt;&gt;"",BD_Carga!I23,0)</f>
        <v/>
      </c>
      <c r="P22" s="4">
        <f>IF(BD_Carga!J23&lt;&gt;"",BD_Carga!J23,0)</f>
        <v/>
      </c>
      <c r="Q22" s="5">
        <f>IF(BD_Carga!K23&lt;&gt;"",BD_Carga!K23,0)</f>
        <v/>
      </c>
      <c r="R22" s="5">
        <f>IF(BD_Carga!L23&lt;&gt;"",BD_Carga!L23,0)</f>
        <v/>
      </c>
      <c r="S22">
        <f>IF(BD_Carga!N23&lt;&gt;"",BD_Carga!N23,0)</f>
        <v/>
      </c>
      <c r="T22">
        <f>IF(BD_Carga!O23&lt;&gt;"",BD_Carga!O23,0)</f>
        <v/>
      </c>
      <c r="U22">
        <f>IF(BD_Carga!P23&lt;&gt;"",BD_Carga!P23,0)</f>
        <v/>
      </c>
      <c r="V22">
        <f>IF(BD_Carga!U23&lt;&gt;"",BD_Carga!U23,0)</f>
        <v/>
      </c>
      <c r="W22">
        <f>IF(BD_Carga!T23&lt;&gt;"",BD_Carga!T23,0)</f>
        <v/>
      </c>
      <c r="X22">
        <f>IF(BD_Carga!W23&lt;&gt;"",BD_Carga!W23,0)</f>
        <v/>
      </c>
      <c r="Y22">
        <f>IF(BD_Carga!X23&lt;&gt;"",BD_Carga!X23,0)</f>
        <v/>
      </c>
      <c r="Z22">
        <f>IF(BD_Carga!Y23&lt;&gt;"",BD_Carga!Y23,0)</f>
        <v/>
      </c>
      <c r="AA22">
        <f>IF(BD_Carga!Z23&lt;&gt;"",BD_Carga!Z23,0)</f>
        <v/>
      </c>
      <c r="AB22">
        <f>IF(BD_Carga!AA23&lt;&gt;"",BD_Carga!AA23,0)</f>
        <v/>
      </c>
      <c r="AC22" s="6">
        <f t="array" ref="AC22">IFERROR((L22-AVERAGEIF($G$2:$G$462,G22,$L$2:$L$462))/_xlfn.STDEV.P(IF($G$2:$G$462=G22,$L$2:$L$462)),0)</f>
        <v/>
      </c>
      <c r="AD22" s="6">
        <f t="array" ref="AD22">IFERROR((M22-AVERAGEIF($G$2:$G$462,G22,$M$2:$M$462))/_xlfn.STDEV.P(IF($G$2:$G$462=G22,$M$2:$M$462)),0)</f>
        <v/>
      </c>
      <c r="AE22" s="6">
        <f t="array" ref="AE22">IFERROR((N22-AVERAGEIF($G$2:$G$462,G22,$N$2:$N$462))/_xlfn.STDEV.P(IF($G$2:$G$462=G22,$N$2:$N$462)),0)</f>
        <v/>
      </c>
      <c r="AF22" s="6">
        <f t="array" ref="AF22">IFERROR((O22-AVERAGEIF($G$2:$G$462,G22,$O$2:$O$462))/_xlfn.STDEV.P(IF($G$2:$G$462=G22,$O$2:$O$462)),0)</f>
        <v/>
      </c>
      <c r="AG22" s="6">
        <f t="array" ref="AG22">IFERROR((P22-AVERAGEIF($G$2:$G$462,G22,$P$2:$P$462))/_xlfn.STDEV.P(IF($G$2:$G$462=G22,$P$2:$P$462)),0)</f>
        <v/>
      </c>
      <c r="AH22" s="6">
        <f t="array" ref="AH22">IFERROR((R22-AVERAGEIF($G$2:$G$462,G22,$R$2:$R$462))/_xlfn.STDEV.P(IF($G$2:$G$462=G22,$R$2:$R$462)),0)</f>
        <v/>
      </c>
      <c r="AI22" s="6">
        <f>IFERROR((AC22+AD22+AE22+AF22+AG22+AH22)/6,0)</f>
        <v/>
      </c>
    </row>
    <row r="23">
      <c r="A23" s="2">
        <f>IF(BD_Carga!A24&lt;&gt;"",BD_Carga!A24,"")</f>
        <v/>
      </c>
      <c r="B23">
        <f>IF(A23&lt;&gt;"",YEAR(A23),"")</f>
        <v/>
      </c>
      <c r="C23">
        <f>IF(A23&lt;&gt;"",MONTH(A23),"")</f>
        <v/>
      </c>
      <c r="D23">
        <f>IF(A23&lt;&gt;"",_xlfn.ISOWEEKNUM(A23),"")</f>
        <v/>
      </c>
      <c r="E23">
        <f>IF(A23&lt;&gt;"",TEXT(A23,"dddd"),"")</f>
        <v/>
      </c>
      <c r="F23">
        <f>IF(BD_Carga!C24&lt;&gt;"",BD_Carga!C24,"")</f>
        <v/>
      </c>
      <c r="G23">
        <f>IF(BD_Carga!D24&lt;&gt;"",BD_Carga!D24,"")</f>
        <v/>
      </c>
      <c r="H23">
        <f>IF(BD_Carga!Q24&lt;&gt;"",BD_Carga!Q24,"")</f>
        <v/>
      </c>
      <c r="I23">
        <f>IF(BD_Carga!R24&lt;&gt;"",BD_Carga!R24,"")</f>
        <v/>
      </c>
      <c r="J23">
        <f>IF(BD_Carga!S24&lt;&gt;"",BD_Carga!S24,"")</f>
        <v/>
      </c>
      <c r="K23" s="4">
        <f>IF(BD_Carga!E24&lt;&gt;"",BD_Carga!E24,0)</f>
        <v/>
      </c>
      <c r="L23" s="4">
        <f>IF(BD_Carga!F24&lt;&gt;"",BD_Carga!F24,0)</f>
        <v/>
      </c>
      <c r="M23" s="4">
        <f>IF(BD_Carga!G24&lt;&gt;"",BD_Carga!G24,0)</f>
        <v/>
      </c>
      <c r="N23" s="4">
        <f>IF(BD_Carga!H24&lt;&gt;"",BD_Carga!H24,0)</f>
        <v/>
      </c>
      <c r="O23" s="4">
        <f>IF(BD_Carga!I24&lt;&gt;"",BD_Carga!I24,0)</f>
        <v/>
      </c>
      <c r="P23" s="4">
        <f>IF(BD_Carga!J24&lt;&gt;"",BD_Carga!J24,0)</f>
        <v/>
      </c>
      <c r="Q23" s="5">
        <f>IF(BD_Carga!K24&lt;&gt;"",BD_Carga!K24,0)</f>
        <v/>
      </c>
      <c r="R23" s="5">
        <f>IF(BD_Carga!L24&lt;&gt;"",BD_Carga!L24,0)</f>
        <v/>
      </c>
      <c r="S23">
        <f>IF(BD_Carga!N24&lt;&gt;"",BD_Carga!N24,0)</f>
        <v/>
      </c>
      <c r="T23">
        <f>IF(BD_Carga!O24&lt;&gt;"",BD_Carga!O24,0)</f>
        <v/>
      </c>
      <c r="U23">
        <f>IF(BD_Carga!P24&lt;&gt;"",BD_Carga!P24,0)</f>
        <v/>
      </c>
      <c r="V23">
        <f>IF(BD_Carga!U24&lt;&gt;"",BD_Carga!U24,0)</f>
        <v/>
      </c>
      <c r="W23">
        <f>IF(BD_Carga!T24&lt;&gt;"",BD_Carga!T24,0)</f>
        <v/>
      </c>
      <c r="X23">
        <f>IF(BD_Carga!W24&lt;&gt;"",BD_Carga!W24,0)</f>
        <v/>
      </c>
      <c r="Y23">
        <f>IF(BD_Carga!X24&lt;&gt;"",BD_Carga!X24,0)</f>
        <v/>
      </c>
      <c r="Z23">
        <f>IF(BD_Carga!Y24&lt;&gt;"",BD_Carga!Y24,0)</f>
        <v/>
      </c>
      <c r="AA23">
        <f>IF(BD_Carga!Z24&lt;&gt;"",BD_Carga!Z24,0)</f>
        <v/>
      </c>
      <c r="AB23">
        <f>IF(BD_Carga!AA24&lt;&gt;"",BD_Carga!AA24,0)</f>
        <v/>
      </c>
      <c r="AC23" s="6">
        <f t="array" ref="AC23">IFERROR((L23-AVERAGEIF($G$2:$G$462,G23,$L$2:$L$462))/_xlfn.STDEV.P(IF($G$2:$G$462=G23,$L$2:$L$462)),0)</f>
        <v/>
      </c>
      <c r="AD23" s="6">
        <f t="array" ref="AD23">IFERROR((M23-AVERAGEIF($G$2:$G$462,G23,$M$2:$M$462))/_xlfn.STDEV.P(IF($G$2:$G$462=G23,$M$2:$M$462)),0)</f>
        <v/>
      </c>
      <c r="AE23" s="6">
        <f t="array" ref="AE23">IFERROR((N23-AVERAGEIF($G$2:$G$462,G23,$N$2:$N$462))/_xlfn.STDEV.P(IF($G$2:$G$462=G23,$N$2:$N$462)),0)</f>
        <v/>
      </c>
      <c r="AF23" s="6">
        <f t="array" ref="AF23">IFERROR((O23-AVERAGEIF($G$2:$G$462,G23,$O$2:$O$462))/_xlfn.STDEV.P(IF($G$2:$G$462=G23,$O$2:$O$462)),0)</f>
        <v/>
      </c>
      <c r="AG23" s="6">
        <f t="array" ref="AG23">IFERROR((P23-AVERAGEIF($G$2:$G$462,G23,$P$2:$P$462))/_xlfn.STDEV.P(IF($G$2:$G$462=G23,$P$2:$P$462)),0)</f>
        <v/>
      </c>
      <c r="AH23" s="6">
        <f t="array" ref="AH23">IFERROR((R23-AVERAGEIF($G$2:$G$462,G23,$R$2:$R$462))/_xlfn.STDEV.P(IF($G$2:$G$462=G23,$R$2:$R$462)),0)</f>
        <v/>
      </c>
      <c r="AI23" s="6">
        <f>IFERROR((AC23+AD23+AE23+AF23+AG23+AH23)/6,0)</f>
        <v/>
      </c>
    </row>
    <row r="24">
      <c r="A24" s="2">
        <f>IF(BD_Carga!A25&lt;&gt;"",BD_Carga!A25,"")</f>
        <v/>
      </c>
      <c r="B24">
        <f>IF(A24&lt;&gt;"",YEAR(A24),"")</f>
        <v/>
      </c>
      <c r="C24">
        <f>IF(A24&lt;&gt;"",MONTH(A24),"")</f>
        <v/>
      </c>
      <c r="D24">
        <f>IF(A24&lt;&gt;"",_xlfn.ISOWEEKNUM(A24),"")</f>
        <v/>
      </c>
      <c r="E24">
        <f>IF(A24&lt;&gt;"",TEXT(A24,"dddd"),"")</f>
        <v/>
      </c>
      <c r="F24">
        <f>IF(BD_Carga!C25&lt;&gt;"",BD_Carga!C25,"")</f>
        <v/>
      </c>
      <c r="G24">
        <f>IF(BD_Carga!D25&lt;&gt;"",BD_Carga!D25,"")</f>
        <v/>
      </c>
      <c r="H24">
        <f>IF(BD_Carga!Q25&lt;&gt;"",BD_Carga!Q25,"")</f>
        <v/>
      </c>
      <c r="I24">
        <f>IF(BD_Carga!R25&lt;&gt;"",BD_Carga!R25,"")</f>
        <v/>
      </c>
      <c r="J24">
        <f>IF(BD_Carga!S25&lt;&gt;"",BD_Carga!S25,"")</f>
        <v/>
      </c>
      <c r="K24" s="4">
        <f>IF(BD_Carga!E25&lt;&gt;"",BD_Carga!E25,0)</f>
        <v/>
      </c>
      <c r="L24" s="4">
        <f>IF(BD_Carga!F25&lt;&gt;"",BD_Carga!F25,0)</f>
        <v/>
      </c>
      <c r="M24" s="4">
        <f>IF(BD_Carga!G25&lt;&gt;"",BD_Carga!G25,0)</f>
        <v/>
      </c>
      <c r="N24" s="4">
        <f>IF(BD_Carga!H25&lt;&gt;"",BD_Carga!H25,0)</f>
        <v/>
      </c>
      <c r="O24" s="4">
        <f>IF(BD_Carga!I25&lt;&gt;"",BD_Carga!I25,0)</f>
        <v/>
      </c>
      <c r="P24" s="4">
        <f>IF(BD_Carga!J25&lt;&gt;"",BD_Carga!J25,0)</f>
        <v/>
      </c>
      <c r="Q24" s="5">
        <f>IF(BD_Carga!K25&lt;&gt;"",BD_Carga!K25,0)</f>
        <v/>
      </c>
      <c r="R24" s="5">
        <f>IF(BD_Carga!L25&lt;&gt;"",BD_Carga!L25,0)</f>
        <v/>
      </c>
      <c r="S24">
        <f>IF(BD_Carga!N25&lt;&gt;"",BD_Carga!N25,0)</f>
        <v/>
      </c>
      <c r="T24">
        <f>IF(BD_Carga!O25&lt;&gt;"",BD_Carga!O25,0)</f>
        <v/>
      </c>
      <c r="U24">
        <f>IF(BD_Carga!P25&lt;&gt;"",BD_Carga!P25,0)</f>
        <v/>
      </c>
      <c r="V24">
        <f>IF(BD_Carga!U25&lt;&gt;"",BD_Carga!U25,0)</f>
        <v/>
      </c>
      <c r="W24">
        <f>IF(BD_Carga!T25&lt;&gt;"",BD_Carga!T25,0)</f>
        <v/>
      </c>
      <c r="X24">
        <f>IF(BD_Carga!W25&lt;&gt;"",BD_Carga!W25,0)</f>
        <v/>
      </c>
      <c r="Y24">
        <f>IF(BD_Carga!X25&lt;&gt;"",BD_Carga!X25,0)</f>
        <v/>
      </c>
      <c r="Z24">
        <f>IF(BD_Carga!Y25&lt;&gt;"",BD_Carga!Y25,0)</f>
        <v/>
      </c>
      <c r="AA24">
        <f>IF(BD_Carga!Z25&lt;&gt;"",BD_Carga!Z25,0)</f>
        <v/>
      </c>
      <c r="AB24">
        <f>IF(BD_Carga!AA25&lt;&gt;"",BD_Carga!AA25,0)</f>
        <v/>
      </c>
      <c r="AC24" s="6">
        <f t="array" ref="AC24">IFERROR((L24-AVERAGEIF($G$2:$G$462,G24,$L$2:$L$462))/_xlfn.STDEV.P(IF($G$2:$G$462=G24,$L$2:$L$462)),0)</f>
        <v/>
      </c>
      <c r="AD24" s="6">
        <f t="array" ref="AD24">IFERROR((M24-AVERAGEIF($G$2:$G$462,G24,$M$2:$M$462))/_xlfn.STDEV.P(IF($G$2:$G$462=G24,$M$2:$M$462)),0)</f>
        <v/>
      </c>
      <c r="AE24" s="6">
        <f t="array" ref="AE24">IFERROR((N24-AVERAGEIF($G$2:$G$462,G24,$N$2:$N$462))/_xlfn.STDEV.P(IF($G$2:$G$462=G24,$N$2:$N$462)),0)</f>
        <v/>
      </c>
      <c r="AF24" s="6">
        <f t="array" ref="AF24">IFERROR((O24-AVERAGEIF($G$2:$G$462,G24,$O$2:$O$462))/_xlfn.STDEV.P(IF($G$2:$G$462=G24,$O$2:$O$462)),0)</f>
        <v/>
      </c>
      <c r="AG24" s="6">
        <f t="array" ref="AG24">IFERROR((P24-AVERAGEIF($G$2:$G$462,G24,$P$2:$P$462))/_xlfn.STDEV.P(IF($G$2:$G$462=G24,$P$2:$P$462)),0)</f>
        <v/>
      </c>
      <c r="AH24" s="6">
        <f t="array" ref="AH24">IFERROR((R24-AVERAGEIF($G$2:$G$462,G24,$R$2:$R$462))/_xlfn.STDEV.P(IF($G$2:$G$462=G24,$R$2:$R$462)),0)</f>
        <v/>
      </c>
      <c r="AI24" s="6">
        <f>IFERROR((AC24+AD24+AE24+AF24+AG24+AH24)/6,0)</f>
        <v/>
      </c>
    </row>
    <row r="25">
      <c r="A25" s="2">
        <f>IF(BD_Carga!A26&lt;&gt;"",BD_Carga!A26,"")</f>
        <v/>
      </c>
      <c r="B25">
        <f>IF(A25&lt;&gt;"",YEAR(A25),"")</f>
        <v/>
      </c>
      <c r="C25">
        <f>IF(A25&lt;&gt;"",MONTH(A25),"")</f>
        <v/>
      </c>
      <c r="D25">
        <f>IF(A25&lt;&gt;"",_xlfn.ISOWEEKNUM(A25),"")</f>
        <v/>
      </c>
      <c r="E25">
        <f>IF(A25&lt;&gt;"",TEXT(A25,"dddd"),"")</f>
        <v/>
      </c>
      <c r="F25">
        <f>IF(BD_Carga!C26&lt;&gt;"",BD_Carga!C26,"")</f>
        <v/>
      </c>
      <c r="G25">
        <f>IF(BD_Carga!D26&lt;&gt;"",BD_Carga!D26,"")</f>
        <v/>
      </c>
      <c r="H25">
        <f>IF(BD_Carga!Q26&lt;&gt;"",BD_Carga!Q26,"")</f>
        <v/>
      </c>
      <c r="I25">
        <f>IF(BD_Carga!R26&lt;&gt;"",BD_Carga!R26,"")</f>
        <v/>
      </c>
      <c r="J25">
        <f>IF(BD_Carga!S26&lt;&gt;"",BD_Carga!S26,"")</f>
        <v/>
      </c>
      <c r="K25" s="4">
        <f>IF(BD_Carga!E26&lt;&gt;"",BD_Carga!E26,0)</f>
        <v/>
      </c>
      <c r="L25" s="4">
        <f>IF(BD_Carga!F26&lt;&gt;"",BD_Carga!F26,0)</f>
        <v/>
      </c>
      <c r="M25" s="4">
        <f>IF(BD_Carga!G26&lt;&gt;"",BD_Carga!G26,0)</f>
        <v/>
      </c>
      <c r="N25" s="4">
        <f>IF(BD_Carga!H26&lt;&gt;"",BD_Carga!H26,0)</f>
        <v/>
      </c>
      <c r="O25" s="4">
        <f>IF(BD_Carga!I26&lt;&gt;"",BD_Carga!I26,0)</f>
        <v/>
      </c>
      <c r="P25" s="4">
        <f>IF(BD_Carga!J26&lt;&gt;"",BD_Carga!J26,0)</f>
        <v/>
      </c>
      <c r="Q25" s="5">
        <f>IF(BD_Carga!K26&lt;&gt;"",BD_Carga!K26,0)</f>
        <v/>
      </c>
      <c r="R25" s="5">
        <f>IF(BD_Carga!L26&lt;&gt;"",BD_Carga!L26,0)</f>
        <v/>
      </c>
      <c r="S25">
        <f>IF(BD_Carga!N26&lt;&gt;"",BD_Carga!N26,0)</f>
        <v/>
      </c>
      <c r="T25">
        <f>IF(BD_Carga!O26&lt;&gt;"",BD_Carga!O26,0)</f>
        <v/>
      </c>
      <c r="U25">
        <f>IF(BD_Carga!P26&lt;&gt;"",BD_Carga!P26,0)</f>
        <v/>
      </c>
      <c r="V25">
        <f>IF(BD_Carga!U26&lt;&gt;"",BD_Carga!U26,0)</f>
        <v/>
      </c>
      <c r="W25">
        <f>IF(BD_Carga!T26&lt;&gt;"",BD_Carga!T26,0)</f>
        <v/>
      </c>
      <c r="X25">
        <f>IF(BD_Carga!W26&lt;&gt;"",BD_Carga!W26,0)</f>
        <v/>
      </c>
      <c r="Y25">
        <f>IF(BD_Carga!X26&lt;&gt;"",BD_Carga!X26,0)</f>
        <v/>
      </c>
      <c r="Z25">
        <f>IF(BD_Carga!Y26&lt;&gt;"",BD_Carga!Y26,0)</f>
        <v/>
      </c>
      <c r="AA25">
        <f>IF(BD_Carga!Z26&lt;&gt;"",BD_Carga!Z26,0)</f>
        <v/>
      </c>
      <c r="AB25">
        <f>IF(BD_Carga!AA26&lt;&gt;"",BD_Carga!AA26,0)</f>
        <v/>
      </c>
      <c r="AC25" s="6">
        <f t="array" ref="AC25">IFERROR((L25-AVERAGEIF($G$2:$G$462,G25,$L$2:$L$462))/_xlfn.STDEV.P(IF($G$2:$G$462=G25,$L$2:$L$462)),0)</f>
        <v/>
      </c>
      <c r="AD25" s="6">
        <f t="array" ref="AD25">IFERROR((M25-AVERAGEIF($G$2:$G$462,G25,$M$2:$M$462))/_xlfn.STDEV.P(IF($G$2:$G$462=G25,$M$2:$M$462)),0)</f>
        <v/>
      </c>
      <c r="AE25" s="6">
        <f t="array" ref="AE25">IFERROR((N25-AVERAGEIF($G$2:$G$462,G25,$N$2:$N$462))/_xlfn.STDEV.P(IF($G$2:$G$462=G25,$N$2:$N$462)),0)</f>
        <v/>
      </c>
      <c r="AF25" s="6">
        <f t="array" ref="AF25">IFERROR((O25-AVERAGEIF($G$2:$G$462,G25,$O$2:$O$462))/_xlfn.STDEV.P(IF($G$2:$G$462=G25,$O$2:$O$462)),0)</f>
        <v/>
      </c>
      <c r="AG25" s="6">
        <f t="array" ref="AG25">IFERROR((P25-AVERAGEIF($G$2:$G$462,G25,$P$2:$P$462))/_xlfn.STDEV.P(IF($G$2:$G$462=G25,$P$2:$P$462)),0)</f>
        <v/>
      </c>
      <c r="AH25" s="6">
        <f t="array" ref="AH25">IFERROR((R25-AVERAGEIF($G$2:$G$462,G25,$R$2:$R$462))/_xlfn.STDEV.P(IF($G$2:$G$462=G25,$R$2:$R$462)),0)</f>
        <v/>
      </c>
      <c r="AI25" s="6">
        <f>IFERROR((AC25+AD25+AE25+AF25+AG25+AH25)/6,0)</f>
        <v/>
      </c>
    </row>
    <row r="26">
      <c r="A26" s="2">
        <f>IF(BD_Carga!A27&lt;&gt;"",BD_Carga!A27,"")</f>
        <v/>
      </c>
      <c r="B26">
        <f>IF(A26&lt;&gt;"",YEAR(A26),"")</f>
        <v/>
      </c>
      <c r="C26">
        <f>IF(A26&lt;&gt;"",MONTH(A26),"")</f>
        <v/>
      </c>
      <c r="D26">
        <f>IF(A26&lt;&gt;"",_xlfn.ISOWEEKNUM(A26),"")</f>
        <v/>
      </c>
      <c r="E26">
        <f>IF(A26&lt;&gt;"",TEXT(A26,"dddd"),"")</f>
        <v/>
      </c>
      <c r="F26">
        <f>IF(BD_Carga!C27&lt;&gt;"",BD_Carga!C27,"")</f>
        <v/>
      </c>
      <c r="G26">
        <f>IF(BD_Carga!D27&lt;&gt;"",BD_Carga!D27,"")</f>
        <v/>
      </c>
      <c r="H26">
        <f>IF(BD_Carga!Q27&lt;&gt;"",BD_Carga!Q27,"")</f>
        <v/>
      </c>
      <c r="I26">
        <f>IF(BD_Carga!R27&lt;&gt;"",BD_Carga!R27,"")</f>
        <v/>
      </c>
      <c r="J26">
        <f>IF(BD_Carga!S27&lt;&gt;"",BD_Carga!S27,"")</f>
        <v/>
      </c>
      <c r="K26" s="4">
        <f>IF(BD_Carga!E27&lt;&gt;"",BD_Carga!E27,0)</f>
        <v/>
      </c>
      <c r="L26" s="4">
        <f>IF(BD_Carga!F27&lt;&gt;"",BD_Carga!F27,0)</f>
        <v/>
      </c>
      <c r="M26" s="4">
        <f>IF(BD_Carga!G27&lt;&gt;"",BD_Carga!G27,0)</f>
        <v/>
      </c>
      <c r="N26" s="4">
        <f>IF(BD_Carga!H27&lt;&gt;"",BD_Carga!H27,0)</f>
        <v/>
      </c>
      <c r="O26" s="4">
        <f>IF(BD_Carga!I27&lt;&gt;"",BD_Carga!I27,0)</f>
        <v/>
      </c>
      <c r="P26" s="4">
        <f>IF(BD_Carga!J27&lt;&gt;"",BD_Carga!J27,0)</f>
        <v/>
      </c>
      <c r="Q26" s="5">
        <f>IF(BD_Carga!K27&lt;&gt;"",BD_Carga!K27,0)</f>
        <v/>
      </c>
      <c r="R26" s="5">
        <f>IF(BD_Carga!L27&lt;&gt;"",BD_Carga!L27,0)</f>
        <v/>
      </c>
      <c r="S26">
        <f>IF(BD_Carga!N27&lt;&gt;"",BD_Carga!N27,0)</f>
        <v/>
      </c>
      <c r="T26">
        <f>IF(BD_Carga!O27&lt;&gt;"",BD_Carga!O27,0)</f>
        <v/>
      </c>
      <c r="U26">
        <f>IF(BD_Carga!P27&lt;&gt;"",BD_Carga!P27,0)</f>
        <v/>
      </c>
      <c r="V26">
        <f>IF(BD_Carga!U27&lt;&gt;"",BD_Carga!U27,0)</f>
        <v/>
      </c>
      <c r="W26">
        <f>IF(BD_Carga!T27&lt;&gt;"",BD_Carga!T27,0)</f>
        <v/>
      </c>
      <c r="X26">
        <f>IF(BD_Carga!W27&lt;&gt;"",BD_Carga!W27,0)</f>
        <v/>
      </c>
      <c r="Y26">
        <f>IF(BD_Carga!X27&lt;&gt;"",BD_Carga!X27,0)</f>
        <v/>
      </c>
      <c r="Z26">
        <f>IF(BD_Carga!Y27&lt;&gt;"",BD_Carga!Y27,0)</f>
        <v/>
      </c>
      <c r="AA26">
        <f>IF(BD_Carga!Z27&lt;&gt;"",BD_Carga!Z27,0)</f>
        <v/>
      </c>
      <c r="AB26">
        <f>IF(BD_Carga!AA27&lt;&gt;"",BD_Carga!AA27,0)</f>
        <v/>
      </c>
      <c r="AC26" s="6">
        <f t="array" ref="AC26">IFERROR((L26-AVERAGEIF($G$2:$G$462,G26,$L$2:$L$462))/_xlfn.STDEV.P(IF($G$2:$G$462=G26,$L$2:$L$462)),0)</f>
        <v/>
      </c>
      <c r="AD26" s="6">
        <f t="array" ref="AD26">IFERROR((M26-AVERAGEIF($G$2:$G$462,G26,$M$2:$M$462))/_xlfn.STDEV.P(IF($G$2:$G$462=G26,$M$2:$M$462)),0)</f>
        <v/>
      </c>
      <c r="AE26" s="6">
        <f t="array" ref="AE26">IFERROR((N26-AVERAGEIF($G$2:$G$462,G26,$N$2:$N$462))/_xlfn.STDEV.P(IF($G$2:$G$462=G26,$N$2:$N$462)),0)</f>
        <v/>
      </c>
      <c r="AF26" s="6">
        <f t="array" ref="AF26">IFERROR((O26-AVERAGEIF($G$2:$G$462,G26,$O$2:$O$462))/_xlfn.STDEV.P(IF($G$2:$G$462=G26,$O$2:$O$462)),0)</f>
        <v/>
      </c>
      <c r="AG26" s="6">
        <f t="array" ref="AG26">IFERROR((P26-AVERAGEIF($G$2:$G$462,G26,$P$2:$P$462))/_xlfn.STDEV.P(IF($G$2:$G$462=G26,$P$2:$P$462)),0)</f>
        <v/>
      </c>
      <c r="AH26" s="6">
        <f t="array" ref="AH26">IFERROR((R26-AVERAGEIF($G$2:$G$462,G26,$R$2:$R$462))/_xlfn.STDEV.P(IF($G$2:$G$462=G26,$R$2:$R$462)),0)</f>
        <v/>
      </c>
      <c r="AI26" s="6">
        <f>IFERROR((AC26+AD26+AE26+AF26+AG26+AH26)/6,0)</f>
        <v/>
      </c>
    </row>
    <row r="27">
      <c r="A27" s="2">
        <f>IF(BD_Carga!A28&lt;&gt;"",BD_Carga!A28,"")</f>
        <v/>
      </c>
      <c r="B27">
        <f>IF(A27&lt;&gt;"",YEAR(A27),"")</f>
        <v/>
      </c>
      <c r="C27">
        <f>IF(A27&lt;&gt;"",MONTH(A27),"")</f>
        <v/>
      </c>
      <c r="D27">
        <f>IF(A27&lt;&gt;"",_xlfn.ISOWEEKNUM(A27),"")</f>
        <v/>
      </c>
      <c r="E27">
        <f>IF(A27&lt;&gt;"",TEXT(A27,"dddd"),"")</f>
        <v/>
      </c>
      <c r="F27">
        <f>IF(BD_Carga!C28&lt;&gt;"",BD_Carga!C28,"")</f>
        <v/>
      </c>
      <c r="G27">
        <f>IF(BD_Carga!D28&lt;&gt;"",BD_Carga!D28,"")</f>
        <v/>
      </c>
      <c r="H27">
        <f>IF(BD_Carga!Q28&lt;&gt;"",BD_Carga!Q28,"")</f>
        <v/>
      </c>
      <c r="I27">
        <f>IF(BD_Carga!R28&lt;&gt;"",BD_Carga!R28,"")</f>
        <v/>
      </c>
      <c r="J27">
        <f>IF(BD_Carga!S28&lt;&gt;"",BD_Carga!S28,"")</f>
        <v/>
      </c>
      <c r="K27" s="4">
        <f>IF(BD_Carga!E28&lt;&gt;"",BD_Carga!E28,0)</f>
        <v/>
      </c>
      <c r="L27" s="4">
        <f>IF(BD_Carga!F28&lt;&gt;"",BD_Carga!F28,0)</f>
        <v/>
      </c>
      <c r="M27" s="4">
        <f>IF(BD_Carga!G28&lt;&gt;"",BD_Carga!G28,0)</f>
        <v/>
      </c>
      <c r="N27" s="4">
        <f>IF(BD_Carga!H28&lt;&gt;"",BD_Carga!H28,0)</f>
        <v/>
      </c>
      <c r="O27" s="4">
        <f>IF(BD_Carga!I28&lt;&gt;"",BD_Carga!I28,0)</f>
        <v/>
      </c>
      <c r="P27" s="4">
        <f>IF(BD_Carga!J28&lt;&gt;"",BD_Carga!J28,0)</f>
        <v/>
      </c>
      <c r="Q27" s="5">
        <f>IF(BD_Carga!K28&lt;&gt;"",BD_Carga!K28,0)</f>
        <v/>
      </c>
      <c r="R27" s="5">
        <f>IF(BD_Carga!L28&lt;&gt;"",BD_Carga!L28,0)</f>
        <v/>
      </c>
      <c r="S27">
        <f>IF(BD_Carga!N28&lt;&gt;"",BD_Carga!N28,0)</f>
        <v/>
      </c>
      <c r="T27">
        <f>IF(BD_Carga!O28&lt;&gt;"",BD_Carga!O28,0)</f>
        <v/>
      </c>
      <c r="U27">
        <f>IF(BD_Carga!P28&lt;&gt;"",BD_Carga!P28,0)</f>
        <v/>
      </c>
      <c r="V27">
        <f>IF(BD_Carga!U28&lt;&gt;"",BD_Carga!U28,0)</f>
        <v/>
      </c>
      <c r="W27">
        <f>IF(BD_Carga!T28&lt;&gt;"",BD_Carga!T28,0)</f>
        <v/>
      </c>
      <c r="X27">
        <f>IF(BD_Carga!W28&lt;&gt;"",BD_Carga!W28,0)</f>
        <v/>
      </c>
      <c r="Y27">
        <f>IF(BD_Carga!X28&lt;&gt;"",BD_Carga!X28,0)</f>
        <v/>
      </c>
      <c r="Z27">
        <f>IF(BD_Carga!Y28&lt;&gt;"",BD_Carga!Y28,0)</f>
        <v/>
      </c>
      <c r="AA27">
        <f>IF(BD_Carga!Z28&lt;&gt;"",BD_Carga!Z28,0)</f>
        <v/>
      </c>
      <c r="AB27">
        <f>IF(BD_Carga!AA28&lt;&gt;"",BD_Carga!AA28,0)</f>
        <v/>
      </c>
      <c r="AC27" s="6">
        <f t="array" ref="AC27">IFERROR((L27-AVERAGEIF($G$2:$G$462,G27,$L$2:$L$462))/_xlfn.STDEV.P(IF($G$2:$G$462=G27,$L$2:$L$462)),0)</f>
        <v/>
      </c>
      <c r="AD27" s="6">
        <f t="array" ref="AD27">IFERROR((M27-AVERAGEIF($G$2:$G$462,G27,$M$2:$M$462))/_xlfn.STDEV.P(IF($G$2:$G$462=G27,$M$2:$M$462)),0)</f>
        <v/>
      </c>
      <c r="AE27" s="6">
        <f t="array" ref="AE27">IFERROR((N27-AVERAGEIF($G$2:$G$462,G27,$N$2:$N$462))/_xlfn.STDEV.P(IF($G$2:$G$462=G27,$N$2:$N$462)),0)</f>
        <v/>
      </c>
      <c r="AF27" s="6">
        <f t="array" ref="AF27">IFERROR((O27-AVERAGEIF($G$2:$G$462,G27,$O$2:$O$462))/_xlfn.STDEV.P(IF($G$2:$G$462=G27,$O$2:$O$462)),0)</f>
        <v/>
      </c>
      <c r="AG27" s="6">
        <f t="array" ref="AG27">IFERROR((P27-AVERAGEIF($G$2:$G$462,G27,$P$2:$P$462))/_xlfn.STDEV.P(IF($G$2:$G$462=G27,$P$2:$P$462)),0)</f>
        <v/>
      </c>
      <c r="AH27" s="6">
        <f t="array" ref="AH27">IFERROR((R27-AVERAGEIF($G$2:$G$462,G27,$R$2:$R$462))/_xlfn.STDEV.P(IF($G$2:$G$462=G27,$R$2:$R$462)),0)</f>
        <v/>
      </c>
      <c r="AI27" s="6">
        <f>IFERROR((AC27+AD27+AE27+AF27+AG27+AH27)/6,0)</f>
        <v/>
      </c>
    </row>
    <row r="28">
      <c r="A28" s="2">
        <f>IF(BD_Carga!A29&lt;&gt;"",BD_Carga!A29,"")</f>
        <v/>
      </c>
      <c r="B28">
        <f>IF(A28&lt;&gt;"",YEAR(A28),"")</f>
        <v/>
      </c>
      <c r="C28">
        <f>IF(A28&lt;&gt;"",MONTH(A28),"")</f>
        <v/>
      </c>
      <c r="D28">
        <f>IF(A28&lt;&gt;"",_xlfn.ISOWEEKNUM(A28),"")</f>
        <v/>
      </c>
      <c r="E28">
        <f>IF(A28&lt;&gt;"",TEXT(A28,"dddd"),"")</f>
        <v/>
      </c>
      <c r="F28">
        <f>IF(BD_Carga!C29&lt;&gt;"",BD_Carga!C29,"")</f>
        <v/>
      </c>
      <c r="G28">
        <f>IF(BD_Carga!D29&lt;&gt;"",BD_Carga!D29,"")</f>
        <v/>
      </c>
      <c r="H28">
        <f>IF(BD_Carga!Q29&lt;&gt;"",BD_Carga!Q29,"")</f>
        <v/>
      </c>
      <c r="I28">
        <f>IF(BD_Carga!R29&lt;&gt;"",BD_Carga!R29,"")</f>
        <v/>
      </c>
      <c r="J28">
        <f>IF(BD_Carga!S29&lt;&gt;"",BD_Carga!S29,"")</f>
        <v/>
      </c>
      <c r="K28" s="4">
        <f>IF(BD_Carga!E29&lt;&gt;"",BD_Carga!E29,0)</f>
        <v/>
      </c>
      <c r="L28" s="4">
        <f>IF(BD_Carga!F29&lt;&gt;"",BD_Carga!F29,0)</f>
        <v/>
      </c>
      <c r="M28" s="4">
        <f>IF(BD_Carga!G29&lt;&gt;"",BD_Carga!G29,0)</f>
        <v/>
      </c>
      <c r="N28" s="4">
        <f>IF(BD_Carga!H29&lt;&gt;"",BD_Carga!H29,0)</f>
        <v/>
      </c>
      <c r="O28" s="4">
        <f>IF(BD_Carga!I29&lt;&gt;"",BD_Carga!I29,0)</f>
        <v/>
      </c>
      <c r="P28" s="4">
        <f>IF(BD_Carga!J29&lt;&gt;"",BD_Carga!J29,0)</f>
        <v/>
      </c>
      <c r="Q28" s="5">
        <f>IF(BD_Carga!K29&lt;&gt;"",BD_Carga!K29,0)</f>
        <v/>
      </c>
      <c r="R28" s="5">
        <f>IF(BD_Carga!L29&lt;&gt;"",BD_Carga!L29,0)</f>
        <v/>
      </c>
      <c r="S28">
        <f>IF(BD_Carga!N29&lt;&gt;"",BD_Carga!N29,0)</f>
        <v/>
      </c>
      <c r="T28">
        <f>IF(BD_Carga!O29&lt;&gt;"",BD_Carga!O29,0)</f>
        <v/>
      </c>
      <c r="U28">
        <f>IF(BD_Carga!P29&lt;&gt;"",BD_Carga!P29,0)</f>
        <v/>
      </c>
      <c r="V28">
        <f>IF(BD_Carga!U29&lt;&gt;"",BD_Carga!U29,0)</f>
        <v/>
      </c>
      <c r="W28">
        <f>IF(BD_Carga!T29&lt;&gt;"",BD_Carga!T29,0)</f>
        <v/>
      </c>
      <c r="X28">
        <f>IF(BD_Carga!W29&lt;&gt;"",BD_Carga!W29,0)</f>
        <v/>
      </c>
      <c r="Y28">
        <f>IF(BD_Carga!X29&lt;&gt;"",BD_Carga!X29,0)</f>
        <v/>
      </c>
      <c r="Z28">
        <f>IF(BD_Carga!Y29&lt;&gt;"",BD_Carga!Y29,0)</f>
        <v/>
      </c>
      <c r="AA28">
        <f>IF(BD_Carga!Z29&lt;&gt;"",BD_Carga!Z29,0)</f>
        <v/>
      </c>
      <c r="AB28">
        <f>IF(BD_Carga!AA29&lt;&gt;"",BD_Carga!AA29,0)</f>
        <v/>
      </c>
      <c r="AC28" s="6">
        <f t="array" ref="AC28">IFERROR((L28-AVERAGEIF($G$2:$G$462,G28,$L$2:$L$462))/_xlfn.STDEV.P(IF($G$2:$G$462=G28,$L$2:$L$462)),0)</f>
        <v/>
      </c>
      <c r="AD28" s="6">
        <f t="array" ref="AD28">IFERROR((M28-AVERAGEIF($G$2:$G$462,G28,$M$2:$M$462))/_xlfn.STDEV.P(IF($G$2:$G$462=G28,$M$2:$M$462)),0)</f>
        <v/>
      </c>
      <c r="AE28" s="6">
        <f t="array" ref="AE28">IFERROR((N28-AVERAGEIF($G$2:$G$462,G28,$N$2:$N$462))/_xlfn.STDEV.P(IF($G$2:$G$462=G28,$N$2:$N$462)),0)</f>
        <v/>
      </c>
      <c r="AF28" s="6">
        <f t="array" ref="AF28">IFERROR((O28-AVERAGEIF($G$2:$G$462,G28,$O$2:$O$462))/_xlfn.STDEV.P(IF($G$2:$G$462=G28,$O$2:$O$462)),0)</f>
        <v/>
      </c>
      <c r="AG28" s="6">
        <f t="array" ref="AG28">IFERROR((P28-AVERAGEIF($G$2:$G$462,G28,$P$2:$P$462))/_xlfn.STDEV.P(IF($G$2:$G$462=G28,$P$2:$P$462)),0)</f>
        <v/>
      </c>
      <c r="AH28" s="6">
        <f t="array" ref="AH28">IFERROR((R28-AVERAGEIF($G$2:$G$462,G28,$R$2:$R$462))/_xlfn.STDEV.P(IF($G$2:$G$462=G28,$R$2:$R$462)),0)</f>
        <v/>
      </c>
      <c r="AI28" s="6">
        <f>IFERROR((AC28+AD28+AE28+AF28+AG28+AH28)/6,0)</f>
        <v/>
      </c>
    </row>
    <row r="29">
      <c r="A29" s="2">
        <f>IF(BD_Carga!A30&lt;&gt;"",BD_Carga!A30,"")</f>
        <v/>
      </c>
      <c r="B29">
        <f>IF(A29&lt;&gt;"",YEAR(A29),"")</f>
        <v/>
      </c>
      <c r="C29">
        <f>IF(A29&lt;&gt;"",MONTH(A29),"")</f>
        <v/>
      </c>
      <c r="D29">
        <f>IF(A29&lt;&gt;"",_xlfn.ISOWEEKNUM(A29),"")</f>
        <v/>
      </c>
      <c r="E29">
        <f>IF(A29&lt;&gt;"",TEXT(A29,"dddd"),"")</f>
        <v/>
      </c>
      <c r="F29">
        <f>IF(BD_Carga!C30&lt;&gt;"",BD_Carga!C30,"")</f>
        <v/>
      </c>
      <c r="G29">
        <f>IF(BD_Carga!D30&lt;&gt;"",BD_Carga!D30,"")</f>
        <v/>
      </c>
      <c r="H29">
        <f>IF(BD_Carga!Q30&lt;&gt;"",BD_Carga!Q30,"")</f>
        <v/>
      </c>
      <c r="I29">
        <f>IF(BD_Carga!R30&lt;&gt;"",BD_Carga!R30,"")</f>
        <v/>
      </c>
      <c r="J29">
        <f>IF(BD_Carga!S30&lt;&gt;"",BD_Carga!S30,"")</f>
        <v/>
      </c>
      <c r="K29" s="4">
        <f>IF(BD_Carga!E30&lt;&gt;"",BD_Carga!E30,0)</f>
        <v/>
      </c>
      <c r="L29" s="4">
        <f>IF(BD_Carga!F30&lt;&gt;"",BD_Carga!F30,0)</f>
        <v/>
      </c>
      <c r="M29" s="4">
        <f>IF(BD_Carga!G30&lt;&gt;"",BD_Carga!G30,0)</f>
        <v/>
      </c>
      <c r="N29" s="4">
        <f>IF(BD_Carga!H30&lt;&gt;"",BD_Carga!H30,0)</f>
        <v/>
      </c>
      <c r="O29" s="4">
        <f>IF(BD_Carga!I30&lt;&gt;"",BD_Carga!I30,0)</f>
        <v/>
      </c>
      <c r="P29" s="4">
        <f>IF(BD_Carga!J30&lt;&gt;"",BD_Carga!J30,0)</f>
        <v/>
      </c>
      <c r="Q29" s="5">
        <f>IF(BD_Carga!K30&lt;&gt;"",BD_Carga!K30,0)</f>
        <v/>
      </c>
      <c r="R29" s="5">
        <f>IF(BD_Carga!L30&lt;&gt;"",BD_Carga!L30,0)</f>
        <v/>
      </c>
      <c r="S29">
        <f>IF(BD_Carga!N30&lt;&gt;"",BD_Carga!N30,0)</f>
        <v/>
      </c>
      <c r="T29">
        <f>IF(BD_Carga!O30&lt;&gt;"",BD_Carga!O30,0)</f>
        <v/>
      </c>
      <c r="U29">
        <f>IF(BD_Carga!P30&lt;&gt;"",BD_Carga!P30,0)</f>
        <v/>
      </c>
      <c r="V29">
        <f>IF(BD_Carga!U30&lt;&gt;"",BD_Carga!U30,0)</f>
        <v/>
      </c>
      <c r="W29">
        <f>IF(BD_Carga!T30&lt;&gt;"",BD_Carga!T30,0)</f>
        <v/>
      </c>
      <c r="X29">
        <f>IF(BD_Carga!W30&lt;&gt;"",BD_Carga!W30,0)</f>
        <v/>
      </c>
      <c r="Y29">
        <f>IF(BD_Carga!X30&lt;&gt;"",BD_Carga!X30,0)</f>
        <v/>
      </c>
      <c r="Z29">
        <f>IF(BD_Carga!Y30&lt;&gt;"",BD_Carga!Y30,0)</f>
        <v/>
      </c>
      <c r="AA29">
        <f>IF(BD_Carga!Z30&lt;&gt;"",BD_Carga!Z30,0)</f>
        <v/>
      </c>
      <c r="AB29">
        <f>IF(BD_Carga!AA30&lt;&gt;"",BD_Carga!AA30,0)</f>
        <v/>
      </c>
      <c r="AC29" s="6">
        <f t="array" ref="AC29">IFERROR((L29-AVERAGEIF($G$2:$G$462,G29,$L$2:$L$462))/_xlfn.STDEV.P(IF($G$2:$G$462=G29,$L$2:$L$462)),0)</f>
        <v/>
      </c>
      <c r="AD29" s="6">
        <f t="array" ref="AD29">IFERROR((M29-AVERAGEIF($G$2:$G$462,G29,$M$2:$M$462))/_xlfn.STDEV.P(IF($G$2:$G$462=G29,$M$2:$M$462)),0)</f>
        <v/>
      </c>
      <c r="AE29" s="6">
        <f t="array" ref="AE29">IFERROR((N29-AVERAGEIF($G$2:$G$462,G29,$N$2:$N$462))/_xlfn.STDEV.P(IF($G$2:$G$462=G29,$N$2:$N$462)),0)</f>
        <v/>
      </c>
      <c r="AF29" s="6">
        <f t="array" ref="AF29">IFERROR((O29-AVERAGEIF($G$2:$G$462,G29,$O$2:$O$462))/_xlfn.STDEV.P(IF($G$2:$G$462=G29,$O$2:$O$462)),0)</f>
        <v/>
      </c>
      <c r="AG29" s="6">
        <f t="array" ref="AG29">IFERROR((P29-AVERAGEIF($G$2:$G$462,G29,$P$2:$P$462))/_xlfn.STDEV.P(IF($G$2:$G$462=G29,$P$2:$P$462)),0)</f>
        <v/>
      </c>
      <c r="AH29" s="6">
        <f t="array" ref="AH29">IFERROR((R29-AVERAGEIF($G$2:$G$462,G29,$R$2:$R$462))/_xlfn.STDEV.P(IF($G$2:$G$462=G29,$R$2:$R$462)),0)</f>
        <v/>
      </c>
      <c r="AI29" s="6">
        <f>IFERROR((AC29+AD29+AE29+AF29+AG29+AH29)/6,0)</f>
        <v/>
      </c>
    </row>
    <row r="30">
      <c r="A30" s="2">
        <f>IF(BD_Carga!A31&lt;&gt;"",BD_Carga!A31,"")</f>
        <v/>
      </c>
      <c r="B30">
        <f>IF(A30&lt;&gt;"",YEAR(A30),"")</f>
        <v/>
      </c>
      <c r="C30">
        <f>IF(A30&lt;&gt;"",MONTH(A30),"")</f>
        <v/>
      </c>
      <c r="D30">
        <f>IF(A30&lt;&gt;"",_xlfn.ISOWEEKNUM(A30),"")</f>
        <v/>
      </c>
      <c r="E30">
        <f>IF(A30&lt;&gt;"",TEXT(A30,"dddd"),"")</f>
        <v/>
      </c>
      <c r="F30">
        <f>IF(BD_Carga!C31&lt;&gt;"",BD_Carga!C31,"")</f>
        <v/>
      </c>
      <c r="G30">
        <f>IF(BD_Carga!D31&lt;&gt;"",BD_Carga!D31,"")</f>
        <v/>
      </c>
      <c r="H30">
        <f>IF(BD_Carga!Q31&lt;&gt;"",BD_Carga!Q31,"")</f>
        <v/>
      </c>
      <c r="I30">
        <f>IF(BD_Carga!R31&lt;&gt;"",BD_Carga!R31,"")</f>
        <v/>
      </c>
      <c r="J30">
        <f>IF(BD_Carga!S31&lt;&gt;"",BD_Carga!S31,"")</f>
        <v/>
      </c>
      <c r="K30" s="4">
        <f>IF(BD_Carga!E31&lt;&gt;"",BD_Carga!E31,0)</f>
        <v/>
      </c>
      <c r="L30" s="4">
        <f>IF(BD_Carga!F31&lt;&gt;"",BD_Carga!F31,0)</f>
        <v/>
      </c>
      <c r="M30" s="4">
        <f>IF(BD_Carga!G31&lt;&gt;"",BD_Carga!G31,0)</f>
        <v/>
      </c>
      <c r="N30" s="4">
        <f>IF(BD_Carga!H31&lt;&gt;"",BD_Carga!H31,0)</f>
        <v/>
      </c>
      <c r="O30" s="4">
        <f>IF(BD_Carga!I31&lt;&gt;"",BD_Carga!I31,0)</f>
        <v/>
      </c>
      <c r="P30" s="4">
        <f>IF(BD_Carga!J31&lt;&gt;"",BD_Carga!J31,0)</f>
        <v/>
      </c>
      <c r="Q30" s="5">
        <f>IF(BD_Carga!K31&lt;&gt;"",BD_Carga!K31,0)</f>
        <v/>
      </c>
      <c r="R30" s="5">
        <f>IF(BD_Carga!L31&lt;&gt;"",BD_Carga!L31,0)</f>
        <v/>
      </c>
      <c r="S30">
        <f>IF(BD_Carga!N31&lt;&gt;"",BD_Carga!N31,0)</f>
        <v/>
      </c>
      <c r="T30">
        <f>IF(BD_Carga!O31&lt;&gt;"",BD_Carga!O31,0)</f>
        <v/>
      </c>
      <c r="U30">
        <f>IF(BD_Carga!P31&lt;&gt;"",BD_Carga!P31,0)</f>
        <v/>
      </c>
      <c r="V30">
        <f>IF(BD_Carga!U31&lt;&gt;"",BD_Carga!U31,0)</f>
        <v/>
      </c>
      <c r="W30">
        <f>IF(BD_Carga!T31&lt;&gt;"",BD_Carga!T31,0)</f>
        <v/>
      </c>
      <c r="X30">
        <f>IF(BD_Carga!W31&lt;&gt;"",BD_Carga!W31,0)</f>
        <v/>
      </c>
      <c r="Y30">
        <f>IF(BD_Carga!X31&lt;&gt;"",BD_Carga!X31,0)</f>
        <v/>
      </c>
      <c r="Z30">
        <f>IF(BD_Carga!Y31&lt;&gt;"",BD_Carga!Y31,0)</f>
        <v/>
      </c>
      <c r="AA30">
        <f>IF(BD_Carga!Z31&lt;&gt;"",BD_Carga!Z31,0)</f>
        <v/>
      </c>
      <c r="AB30">
        <f>IF(BD_Carga!AA31&lt;&gt;"",BD_Carga!AA31,0)</f>
        <v/>
      </c>
      <c r="AC30" s="6">
        <f t="array" ref="AC30">IFERROR((L30-AVERAGEIF($G$2:$G$462,G30,$L$2:$L$462))/_xlfn.STDEV.P(IF($G$2:$G$462=G30,$L$2:$L$462)),0)</f>
        <v/>
      </c>
      <c r="AD30" s="6">
        <f t="array" ref="AD30">IFERROR((M30-AVERAGEIF($G$2:$G$462,G30,$M$2:$M$462))/_xlfn.STDEV.P(IF($G$2:$G$462=G30,$M$2:$M$462)),0)</f>
        <v/>
      </c>
      <c r="AE30" s="6">
        <f t="array" ref="AE30">IFERROR((N30-AVERAGEIF($G$2:$G$462,G30,$N$2:$N$462))/_xlfn.STDEV.P(IF($G$2:$G$462=G30,$N$2:$N$462)),0)</f>
        <v/>
      </c>
      <c r="AF30" s="6">
        <f t="array" ref="AF30">IFERROR((O30-AVERAGEIF($G$2:$G$462,G30,$O$2:$O$462))/_xlfn.STDEV.P(IF($G$2:$G$462=G30,$O$2:$O$462)),0)</f>
        <v/>
      </c>
      <c r="AG30" s="6">
        <f t="array" ref="AG30">IFERROR((P30-AVERAGEIF($G$2:$G$462,G30,$P$2:$P$462))/_xlfn.STDEV.P(IF($G$2:$G$462=G30,$P$2:$P$462)),0)</f>
        <v/>
      </c>
      <c r="AH30" s="6">
        <f t="array" ref="AH30">IFERROR((R30-AVERAGEIF($G$2:$G$462,G30,$R$2:$R$462))/_xlfn.STDEV.P(IF($G$2:$G$462=G30,$R$2:$R$462)),0)</f>
        <v/>
      </c>
      <c r="AI30" s="6">
        <f>IFERROR((AC30+AD30+AE30+AF30+AG30+AH30)/6,0)</f>
        <v/>
      </c>
    </row>
    <row r="31">
      <c r="A31" s="2">
        <f>IF(BD_Carga!A32&lt;&gt;"",BD_Carga!A32,"")</f>
        <v/>
      </c>
      <c r="B31">
        <f>IF(A31&lt;&gt;"",YEAR(A31),"")</f>
        <v/>
      </c>
      <c r="C31">
        <f>IF(A31&lt;&gt;"",MONTH(A31),"")</f>
        <v/>
      </c>
      <c r="D31">
        <f>IF(A31&lt;&gt;"",_xlfn.ISOWEEKNUM(A31),"")</f>
        <v/>
      </c>
      <c r="E31">
        <f>IF(A31&lt;&gt;"",TEXT(A31,"dddd"),"")</f>
        <v/>
      </c>
      <c r="F31">
        <f>IF(BD_Carga!C32&lt;&gt;"",BD_Carga!C32,"")</f>
        <v/>
      </c>
      <c r="G31">
        <f>IF(BD_Carga!D32&lt;&gt;"",BD_Carga!D32,"")</f>
        <v/>
      </c>
      <c r="H31">
        <f>IF(BD_Carga!Q32&lt;&gt;"",BD_Carga!Q32,"")</f>
        <v/>
      </c>
      <c r="I31">
        <f>IF(BD_Carga!R32&lt;&gt;"",BD_Carga!R32,"")</f>
        <v/>
      </c>
      <c r="J31">
        <f>IF(BD_Carga!S32&lt;&gt;"",BD_Carga!S32,"")</f>
        <v/>
      </c>
      <c r="K31" s="4">
        <f>IF(BD_Carga!E32&lt;&gt;"",BD_Carga!E32,0)</f>
        <v/>
      </c>
      <c r="L31" s="4">
        <f>IF(BD_Carga!F32&lt;&gt;"",BD_Carga!F32,0)</f>
        <v/>
      </c>
      <c r="M31" s="4">
        <f>IF(BD_Carga!G32&lt;&gt;"",BD_Carga!G32,0)</f>
        <v/>
      </c>
      <c r="N31" s="4">
        <f>IF(BD_Carga!H32&lt;&gt;"",BD_Carga!H32,0)</f>
        <v/>
      </c>
      <c r="O31" s="4">
        <f>IF(BD_Carga!I32&lt;&gt;"",BD_Carga!I32,0)</f>
        <v/>
      </c>
      <c r="P31" s="4">
        <f>IF(BD_Carga!J32&lt;&gt;"",BD_Carga!J32,0)</f>
        <v/>
      </c>
      <c r="Q31" s="5">
        <f>IF(BD_Carga!K32&lt;&gt;"",BD_Carga!K32,0)</f>
        <v/>
      </c>
      <c r="R31" s="5">
        <f>IF(BD_Carga!L32&lt;&gt;"",BD_Carga!L32,0)</f>
        <v/>
      </c>
      <c r="S31">
        <f>IF(BD_Carga!N32&lt;&gt;"",BD_Carga!N32,0)</f>
        <v/>
      </c>
      <c r="T31">
        <f>IF(BD_Carga!O32&lt;&gt;"",BD_Carga!O32,0)</f>
        <v/>
      </c>
      <c r="U31">
        <f>IF(BD_Carga!P32&lt;&gt;"",BD_Carga!P32,0)</f>
        <v/>
      </c>
      <c r="V31">
        <f>IF(BD_Carga!U32&lt;&gt;"",BD_Carga!U32,0)</f>
        <v/>
      </c>
      <c r="W31">
        <f>IF(BD_Carga!T32&lt;&gt;"",BD_Carga!T32,0)</f>
        <v/>
      </c>
      <c r="X31">
        <f>IF(BD_Carga!W32&lt;&gt;"",BD_Carga!W32,0)</f>
        <v/>
      </c>
      <c r="Y31">
        <f>IF(BD_Carga!X32&lt;&gt;"",BD_Carga!X32,0)</f>
        <v/>
      </c>
      <c r="Z31">
        <f>IF(BD_Carga!Y32&lt;&gt;"",BD_Carga!Y32,0)</f>
        <v/>
      </c>
      <c r="AA31">
        <f>IF(BD_Carga!Z32&lt;&gt;"",BD_Carga!Z32,0)</f>
        <v/>
      </c>
      <c r="AB31">
        <f>IF(BD_Carga!AA32&lt;&gt;"",BD_Carga!AA32,0)</f>
        <v/>
      </c>
      <c r="AC31" s="6">
        <f t="array" ref="AC31">IFERROR((L31-AVERAGEIF($G$2:$G$462,G31,$L$2:$L$462))/_xlfn.STDEV.P(IF($G$2:$G$462=G31,$L$2:$L$462)),0)</f>
        <v/>
      </c>
      <c r="AD31" s="6">
        <f t="array" ref="AD31">IFERROR((M31-AVERAGEIF($G$2:$G$462,G31,$M$2:$M$462))/_xlfn.STDEV.P(IF($G$2:$G$462=G31,$M$2:$M$462)),0)</f>
        <v/>
      </c>
      <c r="AE31" s="6">
        <f t="array" ref="AE31">IFERROR((N31-AVERAGEIF($G$2:$G$462,G31,$N$2:$N$462))/_xlfn.STDEV.P(IF($G$2:$G$462=G31,$N$2:$N$462)),0)</f>
        <v/>
      </c>
      <c r="AF31" s="6">
        <f t="array" ref="AF31">IFERROR((O31-AVERAGEIF($G$2:$G$462,G31,$O$2:$O$462))/_xlfn.STDEV.P(IF($G$2:$G$462=G31,$O$2:$O$462)),0)</f>
        <v/>
      </c>
      <c r="AG31" s="6">
        <f t="array" ref="AG31">IFERROR((P31-AVERAGEIF($G$2:$G$462,G31,$P$2:$P$462))/_xlfn.STDEV.P(IF($G$2:$G$462=G31,$P$2:$P$462)),0)</f>
        <v/>
      </c>
      <c r="AH31" s="6">
        <f t="array" ref="AH31">IFERROR((R31-AVERAGEIF($G$2:$G$462,G31,$R$2:$R$462))/_xlfn.STDEV.P(IF($G$2:$G$462=G31,$R$2:$R$462)),0)</f>
        <v/>
      </c>
      <c r="AI31" s="6">
        <f>IFERROR((AC31+AD31+AE31+AF31+AG31+AH31)/6,0)</f>
        <v/>
      </c>
    </row>
    <row r="32">
      <c r="A32" s="2">
        <f>IF(BD_Carga!A33&lt;&gt;"",BD_Carga!A33,"")</f>
        <v/>
      </c>
      <c r="B32">
        <f>IF(A32&lt;&gt;"",YEAR(A32),"")</f>
        <v/>
      </c>
      <c r="C32">
        <f>IF(A32&lt;&gt;"",MONTH(A32),"")</f>
        <v/>
      </c>
      <c r="D32">
        <f>IF(A32&lt;&gt;"",_xlfn.ISOWEEKNUM(A32),"")</f>
        <v/>
      </c>
      <c r="E32">
        <f>IF(A32&lt;&gt;"",TEXT(A32,"dddd"),"")</f>
        <v/>
      </c>
      <c r="F32">
        <f>IF(BD_Carga!C33&lt;&gt;"",BD_Carga!C33,"")</f>
        <v/>
      </c>
      <c r="G32">
        <f>IF(BD_Carga!D33&lt;&gt;"",BD_Carga!D33,"")</f>
        <v/>
      </c>
      <c r="H32">
        <f>IF(BD_Carga!Q33&lt;&gt;"",BD_Carga!Q33,"")</f>
        <v/>
      </c>
      <c r="I32">
        <f>IF(BD_Carga!R33&lt;&gt;"",BD_Carga!R33,"")</f>
        <v/>
      </c>
      <c r="J32">
        <f>IF(BD_Carga!S33&lt;&gt;"",BD_Carga!S33,"")</f>
        <v/>
      </c>
      <c r="K32" s="4">
        <f>IF(BD_Carga!E33&lt;&gt;"",BD_Carga!E33,0)</f>
        <v/>
      </c>
      <c r="L32" s="4">
        <f>IF(BD_Carga!F33&lt;&gt;"",BD_Carga!F33,0)</f>
        <v/>
      </c>
      <c r="M32" s="4">
        <f>IF(BD_Carga!G33&lt;&gt;"",BD_Carga!G33,0)</f>
        <v/>
      </c>
      <c r="N32" s="4">
        <f>IF(BD_Carga!H33&lt;&gt;"",BD_Carga!H33,0)</f>
        <v/>
      </c>
      <c r="O32" s="4">
        <f>IF(BD_Carga!I33&lt;&gt;"",BD_Carga!I33,0)</f>
        <v/>
      </c>
      <c r="P32" s="4">
        <f>IF(BD_Carga!J33&lt;&gt;"",BD_Carga!J33,0)</f>
        <v/>
      </c>
      <c r="Q32" s="5">
        <f>IF(BD_Carga!K33&lt;&gt;"",BD_Carga!K33,0)</f>
        <v/>
      </c>
      <c r="R32" s="5">
        <f>IF(BD_Carga!L33&lt;&gt;"",BD_Carga!L33,0)</f>
        <v/>
      </c>
      <c r="S32">
        <f>IF(BD_Carga!N33&lt;&gt;"",BD_Carga!N33,0)</f>
        <v/>
      </c>
      <c r="T32">
        <f>IF(BD_Carga!O33&lt;&gt;"",BD_Carga!O33,0)</f>
        <v/>
      </c>
      <c r="U32">
        <f>IF(BD_Carga!P33&lt;&gt;"",BD_Carga!P33,0)</f>
        <v/>
      </c>
      <c r="V32">
        <f>IF(BD_Carga!U33&lt;&gt;"",BD_Carga!U33,0)</f>
        <v/>
      </c>
      <c r="W32">
        <f>IF(BD_Carga!T33&lt;&gt;"",BD_Carga!T33,0)</f>
        <v/>
      </c>
      <c r="X32">
        <f>IF(BD_Carga!W33&lt;&gt;"",BD_Carga!W33,0)</f>
        <v/>
      </c>
      <c r="Y32">
        <f>IF(BD_Carga!X33&lt;&gt;"",BD_Carga!X33,0)</f>
        <v/>
      </c>
      <c r="Z32">
        <f>IF(BD_Carga!Y33&lt;&gt;"",BD_Carga!Y33,0)</f>
        <v/>
      </c>
      <c r="AA32">
        <f>IF(BD_Carga!Z33&lt;&gt;"",BD_Carga!Z33,0)</f>
        <v/>
      </c>
      <c r="AB32">
        <f>IF(BD_Carga!AA33&lt;&gt;"",BD_Carga!AA33,0)</f>
        <v/>
      </c>
      <c r="AC32" s="6">
        <f t="array" ref="AC32">IFERROR((L32-AVERAGEIF($G$2:$G$462,G32,$L$2:$L$462))/_xlfn.STDEV.P(IF($G$2:$G$462=G32,$L$2:$L$462)),0)</f>
        <v/>
      </c>
      <c r="AD32" s="6">
        <f t="array" ref="AD32">IFERROR((M32-AVERAGEIF($G$2:$G$462,G32,$M$2:$M$462))/_xlfn.STDEV.P(IF($G$2:$G$462=G32,$M$2:$M$462)),0)</f>
        <v/>
      </c>
      <c r="AE32" s="6">
        <f t="array" ref="AE32">IFERROR((N32-AVERAGEIF($G$2:$G$462,G32,$N$2:$N$462))/_xlfn.STDEV.P(IF($G$2:$G$462=G32,$N$2:$N$462)),0)</f>
        <v/>
      </c>
      <c r="AF32" s="6">
        <f t="array" ref="AF32">IFERROR((O32-AVERAGEIF($G$2:$G$462,G32,$O$2:$O$462))/_xlfn.STDEV.P(IF($G$2:$G$462=G32,$O$2:$O$462)),0)</f>
        <v/>
      </c>
      <c r="AG32" s="6">
        <f t="array" ref="AG32">IFERROR((P32-AVERAGEIF($G$2:$G$462,G32,$P$2:$P$462))/_xlfn.STDEV.P(IF($G$2:$G$462=G32,$P$2:$P$462)),0)</f>
        <v/>
      </c>
      <c r="AH32" s="6">
        <f t="array" ref="AH32">IFERROR((R32-AVERAGEIF($G$2:$G$462,G32,$R$2:$R$462))/_xlfn.STDEV.P(IF($G$2:$G$462=G32,$R$2:$R$462)),0)</f>
        <v/>
      </c>
      <c r="AI32" s="6">
        <f>IFERROR((AC32+AD32+AE32+AF32+AG32+AH32)/6,0)</f>
        <v/>
      </c>
    </row>
    <row r="33">
      <c r="A33" s="2">
        <f>IF(BD_Carga!A34&lt;&gt;"",BD_Carga!A34,"")</f>
        <v/>
      </c>
      <c r="B33">
        <f>IF(A33&lt;&gt;"",YEAR(A33),"")</f>
        <v/>
      </c>
      <c r="C33">
        <f>IF(A33&lt;&gt;"",MONTH(A33),"")</f>
        <v/>
      </c>
      <c r="D33">
        <f>IF(A33&lt;&gt;"",_xlfn.ISOWEEKNUM(A33),"")</f>
        <v/>
      </c>
      <c r="E33">
        <f>IF(A33&lt;&gt;"",TEXT(A33,"dddd"),"")</f>
        <v/>
      </c>
      <c r="F33">
        <f>IF(BD_Carga!C34&lt;&gt;"",BD_Carga!C34,"")</f>
        <v/>
      </c>
      <c r="G33">
        <f>IF(BD_Carga!D34&lt;&gt;"",BD_Carga!D34,"")</f>
        <v/>
      </c>
      <c r="H33">
        <f>IF(BD_Carga!Q34&lt;&gt;"",BD_Carga!Q34,"")</f>
        <v/>
      </c>
      <c r="I33">
        <f>IF(BD_Carga!R34&lt;&gt;"",BD_Carga!R34,"")</f>
        <v/>
      </c>
      <c r="J33">
        <f>IF(BD_Carga!S34&lt;&gt;"",BD_Carga!S34,"")</f>
        <v/>
      </c>
      <c r="K33" s="4">
        <f>IF(BD_Carga!E34&lt;&gt;"",BD_Carga!E34,0)</f>
        <v/>
      </c>
      <c r="L33" s="4">
        <f>IF(BD_Carga!F34&lt;&gt;"",BD_Carga!F34,0)</f>
        <v/>
      </c>
      <c r="M33" s="4">
        <f>IF(BD_Carga!G34&lt;&gt;"",BD_Carga!G34,0)</f>
        <v/>
      </c>
      <c r="N33" s="4">
        <f>IF(BD_Carga!H34&lt;&gt;"",BD_Carga!H34,0)</f>
        <v/>
      </c>
      <c r="O33" s="4">
        <f>IF(BD_Carga!I34&lt;&gt;"",BD_Carga!I34,0)</f>
        <v/>
      </c>
      <c r="P33" s="4">
        <f>IF(BD_Carga!J34&lt;&gt;"",BD_Carga!J34,0)</f>
        <v/>
      </c>
      <c r="Q33" s="5">
        <f>IF(BD_Carga!K34&lt;&gt;"",BD_Carga!K34,0)</f>
        <v/>
      </c>
      <c r="R33" s="5">
        <f>IF(BD_Carga!L34&lt;&gt;"",BD_Carga!L34,0)</f>
        <v/>
      </c>
      <c r="S33">
        <f>IF(BD_Carga!N34&lt;&gt;"",BD_Carga!N34,0)</f>
        <v/>
      </c>
      <c r="T33">
        <f>IF(BD_Carga!O34&lt;&gt;"",BD_Carga!O34,0)</f>
        <v/>
      </c>
      <c r="U33">
        <f>IF(BD_Carga!P34&lt;&gt;"",BD_Carga!P34,0)</f>
        <v/>
      </c>
      <c r="V33">
        <f>IF(BD_Carga!U34&lt;&gt;"",BD_Carga!U34,0)</f>
        <v/>
      </c>
      <c r="W33">
        <f>IF(BD_Carga!T34&lt;&gt;"",BD_Carga!T34,0)</f>
        <v/>
      </c>
      <c r="X33">
        <f>IF(BD_Carga!W34&lt;&gt;"",BD_Carga!W34,0)</f>
        <v/>
      </c>
      <c r="Y33">
        <f>IF(BD_Carga!X34&lt;&gt;"",BD_Carga!X34,0)</f>
        <v/>
      </c>
      <c r="Z33">
        <f>IF(BD_Carga!Y34&lt;&gt;"",BD_Carga!Y34,0)</f>
        <v/>
      </c>
      <c r="AA33">
        <f>IF(BD_Carga!Z34&lt;&gt;"",BD_Carga!Z34,0)</f>
        <v/>
      </c>
      <c r="AB33">
        <f>IF(BD_Carga!AA34&lt;&gt;"",BD_Carga!AA34,0)</f>
        <v/>
      </c>
      <c r="AC33" s="6">
        <f t="array" ref="AC33">IFERROR((L33-AVERAGEIF($G$2:$G$462,G33,$L$2:$L$462))/_xlfn.STDEV.P(IF($G$2:$G$462=G33,$L$2:$L$462)),0)</f>
        <v/>
      </c>
      <c r="AD33" s="6">
        <f t="array" ref="AD33">IFERROR((M33-AVERAGEIF($G$2:$G$462,G33,$M$2:$M$462))/_xlfn.STDEV.P(IF($G$2:$G$462=G33,$M$2:$M$462)),0)</f>
        <v/>
      </c>
      <c r="AE33" s="6">
        <f t="array" ref="AE33">IFERROR((N33-AVERAGEIF($G$2:$G$462,G33,$N$2:$N$462))/_xlfn.STDEV.P(IF($G$2:$G$462=G33,$N$2:$N$462)),0)</f>
        <v/>
      </c>
      <c r="AF33" s="6">
        <f t="array" ref="AF33">IFERROR((O33-AVERAGEIF($G$2:$G$462,G33,$O$2:$O$462))/_xlfn.STDEV.P(IF($G$2:$G$462=G33,$O$2:$O$462)),0)</f>
        <v/>
      </c>
      <c r="AG33" s="6">
        <f t="array" ref="AG33">IFERROR((P33-AVERAGEIF($G$2:$G$462,G33,$P$2:$P$462))/_xlfn.STDEV.P(IF($G$2:$G$462=G33,$P$2:$P$462)),0)</f>
        <v/>
      </c>
      <c r="AH33" s="6">
        <f t="array" ref="AH33">IFERROR((R33-AVERAGEIF($G$2:$G$462,G33,$R$2:$R$462))/_xlfn.STDEV.P(IF($G$2:$G$462=G33,$R$2:$R$462)),0)</f>
        <v/>
      </c>
      <c r="AI33" s="6">
        <f>IFERROR((AC33+AD33+AE33+AF33+AG33+AH33)/6,0)</f>
        <v/>
      </c>
    </row>
    <row r="34">
      <c r="A34" s="2">
        <f>IF(BD_Carga!A35&lt;&gt;"",BD_Carga!A35,"")</f>
        <v/>
      </c>
      <c r="B34">
        <f>IF(A34&lt;&gt;"",YEAR(A34),"")</f>
        <v/>
      </c>
      <c r="C34">
        <f>IF(A34&lt;&gt;"",MONTH(A34),"")</f>
        <v/>
      </c>
      <c r="D34">
        <f>IF(A34&lt;&gt;"",_xlfn.ISOWEEKNUM(A34),"")</f>
        <v/>
      </c>
      <c r="E34">
        <f>IF(A34&lt;&gt;"",TEXT(A34,"dddd"),"")</f>
        <v/>
      </c>
      <c r="F34">
        <f>IF(BD_Carga!C35&lt;&gt;"",BD_Carga!C35,"")</f>
        <v/>
      </c>
      <c r="G34">
        <f>IF(BD_Carga!D35&lt;&gt;"",BD_Carga!D35,"")</f>
        <v/>
      </c>
      <c r="H34">
        <f>IF(BD_Carga!Q35&lt;&gt;"",BD_Carga!Q35,"")</f>
        <v/>
      </c>
      <c r="I34">
        <f>IF(BD_Carga!R35&lt;&gt;"",BD_Carga!R35,"")</f>
        <v/>
      </c>
      <c r="J34">
        <f>IF(BD_Carga!S35&lt;&gt;"",BD_Carga!S35,"")</f>
        <v/>
      </c>
      <c r="K34" s="4">
        <f>IF(BD_Carga!E35&lt;&gt;"",BD_Carga!E35,0)</f>
        <v/>
      </c>
      <c r="L34" s="4">
        <f>IF(BD_Carga!F35&lt;&gt;"",BD_Carga!F35,0)</f>
        <v/>
      </c>
      <c r="M34" s="4">
        <f>IF(BD_Carga!G35&lt;&gt;"",BD_Carga!G35,0)</f>
        <v/>
      </c>
      <c r="N34" s="4">
        <f>IF(BD_Carga!H35&lt;&gt;"",BD_Carga!H35,0)</f>
        <v/>
      </c>
      <c r="O34" s="4">
        <f>IF(BD_Carga!I35&lt;&gt;"",BD_Carga!I35,0)</f>
        <v/>
      </c>
      <c r="P34" s="4">
        <f>IF(BD_Carga!J35&lt;&gt;"",BD_Carga!J35,0)</f>
        <v/>
      </c>
      <c r="Q34" s="5">
        <f>IF(BD_Carga!K35&lt;&gt;"",BD_Carga!K35,0)</f>
        <v/>
      </c>
      <c r="R34" s="5">
        <f>IF(BD_Carga!L35&lt;&gt;"",BD_Carga!L35,0)</f>
        <v/>
      </c>
      <c r="S34">
        <f>IF(BD_Carga!N35&lt;&gt;"",BD_Carga!N35,0)</f>
        <v/>
      </c>
      <c r="T34">
        <f>IF(BD_Carga!O35&lt;&gt;"",BD_Carga!O35,0)</f>
        <v/>
      </c>
      <c r="U34">
        <f>IF(BD_Carga!P35&lt;&gt;"",BD_Carga!P35,0)</f>
        <v/>
      </c>
      <c r="V34">
        <f>IF(BD_Carga!U35&lt;&gt;"",BD_Carga!U35,0)</f>
        <v/>
      </c>
      <c r="W34">
        <f>IF(BD_Carga!T35&lt;&gt;"",BD_Carga!T35,0)</f>
        <v/>
      </c>
      <c r="X34">
        <f>IF(BD_Carga!W35&lt;&gt;"",BD_Carga!W35,0)</f>
        <v/>
      </c>
      <c r="Y34">
        <f>IF(BD_Carga!X35&lt;&gt;"",BD_Carga!X35,0)</f>
        <v/>
      </c>
      <c r="Z34">
        <f>IF(BD_Carga!Y35&lt;&gt;"",BD_Carga!Y35,0)</f>
        <v/>
      </c>
      <c r="AA34">
        <f>IF(BD_Carga!Z35&lt;&gt;"",BD_Carga!Z35,0)</f>
        <v/>
      </c>
      <c r="AB34">
        <f>IF(BD_Carga!AA35&lt;&gt;"",BD_Carga!AA35,0)</f>
        <v/>
      </c>
      <c r="AC34" s="6">
        <f t="array" ref="AC34">IFERROR((L34-AVERAGEIF($G$2:$G$462,G34,$L$2:$L$462))/_xlfn.STDEV.P(IF($G$2:$G$462=G34,$L$2:$L$462)),0)</f>
        <v/>
      </c>
      <c r="AD34" s="6">
        <f t="array" ref="AD34">IFERROR((M34-AVERAGEIF($G$2:$G$462,G34,$M$2:$M$462))/_xlfn.STDEV.P(IF($G$2:$G$462=G34,$M$2:$M$462)),0)</f>
        <v/>
      </c>
      <c r="AE34" s="6">
        <f t="array" ref="AE34">IFERROR((N34-AVERAGEIF($G$2:$G$462,G34,$N$2:$N$462))/_xlfn.STDEV.P(IF($G$2:$G$462=G34,$N$2:$N$462)),0)</f>
        <v/>
      </c>
      <c r="AF34" s="6">
        <f t="array" ref="AF34">IFERROR((O34-AVERAGEIF($G$2:$G$462,G34,$O$2:$O$462))/_xlfn.STDEV.P(IF($G$2:$G$462=G34,$O$2:$O$462)),0)</f>
        <v/>
      </c>
      <c r="AG34" s="6">
        <f t="array" ref="AG34">IFERROR((P34-AVERAGEIF($G$2:$G$462,G34,$P$2:$P$462))/_xlfn.STDEV.P(IF($G$2:$G$462=G34,$P$2:$P$462)),0)</f>
        <v/>
      </c>
      <c r="AH34" s="6">
        <f t="array" ref="AH34">IFERROR((R34-AVERAGEIF($G$2:$G$462,G34,$R$2:$R$462))/_xlfn.STDEV.P(IF($G$2:$G$462=G34,$R$2:$R$462)),0)</f>
        <v/>
      </c>
      <c r="AI34" s="6">
        <f>IFERROR((AC34+AD34+AE34+AF34+AG34+AH34)/6,0)</f>
        <v/>
      </c>
    </row>
    <row r="35">
      <c r="A35" s="2">
        <f>IF(BD_Carga!A36&lt;&gt;"",BD_Carga!A36,"")</f>
        <v/>
      </c>
      <c r="B35">
        <f>IF(A35&lt;&gt;"",YEAR(A35),"")</f>
        <v/>
      </c>
      <c r="C35">
        <f>IF(A35&lt;&gt;"",MONTH(A35),"")</f>
        <v/>
      </c>
      <c r="D35">
        <f>IF(A35&lt;&gt;"",_xlfn.ISOWEEKNUM(A35),"")</f>
        <v/>
      </c>
      <c r="E35">
        <f>IF(A35&lt;&gt;"",TEXT(A35,"dddd"),"")</f>
        <v/>
      </c>
      <c r="F35">
        <f>IF(BD_Carga!C36&lt;&gt;"",BD_Carga!C36,"")</f>
        <v/>
      </c>
      <c r="G35">
        <f>IF(BD_Carga!D36&lt;&gt;"",BD_Carga!D36,"")</f>
        <v/>
      </c>
      <c r="H35">
        <f>IF(BD_Carga!Q36&lt;&gt;"",BD_Carga!Q36,"")</f>
        <v/>
      </c>
      <c r="I35">
        <f>IF(BD_Carga!R36&lt;&gt;"",BD_Carga!R36,"")</f>
        <v/>
      </c>
      <c r="J35">
        <f>IF(BD_Carga!S36&lt;&gt;"",BD_Carga!S36,"")</f>
        <v/>
      </c>
      <c r="K35" s="4">
        <f>IF(BD_Carga!E36&lt;&gt;"",BD_Carga!E36,0)</f>
        <v/>
      </c>
      <c r="L35" s="4">
        <f>IF(BD_Carga!F36&lt;&gt;"",BD_Carga!F36,0)</f>
        <v/>
      </c>
      <c r="M35" s="4">
        <f>IF(BD_Carga!G36&lt;&gt;"",BD_Carga!G36,0)</f>
        <v/>
      </c>
      <c r="N35" s="4">
        <f>IF(BD_Carga!H36&lt;&gt;"",BD_Carga!H36,0)</f>
        <v/>
      </c>
      <c r="O35" s="4">
        <f>IF(BD_Carga!I36&lt;&gt;"",BD_Carga!I36,0)</f>
        <v/>
      </c>
      <c r="P35" s="4">
        <f>IF(BD_Carga!J36&lt;&gt;"",BD_Carga!J36,0)</f>
        <v/>
      </c>
      <c r="Q35" s="5">
        <f>IF(BD_Carga!K36&lt;&gt;"",BD_Carga!K36,0)</f>
        <v/>
      </c>
      <c r="R35" s="5">
        <f>IF(BD_Carga!L36&lt;&gt;"",BD_Carga!L36,0)</f>
        <v/>
      </c>
      <c r="S35">
        <f>IF(BD_Carga!N36&lt;&gt;"",BD_Carga!N36,0)</f>
        <v/>
      </c>
      <c r="T35">
        <f>IF(BD_Carga!O36&lt;&gt;"",BD_Carga!O36,0)</f>
        <v/>
      </c>
      <c r="U35">
        <f>IF(BD_Carga!P36&lt;&gt;"",BD_Carga!P36,0)</f>
        <v/>
      </c>
      <c r="V35">
        <f>IF(BD_Carga!U36&lt;&gt;"",BD_Carga!U36,0)</f>
        <v/>
      </c>
      <c r="W35">
        <f>IF(BD_Carga!T36&lt;&gt;"",BD_Carga!T36,0)</f>
        <v/>
      </c>
      <c r="X35">
        <f>IF(BD_Carga!W36&lt;&gt;"",BD_Carga!W36,0)</f>
        <v/>
      </c>
      <c r="Y35">
        <f>IF(BD_Carga!X36&lt;&gt;"",BD_Carga!X36,0)</f>
        <v/>
      </c>
      <c r="Z35">
        <f>IF(BD_Carga!Y36&lt;&gt;"",BD_Carga!Y36,0)</f>
        <v/>
      </c>
      <c r="AA35">
        <f>IF(BD_Carga!Z36&lt;&gt;"",BD_Carga!Z36,0)</f>
        <v/>
      </c>
      <c r="AB35">
        <f>IF(BD_Carga!AA36&lt;&gt;"",BD_Carga!AA36,0)</f>
        <v/>
      </c>
      <c r="AC35" s="6">
        <f t="array" ref="AC35">IFERROR((L35-AVERAGEIF($G$2:$G$462,G35,$L$2:$L$462))/_xlfn.STDEV.P(IF($G$2:$G$462=G35,$L$2:$L$462)),0)</f>
        <v/>
      </c>
      <c r="AD35" s="6">
        <f t="array" ref="AD35">IFERROR((M35-AVERAGEIF($G$2:$G$462,G35,$M$2:$M$462))/_xlfn.STDEV.P(IF($G$2:$G$462=G35,$M$2:$M$462)),0)</f>
        <v/>
      </c>
      <c r="AE35" s="6">
        <f t="array" ref="AE35">IFERROR((N35-AVERAGEIF($G$2:$G$462,G35,$N$2:$N$462))/_xlfn.STDEV.P(IF($G$2:$G$462=G35,$N$2:$N$462)),0)</f>
        <v/>
      </c>
      <c r="AF35" s="6">
        <f t="array" ref="AF35">IFERROR((O35-AVERAGEIF($G$2:$G$462,G35,$O$2:$O$462))/_xlfn.STDEV.P(IF($G$2:$G$462=G35,$O$2:$O$462)),0)</f>
        <v/>
      </c>
      <c r="AG35" s="6">
        <f t="array" ref="AG35">IFERROR((P35-AVERAGEIF($G$2:$G$462,G35,$P$2:$P$462))/_xlfn.STDEV.P(IF($G$2:$G$462=G35,$P$2:$P$462)),0)</f>
        <v/>
      </c>
      <c r="AH35" s="6">
        <f t="array" ref="AH35">IFERROR((R35-AVERAGEIF($G$2:$G$462,G35,$R$2:$R$462))/_xlfn.STDEV.P(IF($G$2:$G$462=G35,$R$2:$R$462)),0)</f>
        <v/>
      </c>
      <c r="AI35" s="6">
        <f>IFERROR((AC35+AD35+AE35+AF35+AG35+AH35)/6,0)</f>
        <v/>
      </c>
    </row>
    <row r="36">
      <c r="A36" s="2">
        <f>IF(BD_Carga!A37&lt;&gt;"",BD_Carga!A37,"")</f>
        <v/>
      </c>
      <c r="B36">
        <f>IF(A36&lt;&gt;"",YEAR(A36),"")</f>
        <v/>
      </c>
      <c r="C36">
        <f>IF(A36&lt;&gt;"",MONTH(A36),"")</f>
        <v/>
      </c>
      <c r="D36">
        <f>IF(A36&lt;&gt;"",_xlfn.ISOWEEKNUM(A36),"")</f>
        <v/>
      </c>
      <c r="E36">
        <f>IF(A36&lt;&gt;"",TEXT(A36,"dddd"),"")</f>
        <v/>
      </c>
      <c r="F36">
        <f>IF(BD_Carga!C37&lt;&gt;"",BD_Carga!C37,"")</f>
        <v/>
      </c>
      <c r="G36">
        <f>IF(BD_Carga!D37&lt;&gt;"",BD_Carga!D37,"")</f>
        <v/>
      </c>
      <c r="H36">
        <f>IF(BD_Carga!Q37&lt;&gt;"",BD_Carga!Q37,"")</f>
        <v/>
      </c>
      <c r="I36">
        <f>IF(BD_Carga!R37&lt;&gt;"",BD_Carga!R37,"")</f>
        <v/>
      </c>
      <c r="J36">
        <f>IF(BD_Carga!S37&lt;&gt;"",BD_Carga!S37,"")</f>
        <v/>
      </c>
      <c r="K36" s="4">
        <f>IF(BD_Carga!E37&lt;&gt;"",BD_Carga!E37,0)</f>
        <v/>
      </c>
      <c r="L36" s="4">
        <f>IF(BD_Carga!F37&lt;&gt;"",BD_Carga!F37,0)</f>
        <v/>
      </c>
      <c r="M36" s="4">
        <f>IF(BD_Carga!G37&lt;&gt;"",BD_Carga!G37,0)</f>
        <v/>
      </c>
      <c r="N36" s="4">
        <f>IF(BD_Carga!H37&lt;&gt;"",BD_Carga!H37,0)</f>
        <v/>
      </c>
      <c r="O36" s="4">
        <f>IF(BD_Carga!I37&lt;&gt;"",BD_Carga!I37,0)</f>
        <v/>
      </c>
      <c r="P36" s="4">
        <f>IF(BD_Carga!J37&lt;&gt;"",BD_Carga!J37,0)</f>
        <v/>
      </c>
      <c r="Q36" s="5">
        <f>IF(BD_Carga!K37&lt;&gt;"",BD_Carga!K37,0)</f>
        <v/>
      </c>
      <c r="R36" s="5">
        <f>IF(BD_Carga!L37&lt;&gt;"",BD_Carga!L37,0)</f>
        <v/>
      </c>
      <c r="S36">
        <f>IF(BD_Carga!N37&lt;&gt;"",BD_Carga!N37,0)</f>
        <v/>
      </c>
      <c r="T36">
        <f>IF(BD_Carga!O37&lt;&gt;"",BD_Carga!O37,0)</f>
        <v/>
      </c>
      <c r="U36">
        <f>IF(BD_Carga!P37&lt;&gt;"",BD_Carga!P37,0)</f>
        <v/>
      </c>
      <c r="V36">
        <f>IF(BD_Carga!U37&lt;&gt;"",BD_Carga!U37,0)</f>
        <v/>
      </c>
      <c r="W36">
        <f>IF(BD_Carga!T37&lt;&gt;"",BD_Carga!T37,0)</f>
        <v/>
      </c>
      <c r="X36">
        <f>IF(BD_Carga!W37&lt;&gt;"",BD_Carga!W37,0)</f>
        <v/>
      </c>
      <c r="Y36">
        <f>IF(BD_Carga!X37&lt;&gt;"",BD_Carga!X37,0)</f>
        <v/>
      </c>
      <c r="Z36">
        <f>IF(BD_Carga!Y37&lt;&gt;"",BD_Carga!Y37,0)</f>
        <v/>
      </c>
      <c r="AA36">
        <f>IF(BD_Carga!Z37&lt;&gt;"",BD_Carga!Z37,0)</f>
        <v/>
      </c>
      <c r="AB36">
        <f>IF(BD_Carga!AA37&lt;&gt;"",BD_Carga!AA37,0)</f>
        <v/>
      </c>
      <c r="AC36" s="6">
        <f t="array" ref="AC36">IFERROR((L36-AVERAGEIF($G$2:$G$462,G36,$L$2:$L$462))/_xlfn.STDEV.P(IF($G$2:$G$462=G36,$L$2:$L$462)),0)</f>
        <v/>
      </c>
      <c r="AD36" s="6">
        <f t="array" ref="AD36">IFERROR((M36-AVERAGEIF($G$2:$G$462,G36,$M$2:$M$462))/_xlfn.STDEV.P(IF($G$2:$G$462=G36,$M$2:$M$462)),0)</f>
        <v/>
      </c>
      <c r="AE36" s="6">
        <f t="array" ref="AE36">IFERROR((N36-AVERAGEIF($G$2:$G$462,G36,$N$2:$N$462))/_xlfn.STDEV.P(IF($G$2:$G$462=G36,$N$2:$N$462)),0)</f>
        <v/>
      </c>
      <c r="AF36" s="6">
        <f t="array" ref="AF36">IFERROR((O36-AVERAGEIF($G$2:$G$462,G36,$O$2:$O$462))/_xlfn.STDEV.P(IF($G$2:$G$462=G36,$O$2:$O$462)),0)</f>
        <v/>
      </c>
      <c r="AG36" s="6">
        <f t="array" ref="AG36">IFERROR((P36-AVERAGEIF($G$2:$G$462,G36,$P$2:$P$462))/_xlfn.STDEV.P(IF($G$2:$G$462=G36,$P$2:$P$462)),0)</f>
        <v/>
      </c>
      <c r="AH36" s="6">
        <f t="array" ref="AH36">IFERROR((R36-AVERAGEIF($G$2:$G$462,G36,$R$2:$R$462))/_xlfn.STDEV.P(IF($G$2:$G$462=G36,$R$2:$R$462)),0)</f>
        <v/>
      </c>
      <c r="AI36" s="6">
        <f>IFERROR((AC36+AD36+AE36+AF36+AG36+AH36)/6,0)</f>
        <v/>
      </c>
    </row>
    <row r="37">
      <c r="A37" s="2">
        <f>IF(BD_Carga!A38&lt;&gt;"",BD_Carga!A38,"")</f>
        <v/>
      </c>
      <c r="B37">
        <f>IF(A37&lt;&gt;"",YEAR(A37),"")</f>
        <v/>
      </c>
      <c r="C37">
        <f>IF(A37&lt;&gt;"",MONTH(A37),"")</f>
        <v/>
      </c>
      <c r="D37">
        <f>IF(A37&lt;&gt;"",_xlfn.ISOWEEKNUM(A37),"")</f>
        <v/>
      </c>
      <c r="E37">
        <f>IF(A37&lt;&gt;"",TEXT(A37,"dddd"),"")</f>
        <v/>
      </c>
      <c r="F37">
        <f>IF(BD_Carga!C38&lt;&gt;"",BD_Carga!C38,"")</f>
        <v/>
      </c>
      <c r="G37">
        <f>IF(BD_Carga!D38&lt;&gt;"",BD_Carga!D38,"")</f>
        <v/>
      </c>
      <c r="H37">
        <f>IF(BD_Carga!Q38&lt;&gt;"",BD_Carga!Q38,"")</f>
        <v/>
      </c>
      <c r="I37">
        <f>IF(BD_Carga!R38&lt;&gt;"",BD_Carga!R38,"")</f>
        <v/>
      </c>
      <c r="J37">
        <f>IF(BD_Carga!S38&lt;&gt;"",BD_Carga!S38,"")</f>
        <v/>
      </c>
      <c r="K37" s="4">
        <f>IF(BD_Carga!E38&lt;&gt;"",BD_Carga!E38,0)</f>
        <v/>
      </c>
      <c r="L37" s="4">
        <f>IF(BD_Carga!F38&lt;&gt;"",BD_Carga!F38,0)</f>
        <v/>
      </c>
      <c r="M37" s="4">
        <f>IF(BD_Carga!G38&lt;&gt;"",BD_Carga!G38,0)</f>
        <v/>
      </c>
      <c r="N37" s="4">
        <f>IF(BD_Carga!H38&lt;&gt;"",BD_Carga!H38,0)</f>
        <v/>
      </c>
      <c r="O37" s="4">
        <f>IF(BD_Carga!I38&lt;&gt;"",BD_Carga!I38,0)</f>
        <v/>
      </c>
      <c r="P37" s="4">
        <f>IF(BD_Carga!J38&lt;&gt;"",BD_Carga!J38,0)</f>
        <v/>
      </c>
      <c r="Q37" s="5">
        <f>IF(BD_Carga!K38&lt;&gt;"",BD_Carga!K38,0)</f>
        <v/>
      </c>
      <c r="R37" s="5">
        <f>IF(BD_Carga!L38&lt;&gt;"",BD_Carga!L38,0)</f>
        <v/>
      </c>
      <c r="S37">
        <f>IF(BD_Carga!N38&lt;&gt;"",BD_Carga!N38,0)</f>
        <v/>
      </c>
      <c r="T37">
        <f>IF(BD_Carga!O38&lt;&gt;"",BD_Carga!O38,0)</f>
        <v/>
      </c>
      <c r="U37">
        <f>IF(BD_Carga!P38&lt;&gt;"",BD_Carga!P38,0)</f>
        <v/>
      </c>
      <c r="V37">
        <f>IF(BD_Carga!U38&lt;&gt;"",BD_Carga!U38,0)</f>
        <v/>
      </c>
      <c r="W37">
        <f>IF(BD_Carga!T38&lt;&gt;"",BD_Carga!T38,0)</f>
        <v/>
      </c>
      <c r="X37">
        <f>IF(BD_Carga!W38&lt;&gt;"",BD_Carga!W38,0)</f>
        <v/>
      </c>
      <c r="Y37">
        <f>IF(BD_Carga!X38&lt;&gt;"",BD_Carga!X38,0)</f>
        <v/>
      </c>
      <c r="Z37">
        <f>IF(BD_Carga!Y38&lt;&gt;"",BD_Carga!Y38,0)</f>
        <v/>
      </c>
      <c r="AA37">
        <f>IF(BD_Carga!Z38&lt;&gt;"",BD_Carga!Z38,0)</f>
        <v/>
      </c>
      <c r="AB37">
        <f>IF(BD_Carga!AA38&lt;&gt;"",BD_Carga!AA38,0)</f>
        <v/>
      </c>
      <c r="AC37" s="6">
        <f t="array" ref="AC37">IFERROR((L37-AVERAGEIF($G$2:$G$462,G37,$L$2:$L$462))/_xlfn.STDEV.P(IF($G$2:$G$462=G37,$L$2:$L$462)),0)</f>
        <v/>
      </c>
      <c r="AD37" s="6">
        <f t="array" ref="AD37">IFERROR((M37-AVERAGEIF($G$2:$G$462,G37,$M$2:$M$462))/_xlfn.STDEV.P(IF($G$2:$G$462=G37,$M$2:$M$462)),0)</f>
        <v/>
      </c>
      <c r="AE37" s="6">
        <f t="array" ref="AE37">IFERROR((N37-AVERAGEIF($G$2:$G$462,G37,$N$2:$N$462))/_xlfn.STDEV.P(IF($G$2:$G$462=G37,$N$2:$N$462)),0)</f>
        <v/>
      </c>
      <c r="AF37" s="6">
        <f t="array" ref="AF37">IFERROR((O37-AVERAGEIF($G$2:$G$462,G37,$O$2:$O$462))/_xlfn.STDEV.P(IF($G$2:$G$462=G37,$O$2:$O$462)),0)</f>
        <v/>
      </c>
      <c r="AG37" s="6">
        <f t="array" ref="AG37">IFERROR((P37-AVERAGEIF($G$2:$G$462,G37,$P$2:$P$462))/_xlfn.STDEV.P(IF($G$2:$G$462=G37,$P$2:$P$462)),0)</f>
        <v/>
      </c>
      <c r="AH37" s="6">
        <f t="array" ref="AH37">IFERROR((R37-AVERAGEIF($G$2:$G$462,G37,$R$2:$R$462))/_xlfn.STDEV.P(IF($G$2:$G$462=G37,$R$2:$R$462)),0)</f>
        <v/>
      </c>
      <c r="AI37" s="6">
        <f>IFERROR((AC37+AD37+AE37+AF37+AG37+AH37)/6,0)</f>
        <v/>
      </c>
    </row>
    <row r="38">
      <c r="A38" s="2">
        <f>IF(BD_Carga!A39&lt;&gt;"",BD_Carga!A39,"")</f>
        <v/>
      </c>
      <c r="B38">
        <f>IF(A38&lt;&gt;"",YEAR(A38),"")</f>
        <v/>
      </c>
      <c r="C38">
        <f>IF(A38&lt;&gt;"",MONTH(A38),"")</f>
        <v/>
      </c>
      <c r="D38">
        <f>IF(A38&lt;&gt;"",_xlfn.ISOWEEKNUM(A38),"")</f>
        <v/>
      </c>
      <c r="E38">
        <f>IF(A38&lt;&gt;"",TEXT(A38,"dddd"),"")</f>
        <v/>
      </c>
      <c r="F38">
        <f>IF(BD_Carga!C39&lt;&gt;"",BD_Carga!C39,"")</f>
        <v/>
      </c>
      <c r="G38">
        <f>IF(BD_Carga!D39&lt;&gt;"",BD_Carga!D39,"")</f>
        <v/>
      </c>
      <c r="H38">
        <f>IF(BD_Carga!Q39&lt;&gt;"",BD_Carga!Q39,"")</f>
        <v/>
      </c>
      <c r="I38">
        <f>IF(BD_Carga!R39&lt;&gt;"",BD_Carga!R39,"")</f>
        <v/>
      </c>
      <c r="J38">
        <f>IF(BD_Carga!S39&lt;&gt;"",BD_Carga!S39,"")</f>
        <v/>
      </c>
      <c r="K38" s="4">
        <f>IF(BD_Carga!E39&lt;&gt;"",BD_Carga!E39,0)</f>
        <v/>
      </c>
      <c r="L38" s="4">
        <f>IF(BD_Carga!F39&lt;&gt;"",BD_Carga!F39,0)</f>
        <v/>
      </c>
      <c r="M38" s="4">
        <f>IF(BD_Carga!G39&lt;&gt;"",BD_Carga!G39,0)</f>
        <v/>
      </c>
      <c r="N38" s="4">
        <f>IF(BD_Carga!H39&lt;&gt;"",BD_Carga!H39,0)</f>
        <v/>
      </c>
      <c r="O38" s="4">
        <f>IF(BD_Carga!I39&lt;&gt;"",BD_Carga!I39,0)</f>
        <v/>
      </c>
      <c r="P38" s="4">
        <f>IF(BD_Carga!J39&lt;&gt;"",BD_Carga!J39,0)</f>
        <v/>
      </c>
      <c r="Q38" s="5">
        <f>IF(BD_Carga!K39&lt;&gt;"",BD_Carga!K39,0)</f>
        <v/>
      </c>
      <c r="R38" s="5">
        <f>IF(BD_Carga!L39&lt;&gt;"",BD_Carga!L39,0)</f>
        <v/>
      </c>
      <c r="S38">
        <f>IF(BD_Carga!N39&lt;&gt;"",BD_Carga!N39,0)</f>
        <v/>
      </c>
      <c r="T38">
        <f>IF(BD_Carga!O39&lt;&gt;"",BD_Carga!O39,0)</f>
        <v/>
      </c>
      <c r="U38">
        <f>IF(BD_Carga!P39&lt;&gt;"",BD_Carga!P39,0)</f>
        <v/>
      </c>
      <c r="V38">
        <f>IF(BD_Carga!U39&lt;&gt;"",BD_Carga!U39,0)</f>
        <v/>
      </c>
      <c r="W38">
        <f>IF(BD_Carga!T39&lt;&gt;"",BD_Carga!T39,0)</f>
        <v/>
      </c>
      <c r="X38">
        <f>IF(BD_Carga!W39&lt;&gt;"",BD_Carga!W39,0)</f>
        <v/>
      </c>
      <c r="Y38">
        <f>IF(BD_Carga!X39&lt;&gt;"",BD_Carga!X39,0)</f>
        <v/>
      </c>
      <c r="Z38">
        <f>IF(BD_Carga!Y39&lt;&gt;"",BD_Carga!Y39,0)</f>
        <v/>
      </c>
      <c r="AA38">
        <f>IF(BD_Carga!Z39&lt;&gt;"",BD_Carga!Z39,0)</f>
        <v/>
      </c>
      <c r="AB38">
        <f>IF(BD_Carga!AA39&lt;&gt;"",BD_Carga!AA39,0)</f>
        <v/>
      </c>
      <c r="AC38" s="6">
        <f t="array" ref="AC38">IFERROR((L38-AVERAGEIF($G$2:$G$462,G38,$L$2:$L$462))/_xlfn.STDEV.P(IF($G$2:$G$462=G38,$L$2:$L$462)),0)</f>
        <v/>
      </c>
      <c r="AD38" s="6">
        <f t="array" ref="AD38">IFERROR((M38-AVERAGEIF($G$2:$G$462,G38,$M$2:$M$462))/_xlfn.STDEV.P(IF($G$2:$G$462=G38,$M$2:$M$462)),0)</f>
        <v/>
      </c>
      <c r="AE38" s="6">
        <f t="array" ref="AE38">IFERROR((N38-AVERAGEIF($G$2:$G$462,G38,$N$2:$N$462))/_xlfn.STDEV.P(IF($G$2:$G$462=G38,$N$2:$N$462)),0)</f>
        <v/>
      </c>
      <c r="AF38" s="6">
        <f t="array" ref="AF38">IFERROR((O38-AVERAGEIF($G$2:$G$462,G38,$O$2:$O$462))/_xlfn.STDEV.P(IF($G$2:$G$462=G38,$O$2:$O$462)),0)</f>
        <v/>
      </c>
      <c r="AG38" s="6">
        <f t="array" ref="AG38">IFERROR((P38-AVERAGEIF($G$2:$G$462,G38,$P$2:$P$462))/_xlfn.STDEV.P(IF($G$2:$G$462=G38,$P$2:$P$462)),0)</f>
        <v/>
      </c>
      <c r="AH38" s="6">
        <f t="array" ref="AH38">IFERROR((R38-AVERAGEIF($G$2:$G$462,G38,$R$2:$R$462))/_xlfn.STDEV.P(IF($G$2:$G$462=G38,$R$2:$R$462)),0)</f>
        <v/>
      </c>
      <c r="AI38" s="6">
        <f>IFERROR((AC38+AD38+AE38+AF38+AG38+AH38)/6,0)</f>
        <v/>
      </c>
    </row>
    <row r="39">
      <c r="A39" s="2">
        <f>IF(BD_Carga!A40&lt;&gt;"",BD_Carga!A40,"")</f>
        <v/>
      </c>
      <c r="B39">
        <f>IF(A39&lt;&gt;"",YEAR(A39),"")</f>
        <v/>
      </c>
      <c r="C39">
        <f>IF(A39&lt;&gt;"",MONTH(A39),"")</f>
        <v/>
      </c>
      <c r="D39">
        <f>IF(A39&lt;&gt;"",_xlfn.ISOWEEKNUM(A39),"")</f>
        <v/>
      </c>
      <c r="E39">
        <f>IF(A39&lt;&gt;"",TEXT(A39,"dddd"),"")</f>
        <v/>
      </c>
      <c r="F39">
        <f>IF(BD_Carga!C40&lt;&gt;"",BD_Carga!C40,"")</f>
        <v/>
      </c>
      <c r="G39">
        <f>IF(BD_Carga!D40&lt;&gt;"",BD_Carga!D40,"")</f>
        <v/>
      </c>
      <c r="H39">
        <f>IF(BD_Carga!Q40&lt;&gt;"",BD_Carga!Q40,"")</f>
        <v/>
      </c>
      <c r="I39">
        <f>IF(BD_Carga!R40&lt;&gt;"",BD_Carga!R40,"")</f>
        <v/>
      </c>
      <c r="J39">
        <f>IF(BD_Carga!S40&lt;&gt;"",BD_Carga!S40,"")</f>
        <v/>
      </c>
      <c r="K39" s="4">
        <f>IF(BD_Carga!E40&lt;&gt;"",BD_Carga!E40,0)</f>
        <v/>
      </c>
      <c r="L39" s="4">
        <f>IF(BD_Carga!F40&lt;&gt;"",BD_Carga!F40,0)</f>
        <v/>
      </c>
      <c r="M39" s="4">
        <f>IF(BD_Carga!G40&lt;&gt;"",BD_Carga!G40,0)</f>
        <v/>
      </c>
      <c r="N39" s="4">
        <f>IF(BD_Carga!H40&lt;&gt;"",BD_Carga!H40,0)</f>
        <v/>
      </c>
      <c r="O39" s="4">
        <f>IF(BD_Carga!I40&lt;&gt;"",BD_Carga!I40,0)</f>
        <v/>
      </c>
      <c r="P39" s="4">
        <f>IF(BD_Carga!J40&lt;&gt;"",BD_Carga!J40,0)</f>
        <v/>
      </c>
      <c r="Q39" s="5">
        <f>IF(BD_Carga!K40&lt;&gt;"",BD_Carga!K40,0)</f>
        <v/>
      </c>
      <c r="R39" s="5">
        <f>IF(BD_Carga!L40&lt;&gt;"",BD_Carga!L40,0)</f>
        <v/>
      </c>
      <c r="S39">
        <f>IF(BD_Carga!N40&lt;&gt;"",BD_Carga!N40,0)</f>
        <v/>
      </c>
      <c r="T39">
        <f>IF(BD_Carga!O40&lt;&gt;"",BD_Carga!O40,0)</f>
        <v/>
      </c>
      <c r="U39">
        <f>IF(BD_Carga!P40&lt;&gt;"",BD_Carga!P40,0)</f>
        <v/>
      </c>
      <c r="V39">
        <f>IF(BD_Carga!U40&lt;&gt;"",BD_Carga!U40,0)</f>
        <v/>
      </c>
      <c r="W39">
        <f>IF(BD_Carga!T40&lt;&gt;"",BD_Carga!T40,0)</f>
        <v/>
      </c>
      <c r="X39">
        <f>IF(BD_Carga!W40&lt;&gt;"",BD_Carga!W40,0)</f>
        <v/>
      </c>
      <c r="Y39">
        <f>IF(BD_Carga!X40&lt;&gt;"",BD_Carga!X40,0)</f>
        <v/>
      </c>
      <c r="Z39">
        <f>IF(BD_Carga!Y40&lt;&gt;"",BD_Carga!Y40,0)</f>
        <v/>
      </c>
      <c r="AA39">
        <f>IF(BD_Carga!Z40&lt;&gt;"",BD_Carga!Z40,0)</f>
        <v/>
      </c>
      <c r="AB39">
        <f>IF(BD_Carga!AA40&lt;&gt;"",BD_Carga!AA40,0)</f>
        <v/>
      </c>
      <c r="AC39" s="6">
        <f t="array" ref="AC39">IFERROR((L39-AVERAGEIF($G$2:$G$462,G39,$L$2:$L$462))/_xlfn.STDEV.P(IF($G$2:$G$462=G39,$L$2:$L$462)),0)</f>
        <v/>
      </c>
      <c r="AD39" s="6">
        <f t="array" ref="AD39">IFERROR((M39-AVERAGEIF($G$2:$G$462,G39,$M$2:$M$462))/_xlfn.STDEV.P(IF($G$2:$G$462=G39,$M$2:$M$462)),0)</f>
        <v/>
      </c>
      <c r="AE39" s="6">
        <f t="array" ref="AE39">IFERROR((N39-AVERAGEIF($G$2:$G$462,G39,$N$2:$N$462))/_xlfn.STDEV.P(IF($G$2:$G$462=G39,$N$2:$N$462)),0)</f>
        <v/>
      </c>
      <c r="AF39" s="6">
        <f t="array" ref="AF39">IFERROR((O39-AVERAGEIF($G$2:$G$462,G39,$O$2:$O$462))/_xlfn.STDEV.P(IF($G$2:$G$462=G39,$O$2:$O$462)),0)</f>
        <v/>
      </c>
      <c r="AG39" s="6">
        <f t="array" ref="AG39">IFERROR((P39-AVERAGEIF($G$2:$G$462,G39,$P$2:$P$462))/_xlfn.STDEV.P(IF($G$2:$G$462=G39,$P$2:$P$462)),0)</f>
        <v/>
      </c>
      <c r="AH39" s="6">
        <f t="array" ref="AH39">IFERROR((R39-AVERAGEIF($G$2:$G$462,G39,$R$2:$R$462))/_xlfn.STDEV.P(IF($G$2:$G$462=G39,$R$2:$R$462)),0)</f>
        <v/>
      </c>
      <c r="AI39" s="6">
        <f>IFERROR((AC39+AD39+AE39+AF39+AG39+AH39)/6,0)</f>
        <v/>
      </c>
    </row>
    <row r="40">
      <c r="A40" s="2">
        <f>IF(BD_Carga!A41&lt;&gt;"",BD_Carga!A41,"")</f>
        <v/>
      </c>
      <c r="B40">
        <f>IF(A40&lt;&gt;"",YEAR(A40),"")</f>
        <v/>
      </c>
      <c r="C40">
        <f>IF(A40&lt;&gt;"",MONTH(A40),"")</f>
        <v/>
      </c>
      <c r="D40">
        <f>IF(A40&lt;&gt;"",_xlfn.ISOWEEKNUM(A40),"")</f>
        <v/>
      </c>
      <c r="E40">
        <f>IF(A40&lt;&gt;"",TEXT(A40,"dddd"),"")</f>
        <v/>
      </c>
      <c r="F40">
        <f>IF(BD_Carga!C41&lt;&gt;"",BD_Carga!C41,"")</f>
        <v/>
      </c>
      <c r="G40">
        <f>IF(BD_Carga!D41&lt;&gt;"",BD_Carga!D41,"")</f>
        <v/>
      </c>
      <c r="H40">
        <f>IF(BD_Carga!Q41&lt;&gt;"",BD_Carga!Q41,"")</f>
        <v/>
      </c>
      <c r="I40">
        <f>IF(BD_Carga!R41&lt;&gt;"",BD_Carga!R41,"")</f>
        <v/>
      </c>
      <c r="J40">
        <f>IF(BD_Carga!S41&lt;&gt;"",BD_Carga!S41,"")</f>
        <v/>
      </c>
      <c r="K40" s="4">
        <f>IF(BD_Carga!E41&lt;&gt;"",BD_Carga!E41,0)</f>
        <v/>
      </c>
      <c r="L40" s="4">
        <f>IF(BD_Carga!F41&lt;&gt;"",BD_Carga!F41,0)</f>
        <v/>
      </c>
      <c r="M40" s="4">
        <f>IF(BD_Carga!G41&lt;&gt;"",BD_Carga!G41,0)</f>
        <v/>
      </c>
      <c r="N40" s="4">
        <f>IF(BD_Carga!H41&lt;&gt;"",BD_Carga!H41,0)</f>
        <v/>
      </c>
      <c r="O40" s="4">
        <f>IF(BD_Carga!I41&lt;&gt;"",BD_Carga!I41,0)</f>
        <v/>
      </c>
      <c r="P40" s="4">
        <f>IF(BD_Carga!J41&lt;&gt;"",BD_Carga!J41,0)</f>
        <v/>
      </c>
      <c r="Q40" s="5">
        <f>IF(BD_Carga!K41&lt;&gt;"",BD_Carga!K41,0)</f>
        <v/>
      </c>
      <c r="R40" s="5">
        <f>IF(BD_Carga!L41&lt;&gt;"",BD_Carga!L41,0)</f>
        <v/>
      </c>
      <c r="S40">
        <f>IF(BD_Carga!N41&lt;&gt;"",BD_Carga!N41,0)</f>
        <v/>
      </c>
      <c r="T40">
        <f>IF(BD_Carga!O41&lt;&gt;"",BD_Carga!O41,0)</f>
        <v/>
      </c>
      <c r="U40">
        <f>IF(BD_Carga!P41&lt;&gt;"",BD_Carga!P41,0)</f>
        <v/>
      </c>
      <c r="V40">
        <f>IF(BD_Carga!U41&lt;&gt;"",BD_Carga!U41,0)</f>
        <v/>
      </c>
      <c r="W40">
        <f>IF(BD_Carga!T41&lt;&gt;"",BD_Carga!T41,0)</f>
        <v/>
      </c>
      <c r="X40">
        <f>IF(BD_Carga!W41&lt;&gt;"",BD_Carga!W41,0)</f>
        <v/>
      </c>
      <c r="Y40">
        <f>IF(BD_Carga!X41&lt;&gt;"",BD_Carga!X41,0)</f>
        <v/>
      </c>
      <c r="Z40">
        <f>IF(BD_Carga!Y41&lt;&gt;"",BD_Carga!Y41,0)</f>
        <v/>
      </c>
      <c r="AA40">
        <f>IF(BD_Carga!Z41&lt;&gt;"",BD_Carga!Z41,0)</f>
        <v/>
      </c>
      <c r="AB40">
        <f>IF(BD_Carga!AA41&lt;&gt;"",BD_Carga!AA41,0)</f>
        <v/>
      </c>
      <c r="AC40" s="6">
        <f t="array" ref="AC40">IFERROR((L40-AVERAGEIF($G$2:$G$462,G40,$L$2:$L$462))/_xlfn.STDEV.P(IF($G$2:$G$462=G40,$L$2:$L$462)),0)</f>
        <v/>
      </c>
      <c r="AD40" s="6">
        <f t="array" ref="AD40">IFERROR((M40-AVERAGEIF($G$2:$G$462,G40,$M$2:$M$462))/_xlfn.STDEV.P(IF($G$2:$G$462=G40,$M$2:$M$462)),0)</f>
        <v/>
      </c>
      <c r="AE40" s="6">
        <f t="array" ref="AE40">IFERROR((N40-AVERAGEIF($G$2:$G$462,G40,$N$2:$N$462))/_xlfn.STDEV.P(IF($G$2:$G$462=G40,$N$2:$N$462)),0)</f>
        <v/>
      </c>
      <c r="AF40" s="6">
        <f t="array" ref="AF40">IFERROR((O40-AVERAGEIF($G$2:$G$462,G40,$O$2:$O$462))/_xlfn.STDEV.P(IF($G$2:$G$462=G40,$O$2:$O$462)),0)</f>
        <v/>
      </c>
      <c r="AG40" s="6">
        <f t="array" ref="AG40">IFERROR((P40-AVERAGEIF($G$2:$G$462,G40,$P$2:$P$462))/_xlfn.STDEV.P(IF($G$2:$G$462=G40,$P$2:$P$462)),0)</f>
        <v/>
      </c>
      <c r="AH40" s="6">
        <f t="array" ref="AH40">IFERROR((R40-AVERAGEIF($G$2:$G$462,G40,$R$2:$R$462))/_xlfn.STDEV.P(IF($G$2:$G$462=G40,$R$2:$R$462)),0)</f>
        <v/>
      </c>
      <c r="AI40" s="6">
        <f>IFERROR((AC40+AD40+AE40+AF40+AG40+AH40)/6,0)</f>
        <v/>
      </c>
    </row>
    <row r="41">
      <c r="A41" s="2">
        <f>IF(BD_Carga!A42&lt;&gt;"",BD_Carga!A42,"")</f>
        <v/>
      </c>
      <c r="B41">
        <f>IF(A41&lt;&gt;"",YEAR(A41),"")</f>
        <v/>
      </c>
      <c r="C41">
        <f>IF(A41&lt;&gt;"",MONTH(A41),"")</f>
        <v/>
      </c>
      <c r="D41">
        <f>IF(A41&lt;&gt;"",_xlfn.ISOWEEKNUM(A41),"")</f>
        <v/>
      </c>
      <c r="E41">
        <f>IF(A41&lt;&gt;"",TEXT(A41,"dddd"),"")</f>
        <v/>
      </c>
      <c r="F41">
        <f>IF(BD_Carga!C42&lt;&gt;"",BD_Carga!C42,"")</f>
        <v/>
      </c>
      <c r="G41">
        <f>IF(BD_Carga!D42&lt;&gt;"",BD_Carga!D42,"")</f>
        <v/>
      </c>
      <c r="H41">
        <f>IF(BD_Carga!Q42&lt;&gt;"",BD_Carga!Q42,"")</f>
        <v/>
      </c>
      <c r="I41">
        <f>IF(BD_Carga!R42&lt;&gt;"",BD_Carga!R42,"")</f>
        <v/>
      </c>
      <c r="J41">
        <f>IF(BD_Carga!S42&lt;&gt;"",BD_Carga!S42,"")</f>
        <v/>
      </c>
      <c r="K41" s="4">
        <f>IF(BD_Carga!E42&lt;&gt;"",BD_Carga!E42,0)</f>
        <v/>
      </c>
      <c r="L41" s="4">
        <f>IF(BD_Carga!F42&lt;&gt;"",BD_Carga!F42,0)</f>
        <v/>
      </c>
      <c r="M41" s="4">
        <f>IF(BD_Carga!G42&lt;&gt;"",BD_Carga!G42,0)</f>
        <v/>
      </c>
      <c r="N41" s="4">
        <f>IF(BD_Carga!H42&lt;&gt;"",BD_Carga!H42,0)</f>
        <v/>
      </c>
      <c r="O41" s="4">
        <f>IF(BD_Carga!I42&lt;&gt;"",BD_Carga!I42,0)</f>
        <v/>
      </c>
      <c r="P41" s="4">
        <f>IF(BD_Carga!J42&lt;&gt;"",BD_Carga!J42,0)</f>
        <v/>
      </c>
      <c r="Q41" s="5">
        <f>IF(BD_Carga!K42&lt;&gt;"",BD_Carga!K42,0)</f>
        <v/>
      </c>
      <c r="R41" s="5">
        <f>IF(BD_Carga!L42&lt;&gt;"",BD_Carga!L42,0)</f>
        <v/>
      </c>
      <c r="S41">
        <f>IF(BD_Carga!N42&lt;&gt;"",BD_Carga!N42,0)</f>
        <v/>
      </c>
      <c r="T41">
        <f>IF(BD_Carga!O42&lt;&gt;"",BD_Carga!O42,0)</f>
        <v/>
      </c>
      <c r="U41">
        <f>IF(BD_Carga!P42&lt;&gt;"",BD_Carga!P42,0)</f>
        <v/>
      </c>
      <c r="V41">
        <f>IF(BD_Carga!U42&lt;&gt;"",BD_Carga!U42,0)</f>
        <v/>
      </c>
      <c r="W41">
        <f>IF(BD_Carga!T42&lt;&gt;"",BD_Carga!T42,0)</f>
        <v/>
      </c>
      <c r="X41">
        <f>IF(BD_Carga!W42&lt;&gt;"",BD_Carga!W42,0)</f>
        <v/>
      </c>
      <c r="Y41">
        <f>IF(BD_Carga!X42&lt;&gt;"",BD_Carga!X42,0)</f>
        <v/>
      </c>
      <c r="Z41">
        <f>IF(BD_Carga!Y42&lt;&gt;"",BD_Carga!Y42,0)</f>
        <v/>
      </c>
      <c r="AA41">
        <f>IF(BD_Carga!Z42&lt;&gt;"",BD_Carga!Z42,0)</f>
        <v/>
      </c>
      <c r="AB41">
        <f>IF(BD_Carga!AA42&lt;&gt;"",BD_Carga!AA42,0)</f>
        <v/>
      </c>
      <c r="AC41" s="6">
        <f t="array" ref="AC41">IFERROR((L41-AVERAGEIF($G$2:$G$462,G41,$L$2:$L$462))/_xlfn.STDEV.P(IF($G$2:$G$462=G41,$L$2:$L$462)),0)</f>
        <v/>
      </c>
      <c r="AD41" s="6">
        <f t="array" ref="AD41">IFERROR((M41-AVERAGEIF($G$2:$G$462,G41,$M$2:$M$462))/_xlfn.STDEV.P(IF($G$2:$G$462=G41,$M$2:$M$462)),0)</f>
        <v/>
      </c>
      <c r="AE41" s="6">
        <f t="array" ref="AE41">IFERROR((N41-AVERAGEIF($G$2:$G$462,G41,$N$2:$N$462))/_xlfn.STDEV.P(IF($G$2:$G$462=G41,$N$2:$N$462)),0)</f>
        <v/>
      </c>
      <c r="AF41" s="6">
        <f t="array" ref="AF41">IFERROR((O41-AVERAGEIF($G$2:$G$462,G41,$O$2:$O$462))/_xlfn.STDEV.P(IF($G$2:$G$462=G41,$O$2:$O$462)),0)</f>
        <v/>
      </c>
      <c r="AG41" s="6">
        <f t="array" ref="AG41">IFERROR((P41-AVERAGEIF($G$2:$G$462,G41,$P$2:$P$462))/_xlfn.STDEV.P(IF($G$2:$G$462=G41,$P$2:$P$462)),0)</f>
        <v/>
      </c>
      <c r="AH41" s="6">
        <f t="array" ref="AH41">IFERROR((R41-AVERAGEIF($G$2:$G$462,G41,$R$2:$R$462))/_xlfn.STDEV.P(IF($G$2:$G$462=G41,$R$2:$R$462)),0)</f>
        <v/>
      </c>
      <c r="AI41" s="6">
        <f>IFERROR((AC41+AD41+AE41+AF41+AG41+AH41)/6,0)</f>
        <v/>
      </c>
    </row>
    <row r="42">
      <c r="A42" s="2">
        <f>IF(BD_Carga!A43&lt;&gt;"",BD_Carga!A43,"")</f>
        <v/>
      </c>
      <c r="B42">
        <f>IF(A42&lt;&gt;"",YEAR(A42),"")</f>
        <v/>
      </c>
      <c r="C42">
        <f>IF(A42&lt;&gt;"",MONTH(A42),"")</f>
        <v/>
      </c>
      <c r="D42">
        <f>IF(A42&lt;&gt;"",_xlfn.ISOWEEKNUM(A42),"")</f>
        <v/>
      </c>
      <c r="E42">
        <f>IF(A42&lt;&gt;"",TEXT(A42,"dddd"),"")</f>
        <v/>
      </c>
      <c r="F42">
        <f>IF(BD_Carga!C43&lt;&gt;"",BD_Carga!C43,"")</f>
        <v/>
      </c>
      <c r="G42">
        <f>IF(BD_Carga!D43&lt;&gt;"",BD_Carga!D43,"")</f>
        <v/>
      </c>
      <c r="H42">
        <f>IF(BD_Carga!Q43&lt;&gt;"",BD_Carga!Q43,"")</f>
        <v/>
      </c>
      <c r="I42">
        <f>IF(BD_Carga!R43&lt;&gt;"",BD_Carga!R43,"")</f>
        <v/>
      </c>
      <c r="J42">
        <f>IF(BD_Carga!S43&lt;&gt;"",BD_Carga!S43,"")</f>
        <v/>
      </c>
      <c r="K42" s="4">
        <f>IF(BD_Carga!E43&lt;&gt;"",BD_Carga!E43,0)</f>
        <v/>
      </c>
      <c r="L42" s="4">
        <f>IF(BD_Carga!F43&lt;&gt;"",BD_Carga!F43,0)</f>
        <v/>
      </c>
      <c r="M42" s="4">
        <f>IF(BD_Carga!G43&lt;&gt;"",BD_Carga!G43,0)</f>
        <v/>
      </c>
      <c r="N42" s="4">
        <f>IF(BD_Carga!H43&lt;&gt;"",BD_Carga!H43,0)</f>
        <v/>
      </c>
      <c r="O42" s="4">
        <f>IF(BD_Carga!I43&lt;&gt;"",BD_Carga!I43,0)</f>
        <v/>
      </c>
      <c r="P42" s="4">
        <f>IF(BD_Carga!J43&lt;&gt;"",BD_Carga!J43,0)</f>
        <v/>
      </c>
      <c r="Q42" s="5">
        <f>IF(BD_Carga!K43&lt;&gt;"",BD_Carga!K43,0)</f>
        <v/>
      </c>
      <c r="R42" s="5">
        <f>IF(BD_Carga!L43&lt;&gt;"",BD_Carga!L43,0)</f>
        <v/>
      </c>
      <c r="S42">
        <f>IF(BD_Carga!N43&lt;&gt;"",BD_Carga!N43,0)</f>
        <v/>
      </c>
      <c r="T42">
        <f>IF(BD_Carga!O43&lt;&gt;"",BD_Carga!O43,0)</f>
        <v/>
      </c>
      <c r="U42">
        <f>IF(BD_Carga!P43&lt;&gt;"",BD_Carga!P43,0)</f>
        <v/>
      </c>
      <c r="V42">
        <f>IF(BD_Carga!U43&lt;&gt;"",BD_Carga!U43,0)</f>
        <v/>
      </c>
      <c r="W42">
        <f>IF(BD_Carga!T43&lt;&gt;"",BD_Carga!T43,0)</f>
        <v/>
      </c>
      <c r="X42">
        <f>IF(BD_Carga!W43&lt;&gt;"",BD_Carga!W43,0)</f>
        <v/>
      </c>
      <c r="Y42">
        <f>IF(BD_Carga!X43&lt;&gt;"",BD_Carga!X43,0)</f>
        <v/>
      </c>
      <c r="Z42">
        <f>IF(BD_Carga!Y43&lt;&gt;"",BD_Carga!Y43,0)</f>
        <v/>
      </c>
      <c r="AA42">
        <f>IF(BD_Carga!Z43&lt;&gt;"",BD_Carga!Z43,0)</f>
        <v/>
      </c>
      <c r="AB42">
        <f>IF(BD_Carga!AA43&lt;&gt;"",BD_Carga!AA43,0)</f>
        <v/>
      </c>
      <c r="AC42" s="6">
        <f t="array" ref="AC42">IFERROR((L42-AVERAGEIF($G$2:$G$462,G42,$L$2:$L$462))/_xlfn.STDEV.P(IF($G$2:$G$462=G42,$L$2:$L$462)),0)</f>
        <v/>
      </c>
      <c r="AD42" s="6">
        <f t="array" ref="AD42">IFERROR((M42-AVERAGEIF($G$2:$G$462,G42,$M$2:$M$462))/_xlfn.STDEV.P(IF($G$2:$G$462=G42,$M$2:$M$462)),0)</f>
        <v/>
      </c>
      <c r="AE42" s="6">
        <f t="array" ref="AE42">IFERROR((N42-AVERAGEIF($G$2:$G$462,G42,$N$2:$N$462))/_xlfn.STDEV.P(IF($G$2:$G$462=G42,$N$2:$N$462)),0)</f>
        <v/>
      </c>
      <c r="AF42" s="6">
        <f t="array" ref="AF42">IFERROR((O42-AVERAGEIF($G$2:$G$462,G42,$O$2:$O$462))/_xlfn.STDEV.P(IF($G$2:$G$462=G42,$O$2:$O$462)),0)</f>
        <v/>
      </c>
      <c r="AG42" s="6">
        <f t="array" ref="AG42">IFERROR((P42-AVERAGEIF($G$2:$G$462,G42,$P$2:$P$462))/_xlfn.STDEV.P(IF($G$2:$G$462=G42,$P$2:$P$462)),0)</f>
        <v/>
      </c>
      <c r="AH42" s="6">
        <f t="array" ref="AH42">IFERROR((R42-AVERAGEIF($G$2:$G$462,G42,$R$2:$R$462))/_xlfn.STDEV.P(IF($G$2:$G$462=G42,$R$2:$R$462)),0)</f>
        <v/>
      </c>
      <c r="AI42" s="6">
        <f>IFERROR((AC42+AD42+AE42+AF42+AG42+AH42)/6,0)</f>
        <v/>
      </c>
    </row>
    <row r="43">
      <c r="A43" s="2">
        <f>IF(BD_Carga!A44&lt;&gt;"",BD_Carga!A44,"")</f>
        <v/>
      </c>
      <c r="B43">
        <f>IF(A43&lt;&gt;"",YEAR(A43),"")</f>
        <v/>
      </c>
      <c r="C43">
        <f>IF(A43&lt;&gt;"",MONTH(A43),"")</f>
        <v/>
      </c>
      <c r="D43">
        <f>IF(A43&lt;&gt;"",_xlfn.ISOWEEKNUM(A43),"")</f>
        <v/>
      </c>
      <c r="E43">
        <f>IF(A43&lt;&gt;"",TEXT(A43,"dddd"),"")</f>
        <v/>
      </c>
      <c r="F43">
        <f>IF(BD_Carga!C44&lt;&gt;"",BD_Carga!C44,"")</f>
        <v/>
      </c>
      <c r="G43">
        <f>IF(BD_Carga!D44&lt;&gt;"",BD_Carga!D44,"")</f>
        <v/>
      </c>
      <c r="H43">
        <f>IF(BD_Carga!Q44&lt;&gt;"",BD_Carga!Q44,"")</f>
        <v/>
      </c>
      <c r="I43">
        <f>IF(BD_Carga!R44&lt;&gt;"",BD_Carga!R44,"")</f>
        <v/>
      </c>
      <c r="J43">
        <f>IF(BD_Carga!S44&lt;&gt;"",BD_Carga!S44,"")</f>
        <v/>
      </c>
      <c r="K43" s="4">
        <f>IF(BD_Carga!E44&lt;&gt;"",BD_Carga!E44,0)</f>
        <v/>
      </c>
      <c r="L43" s="4">
        <f>IF(BD_Carga!F44&lt;&gt;"",BD_Carga!F44,0)</f>
        <v/>
      </c>
      <c r="M43" s="4">
        <f>IF(BD_Carga!G44&lt;&gt;"",BD_Carga!G44,0)</f>
        <v/>
      </c>
      <c r="N43" s="4">
        <f>IF(BD_Carga!H44&lt;&gt;"",BD_Carga!H44,0)</f>
        <v/>
      </c>
      <c r="O43" s="4">
        <f>IF(BD_Carga!I44&lt;&gt;"",BD_Carga!I44,0)</f>
        <v/>
      </c>
      <c r="P43" s="4">
        <f>IF(BD_Carga!J44&lt;&gt;"",BD_Carga!J44,0)</f>
        <v/>
      </c>
      <c r="Q43" s="5">
        <f>IF(BD_Carga!K44&lt;&gt;"",BD_Carga!K44,0)</f>
        <v/>
      </c>
      <c r="R43" s="5">
        <f>IF(BD_Carga!L44&lt;&gt;"",BD_Carga!L44,0)</f>
        <v/>
      </c>
      <c r="S43">
        <f>IF(BD_Carga!N44&lt;&gt;"",BD_Carga!N44,0)</f>
        <v/>
      </c>
      <c r="T43">
        <f>IF(BD_Carga!O44&lt;&gt;"",BD_Carga!O44,0)</f>
        <v/>
      </c>
      <c r="U43">
        <f>IF(BD_Carga!P44&lt;&gt;"",BD_Carga!P44,0)</f>
        <v/>
      </c>
      <c r="V43">
        <f>IF(BD_Carga!U44&lt;&gt;"",BD_Carga!U44,0)</f>
        <v/>
      </c>
      <c r="W43">
        <f>IF(BD_Carga!T44&lt;&gt;"",BD_Carga!T44,0)</f>
        <v/>
      </c>
      <c r="X43">
        <f>IF(BD_Carga!W44&lt;&gt;"",BD_Carga!W44,0)</f>
        <v/>
      </c>
      <c r="Y43">
        <f>IF(BD_Carga!X44&lt;&gt;"",BD_Carga!X44,0)</f>
        <v/>
      </c>
      <c r="Z43">
        <f>IF(BD_Carga!Y44&lt;&gt;"",BD_Carga!Y44,0)</f>
        <v/>
      </c>
      <c r="AA43">
        <f>IF(BD_Carga!Z44&lt;&gt;"",BD_Carga!Z44,0)</f>
        <v/>
      </c>
      <c r="AB43">
        <f>IF(BD_Carga!AA44&lt;&gt;"",BD_Carga!AA44,0)</f>
        <v/>
      </c>
      <c r="AC43" s="6">
        <f t="array" ref="AC43">IFERROR((L43-AVERAGEIF($G$2:$G$462,G43,$L$2:$L$462))/_xlfn.STDEV.P(IF($G$2:$G$462=G43,$L$2:$L$462)),0)</f>
        <v/>
      </c>
      <c r="AD43" s="6">
        <f t="array" ref="AD43">IFERROR((M43-AVERAGEIF($G$2:$G$462,G43,$M$2:$M$462))/_xlfn.STDEV.P(IF($G$2:$G$462=G43,$M$2:$M$462)),0)</f>
        <v/>
      </c>
      <c r="AE43" s="6">
        <f t="array" ref="AE43">IFERROR((N43-AVERAGEIF($G$2:$G$462,G43,$N$2:$N$462))/_xlfn.STDEV.P(IF($G$2:$G$462=G43,$N$2:$N$462)),0)</f>
        <v/>
      </c>
      <c r="AF43" s="6">
        <f t="array" ref="AF43">IFERROR((O43-AVERAGEIF($G$2:$G$462,G43,$O$2:$O$462))/_xlfn.STDEV.P(IF($G$2:$G$462=G43,$O$2:$O$462)),0)</f>
        <v/>
      </c>
      <c r="AG43" s="6">
        <f t="array" ref="AG43">IFERROR((P43-AVERAGEIF($G$2:$G$462,G43,$P$2:$P$462))/_xlfn.STDEV.P(IF($G$2:$G$462=G43,$P$2:$P$462)),0)</f>
        <v/>
      </c>
      <c r="AH43" s="6">
        <f t="array" ref="AH43">IFERROR((R43-AVERAGEIF($G$2:$G$462,G43,$R$2:$R$462))/_xlfn.STDEV.P(IF($G$2:$G$462=G43,$R$2:$R$462)),0)</f>
        <v/>
      </c>
      <c r="AI43" s="6">
        <f>IFERROR((AC43+AD43+AE43+AF43+AG43+AH43)/6,0)</f>
        <v/>
      </c>
    </row>
    <row r="44">
      <c r="A44" s="2">
        <f>IF(BD_Carga!A45&lt;&gt;"",BD_Carga!A45,"")</f>
        <v/>
      </c>
      <c r="B44">
        <f>IF(A44&lt;&gt;"",YEAR(A44),"")</f>
        <v/>
      </c>
      <c r="C44">
        <f>IF(A44&lt;&gt;"",MONTH(A44),"")</f>
        <v/>
      </c>
      <c r="D44">
        <f>IF(A44&lt;&gt;"",_xlfn.ISOWEEKNUM(A44),"")</f>
        <v/>
      </c>
      <c r="E44">
        <f>IF(A44&lt;&gt;"",TEXT(A44,"dddd"),"")</f>
        <v/>
      </c>
      <c r="F44">
        <f>IF(BD_Carga!C45&lt;&gt;"",BD_Carga!C45,"")</f>
        <v/>
      </c>
      <c r="G44">
        <f>IF(BD_Carga!D45&lt;&gt;"",BD_Carga!D45,"")</f>
        <v/>
      </c>
      <c r="H44">
        <f>IF(BD_Carga!Q45&lt;&gt;"",BD_Carga!Q45,"")</f>
        <v/>
      </c>
      <c r="I44">
        <f>IF(BD_Carga!R45&lt;&gt;"",BD_Carga!R45,"")</f>
        <v/>
      </c>
      <c r="J44">
        <f>IF(BD_Carga!S45&lt;&gt;"",BD_Carga!S45,"")</f>
        <v/>
      </c>
      <c r="K44" s="4">
        <f>IF(BD_Carga!E45&lt;&gt;"",BD_Carga!E45,0)</f>
        <v/>
      </c>
      <c r="L44" s="4">
        <f>IF(BD_Carga!F45&lt;&gt;"",BD_Carga!F45,0)</f>
        <v/>
      </c>
      <c r="M44" s="4">
        <f>IF(BD_Carga!G45&lt;&gt;"",BD_Carga!G45,0)</f>
        <v/>
      </c>
      <c r="N44" s="4">
        <f>IF(BD_Carga!H45&lt;&gt;"",BD_Carga!H45,0)</f>
        <v/>
      </c>
      <c r="O44" s="4">
        <f>IF(BD_Carga!I45&lt;&gt;"",BD_Carga!I45,0)</f>
        <v/>
      </c>
      <c r="P44" s="4">
        <f>IF(BD_Carga!J45&lt;&gt;"",BD_Carga!J45,0)</f>
        <v/>
      </c>
      <c r="Q44" s="5">
        <f>IF(BD_Carga!K45&lt;&gt;"",BD_Carga!K45,0)</f>
        <v/>
      </c>
      <c r="R44" s="5">
        <f>IF(BD_Carga!L45&lt;&gt;"",BD_Carga!L45,0)</f>
        <v/>
      </c>
      <c r="S44">
        <f>IF(BD_Carga!N45&lt;&gt;"",BD_Carga!N45,0)</f>
        <v/>
      </c>
      <c r="T44">
        <f>IF(BD_Carga!O45&lt;&gt;"",BD_Carga!O45,0)</f>
        <v/>
      </c>
      <c r="U44">
        <f>IF(BD_Carga!P45&lt;&gt;"",BD_Carga!P45,0)</f>
        <v/>
      </c>
      <c r="V44">
        <f>IF(BD_Carga!U45&lt;&gt;"",BD_Carga!U45,0)</f>
        <v/>
      </c>
      <c r="W44">
        <f>IF(BD_Carga!T45&lt;&gt;"",BD_Carga!T45,0)</f>
        <v/>
      </c>
      <c r="X44">
        <f>IF(BD_Carga!W45&lt;&gt;"",BD_Carga!W45,0)</f>
        <v/>
      </c>
      <c r="Y44">
        <f>IF(BD_Carga!X45&lt;&gt;"",BD_Carga!X45,0)</f>
        <v/>
      </c>
      <c r="Z44">
        <f>IF(BD_Carga!Y45&lt;&gt;"",BD_Carga!Y45,0)</f>
        <v/>
      </c>
      <c r="AA44">
        <f>IF(BD_Carga!Z45&lt;&gt;"",BD_Carga!Z45,0)</f>
        <v/>
      </c>
      <c r="AB44">
        <f>IF(BD_Carga!AA45&lt;&gt;"",BD_Carga!AA45,0)</f>
        <v/>
      </c>
      <c r="AC44" s="6">
        <f t="array" ref="AC44">IFERROR((L44-AVERAGEIF($G$2:$G$462,G44,$L$2:$L$462))/_xlfn.STDEV.P(IF($G$2:$G$462=G44,$L$2:$L$462)),0)</f>
        <v/>
      </c>
      <c r="AD44" s="6">
        <f t="array" ref="AD44">IFERROR((M44-AVERAGEIF($G$2:$G$462,G44,$M$2:$M$462))/_xlfn.STDEV.P(IF($G$2:$G$462=G44,$M$2:$M$462)),0)</f>
        <v/>
      </c>
      <c r="AE44" s="6">
        <f t="array" ref="AE44">IFERROR((N44-AVERAGEIF($G$2:$G$462,G44,$N$2:$N$462))/_xlfn.STDEV.P(IF($G$2:$G$462=G44,$N$2:$N$462)),0)</f>
        <v/>
      </c>
      <c r="AF44" s="6">
        <f t="array" ref="AF44">IFERROR((O44-AVERAGEIF($G$2:$G$462,G44,$O$2:$O$462))/_xlfn.STDEV.P(IF($G$2:$G$462=G44,$O$2:$O$462)),0)</f>
        <v/>
      </c>
      <c r="AG44" s="6">
        <f t="array" ref="AG44">IFERROR((P44-AVERAGEIF($G$2:$G$462,G44,$P$2:$P$462))/_xlfn.STDEV.P(IF($G$2:$G$462=G44,$P$2:$P$462)),0)</f>
        <v/>
      </c>
      <c r="AH44" s="6">
        <f t="array" ref="AH44">IFERROR((R44-AVERAGEIF($G$2:$G$462,G44,$R$2:$R$462))/_xlfn.STDEV.P(IF($G$2:$G$462=G44,$R$2:$R$462)),0)</f>
        <v/>
      </c>
      <c r="AI44" s="6">
        <f>IFERROR((AC44+AD44+AE44+AF44+AG44+AH44)/6,0)</f>
        <v/>
      </c>
    </row>
    <row r="45">
      <c r="A45" s="2">
        <f>IF(BD_Carga!A46&lt;&gt;"",BD_Carga!A46,"")</f>
        <v/>
      </c>
      <c r="B45">
        <f>IF(A45&lt;&gt;"",YEAR(A45),"")</f>
        <v/>
      </c>
      <c r="C45">
        <f>IF(A45&lt;&gt;"",MONTH(A45),"")</f>
        <v/>
      </c>
      <c r="D45">
        <f>IF(A45&lt;&gt;"",_xlfn.ISOWEEKNUM(A45),"")</f>
        <v/>
      </c>
      <c r="E45">
        <f>IF(A45&lt;&gt;"",TEXT(A45,"dddd"),"")</f>
        <v/>
      </c>
      <c r="F45">
        <f>IF(BD_Carga!C46&lt;&gt;"",BD_Carga!C46,"")</f>
        <v/>
      </c>
      <c r="G45">
        <f>IF(BD_Carga!D46&lt;&gt;"",BD_Carga!D46,"")</f>
        <v/>
      </c>
      <c r="H45">
        <f>IF(BD_Carga!Q46&lt;&gt;"",BD_Carga!Q46,"")</f>
        <v/>
      </c>
      <c r="I45">
        <f>IF(BD_Carga!R46&lt;&gt;"",BD_Carga!R46,"")</f>
        <v/>
      </c>
      <c r="J45">
        <f>IF(BD_Carga!S46&lt;&gt;"",BD_Carga!S46,"")</f>
        <v/>
      </c>
      <c r="K45" s="4">
        <f>IF(BD_Carga!E46&lt;&gt;"",BD_Carga!E46,0)</f>
        <v/>
      </c>
      <c r="L45" s="4">
        <f>IF(BD_Carga!F46&lt;&gt;"",BD_Carga!F46,0)</f>
        <v/>
      </c>
      <c r="M45" s="4">
        <f>IF(BD_Carga!G46&lt;&gt;"",BD_Carga!G46,0)</f>
        <v/>
      </c>
      <c r="N45" s="4">
        <f>IF(BD_Carga!H46&lt;&gt;"",BD_Carga!H46,0)</f>
        <v/>
      </c>
      <c r="O45" s="4">
        <f>IF(BD_Carga!I46&lt;&gt;"",BD_Carga!I46,0)</f>
        <v/>
      </c>
      <c r="P45" s="4">
        <f>IF(BD_Carga!J46&lt;&gt;"",BD_Carga!J46,0)</f>
        <v/>
      </c>
      <c r="Q45" s="5">
        <f>IF(BD_Carga!K46&lt;&gt;"",BD_Carga!K46,0)</f>
        <v/>
      </c>
      <c r="R45" s="5">
        <f>IF(BD_Carga!L46&lt;&gt;"",BD_Carga!L46,0)</f>
        <v/>
      </c>
      <c r="S45">
        <f>IF(BD_Carga!N46&lt;&gt;"",BD_Carga!N46,0)</f>
        <v/>
      </c>
      <c r="T45">
        <f>IF(BD_Carga!O46&lt;&gt;"",BD_Carga!O46,0)</f>
        <v/>
      </c>
      <c r="U45">
        <f>IF(BD_Carga!P46&lt;&gt;"",BD_Carga!P46,0)</f>
        <v/>
      </c>
      <c r="V45">
        <f>IF(BD_Carga!U46&lt;&gt;"",BD_Carga!U46,0)</f>
        <v/>
      </c>
      <c r="W45">
        <f>IF(BD_Carga!T46&lt;&gt;"",BD_Carga!T46,0)</f>
        <v/>
      </c>
      <c r="X45">
        <f>IF(BD_Carga!W46&lt;&gt;"",BD_Carga!W46,0)</f>
        <v/>
      </c>
      <c r="Y45">
        <f>IF(BD_Carga!X46&lt;&gt;"",BD_Carga!X46,0)</f>
        <v/>
      </c>
      <c r="Z45">
        <f>IF(BD_Carga!Y46&lt;&gt;"",BD_Carga!Y46,0)</f>
        <v/>
      </c>
      <c r="AA45">
        <f>IF(BD_Carga!Z46&lt;&gt;"",BD_Carga!Z46,0)</f>
        <v/>
      </c>
      <c r="AB45">
        <f>IF(BD_Carga!AA46&lt;&gt;"",BD_Carga!AA46,0)</f>
        <v/>
      </c>
      <c r="AC45" s="6">
        <f t="array" ref="AC45">IFERROR((L45-AVERAGEIF($G$2:$G$462,G45,$L$2:$L$462))/_xlfn.STDEV.P(IF($G$2:$G$462=G45,$L$2:$L$462)),0)</f>
        <v/>
      </c>
      <c r="AD45" s="6">
        <f t="array" ref="AD45">IFERROR((M45-AVERAGEIF($G$2:$G$462,G45,$M$2:$M$462))/_xlfn.STDEV.P(IF($G$2:$G$462=G45,$M$2:$M$462)),0)</f>
        <v/>
      </c>
      <c r="AE45" s="6">
        <f t="array" ref="AE45">IFERROR((N45-AVERAGEIF($G$2:$G$462,G45,$N$2:$N$462))/_xlfn.STDEV.P(IF($G$2:$G$462=G45,$N$2:$N$462)),0)</f>
        <v/>
      </c>
      <c r="AF45" s="6">
        <f t="array" ref="AF45">IFERROR((O45-AVERAGEIF($G$2:$G$462,G45,$O$2:$O$462))/_xlfn.STDEV.P(IF($G$2:$G$462=G45,$O$2:$O$462)),0)</f>
        <v/>
      </c>
      <c r="AG45" s="6">
        <f t="array" ref="AG45">IFERROR((P45-AVERAGEIF($G$2:$G$462,G45,$P$2:$P$462))/_xlfn.STDEV.P(IF($G$2:$G$462=G45,$P$2:$P$462)),0)</f>
        <v/>
      </c>
      <c r="AH45" s="6">
        <f t="array" ref="AH45">IFERROR((R45-AVERAGEIF($G$2:$G$462,G45,$R$2:$R$462))/_xlfn.STDEV.P(IF($G$2:$G$462=G45,$R$2:$R$462)),0)</f>
        <v/>
      </c>
      <c r="AI45" s="6">
        <f>IFERROR((AC45+AD45+AE45+AF45+AG45+AH45)/6,0)</f>
        <v/>
      </c>
    </row>
    <row r="46">
      <c r="A46" s="2">
        <f>IF(BD_Carga!A47&lt;&gt;"",BD_Carga!A47,"")</f>
        <v/>
      </c>
      <c r="B46">
        <f>IF(A46&lt;&gt;"",YEAR(A46),"")</f>
        <v/>
      </c>
      <c r="C46">
        <f>IF(A46&lt;&gt;"",MONTH(A46),"")</f>
        <v/>
      </c>
      <c r="D46">
        <f>IF(A46&lt;&gt;"",_xlfn.ISOWEEKNUM(A46),"")</f>
        <v/>
      </c>
      <c r="E46">
        <f>IF(A46&lt;&gt;"",TEXT(A46,"dddd"),"")</f>
        <v/>
      </c>
      <c r="F46">
        <f>IF(BD_Carga!C47&lt;&gt;"",BD_Carga!C47,"")</f>
        <v/>
      </c>
      <c r="G46">
        <f>IF(BD_Carga!D47&lt;&gt;"",BD_Carga!D47,"")</f>
        <v/>
      </c>
      <c r="H46">
        <f>IF(BD_Carga!Q47&lt;&gt;"",BD_Carga!Q47,"")</f>
        <v/>
      </c>
      <c r="I46">
        <f>IF(BD_Carga!R47&lt;&gt;"",BD_Carga!R47,"")</f>
        <v/>
      </c>
      <c r="J46">
        <f>IF(BD_Carga!S47&lt;&gt;"",BD_Carga!S47,"")</f>
        <v/>
      </c>
      <c r="K46" s="4">
        <f>IF(BD_Carga!E47&lt;&gt;"",BD_Carga!E47,0)</f>
        <v/>
      </c>
      <c r="L46" s="4">
        <f>IF(BD_Carga!F47&lt;&gt;"",BD_Carga!F47,0)</f>
        <v/>
      </c>
      <c r="M46" s="4">
        <f>IF(BD_Carga!G47&lt;&gt;"",BD_Carga!G47,0)</f>
        <v/>
      </c>
      <c r="N46" s="4">
        <f>IF(BD_Carga!H47&lt;&gt;"",BD_Carga!H47,0)</f>
        <v/>
      </c>
      <c r="O46" s="4">
        <f>IF(BD_Carga!I47&lt;&gt;"",BD_Carga!I47,0)</f>
        <v/>
      </c>
      <c r="P46" s="4">
        <f>IF(BD_Carga!J47&lt;&gt;"",BD_Carga!J47,0)</f>
        <v/>
      </c>
      <c r="Q46" s="5">
        <f>IF(BD_Carga!K47&lt;&gt;"",BD_Carga!K47,0)</f>
        <v/>
      </c>
      <c r="R46" s="5">
        <f>IF(BD_Carga!L47&lt;&gt;"",BD_Carga!L47,0)</f>
        <v/>
      </c>
      <c r="S46">
        <f>IF(BD_Carga!N47&lt;&gt;"",BD_Carga!N47,0)</f>
        <v/>
      </c>
      <c r="T46">
        <f>IF(BD_Carga!O47&lt;&gt;"",BD_Carga!O47,0)</f>
        <v/>
      </c>
      <c r="U46">
        <f>IF(BD_Carga!P47&lt;&gt;"",BD_Carga!P47,0)</f>
        <v/>
      </c>
      <c r="V46">
        <f>IF(BD_Carga!U47&lt;&gt;"",BD_Carga!U47,0)</f>
        <v/>
      </c>
      <c r="W46">
        <f>IF(BD_Carga!T47&lt;&gt;"",BD_Carga!T47,0)</f>
        <v/>
      </c>
      <c r="X46">
        <f>IF(BD_Carga!W47&lt;&gt;"",BD_Carga!W47,0)</f>
        <v/>
      </c>
      <c r="Y46">
        <f>IF(BD_Carga!X47&lt;&gt;"",BD_Carga!X47,0)</f>
        <v/>
      </c>
      <c r="Z46">
        <f>IF(BD_Carga!Y47&lt;&gt;"",BD_Carga!Y47,0)</f>
        <v/>
      </c>
      <c r="AA46">
        <f>IF(BD_Carga!Z47&lt;&gt;"",BD_Carga!Z47,0)</f>
        <v/>
      </c>
      <c r="AB46">
        <f>IF(BD_Carga!AA47&lt;&gt;"",BD_Carga!AA47,0)</f>
        <v/>
      </c>
      <c r="AC46" s="6">
        <f t="array" ref="AC46">IFERROR((L46-AVERAGEIF($G$2:$G$462,G46,$L$2:$L$462))/_xlfn.STDEV.P(IF($G$2:$G$462=G46,$L$2:$L$462)),0)</f>
        <v/>
      </c>
      <c r="AD46" s="6">
        <f t="array" ref="AD46">IFERROR((M46-AVERAGEIF($G$2:$G$462,G46,$M$2:$M$462))/_xlfn.STDEV.P(IF($G$2:$G$462=G46,$M$2:$M$462)),0)</f>
        <v/>
      </c>
      <c r="AE46" s="6">
        <f t="array" ref="AE46">IFERROR((N46-AVERAGEIF($G$2:$G$462,G46,$N$2:$N$462))/_xlfn.STDEV.P(IF($G$2:$G$462=G46,$N$2:$N$462)),0)</f>
        <v/>
      </c>
      <c r="AF46" s="6">
        <f t="array" ref="AF46">IFERROR((O46-AVERAGEIF($G$2:$G$462,G46,$O$2:$O$462))/_xlfn.STDEV.P(IF($G$2:$G$462=G46,$O$2:$O$462)),0)</f>
        <v/>
      </c>
      <c r="AG46" s="6">
        <f t="array" ref="AG46">IFERROR((P46-AVERAGEIF($G$2:$G$462,G46,$P$2:$P$462))/_xlfn.STDEV.P(IF($G$2:$G$462=G46,$P$2:$P$462)),0)</f>
        <v/>
      </c>
      <c r="AH46" s="6">
        <f t="array" ref="AH46">IFERROR((R46-AVERAGEIF($G$2:$G$462,G46,$R$2:$R$462))/_xlfn.STDEV.P(IF($G$2:$G$462=G46,$R$2:$R$462)),0)</f>
        <v/>
      </c>
      <c r="AI46" s="6">
        <f>IFERROR((AC46+AD46+AE46+AF46+AG46+AH46)/6,0)</f>
        <v/>
      </c>
    </row>
    <row r="47">
      <c r="A47" s="2">
        <f>IF(BD_Carga!A48&lt;&gt;"",BD_Carga!A48,"")</f>
        <v/>
      </c>
      <c r="B47">
        <f>IF(A47&lt;&gt;"",YEAR(A47),"")</f>
        <v/>
      </c>
      <c r="C47">
        <f>IF(A47&lt;&gt;"",MONTH(A47),"")</f>
        <v/>
      </c>
      <c r="D47">
        <f>IF(A47&lt;&gt;"",_xlfn.ISOWEEKNUM(A47),"")</f>
        <v/>
      </c>
      <c r="E47">
        <f>IF(A47&lt;&gt;"",TEXT(A47,"dddd"),"")</f>
        <v/>
      </c>
      <c r="F47">
        <f>IF(BD_Carga!C48&lt;&gt;"",BD_Carga!C48,"")</f>
        <v/>
      </c>
      <c r="G47">
        <f>IF(BD_Carga!D48&lt;&gt;"",BD_Carga!D48,"")</f>
        <v/>
      </c>
      <c r="H47">
        <f>IF(BD_Carga!Q48&lt;&gt;"",BD_Carga!Q48,"")</f>
        <v/>
      </c>
      <c r="I47">
        <f>IF(BD_Carga!R48&lt;&gt;"",BD_Carga!R48,"")</f>
        <v/>
      </c>
      <c r="J47">
        <f>IF(BD_Carga!S48&lt;&gt;"",BD_Carga!S48,"")</f>
        <v/>
      </c>
      <c r="K47" s="4">
        <f>IF(BD_Carga!E48&lt;&gt;"",BD_Carga!E48,0)</f>
        <v/>
      </c>
      <c r="L47" s="4">
        <f>IF(BD_Carga!F48&lt;&gt;"",BD_Carga!F48,0)</f>
        <v/>
      </c>
      <c r="M47" s="4">
        <f>IF(BD_Carga!G48&lt;&gt;"",BD_Carga!G48,0)</f>
        <v/>
      </c>
      <c r="N47" s="4">
        <f>IF(BD_Carga!H48&lt;&gt;"",BD_Carga!H48,0)</f>
        <v/>
      </c>
      <c r="O47" s="4">
        <f>IF(BD_Carga!I48&lt;&gt;"",BD_Carga!I48,0)</f>
        <v/>
      </c>
      <c r="P47" s="4">
        <f>IF(BD_Carga!J48&lt;&gt;"",BD_Carga!J48,0)</f>
        <v/>
      </c>
      <c r="Q47" s="5">
        <f>IF(BD_Carga!K48&lt;&gt;"",BD_Carga!K48,0)</f>
        <v/>
      </c>
      <c r="R47" s="5">
        <f>IF(BD_Carga!L48&lt;&gt;"",BD_Carga!L48,0)</f>
        <v/>
      </c>
      <c r="S47">
        <f>IF(BD_Carga!N48&lt;&gt;"",BD_Carga!N48,0)</f>
        <v/>
      </c>
      <c r="T47">
        <f>IF(BD_Carga!O48&lt;&gt;"",BD_Carga!O48,0)</f>
        <v/>
      </c>
      <c r="U47">
        <f>IF(BD_Carga!P48&lt;&gt;"",BD_Carga!P48,0)</f>
        <v/>
      </c>
      <c r="V47">
        <f>IF(BD_Carga!U48&lt;&gt;"",BD_Carga!U48,0)</f>
        <v/>
      </c>
      <c r="W47">
        <f>IF(BD_Carga!T48&lt;&gt;"",BD_Carga!T48,0)</f>
        <v/>
      </c>
      <c r="X47">
        <f>IF(BD_Carga!W48&lt;&gt;"",BD_Carga!W48,0)</f>
        <v/>
      </c>
      <c r="Y47">
        <f>IF(BD_Carga!X48&lt;&gt;"",BD_Carga!X48,0)</f>
        <v/>
      </c>
      <c r="Z47">
        <f>IF(BD_Carga!Y48&lt;&gt;"",BD_Carga!Y48,0)</f>
        <v/>
      </c>
      <c r="AA47">
        <f>IF(BD_Carga!Z48&lt;&gt;"",BD_Carga!Z48,0)</f>
        <v/>
      </c>
      <c r="AB47">
        <f>IF(BD_Carga!AA48&lt;&gt;"",BD_Carga!AA48,0)</f>
        <v/>
      </c>
      <c r="AC47" s="6">
        <f t="array" ref="AC47">IFERROR((L47-AVERAGEIF($G$2:$G$462,G47,$L$2:$L$462))/_xlfn.STDEV.P(IF($G$2:$G$462=G47,$L$2:$L$462)),0)</f>
        <v/>
      </c>
      <c r="AD47" s="6">
        <f t="array" ref="AD47">IFERROR((M47-AVERAGEIF($G$2:$G$462,G47,$M$2:$M$462))/_xlfn.STDEV.P(IF($G$2:$G$462=G47,$M$2:$M$462)),0)</f>
        <v/>
      </c>
      <c r="AE47" s="6">
        <f t="array" ref="AE47">IFERROR((N47-AVERAGEIF($G$2:$G$462,G47,$N$2:$N$462))/_xlfn.STDEV.P(IF($G$2:$G$462=G47,$N$2:$N$462)),0)</f>
        <v/>
      </c>
      <c r="AF47" s="6">
        <f t="array" ref="AF47">IFERROR((O47-AVERAGEIF($G$2:$G$462,G47,$O$2:$O$462))/_xlfn.STDEV.P(IF($G$2:$G$462=G47,$O$2:$O$462)),0)</f>
        <v/>
      </c>
      <c r="AG47" s="6">
        <f t="array" ref="AG47">IFERROR((P47-AVERAGEIF($G$2:$G$462,G47,$P$2:$P$462))/_xlfn.STDEV.P(IF($G$2:$G$462=G47,$P$2:$P$462)),0)</f>
        <v/>
      </c>
      <c r="AH47" s="6">
        <f t="array" ref="AH47">IFERROR((R47-AVERAGEIF($G$2:$G$462,G47,$R$2:$R$462))/_xlfn.STDEV.P(IF($G$2:$G$462=G47,$R$2:$R$462)),0)</f>
        <v/>
      </c>
      <c r="AI47" s="6">
        <f>IFERROR((AC47+AD47+AE47+AF47+AG47+AH47)/6,0)</f>
        <v/>
      </c>
    </row>
    <row r="48">
      <c r="A48" s="2">
        <f>IF(BD_Carga!A49&lt;&gt;"",BD_Carga!A49,"")</f>
        <v/>
      </c>
      <c r="B48">
        <f>IF(A48&lt;&gt;"",YEAR(A48),"")</f>
        <v/>
      </c>
      <c r="C48">
        <f>IF(A48&lt;&gt;"",MONTH(A48),"")</f>
        <v/>
      </c>
      <c r="D48">
        <f>IF(A48&lt;&gt;"",_xlfn.ISOWEEKNUM(A48),"")</f>
        <v/>
      </c>
      <c r="E48">
        <f>IF(A48&lt;&gt;"",TEXT(A48,"dddd"),"")</f>
        <v/>
      </c>
      <c r="F48">
        <f>IF(BD_Carga!C49&lt;&gt;"",BD_Carga!C49,"")</f>
        <v/>
      </c>
      <c r="G48">
        <f>IF(BD_Carga!D49&lt;&gt;"",BD_Carga!D49,"")</f>
        <v/>
      </c>
      <c r="H48">
        <f>IF(BD_Carga!Q49&lt;&gt;"",BD_Carga!Q49,"")</f>
        <v/>
      </c>
      <c r="I48">
        <f>IF(BD_Carga!R49&lt;&gt;"",BD_Carga!R49,"")</f>
        <v/>
      </c>
      <c r="J48">
        <f>IF(BD_Carga!S49&lt;&gt;"",BD_Carga!S49,"")</f>
        <v/>
      </c>
      <c r="K48" s="4">
        <f>IF(BD_Carga!E49&lt;&gt;"",BD_Carga!E49,0)</f>
        <v/>
      </c>
      <c r="L48" s="4">
        <f>IF(BD_Carga!F49&lt;&gt;"",BD_Carga!F49,0)</f>
        <v/>
      </c>
      <c r="M48" s="4">
        <f>IF(BD_Carga!G49&lt;&gt;"",BD_Carga!G49,0)</f>
        <v/>
      </c>
      <c r="N48" s="4">
        <f>IF(BD_Carga!H49&lt;&gt;"",BD_Carga!H49,0)</f>
        <v/>
      </c>
      <c r="O48" s="4">
        <f>IF(BD_Carga!I49&lt;&gt;"",BD_Carga!I49,0)</f>
        <v/>
      </c>
      <c r="P48" s="4">
        <f>IF(BD_Carga!J49&lt;&gt;"",BD_Carga!J49,0)</f>
        <v/>
      </c>
      <c r="Q48" s="5">
        <f>IF(BD_Carga!K49&lt;&gt;"",BD_Carga!K49,0)</f>
        <v/>
      </c>
      <c r="R48" s="5">
        <f>IF(BD_Carga!L49&lt;&gt;"",BD_Carga!L49,0)</f>
        <v/>
      </c>
      <c r="S48">
        <f>IF(BD_Carga!N49&lt;&gt;"",BD_Carga!N49,0)</f>
        <v/>
      </c>
      <c r="T48">
        <f>IF(BD_Carga!O49&lt;&gt;"",BD_Carga!O49,0)</f>
        <v/>
      </c>
      <c r="U48">
        <f>IF(BD_Carga!P49&lt;&gt;"",BD_Carga!P49,0)</f>
        <v/>
      </c>
      <c r="V48">
        <f>IF(BD_Carga!U49&lt;&gt;"",BD_Carga!U49,0)</f>
        <v/>
      </c>
      <c r="W48">
        <f>IF(BD_Carga!T49&lt;&gt;"",BD_Carga!T49,0)</f>
        <v/>
      </c>
      <c r="X48">
        <f>IF(BD_Carga!W49&lt;&gt;"",BD_Carga!W49,0)</f>
        <v/>
      </c>
      <c r="Y48">
        <f>IF(BD_Carga!X49&lt;&gt;"",BD_Carga!X49,0)</f>
        <v/>
      </c>
      <c r="Z48">
        <f>IF(BD_Carga!Y49&lt;&gt;"",BD_Carga!Y49,0)</f>
        <v/>
      </c>
      <c r="AA48">
        <f>IF(BD_Carga!Z49&lt;&gt;"",BD_Carga!Z49,0)</f>
        <v/>
      </c>
      <c r="AB48">
        <f>IF(BD_Carga!AA49&lt;&gt;"",BD_Carga!AA49,0)</f>
        <v/>
      </c>
      <c r="AC48" s="6">
        <f t="array" ref="AC48">IFERROR((L48-AVERAGEIF($G$2:$G$462,G48,$L$2:$L$462))/_xlfn.STDEV.P(IF($G$2:$G$462=G48,$L$2:$L$462)),0)</f>
        <v/>
      </c>
      <c r="AD48" s="6">
        <f t="array" ref="AD48">IFERROR((M48-AVERAGEIF($G$2:$G$462,G48,$M$2:$M$462))/_xlfn.STDEV.P(IF($G$2:$G$462=G48,$M$2:$M$462)),0)</f>
        <v/>
      </c>
      <c r="AE48" s="6">
        <f t="array" ref="AE48">IFERROR((N48-AVERAGEIF($G$2:$G$462,G48,$N$2:$N$462))/_xlfn.STDEV.P(IF($G$2:$G$462=G48,$N$2:$N$462)),0)</f>
        <v/>
      </c>
      <c r="AF48" s="6">
        <f t="array" ref="AF48">IFERROR((O48-AVERAGEIF($G$2:$G$462,G48,$O$2:$O$462))/_xlfn.STDEV.P(IF($G$2:$G$462=G48,$O$2:$O$462)),0)</f>
        <v/>
      </c>
      <c r="AG48" s="6">
        <f t="array" ref="AG48">IFERROR((P48-AVERAGEIF($G$2:$G$462,G48,$P$2:$P$462))/_xlfn.STDEV.P(IF($G$2:$G$462=G48,$P$2:$P$462)),0)</f>
        <v/>
      </c>
      <c r="AH48" s="6">
        <f t="array" ref="AH48">IFERROR((R48-AVERAGEIF($G$2:$G$462,G48,$R$2:$R$462))/_xlfn.STDEV.P(IF($G$2:$G$462=G48,$R$2:$R$462)),0)</f>
        <v/>
      </c>
      <c r="AI48" s="6">
        <f>IFERROR((AC48+AD48+AE48+AF48+AG48+AH48)/6,0)</f>
        <v/>
      </c>
    </row>
    <row r="49">
      <c r="A49" s="2">
        <f>IF(BD_Carga!A50&lt;&gt;"",BD_Carga!A50,"")</f>
        <v/>
      </c>
      <c r="B49">
        <f>IF(A49&lt;&gt;"",YEAR(A49),"")</f>
        <v/>
      </c>
      <c r="C49">
        <f>IF(A49&lt;&gt;"",MONTH(A49),"")</f>
        <v/>
      </c>
      <c r="D49">
        <f>IF(A49&lt;&gt;"",_xlfn.ISOWEEKNUM(A49),"")</f>
        <v/>
      </c>
      <c r="E49">
        <f>IF(A49&lt;&gt;"",TEXT(A49,"dddd"),"")</f>
        <v/>
      </c>
      <c r="F49">
        <f>IF(BD_Carga!C50&lt;&gt;"",BD_Carga!C50,"")</f>
        <v/>
      </c>
      <c r="G49">
        <f>IF(BD_Carga!D50&lt;&gt;"",BD_Carga!D50,"")</f>
        <v/>
      </c>
      <c r="H49">
        <f>IF(BD_Carga!Q50&lt;&gt;"",BD_Carga!Q50,"")</f>
        <v/>
      </c>
      <c r="I49">
        <f>IF(BD_Carga!R50&lt;&gt;"",BD_Carga!R50,"")</f>
        <v/>
      </c>
      <c r="J49">
        <f>IF(BD_Carga!S50&lt;&gt;"",BD_Carga!S50,"")</f>
        <v/>
      </c>
      <c r="K49" s="4">
        <f>IF(BD_Carga!E50&lt;&gt;"",BD_Carga!E50,0)</f>
        <v/>
      </c>
      <c r="L49" s="4">
        <f>IF(BD_Carga!F50&lt;&gt;"",BD_Carga!F50,0)</f>
        <v/>
      </c>
      <c r="M49" s="4">
        <f>IF(BD_Carga!G50&lt;&gt;"",BD_Carga!G50,0)</f>
        <v/>
      </c>
      <c r="N49" s="4">
        <f>IF(BD_Carga!H50&lt;&gt;"",BD_Carga!H50,0)</f>
        <v/>
      </c>
      <c r="O49" s="4">
        <f>IF(BD_Carga!I50&lt;&gt;"",BD_Carga!I50,0)</f>
        <v/>
      </c>
      <c r="P49" s="4">
        <f>IF(BD_Carga!J50&lt;&gt;"",BD_Carga!J50,0)</f>
        <v/>
      </c>
      <c r="Q49" s="5">
        <f>IF(BD_Carga!K50&lt;&gt;"",BD_Carga!K50,0)</f>
        <v/>
      </c>
      <c r="R49" s="5">
        <f>IF(BD_Carga!L50&lt;&gt;"",BD_Carga!L50,0)</f>
        <v/>
      </c>
      <c r="S49">
        <f>IF(BD_Carga!N50&lt;&gt;"",BD_Carga!N50,0)</f>
        <v/>
      </c>
      <c r="T49">
        <f>IF(BD_Carga!O50&lt;&gt;"",BD_Carga!O50,0)</f>
        <v/>
      </c>
      <c r="U49">
        <f>IF(BD_Carga!P50&lt;&gt;"",BD_Carga!P50,0)</f>
        <v/>
      </c>
      <c r="V49">
        <f>IF(BD_Carga!U50&lt;&gt;"",BD_Carga!U50,0)</f>
        <v/>
      </c>
      <c r="W49">
        <f>IF(BD_Carga!T50&lt;&gt;"",BD_Carga!T50,0)</f>
        <v/>
      </c>
      <c r="X49">
        <f>IF(BD_Carga!W50&lt;&gt;"",BD_Carga!W50,0)</f>
        <v/>
      </c>
      <c r="Y49">
        <f>IF(BD_Carga!X50&lt;&gt;"",BD_Carga!X50,0)</f>
        <v/>
      </c>
      <c r="Z49">
        <f>IF(BD_Carga!Y50&lt;&gt;"",BD_Carga!Y50,0)</f>
        <v/>
      </c>
      <c r="AA49">
        <f>IF(BD_Carga!Z50&lt;&gt;"",BD_Carga!Z50,0)</f>
        <v/>
      </c>
      <c r="AB49">
        <f>IF(BD_Carga!AA50&lt;&gt;"",BD_Carga!AA50,0)</f>
        <v/>
      </c>
      <c r="AC49" s="6">
        <f t="array" ref="AC49">IFERROR((L49-AVERAGEIF($G$2:$G$462,G49,$L$2:$L$462))/_xlfn.STDEV.P(IF($G$2:$G$462=G49,$L$2:$L$462)),0)</f>
        <v/>
      </c>
      <c r="AD49" s="6">
        <f t="array" ref="AD49">IFERROR((M49-AVERAGEIF($G$2:$G$462,G49,$M$2:$M$462))/_xlfn.STDEV.P(IF($G$2:$G$462=G49,$M$2:$M$462)),0)</f>
        <v/>
      </c>
      <c r="AE49" s="6">
        <f t="array" ref="AE49">IFERROR((N49-AVERAGEIF($G$2:$G$462,G49,$N$2:$N$462))/_xlfn.STDEV.P(IF($G$2:$G$462=G49,$N$2:$N$462)),0)</f>
        <v/>
      </c>
      <c r="AF49" s="6">
        <f t="array" ref="AF49">IFERROR((O49-AVERAGEIF($G$2:$G$462,G49,$O$2:$O$462))/_xlfn.STDEV.P(IF($G$2:$G$462=G49,$O$2:$O$462)),0)</f>
        <v/>
      </c>
      <c r="AG49" s="6">
        <f t="array" ref="AG49">IFERROR((P49-AVERAGEIF($G$2:$G$462,G49,$P$2:$P$462))/_xlfn.STDEV.P(IF($G$2:$G$462=G49,$P$2:$P$462)),0)</f>
        <v/>
      </c>
      <c r="AH49" s="6">
        <f t="array" ref="AH49">IFERROR((R49-AVERAGEIF($G$2:$G$462,G49,$R$2:$R$462))/_xlfn.STDEV.P(IF($G$2:$G$462=G49,$R$2:$R$462)),0)</f>
        <v/>
      </c>
      <c r="AI49" s="6">
        <f>IFERROR((AC49+AD49+AE49+AF49+AG49+AH49)/6,0)</f>
        <v/>
      </c>
    </row>
    <row r="50">
      <c r="A50" s="2">
        <f>IF(BD_Carga!A51&lt;&gt;"",BD_Carga!A51,"")</f>
        <v/>
      </c>
      <c r="B50">
        <f>IF(A50&lt;&gt;"",YEAR(A50),"")</f>
        <v/>
      </c>
      <c r="C50">
        <f>IF(A50&lt;&gt;"",MONTH(A50),"")</f>
        <v/>
      </c>
      <c r="D50">
        <f>IF(A50&lt;&gt;"",_xlfn.ISOWEEKNUM(A50),"")</f>
        <v/>
      </c>
      <c r="E50">
        <f>IF(A50&lt;&gt;"",TEXT(A50,"dddd"),"")</f>
        <v/>
      </c>
      <c r="F50">
        <f>IF(BD_Carga!C51&lt;&gt;"",BD_Carga!C51,"")</f>
        <v/>
      </c>
      <c r="G50">
        <f>IF(BD_Carga!D51&lt;&gt;"",BD_Carga!D51,"")</f>
        <v/>
      </c>
      <c r="H50">
        <f>IF(BD_Carga!Q51&lt;&gt;"",BD_Carga!Q51,"")</f>
        <v/>
      </c>
      <c r="I50">
        <f>IF(BD_Carga!R51&lt;&gt;"",BD_Carga!R51,"")</f>
        <v/>
      </c>
      <c r="J50">
        <f>IF(BD_Carga!S51&lt;&gt;"",BD_Carga!S51,"")</f>
        <v/>
      </c>
      <c r="K50" s="4">
        <f>IF(BD_Carga!E51&lt;&gt;"",BD_Carga!E51,0)</f>
        <v/>
      </c>
      <c r="L50" s="4">
        <f>IF(BD_Carga!F51&lt;&gt;"",BD_Carga!F51,0)</f>
        <v/>
      </c>
      <c r="M50" s="4">
        <f>IF(BD_Carga!G51&lt;&gt;"",BD_Carga!G51,0)</f>
        <v/>
      </c>
      <c r="N50" s="4">
        <f>IF(BD_Carga!H51&lt;&gt;"",BD_Carga!H51,0)</f>
        <v/>
      </c>
      <c r="O50" s="4">
        <f>IF(BD_Carga!I51&lt;&gt;"",BD_Carga!I51,0)</f>
        <v/>
      </c>
      <c r="P50" s="4">
        <f>IF(BD_Carga!J51&lt;&gt;"",BD_Carga!J51,0)</f>
        <v/>
      </c>
      <c r="Q50" s="5">
        <f>IF(BD_Carga!K51&lt;&gt;"",BD_Carga!K51,0)</f>
        <v/>
      </c>
      <c r="R50" s="5">
        <f>IF(BD_Carga!L51&lt;&gt;"",BD_Carga!L51,0)</f>
        <v/>
      </c>
      <c r="S50">
        <f>IF(BD_Carga!N51&lt;&gt;"",BD_Carga!N51,0)</f>
        <v/>
      </c>
      <c r="T50">
        <f>IF(BD_Carga!O51&lt;&gt;"",BD_Carga!O51,0)</f>
        <v/>
      </c>
      <c r="U50">
        <f>IF(BD_Carga!P51&lt;&gt;"",BD_Carga!P51,0)</f>
        <v/>
      </c>
      <c r="V50">
        <f>IF(BD_Carga!U51&lt;&gt;"",BD_Carga!U51,0)</f>
        <v/>
      </c>
      <c r="W50">
        <f>IF(BD_Carga!T51&lt;&gt;"",BD_Carga!T51,0)</f>
        <v/>
      </c>
      <c r="X50">
        <f>IF(BD_Carga!W51&lt;&gt;"",BD_Carga!W51,0)</f>
        <v/>
      </c>
      <c r="Y50">
        <f>IF(BD_Carga!X51&lt;&gt;"",BD_Carga!X51,0)</f>
        <v/>
      </c>
      <c r="Z50">
        <f>IF(BD_Carga!Y51&lt;&gt;"",BD_Carga!Y51,0)</f>
        <v/>
      </c>
      <c r="AA50">
        <f>IF(BD_Carga!Z51&lt;&gt;"",BD_Carga!Z51,0)</f>
        <v/>
      </c>
      <c r="AB50">
        <f>IF(BD_Carga!AA51&lt;&gt;"",BD_Carga!AA51,0)</f>
        <v/>
      </c>
      <c r="AC50" s="6">
        <f t="array" ref="AC50">IFERROR((L50-AVERAGEIF($G$2:$G$462,G50,$L$2:$L$462))/_xlfn.STDEV.P(IF($G$2:$G$462=G50,$L$2:$L$462)),0)</f>
        <v/>
      </c>
      <c r="AD50" s="6">
        <f t="array" ref="AD50">IFERROR((M50-AVERAGEIF($G$2:$G$462,G50,$M$2:$M$462))/_xlfn.STDEV.P(IF($G$2:$G$462=G50,$M$2:$M$462)),0)</f>
        <v/>
      </c>
      <c r="AE50" s="6">
        <f t="array" ref="AE50">IFERROR((N50-AVERAGEIF($G$2:$G$462,G50,$N$2:$N$462))/_xlfn.STDEV.P(IF($G$2:$G$462=G50,$N$2:$N$462)),0)</f>
        <v/>
      </c>
      <c r="AF50" s="6">
        <f t="array" ref="AF50">IFERROR((O50-AVERAGEIF($G$2:$G$462,G50,$O$2:$O$462))/_xlfn.STDEV.P(IF($G$2:$G$462=G50,$O$2:$O$462)),0)</f>
        <v/>
      </c>
      <c r="AG50" s="6">
        <f t="array" ref="AG50">IFERROR((P50-AVERAGEIF($G$2:$G$462,G50,$P$2:$P$462))/_xlfn.STDEV.P(IF($G$2:$G$462=G50,$P$2:$P$462)),0)</f>
        <v/>
      </c>
      <c r="AH50" s="6">
        <f t="array" ref="AH50">IFERROR((R50-AVERAGEIF($G$2:$G$462,G50,$R$2:$R$462))/_xlfn.STDEV.P(IF($G$2:$G$462=G50,$R$2:$R$462)),0)</f>
        <v/>
      </c>
      <c r="AI50" s="6">
        <f>IFERROR((AC50+AD50+AE50+AF50+AG50+AH50)/6,0)</f>
        <v/>
      </c>
    </row>
    <row r="51">
      <c r="A51" s="2">
        <f>IF(BD_Carga!A52&lt;&gt;"",BD_Carga!A52,"")</f>
        <v/>
      </c>
      <c r="B51">
        <f>IF(A51&lt;&gt;"",YEAR(A51),"")</f>
        <v/>
      </c>
      <c r="C51">
        <f>IF(A51&lt;&gt;"",MONTH(A51),"")</f>
        <v/>
      </c>
      <c r="D51">
        <f>IF(A51&lt;&gt;"",_xlfn.ISOWEEKNUM(A51),"")</f>
        <v/>
      </c>
      <c r="E51">
        <f>IF(A51&lt;&gt;"",TEXT(A51,"dddd"),"")</f>
        <v/>
      </c>
      <c r="F51">
        <f>IF(BD_Carga!C52&lt;&gt;"",BD_Carga!C52,"")</f>
        <v/>
      </c>
      <c r="G51">
        <f>IF(BD_Carga!D52&lt;&gt;"",BD_Carga!D52,"")</f>
        <v/>
      </c>
      <c r="H51">
        <f>IF(BD_Carga!Q52&lt;&gt;"",BD_Carga!Q52,"")</f>
        <v/>
      </c>
      <c r="I51">
        <f>IF(BD_Carga!R52&lt;&gt;"",BD_Carga!R52,"")</f>
        <v/>
      </c>
      <c r="J51">
        <f>IF(BD_Carga!S52&lt;&gt;"",BD_Carga!S52,"")</f>
        <v/>
      </c>
      <c r="K51" s="4">
        <f>IF(BD_Carga!E52&lt;&gt;"",BD_Carga!E52,0)</f>
        <v/>
      </c>
      <c r="L51" s="4">
        <f>IF(BD_Carga!F52&lt;&gt;"",BD_Carga!F52,0)</f>
        <v/>
      </c>
      <c r="M51" s="4">
        <f>IF(BD_Carga!G52&lt;&gt;"",BD_Carga!G52,0)</f>
        <v/>
      </c>
      <c r="N51" s="4">
        <f>IF(BD_Carga!H52&lt;&gt;"",BD_Carga!H52,0)</f>
        <v/>
      </c>
      <c r="O51" s="4">
        <f>IF(BD_Carga!I52&lt;&gt;"",BD_Carga!I52,0)</f>
        <v/>
      </c>
      <c r="P51" s="4">
        <f>IF(BD_Carga!J52&lt;&gt;"",BD_Carga!J52,0)</f>
        <v/>
      </c>
      <c r="Q51" s="5">
        <f>IF(BD_Carga!K52&lt;&gt;"",BD_Carga!K52,0)</f>
        <v/>
      </c>
      <c r="R51" s="5">
        <f>IF(BD_Carga!L52&lt;&gt;"",BD_Carga!L52,0)</f>
        <v/>
      </c>
      <c r="S51">
        <f>IF(BD_Carga!N52&lt;&gt;"",BD_Carga!N52,0)</f>
        <v/>
      </c>
      <c r="T51">
        <f>IF(BD_Carga!O52&lt;&gt;"",BD_Carga!O52,0)</f>
        <v/>
      </c>
      <c r="U51">
        <f>IF(BD_Carga!P52&lt;&gt;"",BD_Carga!P52,0)</f>
        <v/>
      </c>
      <c r="V51">
        <f>IF(BD_Carga!U52&lt;&gt;"",BD_Carga!U52,0)</f>
        <v/>
      </c>
      <c r="W51">
        <f>IF(BD_Carga!T52&lt;&gt;"",BD_Carga!T52,0)</f>
        <v/>
      </c>
      <c r="X51">
        <f>IF(BD_Carga!W52&lt;&gt;"",BD_Carga!W52,0)</f>
        <v/>
      </c>
      <c r="Y51">
        <f>IF(BD_Carga!X52&lt;&gt;"",BD_Carga!X52,0)</f>
        <v/>
      </c>
      <c r="Z51">
        <f>IF(BD_Carga!Y52&lt;&gt;"",BD_Carga!Y52,0)</f>
        <v/>
      </c>
      <c r="AA51">
        <f>IF(BD_Carga!Z52&lt;&gt;"",BD_Carga!Z52,0)</f>
        <v/>
      </c>
      <c r="AB51">
        <f>IF(BD_Carga!AA52&lt;&gt;"",BD_Carga!AA52,0)</f>
        <v/>
      </c>
      <c r="AC51" s="6">
        <f t="array" ref="AC51">IFERROR((L51-AVERAGEIF($G$2:$G$462,G51,$L$2:$L$462))/_xlfn.STDEV.P(IF($G$2:$G$462=G51,$L$2:$L$462)),0)</f>
        <v/>
      </c>
      <c r="AD51" s="6">
        <f t="array" ref="AD51">IFERROR((M51-AVERAGEIF($G$2:$G$462,G51,$M$2:$M$462))/_xlfn.STDEV.P(IF($G$2:$G$462=G51,$M$2:$M$462)),0)</f>
        <v/>
      </c>
      <c r="AE51" s="6">
        <f t="array" ref="AE51">IFERROR((N51-AVERAGEIF($G$2:$G$462,G51,$N$2:$N$462))/_xlfn.STDEV.P(IF($G$2:$G$462=G51,$N$2:$N$462)),0)</f>
        <v/>
      </c>
      <c r="AF51" s="6">
        <f t="array" ref="AF51">IFERROR((O51-AVERAGEIF($G$2:$G$462,G51,$O$2:$O$462))/_xlfn.STDEV.P(IF($G$2:$G$462=G51,$O$2:$O$462)),0)</f>
        <v/>
      </c>
      <c r="AG51" s="6">
        <f t="array" ref="AG51">IFERROR((P51-AVERAGEIF($G$2:$G$462,G51,$P$2:$P$462))/_xlfn.STDEV.P(IF($G$2:$G$462=G51,$P$2:$P$462)),0)</f>
        <v/>
      </c>
      <c r="AH51" s="6">
        <f t="array" ref="AH51">IFERROR((R51-AVERAGEIF($G$2:$G$462,G51,$R$2:$R$462))/_xlfn.STDEV.P(IF($G$2:$G$462=G51,$R$2:$R$462)),0)</f>
        <v/>
      </c>
      <c r="AI51" s="6">
        <f>IFERROR((AC51+AD51+AE51+AF51+AG51+AH51)/6,0)</f>
        <v/>
      </c>
    </row>
    <row r="52">
      <c r="A52" s="2">
        <f>IF(BD_Carga!A53&lt;&gt;"",BD_Carga!A53,"")</f>
        <v/>
      </c>
      <c r="B52">
        <f>IF(A52&lt;&gt;"",YEAR(A52),"")</f>
        <v/>
      </c>
      <c r="C52">
        <f>IF(A52&lt;&gt;"",MONTH(A52),"")</f>
        <v/>
      </c>
      <c r="D52">
        <f>IF(A52&lt;&gt;"",_xlfn.ISOWEEKNUM(A52),"")</f>
        <v/>
      </c>
      <c r="E52">
        <f>IF(A52&lt;&gt;"",TEXT(A52,"dddd"),"")</f>
        <v/>
      </c>
      <c r="F52">
        <f>IF(BD_Carga!C53&lt;&gt;"",BD_Carga!C53,"")</f>
        <v/>
      </c>
      <c r="G52">
        <f>IF(BD_Carga!D53&lt;&gt;"",BD_Carga!D53,"")</f>
        <v/>
      </c>
      <c r="H52">
        <f>IF(BD_Carga!Q53&lt;&gt;"",BD_Carga!Q53,"")</f>
        <v/>
      </c>
      <c r="I52">
        <f>IF(BD_Carga!R53&lt;&gt;"",BD_Carga!R53,"")</f>
        <v/>
      </c>
      <c r="J52">
        <f>IF(BD_Carga!S53&lt;&gt;"",BD_Carga!S53,"")</f>
        <v/>
      </c>
      <c r="K52" s="4">
        <f>IF(BD_Carga!E53&lt;&gt;"",BD_Carga!E53,0)</f>
        <v/>
      </c>
      <c r="L52" s="4">
        <f>IF(BD_Carga!F53&lt;&gt;"",BD_Carga!F53,0)</f>
        <v/>
      </c>
      <c r="M52" s="4">
        <f>IF(BD_Carga!G53&lt;&gt;"",BD_Carga!G53,0)</f>
        <v/>
      </c>
      <c r="N52" s="4">
        <f>IF(BD_Carga!H53&lt;&gt;"",BD_Carga!H53,0)</f>
        <v/>
      </c>
      <c r="O52" s="4">
        <f>IF(BD_Carga!I53&lt;&gt;"",BD_Carga!I53,0)</f>
        <v/>
      </c>
      <c r="P52" s="4">
        <f>IF(BD_Carga!J53&lt;&gt;"",BD_Carga!J53,0)</f>
        <v/>
      </c>
      <c r="Q52" s="5">
        <f>IF(BD_Carga!K53&lt;&gt;"",BD_Carga!K53,0)</f>
        <v/>
      </c>
      <c r="R52" s="5">
        <f>IF(BD_Carga!L53&lt;&gt;"",BD_Carga!L53,0)</f>
        <v/>
      </c>
      <c r="S52">
        <f>IF(BD_Carga!N53&lt;&gt;"",BD_Carga!N53,0)</f>
        <v/>
      </c>
      <c r="T52">
        <f>IF(BD_Carga!O53&lt;&gt;"",BD_Carga!O53,0)</f>
        <v/>
      </c>
      <c r="U52">
        <f>IF(BD_Carga!P53&lt;&gt;"",BD_Carga!P53,0)</f>
        <v/>
      </c>
      <c r="V52">
        <f>IF(BD_Carga!U53&lt;&gt;"",BD_Carga!U53,0)</f>
        <v/>
      </c>
      <c r="W52">
        <f>IF(BD_Carga!T53&lt;&gt;"",BD_Carga!T53,0)</f>
        <v/>
      </c>
      <c r="X52">
        <f>IF(BD_Carga!W53&lt;&gt;"",BD_Carga!W53,0)</f>
        <v/>
      </c>
      <c r="Y52">
        <f>IF(BD_Carga!X53&lt;&gt;"",BD_Carga!X53,0)</f>
        <v/>
      </c>
      <c r="Z52">
        <f>IF(BD_Carga!Y53&lt;&gt;"",BD_Carga!Y53,0)</f>
        <v/>
      </c>
      <c r="AA52">
        <f>IF(BD_Carga!Z53&lt;&gt;"",BD_Carga!Z53,0)</f>
        <v/>
      </c>
      <c r="AB52">
        <f>IF(BD_Carga!AA53&lt;&gt;"",BD_Carga!AA53,0)</f>
        <v/>
      </c>
      <c r="AC52" s="6">
        <f t="array" ref="AC52">IFERROR((L52-AVERAGEIF($G$2:$G$462,G52,$L$2:$L$462))/_xlfn.STDEV.P(IF($G$2:$G$462=G52,$L$2:$L$462)),0)</f>
        <v/>
      </c>
      <c r="AD52" s="6">
        <f t="array" ref="AD52">IFERROR((M52-AVERAGEIF($G$2:$G$462,G52,$M$2:$M$462))/_xlfn.STDEV.P(IF($G$2:$G$462=G52,$M$2:$M$462)),0)</f>
        <v/>
      </c>
      <c r="AE52" s="6">
        <f t="array" ref="AE52">IFERROR((N52-AVERAGEIF($G$2:$G$462,G52,$N$2:$N$462))/_xlfn.STDEV.P(IF($G$2:$G$462=G52,$N$2:$N$462)),0)</f>
        <v/>
      </c>
      <c r="AF52" s="6">
        <f t="array" ref="AF52">IFERROR((O52-AVERAGEIF($G$2:$G$462,G52,$O$2:$O$462))/_xlfn.STDEV.P(IF($G$2:$G$462=G52,$O$2:$O$462)),0)</f>
        <v/>
      </c>
      <c r="AG52" s="6">
        <f t="array" ref="AG52">IFERROR((P52-AVERAGEIF($G$2:$G$462,G52,$P$2:$P$462))/_xlfn.STDEV.P(IF($G$2:$G$462=G52,$P$2:$P$462)),0)</f>
        <v/>
      </c>
      <c r="AH52" s="6">
        <f t="array" ref="AH52">IFERROR((R52-AVERAGEIF($G$2:$G$462,G52,$R$2:$R$462))/_xlfn.STDEV.P(IF($G$2:$G$462=G52,$R$2:$R$462)),0)</f>
        <v/>
      </c>
      <c r="AI52" s="6">
        <f>IFERROR((AC52+AD52+AE52+AF52+AG52+AH52)/6,0)</f>
        <v/>
      </c>
    </row>
    <row r="53">
      <c r="A53" s="2">
        <f>IF(BD_Carga!A54&lt;&gt;"",BD_Carga!A54,"")</f>
        <v/>
      </c>
      <c r="B53">
        <f>IF(A53&lt;&gt;"",YEAR(A53),"")</f>
        <v/>
      </c>
      <c r="C53">
        <f>IF(A53&lt;&gt;"",MONTH(A53),"")</f>
        <v/>
      </c>
      <c r="D53">
        <f>IF(A53&lt;&gt;"",_xlfn.ISOWEEKNUM(A53),"")</f>
        <v/>
      </c>
      <c r="E53">
        <f>IF(A53&lt;&gt;"",TEXT(A53,"dddd"),"")</f>
        <v/>
      </c>
      <c r="F53">
        <f>IF(BD_Carga!C54&lt;&gt;"",BD_Carga!C54,"")</f>
        <v/>
      </c>
      <c r="G53">
        <f>IF(BD_Carga!D54&lt;&gt;"",BD_Carga!D54,"")</f>
        <v/>
      </c>
      <c r="H53">
        <f>IF(BD_Carga!Q54&lt;&gt;"",BD_Carga!Q54,"")</f>
        <v/>
      </c>
      <c r="I53">
        <f>IF(BD_Carga!R54&lt;&gt;"",BD_Carga!R54,"")</f>
        <v/>
      </c>
      <c r="J53">
        <f>IF(BD_Carga!S54&lt;&gt;"",BD_Carga!S54,"")</f>
        <v/>
      </c>
      <c r="K53" s="4">
        <f>IF(BD_Carga!E54&lt;&gt;"",BD_Carga!E54,0)</f>
        <v/>
      </c>
      <c r="L53" s="4">
        <f>IF(BD_Carga!F54&lt;&gt;"",BD_Carga!F54,0)</f>
        <v/>
      </c>
      <c r="M53" s="4">
        <f>IF(BD_Carga!G54&lt;&gt;"",BD_Carga!G54,0)</f>
        <v/>
      </c>
      <c r="N53" s="4">
        <f>IF(BD_Carga!H54&lt;&gt;"",BD_Carga!H54,0)</f>
        <v/>
      </c>
      <c r="O53" s="4">
        <f>IF(BD_Carga!I54&lt;&gt;"",BD_Carga!I54,0)</f>
        <v/>
      </c>
      <c r="P53" s="4">
        <f>IF(BD_Carga!J54&lt;&gt;"",BD_Carga!J54,0)</f>
        <v/>
      </c>
      <c r="Q53" s="5">
        <f>IF(BD_Carga!K54&lt;&gt;"",BD_Carga!K54,0)</f>
        <v/>
      </c>
      <c r="R53" s="5">
        <f>IF(BD_Carga!L54&lt;&gt;"",BD_Carga!L54,0)</f>
        <v/>
      </c>
      <c r="S53">
        <f>IF(BD_Carga!N54&lt;&gt;"",BD_Carga!N54,0)</f>
        <v/>
      </c>
      <c r="T53">
        <f>IF(BD_Carga!O54&lt;&gt;"",BD_Carga!O54,0)</f>
        <v/>
      </c>
      <c r="U53">
        <f>IF(BD_Carga!P54&lt;&gt;"",BD_Carga!P54,0)</f>
        <v/>
      </c>
      <c r="V53">
        <f>IF(BD_Carga!U54&lt;&gt;"",BD_Carga!U54,0)</f>
        <v/>
      </c>
      <c r="W53">
        <f>IF(BD_Carga!T54&lt;&gt;"",BD_Carga!T54,0)</f>
        <v/>
      </c>
      <c r="X53">
        <f>IF(BD_Carga!W54&lt;&gt;"",BD_Carga!W54,0)</f>
        <v/>
      </c>
      <c r="Y53">
        <f>IF(BD_Carga!X54&lt;&gt;"",BD_Carga!X54,0)</f>
        <v/>
      </c>
      <c r="Z53">
        <f>IF(BD_Carga!Y54&lt;&gt;"",BD_Carga!Y54,0)</f>
        <v/>
      </c>
      <c r="AA53">
        <f>IF(BD_Carga!Z54&lt;&gt;"",BD_Carga!Z54,0)</f>
        <v/>
      </c>
      <c r="AB53">
        <f>IF(BD_Carga!AA54&lt;&gt;"",BD_Carga!AA54,0)</f>
        <v/>
      </c>
      <c r="AC53" s="6">
        <f t="array" ref="AC53">IFERROR((L53-AVERAGEIF($G$2:$G$462,G53,$L$2:$L$462))/_xlfn.STDEV.P(IF($G$2:$G$462=G53,$L$2:$L$462)),0)</f>
        <v/>
      </c>
      <c r="AD53" s="6">
        <f t="array" ref="AD53">IFERROR((M53-AVERAGEIF($G$2:$G$462,G53,$M$2:$M$462))/_xlfn.STDEV.P(IF($G$2:$G$462=G53,$M$2:$M$462)),0)</f>
        <v/>
      </c>
      <c r="AE53" s="6">
        <f t="array" ref="AE53">IFERROR((N53-AVERAGEIF($G$2:$G$462,G53,$N$2:$N$462))/_xlfn.STDEV.P(IF($G$2:$G$462=G53,$N$2:$N$462)),0)</f>
        <v/>
      </c>
      <c r="AF53" s="6">
        <f t="array" ref="AF53">IFERROR((O53-AVERAGEIF($G$2:$G$462,G53,$O$2:$O$462))/_xlfn.STDEV.P(IF($G$2:$G$462=G53,$O$2:$O$462)),0)</f>
        <v/>
      </c>
      <c r="AG53" s="6">
        <f t="array" ref="AG53">IFERROR((P53-AVERAGEIF($G$2:$G$462,G53,$P$2:$P$462))/_xlfn.STDEV.P(IF($G$2:$G$462=G53,$P$2:$P$462)),0)</f>
        <v/>
      </c>
      <c r="AH53" s="6">
        <f t="array" ref="AH53">IFERROR((R53-AVERAGEIF($G$2:$G$462,G53,$R$2:$R$462))/_xlfn.STDEV.P(IF($G$2:$G$462=G53,$R$2:$R$462)),0)</f>
        <v/>
      </c>
      <c r="AI53" s="6">
        <f>IFERROR((AC53+AD53+AE53+AF53+AG53+AH53)/6,0)</f>
        <v/>
      </c>
    </row>
    <row r="54">
      <c r="A54" s="2">
        <f>IF(BD_Carga!A55&lt;&gt;"",BD_Carga!A55,"")</f>
        <v/>
      </c>
      <c r="B54">
        <f>IF(A54&lt;&gt;"",YEAR(A54),"")</f>
        <v/>
      </c>
      <c r="C54">
        <f>IF(A54&lt;&gt;"",MONTH(A54),"")</f>
        <v/>
      </c>
      <c r="D54">
        <f>IF(A54&lt;&gt;"",_xlfn.ISOWEEKNUM(A54),"")</f>
        <v/>
      </c>
      <c r="E54">
        <f>IF(A54&lt;&gt;"",TEXT(A54,"dddd"),"")</f>
        <v/>
      </c>
      <c r="F54">
        <f>IF(BD_Carga!C55&lt;&gt;"",BD_Carga!C55,"")</f>
        <v/>
      </c>
      <c r="G54">
        <f>IF(BD_Carga!D55&lt;&gt;"",BD_Carga!D55,"")</f>
        <v/>
      </c>
      <c r="H54">
        <f>IF(BD_Carga!Q55&lt;&gt;"",BD_Carga!Q55,"")</f>
        <v/>
      </c>
      <c r="I54">
        <f>IF(BD_Carga!R55&lt;&gt;"",BD_Carga!R55,"")</f>
        <v/>
      </c>
      <c r="J54">
        <f>IF(BD_Carga!S55&lt;&gt;"",BD_Carga!S55,"")</f>
        <v/>
      </c>
      <c r="K54" s="4">
        <f>IF(BD_Carga!E55&lt;&gt;"",BD_Carga!E55,0)</f>
        <v/>
      </c>
      <c r="L54" s="4">
        <f>IF(BD_Carga!F55&lt;&gt;"",BD_Carga!F55,0)</f>
        <v/>
      </c>
      <c r="M54" s="4">
        <f>IF(BD_Carga!G55&lt;&gt;"",BD_Carga!G55,0)</f>
        <v/>
      </c>
      <c r="N54" s="4">
        <f>IF(BD_Carga!H55&lt;&gt;"",BD_Carga!H55,0)</f>
        <v/>
      </c>
      <c r="O54" s="4">
        <f>IF(BD_Carga!I55&lt;&gt;"",BD_Carga!I55,0)</f>
        <v/>
      </c>
      <c r="P54" s="4">
        <f>IF(BD_Carga!J55&lt;&gt;"",BD_Carga!J55,0)</f>
        <v/>
      </c>
      <c r="Q54" s="5">
        <f>IF(BD_Carga!K55&lt;&gt;"",BD_Carga!K55,0)</f>
        <v/>
      </c>
      <c r="R54" s="5">
        <f>IF(BD_Carga!L55&lt;&gt;"",BD_Carga!L55,0)</f>
        <v/>
      </c>
      <c r="S54">
        <f>IF(BD_Carga!N55&lt;&gt;"",BD_Carga!N55,0)</f>
        <v/>
      </c>
      <c r="T54">
        <f>IF(BD_Carga!O55&lt;&gt;"",BD_Carga!O55,0)</f>
        <v/>
      </c>
      <c r="U54">
        <f>IF(BD_Carga!P55&lt;&gt;"",BD_Carga!P55,0)</f>
        <v/>
      </c>
      <c r="V54">
        <f>IF(BD_Carga!U55&lt;&gt;"",BD_Carga!U55,0)</f>
        <v/>
      </c>
      <c r="W54">
        <f>IF(BD_Carga!T55&lt;&gt;"",BD_Carga!T55,0)</f>
        <v/>
      </c>
      <c r="X54">
        <f>IF(BD_Carga!W55&lt;&gt;"",BD_Carga!W55,0)</f>
        <v/>
      </c>
      <c r="Y54">
        <f>IF(BD_Carga!X55&lt;&gt;"",BD_Carga!X55,0)</f>
        <v/>
      </c>
      <c r="Z54">
        <f>IF(BD_Carga!Y55&lt;&gt;"",BD_Carga!Y55,0)</f>
        <v/>
      </c>
      <c r="AA54">
        <f>IF(BD_Carga!Z55&lt;&gt;"",BD_Carga!Z55,0)</f>
        <v/>
      </c>
      <c r="AB54">
        <f>IF(BD_Carga!AA55&lt;&gt;"",BD_Carga!AA55,0)</f>
        <v/>
      </c>
      <c r="AC54" s="6">
        <f t="array" ref="AC54">IFERROR((L54-AVERAGEIF($G$2:$G$462,G54,$L$2:$L$462))/_xlfn.STDEV.P(IF($G$2:$G$462=G54,$L$2:$L$462)),0)</f>
        <v/>
      </c>
      <c r="AD54" s="6">
        <f t="array" ref="AD54">IFERROR((M54-AVERAGEIF($G$2:$G$462,G54,$M$2:$M$462))/_xlfn.STDEV.P(IF($G$2:$G$462=G54,$M$2:$M$462)),0)</f>
        <v/>
      </c>
      <c r="AE54" s="6">
        <f t="array" ref="AE54">IFERROR((N54-AVERAGEIF($G$2:$G$462,G54,$N$2:$N$462))/_xlfn.STDEV.P(IF($G$2:$G$462=G54,$N$2:$N$462)),0)</f>
        <v/>
      </c>
      <c r="AF54" s="6">
        <f t="array" ref="AF54">IFERROR((O54-AVERAGEIF($G$2:$G$462,G54,$O$2:$O$462))/_xlfn.STDEV.P(IF($G$2:$G$462=G54,$O$2:$O$462)),0)</f>
        <v/>
      </c>
      <c r="AG54" s="6">
        <f t="array" ref="AG54">IFERROR((P54-AVERAGEIF($G$2:$G$462,G54,$P$2:$P$462))/_xlfn.STDEV.P(IF($G$2:$G$462=G54,$P$2:$P$462)),0)</f>
        <v/>
      </c>
      <c r="AH54" s="6">
        <f t="array" ref="AH54">IFERROR((R54-AVERAGEIF($G$2:$G$462,G54,$R$2:$R$462))/_xlfn.STDEV.P(IF($G$2:$G$462=G54,$R$2:$R$462)),0)</f>
        <v/>
      </c>
      <c r="AI54" s="6">
        <f>IFERROR((AC54+AD54+AE54+AF54+AG54+AH54)/6,0)</f>
        <v/>
      </c>
    </row>
    <row r="55">
      <c r="A55" s="2">
        <f>IF(BD_Carga!A56&lt;&gt;"",BD_Carga!A56,"")</f>
        <v/>
      </c>
      <c r="B55">
        <f>IF(A55&lt;&gt;"",YEAR(A55),"")</f>
        <v/>
      </c>
      <c r="C55">
        <f>IF(A55&lt;&gt;"",MONTH(A55),"")</f>
        <v/>
      </c>
      <c r="D55">
        <f>IF(A55&lt;&gt;"",_xlfn.ISOWEEKNUM(A55),"")</f>
        <v/>
      </c>
      <c r="E55">
        <f>IF(A55&lt;&gt;"",TEXT(A55,"dddd"),"")</f>
        <v/>
      </c>
      <c r="F55">
        <f>IF(BD_Carga!C56&lt;&gt;"",BD_Carga!C56,"")</f>
        <v/>
      </c>
      <c r="G55">
        <f>IF(BD_Carga!D56&lt;&gt;"",BD_Carga!D56,"")</f>
        <v/>
      </c>
      <c r="H55">
        <f>IF(BD_Carga!Q56&lt;&gt;"",BD_Carga!Q56,"")</f>
        <v/>
      </c>
      <c r="I55">
        <f>IF(BD_Carga!R56&lt;&gt;"",BD_Carga!R56,"")</f>
        <v/>
      </c>
      <c r="J55">
        <f>IF(BD_Carga!S56&lt;&gt;"",BD_Carga!S56,"")</f>
        <v/>
      </c>
      <c r="K55" s="4">
        <f>IF(BD_Carga!E56&lt;&gt;"",BD_Carga!E56,0)</f>
        <v/>
      </c>
      <c r="L55" s="4">
        <f>IF(BD_Carga!F56&lt;&gt;"",BD_Carga!F56,0)</f>
        <v/>
      </c>
      <c r="M55" s="4">
        <f>IF(BD_Carga!G56&lt;&gt;"",BD_Carga!G56,0)</f>
        <v/>
      </c>
      <c r="N55" s="4">
        <f>IF(BD_Carga!H56&lt;&gt;"",BD_Carga!H56,0)</f>
        <v/>
      </c>
      <c r="O55" s="4">
        <f>IF(BD_Carga!I56&lt;&gt;"",BD_Carga!I56,0)</f>
        <v/>
      </c>
      <c r="P55" s="4">
        <f>IF(BD_Carga!J56&lt;&gt;"",BD_Carga!J56,0)</f>
        <v/>
      </c>
      <c r="Q55" s="5">
        <f>IF(BD_Carga!K56&lt;&gt;"",BD_Carga!K56,0)</f>
        <v/>
      </c>
      <c r="R55" s="5">
        <f>IF(BD_Carga!L56&lt;&gt;"",BD_Carga!L56,0)</f>
        <v/>
      </c>
      <c r="S55">
        <f>IF(BD_Carga!N56&lt;&gt;"",BD_Carga!N56,0)</f>
        <v/>
      </c>
      <c r="T55">
        <f>IF(BD_Carga!O56&lt;&gt;"",BD_Carga!O56,0)</f>
        <v/>
      </c>
      <c r="U55">
        <f>IF(BD_Carga!P56&lt;&gt;"",BD_Carga!P56,0)</f>
        <v/>
      </c>
      <c r="V55">
        <f>IF(BD_Carga!U56&lt;&gt;"",BD_Carga!U56,0)</f>
        <v/>
      </c>
      <c r="W55">
        <f>IF(BD_Carga!T56&lt;&gt;"",BD_Carga!T56,0)</f>
        <v/>
      </c>
      <c r="X55">
        <f>IF(BD_Carga!W56&lt;&gt;"",BD_Carga!W56,0)</f>
        <v/>
      </c>
      <c r="Y55">
        <f>IF(BD_Carga!X56&lt;&gt;"",BD_Carga!X56,0)</f>
        <v/>
      </c>
      <c r="Z55">
        <f>IF(BD_Carga!Y56&lt;&gt;"",BD_Carga!Y56,0)</f>
        <v/>
      </c>
      <c r="AA55">
        <f>IF(BD_Carga!Z56&lt;&gt;"",BD_Carga!Z56,0)</f>
        <v/>
      </c>
      <c r="AB55">
        <f>IF(BD_Carga!AA56&lt;&gt;"",BD_Carga!AA56,0)</f>
        <v/>
      </c>
      <c r="AC55" s="6">
        <f t="array" ref="AC55">IFERROR((L55-AVERAGEIF($G$2:$G$462,G55,$L$2:$L$462))/_xlfn.STDEV.P(IF($G$2:$G$462=G55,$L$2:$L$462)),0)</f>
        <v/>
      </c>
      <c r="AD55" s="6">
        <f t="array" ref="AD55">IFERROR((M55-AVERAGEIF($G$2:$G$462,G55,$M$2:$M$462))/_xlfn.STDEV.P(IF($G$2:$G$462=G55,$M$2:$M$462)),0)</f>
        <v/>
      </c>
      <c r="AE55" s="6">
        <f t="array" ref="AE55">IFERROR((N55-AVERAGEIF($G$2:$G$462,G55,$N$2:$N$462))/_xlfn.STDEV.P(IF($G$2:$G$462=G55,$N$2:$N$462)),0)</f>
        <v/>
      </c>
      <c r="AF55" s="6">
        <f t="array" ref="AF55">IFERROR((O55-AVERAGEIF($G$2:$G$462,G55,$O$2:$O$462))/_xlfn.STDEV.P(IF($G$2:$G$462=G55,$O$2:$O$462)),0)</f>
        <v/>
      </c>
      <c r="AG55" s="6">
        <f t="array" ref="AG55">IFERROR((P55-AVERAGEIF($G$2:$G$462,G55,$P$2:$P$462))/_xlfn.STDEV.P(IF($G$2:$G$462=G55,$P$2:$P$462)),0)</f>
        <v/>
      </c>
      <c r="AH55" s="6">
        <f t="array" ref="AH55">IFERROR((R55-AVERAGEIF($G$2:$G$462,G55,$R$2:$R$462))/_xlfn.STDEV.P(IF($G$2:$G$462=G55,$R$2:$R$462)),0)</f>
        <v/>
      </c>
      <c r="AI55" s="6">
        <f>IFERROR((AC55+AD55+AE55+AF55+AG55+AH55)/6,0)</f>
        <v/>
      </c>
    </row>
    <row r="56">
      <c r="A56" s="2">
        <f>IF(BD_Carga!A57&lt;&gt;"",BD_Carga!A57,"")</f>
        <v/>
      </c>
      <c r="B56">
        <f>IF(A56&lt;&gt;"",YEAR(A56),"")</f>
        <v/>
      </c>
      <c r="C56">
        <f>IF(A56&lt;&gt;"",MONTH(A56),"")</f>
        <v/>
      </c>
      <c r="D56">
        <f>IF(A56&lt;&gt;"",_xlfn.ISOWEEKNUM(A56),"")</f>
        <v/>
      </c>
      <c r="E56">
        <f>IF(A56&lt;&gt;"",TEXT(A56,"dddd"),"")</f>
        <v/>
      </c>
      <c r="F56">
        <f>IF(BD_Carga!C57&lt;&gt;"",BD_Carga!C57,"")</f>
        <v/>
      </c>
      <c r="G56">
        <f>IF(BD_Carga!D57&lt;&gt;"",BD_Carga!D57,"")</f>
        <v/>
      </c>
      <c r="H56">
        <f>IF(BD_Carga!Q57&lt;&gt;"",BD_Carga!Q57,"")</f>
        <v/>
      </c>
      <c r="I56">
        <f>IF(BD_Carga!R57&lt;&gt;"",BD_Carga!R57,"")</f>
        <v/>
      </c>
      <c r="J56">
        <f>IF(BD_Carga!S57&lt;&gt;"",BD_Carga!S57,"")</f>
        <v/>
      </c>
      <c r="K56" s="4">
        <f>IF(BD_Carga!E57&lt;&gt;"",BD_Carga!E57,0)</f>
        <v/>
      </c>
      <c r="L56" s="4">
        <f>IF(BD_Carga!F57&lt;&gt;"",BD_Carga!F57,0)</f>
        <v/>
      </c>
      <c r="M56" s="4">
        <f>IF(BD_Carga!G57&lt;&gt;"",BD_Carga!G57,0)</f>
        <v/>
      </c>
      <c r="N56" s="4">
        <f>IF(BD_Carga!H57&lt;&gt;"",BD_Carga!H57,0)</f>
        <v/>
      </c>
      <c r="O56" s="4">
        <f>IF(BD_Carga!I57&lt;&gt;"",BD_Carga!I57,0)</f>
        <v/>
      </c>
      <c r="P56" s="4">
        <f>IF(BD_Carga!J57&lt;&gt;"",BD_Carga!J57,0)</f>
        <v/>
      </c>
      <c r="Q56" s="5">
        <f>IF(BD_Carga!K57&lt;&gt;"",BD_Carga!K57,0)</f>
        <v/>
      </c>
      <c r="R56" s="5">
        <f>IF(BD_Carga!L57&lt;&gt;"",BD_Carga!L57,0)</f>
        <v/>
      </c>
      <c r="S56">
        <f>IF(BD_Carga!N57&lt;&gt;"",BD_Carga!N57,0)</f>
        <v/>
      </c>
      <c r="T56">
        <f>IF(BD_Carga!O57&lt;&gt;"",BD_Carga!O57,0)</f>
        <v/>
      </c>
      <c r="U56">
        <f>IF(BD_Carga!P57&lt;&gt;"",BD_Carga!P57,0)</f>
        <v/>
      </c>
      <c r="V56">
        <f>IF(BD_Carga!U57&lt;&gt;"",BD_Carga!U57,0)</f>
        <v/>
      </c>
      <c r="W56">
        <f>IF(BD_Carga!T57&lt;&gt;"",BD_Carga!T57,0)</f>
        <v/>
      </c>
      <c r="X56">
        <f>IF(BD_Carga!W57&lt;&gt;"",BD_Carga!W57,0)</f>
        <v/>
      </c>
      <c r="Y56">
        <f>IF(BD_Carga!X57&lt;&gt;"",BD_Carga!X57,0)</f>
        <v/>
      </c>
      <c r="Z56">
        <f>IF(BD_Carga!Y57&lt;&gt;"",BD_Carga!Y57,0)</f>
        <v/>
      </c>
      <c r="AA56">
        <f>IF(BD_Carga!Z57&lt;&gt;"",BD_Carga!Z57,0)</f>
        <v/>
      </c>
      <c r="AB56">
        <f>IF(BD_Carga!AA57&lt;&gt;"",BD_Carga!AA57,0)</f>
        <v/>
      </c>
      <c r="AC56" s="6">
        <f t="array" ref="AC56">IFERROR((L56-AVERAGEIF($G$2:$G$462,G56,$L$2:$L$462))/_xlfn.STDEV.P(IF($G$2:$G$462=G56,$L$2:$L$462)),0)</f>
        <v/>
      </c>
      <c r="AD56" s="6">
        <f t="array" ref="AD56">IFERROR((M56-AVERAGEIF($G$2:$G$462,G56,$M$2:$M$462))/_xlfn.STDEV.P(IF($G$2:$G$462=G56,$M$2:$M$462)),0)</f>
        <v/>
      </c>
      <c r="AE56" s="6">
        <f t="array" ref="AE56">IFERROR((N56-AVERAGEIF($G$2:$G$462,G56,$N$2:$N$462))/_xlfn.STDEV.P(IF($G$2:$G$462=G56,$N$2:$N$462)),0)</f>
        <v/>
      </c>
      <c r="AF56" s="6">
        <f t="array" ref="AF56">IFERROR((O56-AVERAGEIF($G$2:$G$462,G56,$O$2:$O$462))/_xlfn.STDEV.P(IF($G$2:$G$462=G56,$O$2:$O$462)),0)</f>
        <v/>
      </c>
      <c r="AG56" s="6">
        <f t="array" ref="AG56">IFERROR((P56-AVERAGEIF($G$2:$G$462,G56,$P$2:$P$462))/_xlfn.STDEV.P(IF($G$2:$G$462=G56,$P$2:$P$462)),0)</f>
        <v/>
      </c>
      <c r="AH56" s="6">
        <f t="array" ref="AH56">IFERROR((R56-AVERAGEIF($G$2:$G$462,G56,$R$2:$R$462))/_xlfn.STDEV.P(IF($G$2:$G$462=G56,$R$2:$R$462)),0)</f>
        <v/>
      </c>
      <c r="AI56" s="6">
        <f>IFERROR((AC56+AD56+AE56+AF56+AG56+AH56)/6,0)</f>
        <v/>
      </c>
    </row>
    <row r="57">
      <c r="A57" s="2">
        <f>IF(BD_Carga!A58&lt;&gt;"",BD_Carga!A58,"")</f>
        <v/>
      </c>
      <c r="B57">
        <f>IF(A57&lt;&gt;"",YEAR(A57),"")</f>
        <v/>
      </c>
      <c r="C57">
        <f>IF(A57&lt;&gt;"",MONTH(A57),"")</f>
        <v/>
      </c>
      <c r="D57">
        <f>IF(A57&lt;&gt;"",_xlfn.ISOWEEKNUM(A57),"")</f>
        <v/>
      </c>
      <c r="E57">
        <f>IF(A57&lt;&gt;"",TEXT(A57,"dddd"),"")</f>
        <v/>
      </c>
      <c r="F57">
        <f>IF(BD_Carga!C58&lt;&gt;"",BD_Carga!C58,"")</f>
        <v/>
      </c>
      <c r="G57">
        <f>IF(BD_Carga!D58&lt;&gt;"",BD_Carga!D58,"")</f>
        <v/>
      </c>
      <c r="H57">
        <f>IF(BD_Carga!Q58&lt;&gt;"",BD_Carga!Q58,"")</f>
        <v/>
      </c>
      <c r="I57">
        <f>IF(BD_Carga!R58&lt;&gt;"",BD_Carga!R58,"")</f>
        <v/>
      </c>
      <c r="J57">
        <f>IF(BD_Carga!S58&lt;&gt;"",BD_Carga!S58,"")</f>
        <v/>
      </c>
      <c r="K57" s="4">
        <f>IF(BD_Carga!E58&lt;&gt;"",BD_Carga!E58,0)</f>
        <v/>
      </c>
      <c r="L57" s="4">
        <f>IF(BD_Carga!F58&lt;&gt;"",BD_Carga!F58,0)</f>
        <v/>
      </c>
      <c r="M57" s="4">
        <f>IF(BD_Carga!G58&lt;&gt;"",BD_Carga!G58,0)</f>
        <v/>
      </c>
      <c r="N57" s="4">
        <f>IF(BD_Carga!H58&lt;&gt;"",BD_Carga!H58,0)</f>
        <v/>
      </c>
      <c r="O57" s="4">
        <f>IF(BD_Carga!I58&lt;&gt;"",BD_Carga!I58,0)</f>
        <v/>
      </c>
      <c r="P57" s="4">
        <f>IF(BD_Carga!J58&lt;&gt;"",BD_Carga!J58,0)</f>
        <v/>
      </c>
      <c r="Q57" s="5">
        <f>IF(BD_Carga!K58&lt;&gt;"",BD_Carga!K58,0)</f>
        <v/>
      </c>
      <c r="R57" s="5">
        <f>IF(BD_Carga!L58&lt;&gt;"",BD_Carga!L58,0)</f>
        <v/>
      </c>
      <c r="S57">
        <f>IF(BD_Carga!N58&lt;&gt;"",BD_Carga!N58,0)</f>
        <v/>
      </c>
      <c r="T57">
        <f>IF(BD_Carga!O58&lt;&gt;"",BD_Carga!O58,0)</f>
        <v/>
      </c>
      <c r="U57">
        <f>IF(BD_Carga!P58&lt;&gt;"",BD_Carga!P58,0)</f>
        <v/>
      </c>
      <c r="V57">
        <f>IF(BD_Carga!U58&lt;&gt;"",BD_Carga!U58,0)</f>
        <v/>
      </c>
      <c r="W57">
        <f>IF(BD_Carga!T58&lt;&gt;"",BD_Carga!T58,0)</f>
        <v/>
      </c>
      <c r="X57">
        <f>IF(BD_Carga!W58&lt;&gt;"",BD_Carga!W58,0)</f>
        <v/>
      </c>
      <c r="Y57">
        <f>IF(BD_Carga!X58&lt;&gt;"",BD_Carga!X58,0)</f>
        <v/>
      </c>
      <c r="Z57">
        <f>IF(BD_Carga!Y58&lt;&gt;"",BD_Carga!Y58,0)</f>
        <v/>
      </c>
      <c r="AA57">
        <f>IF(BD_Carga!Z58&lt;&gt;"",BD_Carga!Z58,0)</f>
        <v/>
      </c>
      <c r="AB57">
        <f>IF(BD_Carga!AA58&lt;&gt;"",BD_Carga!AA58,0)</f>
        <v/>
      </c>
      <c r="AC57" s="6">
        <f t="array" ref="AC57">IFERROR((L57-AVERAGEIF($G$2:$G$462,G57,$L$2:$L$462))/_xlfn.STDEV.P(IF($G$2:$G$462=G57,$L$2:$L$462)),0)</f>
        <v/>
      </c>
      <c r="AD57" s="6">
        <f t="array" ref="AD57">IFERROR((M57-AVERAGEIF($G$2:$G$462,G57,$M$2:$M$462))/_xlfn.STDEV.P(IF($G$2:$G$462=G57,$M$2:$M$462)),0)</f>
        <v/>
      </c>
      <c r="AE57" s="6">
        <f t="array" ref="AE57">IFERROR((N57-AVERAGEIF($G$2:$G$462,G57,$N$2:$N$462))/_xlfn.STDEV.P(IF($G$2:$G$462=G57,$N$2:$N$462)),0)</f>
        <v/>
      </c>
      <c r="AF57" s="6">
        <f t="array" ref="AF57">IFERROR((O57-AVERAGEIF($G$2:$G$462,G57,$O$2:$O$462))/_xlfn.STDEV.P(IF($G$2:$G$462=G57,$O$2:$O$462)),0)</f>
        <v/>
      </c>
      <c r="AG57" s="6">
        <f t="array" ref="AG57">IFERROR((P57-AVERAGEIF($G$2:$G$462,G57,$P$2:$P$462))/_xlfn.STDEV.P(IF($G$2:$G$462=G57,$P$2:$P$462)),0)</f>
        <v/>
      </c>
      <c r="AH57" s="6">
        <f t="array" ref="AH57">IFERROR((R57-AVERAGEIF($G$2:$G$462,G57,$R$2:$R$462))/_xlfn.STDEV.P(IF($G$2:$G$462=G57,$R$2:$R$462)),0)</f>
        <v/>
      </c>
      <c r="AI57" s="6">
        <f>IFERROR((AC57+AD57+AE57+AF57+AG57+AH57)/6,0)</f>
        <v/>
      </c>
    </row>
    <row r="58">
      <c r="A58" s="2">
        <f>IF(BD_Carga!A59&lt;&gt;"",BD_Carga!A59,"")</f>
        <v/>
      </c>
      <c r="B58">
        <f>IF(A58&lt;&gt;"",YEAR(A58),"")</f>
        <v/>
      </c>
      <c r="C58">
        <f>IF(A58&lt;&gt;"",MONTH(A58),"")</f>
        <v/>
      </c>
      <c r="D58">
        <f>IF(A58&lt;&gt;"",_xlfn.ISOWEEKNUM(A58),"")</f>
        <v/>
      </c>
      <c r="E58">
        <f>IF(A58&lt;&gt;"",TEXT(A58,"dddd"),"")</f>
        <v/>
      </c>
      <c r="F58">
        <f>IF(BD_Carga!C59&lt;&gt;"",BD_Carga!C59,"")</f>
        <v/>
      </c>
      <c r="G58">
        <f>IF(BD_Carga!D59&lt;&gt;"",BD_Carga!D59,"")</f>
        <v/>
      </c>
      <c r="H58">
        <f>IF(BD_Carga!Q59&lt;&gt;"",BD_Carga!Q59,"")</f>
        <v/>
      </c>
      <c r="I58">
        <f>IF(BD_Carga!R59&lt;&gt;"",BD_Carga!R59,"")</f>
        <v/>
      </c>
      <c r="J58">
        <f>IF(BD_Carga!S59&lt;&gt;"",BD_Carga!S59,"")</f>
        <v/>
      </c>
      <c r="K58" s="4">
        <f>IF(BD_Carga!E59&lt;&gt;"",BD_Carga!E59,0)</f>
        <v/>
      </c>
      <c r="L58" s="4">
        <f>IF(BD_Carga!F59&lt;&gt;"",BD_Carga!F59,0)</f>
        <v/>
      </c>
      <c r="M58" s="4">
        <f>IF(BD_Carga!G59&lt;&gt;"",BD_Carga!G59,0)</f>
        <v/>
      </c>
      <c r="N58" s="4">
        <f>IF(BD_Carga!H59&lt;&gt;"",BD_Carga!H59,0)</f>
        <v/>
      </c>
      <c r="O58" s="4">
        <f>IF(BD_Carga!I59&lt;&gt;"",BD_Carga!I59,0)</f>
        <v/>
      </c>
      <c r="P58" s="4">
        <f>IF(BD_Carga!J59&lt;&gt;"",BD_Carga!J59,0)</f>
        <v/>
      </c>
      <c r="Q58" s="5">
        <f>IF(BD_Carga!K59&lt;&gt;"",BD_Carga!K59,0)</f>
        <v/>
      </c>
      <c r="R58" s="5">
        <f>IF(BD_Carga!L59&lt;&gt;"",BD_Carga!L59,0)</f>
        <v/>
      </c>
      <c r="S58">
        <f>IF(BD_Carga!N59&lt;&gt;"",BD_Carga!N59,0)</f>
        <v/>
      </c>
      <c r="T58">
        <f>IF(BD_Carga!O59&lt;&gt;"",BD_Carga!O59,0)</f>
        <v/>
      </c>
      <c r="U58">
        <f>IF(BD_Carga!P59&lt;&gt;"",BD_Carga!P59,0)</f>
        <v/>
      </c>
      <c r="V58">
        <f>IF(BD_Carga!U59&lt;&gt;"",BD_Carga!U59,0)</f>
        <v/>
      </c>
      <c r="W58">
        <f>IF(BD_Carga!T59&lt;&gt;"",BD_Carga!T59,0)</f>
        <v/>
      </c>
      <c r="X58">
        <f>IF(BD_Carga!W59&lt;&gt;"",BD_Carga!W59,0)</f>
        <v/>
      </c>
      <c r="Y58">
        <f>IF(BD_Carga!X59&lt;&gt;"",BD_Carga!X59,0)</f>
        <v/>
      </c>
      <c r="Z58">
        <f>IF(BD_Carga!Y59&lt;&gt;"",BD_Carga!Y59,0)</f>
        <v/>
      </c>
      <c r="AA58">
        <f>IF(BD_Carga!Z59&lt;&gt;"",BD_Carga!Z59,0)</f>
        <v/>
      </c>
      <c r="AB58">
        <f>IF(BD_Carga!AA59&lt;&gt;"",BD_Carga!AA59,0)</f>
        <v/>
      </c>
      <c r="AC58" s="6">
        <f t="array" ref="AC58">IFERROR((L58-AVERAGEIF($G$2:$G$462,G58,$L$2:$L$462))/_xlfn.STDEV.P(IF($G$2:$G$462=G58,$L$2:$L$462)),0)</f>
        <v/>
      </c>
      <c r="AD58" s="6">
        <f t="array" ref="AD58">IFERROR((M58-AVERAGEIF($G$2:$G$462,G58,$M$2:$M$462))/_xlfn.STDEV.P(IF($G$2:$G$462=G58,$M$2:$M$462)),0)</f>
        <v/>
      </c>
      <c r="AE58" s="6">
        <f t="array" ref="AE58">IFERROR((N58-AVERAGEIF($G$2:$G$462,G58,$N$2:$N$462))/_xlfn.STDEV.P(IF($G$2:$G$462=G58,$N$2:$N$462)),0)</f>
        <v/>
      </c>
      <c r="AF58" s="6">
        <f t="array" ref="AF58">IFERROR((O58-AVERAGEIF($G$2:$G$462,G58,$O$2:$O$462))/_xlfn.STDEV.P(IF($G$2:$G$462=G58,$O$2:$O$462)),0)</f>
        <v/>
      </c>
      <c r="AG58" s="6">
        <f t="array" ref="AG58">IFERROR((P58-AVERAGEIF($G$2:$G$462,G58,$P$2:$P$462))/_xlfn.STDEV.P(IF($G$2:$G$462=G58,$P$2:$P$462)),0)</f>
        <v/>
      </c>
      <c r="AH58" s="6">
        <f t="array" ref="AH58">IFERROR((R58-AVERAGEIF($G$2:$G$462,G58,$R$2:$R$462))/_xlfn.STDEV.P(IF($G$2:$G$462=G58,$R$2:$R$462)),0)</f>
        <v/>
      </c>
      <c r="AI58" s="6">
        <f>IFERROR((AC58+AD58+AE58+AF58+AG58+AH58)/6,0)</f>
        <v/>
      </c>
    </row>
    <row r="59">
      <c r="A59" s="2">
        <f>IF(BD_Carga!A60&lt;&gt;"",BD_Carga!A60,"")</f>
        <v/>
      </c>
      <c r="B59">
        <f>IF(A59&lt;&gt;"",YEAR(A59),"")</f>
        <v/>
      </c>
      <c r="C59">
        <f>IF(A59&lt;&gt;"",MONTH(A59),"")</f>
        <v/>
      </c>
      <c r="D59">
        <f>IF(A59&lt;&gt;"",_xlfn.ISOWEEKNUM(A59),"")</f>
        <v/>
      </c>
      <c r="E59">
        <f>IF(A59&lt;&gt;"",TEXT(A59,"dddd"),"")</f>
        <v/>
      </c>
      <c r="F59">
        <f>IF(BD_Carga!C60&lt;&gt;"",BD_Carga!C60,"")</f>
        <v/>
      </c>
      <c r="G59">
        <f>IF(BD_Carga!D60&lt;&gt;"",BD_Carga!D60,"")</f>
        <v/>
      </c>
      <c r="H59">
        <f>IF(BD_Carga!Q60&lt;&gt;"",BD_Carga!Q60,"")</f>
        <v/>
      </c>
      <c r="I59">
        <f>IF(BD_Carga!R60&lt;&gt;"",BD_Carga!R60,"")</f>
        <v/>
      </c>
      <c r="J59">
        <f>IF(BD_Carga!S60&lt;&gt;"",BD_Carga!S60,"")</f>
        <v/>
      </c>
      <c r="K59" s="4">
        <f>IF(BD_Carga!E60&lt;&gt;"",BD_Carga!E60,0)</f>
        <v/>
      </c>
      <c r="L59" s="4">
        <f>IF(BD_Carga!F60&lt;&gt;"",BD_Carga!F60,0)</f>
        <v/>
      </c>
      <c r="M59" s="4">
        <f>IF(BD_Carga!G60&lt;&gt;"",BD_Carga!G60,0)</f>
        <v/>
      </c>
      <c r="N59" s="4">
        <f>IF(BD_Carga!H60&lt;&gt;"",BD_Carga!H60,0)</f>
        <v/>
      </c>
      <c r="O59" s="4">
        <f>IF(BD_Carga!I60&lt;&gt;"",BD_Carga!I60,0)</f>
        <v/>
      </c>
      <c r="P59" s="4">
        <f>IF(BD_Carga!J60&lt;&gt;"",BD_Carga!J60,0)</f>
        <v/>
      </c>
      <c r="Q59" s="5">
        <f>IF(BD_Carga!K60&lt;&gt;"",BD_Carga!K60,0)</f>
        <v/>
      </c>
      <c r="R59" s="5">
        <f>IF(BD_Carga!L60&lt;&gt;"",BD_Carga!L60,0)</f>
        <v/>
      </c>
      <c r="S59">
        <f>IF(BD_Carga!N60&lt;&gt;"",BD_Carga!N60,0)</f>
        <v/>
      </c>
      <c r="T59">
        <f>IF(BD_Carga!O60&lt;&gt;"",BD_Carga!O60,0)</f>
        <v/>
      </c>
      <c r="U59">
        <f>IF(BD_Carga!P60&lt;&gt;"",BD_Carga!P60,0)</f>
        <v/>
      </c>
      <c r="V59">
        <f>IF(BD_Carga!U60&lt;&gt;"",BD_Carga!U60,0)</f>
        <v/>
      </c>
      <c r="W59">
        <f>IF(BD_Carga!T60&lt;&gt;"",BD_Carga!T60,0)</f>
        <v/>
      </c>
      <c r="X59">
        <f>IF(BD_Carga!W60&lt;&gt;"",BD_Carga!W60,0)</f>
        <v/>
      </c>
      <c r="Y59">
        <f>IF(BD_Carga!X60&lt;&gt;"",BD_Carga!X60,0)</f>
        <v/>
      </c>
      <c r="Z59">
        <f>IF(BD_Carga!Y60&lt;&gt;"",BD_Carga!Y60,0)</f>
        <v/>
      </c>
      <c r="AA59">
        <f>IF(BD_Carga!Z60&lt;&gt;"",BD_Carga!Z60,0)</f>
        <v/>
      </c>
      <c r="AB59">
        <f>IF(BD_Carga!AA60&lt;&gt;"",BD_Carga!AA60,0)</f>
        <v/>
      </c>
      <c r="AC59" s="6">
        <f t="array" ref="AC59">IFERROR((L59-AVERAGEIF($G$2:$G$462,G59,$L$2:$L$462))/_xlfn.STDEV.P(IF($G$2:$G$462=G59,$L$2:$L$462)),0)</f>
        <v/>
      </c>
      <c r="AD59" s="6">
        <f t="array" ref="AD59">IFERROR((M59-AVERAGEIF($G$2:$G$462,G59,$M$2:$M$462))/_xlfn.STDEV.P(IF($G$2:$G$462=G59,$M$2:$M$462)),0)</f>
        <v/>
      </c>
      <c r="AE59" s="6">
        <f t="array" ref="AE59">IFERROR((N59-AVERAGEIF($G$2:$G$462,G59,$N$2:$N$462))/_xlfn.STDEV.P(IF($G$2:$G$462=G59,$N$2:$N$462)),0)</f>
        <v/>
      </c>
      <c r="AF59" s="6">
        <f t="array" ref="AF59">IFERROR((O59-AVERAGEIF($G$2:$G$462,G59,$O$2:$O$462))/_xlfn.STDEV.P(IF($G$2:$G$462=G59,$O$2:$O$462)),0)</f>
        <v/>
      </c>
      <c r="AG59" s="6">
        <f t="array" ref="AG59">IFERROR((P59-AVERAGEIF($G$2:$G$462,G59,$P$2:$P$462))/_xlfn.STDEV.P(IF($G$2:$G$462=G59,$P$2:$P$462)),0)</f>
        <v/>
      </c>
      <c r="AH59" s="6">
        <f t="array" ref="AH59">IFERROR((R59-AVERAGEIF($G$2:$G$462,G59,$R$2:$R$462))/_xlfn.STDEV.P(IF($G$2:$G$462=G59,$R$2:$R$462)),0)</f>
        <v/>
      </c>
      <c r="AI59" s="6">
        <f>IFERROR((AC59+AD59+AE59+AF59+AG59+AH59)/6,0)</f>
        <v/>
      </c>
    </row>
    <row r="60">
      <c r="A60" s="2">
        <f>IF(BD_Carga!A61&lt;&gt;"",BD_Carga!A61,"")</f>
        <v/>
      </c>
      <c r="B60">
        <f>IF(A60&lt;&gt;"",YEAR(A60),"")</f>
        <v/>
      </c>
      <c r="C60">
        <f>IF(A60&lt;&gt;"",MONTH(A60),"")</f>
        <v/>
      </c>
      <c r="D60">
        <f>IF(A60&lt;&gt;"",_xlfn.ISOWEEKNUM(A60),"")</f>
        <v/>
      </c>
      <c r="E60">
        <f>IF(A60&lt;&gt;"",TEXT(A60,"dddd"),"")</f>
        <v/>
      </c>
      <c r="F60">
        <f>IF(BD_Carga!C61&lt;&gt;"",BD_Carga!C61,"")</f>
        <v/>
      </c>
      <c r="G60">
        <f>IF(BD_Carga!D61&lt;&gt;"",BD_Carga!D61,"")</f>
        <v/>
      </c>
      <c r="H60">
        <f>IF(BD_Carga!Q61&lt;&gt;"",BD_Carga!Q61,"")</f>
        <v/>
      </c>
      <c r="I60">
        <f>IF(BD_Carga!R61&lt;&gt;"",BD_Carga!R61,"")</f>
        <v/>
      </c>
      <c r="J60">
        <f>IF(BD_Carga!S61&lt;&gt;"",BD_Carga!S61,"")</f>
        <v/>
      </c>
      <c r="K60" s="4">
        <f>IF(BD_Carga!E61&lt;&gt;"",BD_Carga!E61,0)</f>
        <v/>
      </c>
      <c r="L60" s="4">
        <f>IF(BD_Carga!F61&lt;&gt;"",BD_Carga!F61,0)</f>
        <v/>
      </c>
      <c r="M60" s="4">
        <f>IF(BD_Carga!G61&lt;&gt;"",BD_Carga!G61,0)</f>
        <v/>
      </c>
      <c r="N60" s="4">
        <f>IF(BD_Carga!H61&lt;&gt;"",BD_Carga!H61,0)</f>
        <v/>
      </c>
      <c r="O60" s="4">
        <f>IF(BD_Carga!I61&lt;&gt;"",BD_Carga!I61,0)</f>
        <v/>
      </c>
      <c r="P60" s="4">
        <f>IF(BD_Carga!J61&lt;&gt;"",BD_Carga!J61,0)</f>
        <v/>
      </c>
      <c r="Q60" s="5">
        <f>IF(BD_Carga!K61&lt;&gt;"",BD_Carga!K61,0)</f>
        <v/>
      </c>
      <c r="R60" s="5">
        <f>IF(BD_Carga!L61&lt;&gt;"",BD_Carga!L61,0)</f>
        <v/>
      </c>
      <c r="S60">
        <f>IF(BD_Carga!N61&lt;&gt;"",BD_Carga!N61,0)</f>
        <v/>
      </c>
      <c r="T60">
        <f>IF(BD_Carga!O61&lt;&gt;"",BD_Carga!O61,0)</f>
        <v/>
      </c>
      <c r="U60">
        <f>IF(BD_Carga!P61&lt;&gt;"",BD_Carga!P61,0)</f>
        <v/>
      </c>
      <c r="V60">
        <f>IF(BD_Carga!U61&lt;&gt;"",BD_Carga!U61,0)</f>
        <v/>
      </c>
      <c r="W60">
        <f>IF(BD_Carga!T61&lt;&gt;"",BD_Carga!T61,0)</f>
        <v/>
      </c>
      <c r="X60">
        <f>IF(BD_Carga!W61&lt;&gt;"",BD_Carga!W61,0)</f>
        <v/>
      </c>
      <c r="Y60">
        <f>IF(BD_Carga!X61&lt;&gt;"",BD_Carga!X61,0)</f>
        <v/>
      </c>
      <c r="Z60">
        <f>IF(BD_Carga!Y61&lt;&gt;"",BD_Carga!Y61,0)</f>
        <v/>
      </c>
      <c r="AA60">
        <f>IF(BD_Carga!Z61&lt;&gt;"",BD_Carga!Z61,0)</f>
        <v/>
      </c>
      <c r="AB60">
        <f>IF(BD_Carga!AA61&lt;&gt;"",BD_Carga!AA61,0)</f>
        <v/>
      </c>
      <c r="AC60" s="6">
        <f t="array" ref="AC60">IFERROR((L60-AVERAGEIF($G$2:$G$462,G60,$L$2:$L$462))/_xlfn.STDEV.P(IF($G$2:$G$462=G60,$L$2:$L$462)),0)</f>
        <v/>
      </c>
      <c r="AD60" s="6">
        <f t="array" ref="AD60">IFERROR((M60-AVERAGEIF($G$2:$G$462,G60,$M$2:$M$462))/_xlfn.STDEV.P(IF($G$2:$G$462=G60,$M$2:$M$462)),0)</f>
        <v/>
      </c>
      <c r="AE60" s="6">
        <f t="array" ref="AE60">IFERROR((N60-AVERAGEIF($G$2:$G$462,G60,$N$2:$N$462))/_xlfn.STDEV.P(IF($G$2:$G$462=G60,$N$2:$N$462)),0)</f>
        <v/>
      </c>
      <c r="AF60" s="6">
        <f t="array" ref="AF60">IFERROR((O60-AVERAGEIF($G$2:$G$462,G60,$O$2:$O$462))/_xlfn.STDEV.P(IF($G$2:$G$462=G60,$O$2:$O$462)),0)</f>
        <v/>
      </c>
      <c r="AG60" s="6">
        <f t="array" ref="AG60">IFERROR((P60-AVERAGEIF($G$2:$G$462,G60,$P$2:$P$462))/_xlfn.STDEV.P(IF($G$2:$G$462=G60,$P$2:$P$462)),0)</f>
        <v/>
      </c>
      <c r="AH60" s="6">
        <f t="array" ref="AH60">IFERROR((R60-AVERAGEIF($G$2:$G$462,G60,$R$2:$R$462))/_xlfn.STDEV.P(IF($G$2:$G$462=G60,$R$2:$R$462)),0)</f>
        <v/>
      </c>
      <c r="AI60" s="6">
        <f>IFERROR((AC60+AD60+AE60+AF60+AG60+AH60)/6,0)</f>
        <v/>
      </c>
    </row>
    <row r="61">
      <c r="A61" s="2">
        <f>IF(BD_Carga!A62&lt;&gt;"",BD_Carga!A62,"")</f>
        <v/>
      </c>
      <c r="B61">
        <f>IF(A61&lt;&gt;"",YEAR(A61),"")</f>
        <v/>
      </c>
      <c r="C61">
        <f>IF(A61&lt;&gt;"",MONTH(A61),"")</f>
        <v/>
      </c>
      <c r="D61">
        <f>IF(A61&lt;&gt;"",_xlfn.ISOWEEKNUM(A61),"")</f>
        <v/>
      </c>
      <c r="E61">
        <f>IF(A61&lt;&gt;"",TEXT(A61,"dddd"),"")</f>
        <v/>
      </c>
      <c r="F61">
        <f>IF(BD_Carga!C62&lt;&gt;"",BD_Carga!C62,"")</f>
        <v/>
      </c>
      <c r="G61">
        <f>IF(BD_Carga!D62&lt;&gt;"",BD_Carga!D62,"")</f>
        <v/>
      </c>
      <c r="H61">
        <f>IF(BD_Carga!Q62&lt;&gt;"",BD_Carga!Q62,"")</f>
        <v/>
      </c>
      <c r="I61">
        <f>IF(BD_Carga!R62&lt;&gt;"",BD_Carga!R62,"")</f>
        <v/>
      </c>
      <c r="J61">
        <f>IF(BD_Carga!S62&lt;&gt;"",BD_Carga!S62,"")</f>
        <v/>
      </c>
      <c r="K61" s="4">
        <f>IF(BD_Carga!E62&lt;&gt;"",BD_Carga!E62,0)</f>
        <v/>
      </c>
      <c r="L61" s="4">
        <f>IF(BD_Carga!F62&lt;&gt;"",BD_Carga!F62,0)</f>
        <v/>
      </c>
      <c r="M61" s="4">
        <f>IF(BD_Carga!G62&lt;&gt;"",BD_Carga!G62,0)</f>
        <v/>
      </c>
      <c r="N61" s="4">
        <f>IF(BD_Carga!H62&lt;&gt;"",BD_Carga!H62,0)</f>
        <v/>
      </c>
      <c r="O61" s="4">
        <f>IF(BD_Carga!I62&lt;&gt;"",BD_Carga!I62,0)</f>
        <v/>
      </c>
      <c r="P61" s="4">
        <f>IF(BD_Carga!J62&lt;&gt;"",BD_Carga!J62,0)</f>
        <v/>
      </c>
      <c r="Q61" s="5">
        <f>IF(BD_Carga!K62&lt;&gt;"",BD_Carga!K62,0)</f>
        <v/>
      </c>
      <c r="R61" s="5">
        <f>IF(BD_Carga!L62&lt;&gt;"",BD_Carga!L62,0)</f>
        <v/>
      </c>
      <c r="S61">
        <f>IF(BD_Carga!N62&lt;&gt;"",BD_Carga!N62,0)</f>
        <v/>
      </c>
      <c r="T61">
        <f>IF(BD_Carga!O62&lt;&gt;"",BD_Carga!O62,0)</f>
        <v/>
      </c>
      <c r="U61">
        <f>IF(BD_Carga!P62&lt;&gt;"",BD_Carga!P62,0)</f>
        <v/>
      </c>
      <c r="V61">
        <f>IF(BD_Carga!U62&lt;&gt;"",BD_Carga!U62,0)</f>
        <v/>
      </c>
      <c r="W61">
        <f>IF(BD_Carga!T62&lt;&gt;"",BD_Carga!T62,0)</f>
        <v/>
      </c>
      <c r="X61">
        <f>IF(BD_Carga!W62&lt;&gt;"",BD_Carga!W62,0)</f>
        <v/>
      </c>
      <c r="Y61">
        <f>IF(BD_Carga!X62&lt;&gt;"",BD_Carga!X62,0)</f>
        <v/>
      </c>
      <c r="Z61">
        <f>IF(BD_Carga!Y62&lt;&gt;"",BD_Carga!Y62,0)</f>
        <v/>
      </c>
      <c r="AA61">
        <f>IF(BD_Carga!Z62&lt;&gt;"",BD_Carga!Z62,0)</f>
        <v/>
      </c>
      <c r="AB61">
        <f>IF(BD_Carga!AA62&lt;&gt;"",BD_Carga!AA62,0)</f>
        <v/>
      </c>
      <c r="AC61" s="6">
        <f t="array" ref="AC61">IFERROR((L61-AVERAGEIF($G$2:$G$462,G61,$L$2:$L$462))/_xlfn.STDEV.P(IF($G$2:$G$462=G61,$L$2:$L$462)),0)</f>
        <v/>
      </c>
      <c r="AD61" s="6">
        <f t="array" ref="AD61">IFERROR((M61-AVERAGEIF($G$2:$G$462,G61,$M$2:$M$462))/_xlfn.STDEV.P(IF($G$2:$G$462=G61,$M$2:$M$462)),0)</f>
        <v/>
      </c>
      <c r="AE61" s="6">
        <f t="array" ref="AE61">IFERROR((N61-AVERAGEIF($G$2:$G$462,G61,$N$2:$N$462))/_xlfn.STDEV.P(IF($G$2:$G$462=G61,$N$2:$N$462)),0)</f>
        <v/>
      </c>
      <c r="AF61" s="6">
        <f t="array" ref="AF61">IFERROR((O61-AVERAGEIF($G$2:$G$462,G61,$O$2:$O$462))/_xlfn.STDEV.P(IF($G$2:$G$462=G61,$O$2:$O$462)),0)</f>
        <v/>
      </c>
      <c r="AG61" s="6">
        <f t="array" ref="AG61">IFERROR((P61-AVERAGEIF($G$2:$G$462,G61,$P$2:$P$462))/_xlfn.STDEV.P(IF($G$2:$G$462=G61,$P$2:$P$462)),0)</f>
        <v/>
      </c>
      <c r="AH61" s="6">
        <f t="array" ref="AH61">IFERROR((R61-AVERAGEIF($G$2:$G$462,G61,$R$2:$R$462))/_xlfn.STDEV.P(IF($G$2:$G$462=G61,$R$2:$R$462)),0)</f>
        <v/>
      </c>
      <c r="AI61" s="6">
        <f>IFERROR((AC61+AD61+AE61+AF61+AG61+AH61)/6,0)</f>
        <v/>
      </c>
    </row>
    <row r="62">
      <c r="A62" s="2">
        <f>IF(BD_Carga!A63&lt;&gt;"",BD_Carga!A63,"")</f>
        <v/>
      </c>
      <c r="B62">
        <f>IF(A62&lt;&gt;"",YEAR(A62),"")</f>
        <v/>
      </c>
      <c r="C62">
        <f>IF(A62&lt;&gt;"",MONTH(A62),"")</f>
        <v/>
      </c>
      <c r="D62">
        <f>IF(A62&lt;&gt;"",_xlfn.ISOWEEKNUM(A62),"")</f>
        <v/>
      </c>
      <c r="E62">
        <f>IF(A62&lt;&gt;"",TEXT(A62,"dddd"),"")</f>
        <v/>
      </c>
      <c r="F62">
        <f>IF(BD_Carga!C63&lt;&gt;"",BD_Carga!C63,"")</f>
        <v/>
      </c>
      <c r="G62">
        <f>IF(BD_Carga!D63&lt;&gt;"",BD_Carga!D63,"")</f>
        <v/>
      </c>
      <c r="H62">
        <f>IF(BD_Carga!Q63&lt;&gt;"",BD_Carga!Q63,"")</f>
        <v/>
      </c>
      <c r="I62">
        <f>IF(BD_Carga!R63&lt;&gt;"",BD_Carga!R63,"")</f>
        <v/>
      </c>
      <c r="J62">
        <f>IF(BD_Carga!S63&lt;&gt;"",BD_Carga!S63,"")</f>
        <v/>
      </c>
      <c r="K62" s="4">
        <f>IF(BD_Carga!E63&lt;&gt;"",BD_Carga!E63,0)</f>
        <v/>
      </c>
      <c r="L62" s="4">
        <f>IF(BD_Carga!F63&lt;&gt;"",BD_Carga!F63,0)</f>
        <v/>
      </c>
      <c r="M62" s="4">
        <f>IF(BD_Carga!G63&lt;&gt;"",BD_Carga!G63,0)</f>
        <v/>
      </c>
      <c r="N62" s="4">
        <f>IF(BD_Carga!H63&lt;&gt;"",BD_Carga!H63,0)</f>
        <v/>
      </c>
      <c r="O62" s="4">
        <f>IF(BD_Carga!I63&lt;&gt;"",BD_Carga!I63,0)</f>
        <v/>
      </c>
      <c r="P62" s="4">
        <f>IF(BD_Carga!J63&lt;&gt;"",BD_Carga!J63,0)</f>
        <v/>
      </c>
      <c r="Q62" s="5">
        <f>IF(BD_Carga!K63&lt;&gt;"",BD_Carga!K63,0)</f>
        <v/>
      </c>
      <c r="R62" s="5">
        <f>IF(BD_Carga!L63&lt;&gt;"",BD_Carga!L63,0)</f>
        <v/>
      </c>
      <c r="S62">
        <f>IF(BD_Carga!N63&lt;&gt;"",BD_Carga!N63,0)</f>
        <v/>
      </c>
      <c r="T62">
        <f>IF(BD_Carga!O63&lt;&gt;"",BD_Carga!O63,0)</f>
        <v/>
      </c>
      <c r="U62">
        <f>IF(BD_Carga!P63&lt;&gt;"",BD_Carga!P63,0)</f>
        <v/>
      </c>
      <c r="V62">
        <f>IF(BD_Carga!U63&lt;&gt;"",BD_Carga!U63,0)</f>
        <v/>
      </c>
      <c r="W62">
        <f>IF(BD_Carga!T63&lt;&gt;"",BD_Carga!T63,0)</f>
        <v/>
      </c>
      <c r="X62">
        <f>IF(BD_Carga!W63&lt;&gt;"",BD_Carga!W63,0)</f>
        <v/>
      </c>
      <c r="Y62">
        <f>IF(BD_Carga!X63&lt;&gt;"",BD_Carga!X63,0)</f>
        <v/>
      </c>
      <c r="Z62">
        <f>IF(BD_Carga!Y63&lt;&gt;"",BD_Carga!Y63,0)</f>
        <v/>
      </c>
      <c r="AA62">
        <f>IF(BD_Carga!Z63&lt;&gt;"",BD_Carga!Z63,0)</f>
        <v/>
      </c>
      <c r="AB62">
        <f>IF(BD_Carga!AA63&lt;&gt;"",BD_Carga!AA63,0)</f>
        <v/>
      </c>
      <c r="AC62" s="6">
        <f t="array" ref="AC62">IFERROR((L62-AVERAGEIF($G$2:$G$462,G62,$L$2:$L$462))/_xlfn.STDEV.P(IF($G$2:$G$462=G62,$L$2:$L$462)),0)</f>
        <v/>
      </c>
      <c r="AD62" s="6">
        <f t="array" ref="AD62">IFERROR((M62-AVERAGEIF($G$2:$G$462,G62,$M$2:$M$462))/_xlfn.STDEV.P(IF($G$2:$G$462=G62,$M$2:$M$462)),0)</f>
        <v/>
      </c>
      <c r="AE62" s="6">
        <f t="array" ref="AE62">IFERROR((N62-AVERAGEIF($G$2:$G$462,G62,$N$2:$N$462))/_xlfn.STDEV.P(IF($G$2:$G$462=G62,$N$2:$N$462)),0)</f>
        <v/>
      </c>
      <c r="AF62" s="6">
        <f t="array" ref="AF62">IFERROR((O62-AVERAGEIF($G$2:$G$462,G62,$O$2:$O$462))/_xlfn.STDEV.P(IF($G$2:$G$462=G62,$O$2:$O$462)),0)</f>
        <v/>
      </c>
      <c r="AG62" s="6">
        <f t="array" ref="AG62">IFERROR((P62-AVERAGEIF($G$2:$G$462,G62,$P$2:$P$462))/_xlfn.STDEV.P(IF($G$2:$G$462=G62,$P$2:$P$462)),0)</f>
        <v/>
      </c>
      <c r="AH62" s="6">
        <f t="array" ref="AH62">IFERROR((R62-AVERAGEIF($G$2:$G$462,G62,$R$2:$R$462))/_xlfn.STDEV.P(IF($G$2:$G$462=G62,$R$2:$R$462)),0)</f>
        <v/>
      </c>
      <c r="AI62" s="6">
        <f>IFERROR((AC62+AD62+AE62+AF62+AG62+AH62)/6,0)</f>
        <v/>
      </c>
    </row>
    <row r="63">
      <c r="A63" s="2">
        <f>IF(BD_Carga!A64&lt;&gt;"",BD_Carga!A64,"")</f>
        <v/>
      </c>
      <c r="B63">
        <f>IF(A63&lt;&gt;"",YEAR(A63),"")</f>
        <v/>
      </c>
      <c r="C63">
        <f>IF(A63&lt;&gt;"",MONTH(A63),"")</f>
        <v/>
      </c>
      <c r="D63">
        <f>IF(A63&lt;&gt;"",_xlfn.ISOWEEKNUM(A63),"")</f>
        <v/>
      </c>
      <c r="E63">
        <f>IF(A63&lt;&gt;"",TEXT(A63,"dddd"),"")</f>
        <v/>
      </c>
      <c r="F63">
        <f>IF(BD_Carga!C64&lt;&gt;"",BD_Carga!C64,"")</f>
        <v/>
      </c>
      <c r="G63">
        <f>IF(BD_Carga!D64&lt;&gt;"",BD_Carga!D64,"")</f>
        <v/>
      </c>
      <c r="H63">
        <f>IF(BD_Carga!Q64&lt;&gt;"",BD_Carga!Q64,"")</f>
        <v/>
      </c>
      <c r="I63">
        <f>IF(BD_Carga!R64&lt;&gt;"",BD_Carga!R64,"")</f>
        <v/>
      </c>
      <c r="J63">
        <f>IF(BD_Carga!S64&lt;&gt;"",BD_Carga!S64,"")</f>
        <v/>
      </c>
      <c r="K63" s="4">
        <f>IF(BD_Carga!E64&lt;&gt;"",BD_Carga!E64,0)</f>
        <v/>
      </c>
      <c r="L63" s="4">
        <f>IF(BD_Carga!F64&lt;&gt;"",BD_Carga!F64,0)</f>
        <v/>
      </c>
      <c r="M63" s="4">
        <f>IF(BD_Carga!G64&lt;&gt;"",BD_Carga!G64,0)</f>
        <v/>
      </c>
      <c r="N63" s="4">
        <f>IF(BD_Carga!H64&lt;&gt;"",BD_Carga!H64,0)</f>
        <v/>
      </c>
      <c r="O63" s="4">
        <f>IF(BD_Carga!I64&lt;&gt;"",BD_Carga!I64,0)</f>
        <v/>
      </c>
      <c r="P63" s="4">
        <f>IF(BD_Carga!J64&lt;&gt;"",BD_Carga!J64,0)</f>
        <v/>
      </c>
      <c r="Q63" s="5">
        <f>IF(BD_Carga!K64&lt;&gt;"",BD_Carga!K64,0)</f>
        <v/>
      </c>
      <c r="R63" s="5">
        <f>IF(BD_Carga!L64&lt;&gt;"",BD_Carga!L64,0)</f>
        <v/>
      </c>
      <c r="S63">
        <f>IF(BD_Carga!N64&lt;&gt;"",BD_Carga!N64,0)</f>
        <v/>
      </c>
      <c r="T63">
        <f>IF(BD_Carga!O64&lt;&gt;"",BD_Carga!O64,0)</f>
        <v/>
      </c>
      <c r="U63">
        <f>IF(BD_Carga!P64&lt;&gt;"",BD_Carga!P64,0)</f>
        <v/>
      </c>
      <c r="V63">
        <f>IF(BD_Carga!U64&lt;&gt;"",BD_Carga!U64,0)</f>
        <v/>
      </c>
      <c r="W63">
        <f>IF(BD_Carga!T64&lt;&gt;"",BD_Carga!T64,0)</f>
        <v/>
      </c>
      <c r="X63">
        <f>IF(BD_Carga!W64&lt;&gt;"",BD_Carga!W64,0)</f>
        <v/>
      </c>
      <c r="Y63">
        <f>IF(BD_Carga!X64&lt;&gt;"",BD_Carga!X64,0)</f>
        <v/>
      </c>
      <c r="Z63">
        <f>IF(BD_Carga!Y64&lt;&gt;"",BD_Carga!Y64,0)</f>
        <v/>
      </c>
      <c r="AA63">
        <f>IF(BD_Carga!Z64&lt;&gt;"",BD_Carga!Z64,0)</f>
        <v/>
      </c>
      <c r="AB63">
        <f>IF(BD_Carga!AA64&lt;&gt;"",BD_Carga!AA64,0)</f>
        <v/>
      </c>
      <c r="AC63" s="6">
        <f t="array" ref="AC63">IFERROR((L63-AVERAGEIF($G$2:$G$462,G63,$L$2:$L$462))/_xlfn.STDEV.P(IF($G$2:$G$462=G63,$L$2:$L$462)),0)</f>
        <v/>
      </c>
      <c r="AD63" s="6">
        <f t="array" ref="AD63">IFERROR((M63-AVERAGEIF($G$2:$G$462,G63,$M$2:$M$462))/_xlfn.STDEV.P(IF($G$2:$G$462=G63,$M$2:$M$462)),0)</f>
        <v/>
      </c>
      <c r="AE63" s="6">
        <f t="array" ref="AE63">IFERROR((N63-AVERAGEIF($G$2:$G$462,G63,$N$2:$N$462))/_xlfn.STDEV.P(IF($G$2:$G$462=G63,$N$2:$N$462)),0)</f>
        <v/>
      </c>
      <c r="AF63" s="6">
        <f t="array" ref="AF63">IFERROR((O63-AVERAGEIF($G$2:$G$462,G63,$O$2:$O$462))/_xlfn.STDEV.P(IF($G$2:$G$462=G63,$O$2:$O$462)),0)</f>
        <v/>
      </c>
      <c r="AG63" s="6">
        <f t="array" ref="AG63">IFERROR((P63-AVERAGEIF($G$2:$G$462,G63,$P$2:$P$462))/_xlfn.STDEV.P(IF($G$2:$G$462=G63,$P$2:$P$462)),0)</f>
        <v/>
      </c>
      <c r="AH63" s="6">
        <f t="array" ref="AH63">IFERROR((R63-AVERAGEIF($G$2:$G$462,G63,$R$2:$R$462))/_xlfn.STDEV.P(IF($G$2:$G$462=G63,$R$2:$R$462)),0)</f>
        <v/>
      </c>
      <c r="AI63" s="6">
        <f>IFERROR((AC63+AD63+AE63+AF63+AG63+AH63)/6,0)</f>
        <v/>
      </c>
    </row>
    <row r="64">
      <c r="A64" s="2">
        <f>IF(BD_Carga!A65&lt;&gt;"",BD_Carga!A65,"")</f>
        <v/>
      </c>
      <c r="B64">
        <f>IF(A64&lt;&gt;"",YEAR(A64),"")</f>
        <v/>
      </c>
      <c r="C64">
        <f>IF(A64&lt;&gt;"",MONTH(A64),"")</f>
        <v/>
      </c>
      <c r="D64">
        <f>IF(A64&lt;&gt;"",_xlfn.ISOWEEKNUM(A64),"")</f>
        <v/>
      </c>
      <c r="E64">
        <f>IF(A64&lt;&gt;"",TEXT(A64,"dddd"),"")</f>
        <v/>
      </c>
      <c r="F64">
        <f>IF(BD_Carga!C65&lt;&gt;"",BD_Carga!C65,"")</f>
        <v/>
      </c>
      <c r="G64">
        <f>IF(BD_Carga!D65&lt;&gt;"",BD_Carga!D65,"")</f>
        <v/>
      </c>
      <c r="H64">
        <f>IF(BD_Carga!Q65&lt;&gt;"",BD_Carga!Q65,"")</f>
        <v/>
      </c>
      <c r="I64">
        <f>IF(BD_Carga!R65&lt;&gt;"",BD_Carga!R65,"")</f>
        <v/>
      </c>
      <c r="J64">
        <f>IF(BD_Carga!S65&lt;&gt;"",BD_Carga!S65,"")</f>
        <v/>
      </c>
      <c r="K64" s="4">
        <f>IF(BD_Carga!E65&lt;&gt;"",BD_Carga!E65,0)</f>
        <v/>
      </c>
      <c r="L64" s="4">
        <f>IF(BD_Carga!F65&lt;&gt;"",BD_Carga!F65,0)</f>
        <v/>
      </c>
      <c r="M64" s="4">
        <f>IF(BD_Carga!G65&lt;&gt;"",BD_Carga!G65,0)</f>
        <v/>
      </c>
      <c r="N64" s="4">
        <f>IF(BD_Carga!H65&lt;&gt;"",BD_Carga!H65,0)</f>
        <v/>
      </c>
      <c r="O64" s="4">
        <f>IF(BD_Carga!I65&lt;&gt;"",BD_Carga!I65,0)</f>
        <v/>
      </c>
      <c r="P64" s="4">
        <f>IF(BD_Carga!J65&lt;&gt;"",BD_Carga!J65,0)</f>
        <v/>
      </c>
      <c r="Q64" s="5">
        <f>IF(BD_Carga!K65&lt;&gt;"",BD_Carga!K65,0)</f>
        <v/>
      </c>
      <c r="R64" s="5">
        <f>IF(BD_Carga!L65&lt;&gt;"",BD_Carga!L65,0)</f>
        <v/>
      </c>
      <c r="S64">
        <f>IF(BD_Carga!N65&lt;&gt;"",BD_Carga!N65,0)</f>
        <v/>
      </c>
      <c r="T64">
        <f>IF(BD_Carga!O65&lt;&gt;"",BD_Carga!O65,0)</f>
        <v/>
      </c>
      <c r="U64">
        <f>IF(BD_Carga!P65&lt;&gt;"",BD_Carga!P65,0)</f>
        <v/>
      </c>
      <c r="V64">
        <f>IF(BD_Carga!U65&lt;&gt;"",BD_Carga!U65,0)</f>
        <v/>
      </c>
      <c r="W64">
        <f>IF(BD_Carga!T65&lt;&gt;"",BD_Carga!T65,0)</f>
        <v/>
      </c>
      <c r="X64">
        <f>IF(BD_Carga!W65&lt;&gt;"",BD_Carga!W65,0)</f>
        <v/>
      </c>
      <c r="Y64">
        <f>IF(BD_Carga!X65&lt;&gt;"",BD_Carga!X65,0)</f>
        <v/>
      </c>
      <c r="Z64">
        <f>IF(BD_Carga!Y65&lt;&gt;"",BD_Carga!Y65,0)</f>
        <v/>
      </c>
      <c r="AA64">
        <f>IF(BD_Carga!Z65&lt;&gt;"",BD_Carga!Z65,0)</f>
        <v/>
      </c>
      <c r="AB64">
        <f>IF(BD_Carga!AA65&lt;&gt;"",BD_Carga!AA65,0)</f>
        <v/>
      </c>
      <c r="AC64" s="6">
        <f t="array" ref="AC64">IFERROR((L64-AVERAGEIF($G$2:$G$462,G64,$L$2:$L$462))/_xlfn.STDEV.P(IF($G$2:$G$462=G64,$L$2:$L$462)),0)</f>
        <v/>
      </c>
      <c r="AD64" s="6">
        <f t="array" ref="AD64">IFERROR((M64-AVERAGEIF($G$2:$G$462,G64,$M$2:$M$462))/_xlfn.STDEV.P(IF($G$2:$G$462=G64,$M$2:$M$462)),0)</f>
        <v/>
      </c>
      <c r="AE64" s="6">
        <f t="array" ref="AE64">IFERROR((N64-AVERAGEIF($G$2:$G$462,G64,$N$2:$N$462))/_xlfn.STDEV.P(IF($G$2:$G$462=G64,$N$2:$N$462)),0)</f>
        <v/>
      </c>
      <c r="AF64" s="6">
        <f t="array" ref="AF64">IFERROR((O64-AVERAGEIF($G$2:$G$462,G64,$O$2:$O$462))/_xlfn.STDEV.P(IF($G$2:$G$462=G64,$O$2:$O$462)),0)</f>
        <v/>
      </c>
      <c r="AG64" s="6">
        <f t="array" ref="AG64">IFERROR((P64-AVERAGEIF($G$2:$G$462,G64,$P$2:$P$462))/_xlfn.STDEV.P(IF($G$2:$G$462=G64,$P$2:$P$462)),0)</f>
        <v/>
      </c>
      <c r="AH64" s="6">
        <f t="array" ref="AH64">IFERROR((R64-AVERAGEIF($G$2:$G$462,G64,$R$2:$R$462))/_xlfn.STDEV.P(IF($G$2:$G$462=G64,$R$2:$R$462)),0)</f>
        <v/>
      </c>
      <c r="AI64" s="6">
        <f>IFERROR((AC64+AD64+AE64+AF64+AG64+AH64)/6,0)</f>
        <v/>
      </c>
    </row>
    <row r="65">
      <c r="A65" s="2">
        <f>IF(BD_Carga!A66&lt;&gt;"",BD_Carga!A66,"")</f>
        <v/>
      </c>
      <c r="B65">
        <f>IF(A65&lt;&gt;"",YEAR(A65),"")</f>
        <v/>
      </c>
      <c r="C65">
        <f>IF(A65&lt;&gt;"",MONTH(A65),"")</f>
        <v/>
      </c>
      <c r="D65">
        <f>IF(A65&lt;&gt;"",_xlfn.ISOWEEKNUM(A65),"")</f>
        <v/>
      </c>
      <c r="E65">
        <f>IF(A65&lt;&gt;"",TEXT(A65,"dddd"),"")</f>
        <v/>
      </c>
      <c r="F65">
        <f>IF(BD_Carga!C66&lt;&gt;"",BD_Carga!C66,"")</f>
        <v/>
      </c>
      <c r="G65">
        <f>IF(BD_Carga!D66&lt;&gt;"",BD_Carga!D66,"")</f>
        <v/>
      </c>
      <c r="H65">
        <f>IF(BD_Carga!Q66&lt;&gt;"",BD_Carga!Q66,"")</f>
        <v/>
      </c>
      <c r="I65">
        <f>IF(BD_Carga!R66&lt;&gt;"",BD_Carga!R66,"")</f>
        <v/>
      </c>
      <c r="J65">
        <f>IF(BD_Carga!S66&lt;&gt;"",BD_Carga!S66,"")</f>
        <v/>
      </c>
      <c r="K65" s="4">
        <f>IF(BD_Carga!E66&lt;&gt;"",BD_Carga!E66,0)</f>
        <v/>
      </c>
      <c r="L65" s="4">
        <f>IF(BD_Carga!F66&lt;&gt;"",BD_Carga!F66,0)</f>
        <v/>
      </c>
      <c r="M65" s="4">
        <f>IF(BD_Carga!G66&lt;&gt;"",BD_Carga!G66,0)</f>
        <v/>
      </c>
      <c r="N65" s="4">
        <f>IF(BD_Carga!H66&lt;&gt;"",BD_Carga!H66,0)</f>
        <v/>
      </c>
      <c r="O65" s="4">
        <f>IF(BD_Carga!I66&lt;&gt;"",BD_Carga!I66,0)</f>
        <v/>
      </c>
      <c r="P65" s="4">
        <f>IF(BD_Carga!J66&lt;&gt;"",BD_Carga!J66,0)</f>
        <v/>
      </c>
      <c r="Q65" s="5">
        <f>IF(BD_Carga!K66&lt;&gt;"",BD_Carga!K66,0)</f>
        <v/>
      </c>
      <c r="R65" s="5">
        <f>IF(BD_Carga!L66&lt;&gt;"",BD_Carga!L66,0)</f>
        <v/>
      </c>
      <c r="S65">
        <f>IF(BD_Carga!N66&lt;&gt;"",BD_Carga!N66,0)</f>
        <v/>
      </c>
      <c r="T65">
        <f>IF(BD_Carga!O66&lt;&gt;"",BD_Carga!O66,0)</f>
        <v/>
      </c>
      <c r="U65">
        <f>IF(BD_Carga!P66&lt;&gt;"",BD_Carga!P66,0)</f>
        <v/>
      </c>
      <c r="V65">
        <f>IF(BD_Carga!U66&lt;&gt;"",BD_Carga!U66,0)</f>
        <v/>
      </c>
      <c r="W65">
        <f>IF(BD_Carga!T66&lt;&gt;"",BD_Carga!T66,0)</f>
        <v/>
      </c>
      <c r="X65">
        <f>IF(BD_Carga!W66&lt;&gt;"",BD_Carga!W66,0)</f>
        <v/>
      </c>
      <c r="Y65">
        <f>IF(BD_Carga!X66&lt;&gt;"",BD_Carga!X66,0)</f>
        <v/>
      </c>
      <c r="Z65">
        <f>IF(BD_Carga!Y66&lt;&gt;"",BD_Carga!Y66,0)</f>
        <v/>
      </c>
      <c r="AA65">
        <f>IF(BD_Carga!Z66&lt;&gt;"",BD_Carga!Z66,0)</f>
        <v/>
      </c>
      <c r="AB65">
        <f>IF(BD_Carga!AA66&lt;&gt;"",BD_Carga!AA66,0)</f>
        <v/>
      </c>
      <c r="AC65" s="6">
        <f t="array" ref="AC65">IFERROR((L65-AVERAGEIF($G$2:$G$462,G65,$L$2:$L$462))/_xlfn.STDEV.P(IF($G$2:$G$462=G65,$L$2:$L$462)),0)</f>
        <v/>
      </c>
      <c r="AD65" s="6">
        <f t="array" ref="AD65">IFERROR((M65-AVERAGEIF($G$2:$G$462,G65,$M$2:$M$462))/_xlfn.STDEV.P(IF($G$2:$G$462=G65,$M$2:$M$462)),0)</f>
        <v/>
      </c>
      <c r="AE65" s="6">
        <f t="array" ref="AE65">IFERROR((N65-AVERAGEIF($G$2:$G$462,G65,$N$2:$N$462))/_xlfn.STDEV.P(IF($G$2:$G$462=G65,$N$2:$N$462)),0)</f>
        <v/>
      </c>
      <c r="AF65" s="6">
        <f t="array" ref="AF65">IFERROR((O65-AVERAGEIF($G$2:$G$462,G65,$O$2:$O$462))/_xlfn.STDEV.P(IF($G$2:$G$462=G65,$O$2:$O$462)),0)</f>
        <v/>
      </c>
      <c r="AG65" s="6">
        <f t="array" ref="AG65">IFERROR((P65-AVERAGEIF($G$2:$G$462,G65,$P$2:$P$462))/_xlfn.STDEV.P(IF($G$2:$G$462=G65,$P$2:$P$462)),0)</f>
        <v/>
      </c>
      <c r="AH65" s="6">
        <f t="array" ref="AH65">IFERROR((R65-AVERAGEIF($G$2:$G$462,G65,$R$2:$R$462))/_xlfn.STDEV.P(IF($G$2:$G$462=G65,$R$2:$R$462)),0)</f>
        <v/>
      </c>
      <c r="AI65" s="6">
        <f>IFERROR((AC65+AD65+AE65+AF65+AG65+AH65)/6,0)</f>
        <v/>
      </c>
    </row>
    <row r="66">
      <c r="A66" s="2">
        <f>IF(BD_Carga!A67&lt;&gt;"",BD_Carga!A67,"")</f>
        <v/>
      </c>
      <c r="B66">
        <f>IF(A66&lt;&gt;"",YEAR(A66),"")</f>
        <v/>
      </c>
      <c r="C66">
        <f>IF(A66&lt;&gt;"",MONTH(A66),"")</f>
        <v/>
      </c>
      <c r="D66">
        <f>IF(A66&lt;&gt;"",_xlfn.ISOWEEKNUM(A66),"")</f>
        <v/>
      </c>
      <c r="E66">
        <f>IF(A66&lt;&gt;"",TEXT(A66,"dddd"),"")</f>
        <v/>
      </c>
      <c r="F66">
        <f>IF(BD_Carga!C67&lt;&gt;"",BD_Carga!C67,"")</f>
        <v/>
      </c>
      <c r="G66">
        <f>IF(BD_Carga!D67&lt;&gt;"",BD_Carga!D67,"")</f>
        <v/>
      </c>
      <c r="H66">
        <f>IF(BD_Carga!Q67&lt;&gt;"",BD_Carga!Q67,"")</f>
        <v/>
      </c>
      <c r="I66">
        <f>IF(BD_Carga!R67&lt;&gt;"",BD_Carga!R67,"")</f>
        <v/>
      </c>
      <c r="J66">
        <f>IF(BD_Carga!S67&lt;&gt;"",BD_Carga!S67,"")</f>
        <v/>
      </c>
      <c r="K66" s="4">
        <f>IF(BD_Carga!E67&lt;&gt;"",BD_Carga!E67,0)</f>
        <v/>
      </c>
      <c r="L66" s="4">
        <f>IF(BD_Carga!F67&lt;&gt;"",BD_Carga!F67,0)</f>
        <v/>
      </c>
      <c r="M66" s="4">
        <f>IF(BD_Carga!G67&lt;&gt;"",BD_Carga!G67,0)</f>
        <v/>
      </c>
      <c r="N66" s="4">
        <f>IF(BD_Carga!H67&lt;&gt;"",BD_Carga!H67,0)</f>
        <v/>
      </c>
      <c r="O66" s="4">
        <f>IF(BD_Carga!I67&lt;&gt;"",BD_Carga!I67,0)</f>
        <v/>
      </c>
      <c r="P66" s="4">
        <f>IF(BD_Carga!J67&lt;&gt;"",BD_Carga!J67,0)</f>
        <v/>
      </c>
      <c r="Q66" s="5">
        <f>IF(BD_Carga!K67&lt;&gt;"",BD_Carga!K67,0)</f>
        <v/>
      </c>
      <c r="R66" s="5">
        <f>IF(BD_Carga!L67&lt;&gt;"",BD_Carga!L67,0)</f>
        <v/>
      </c>
      <c r="S66">
        <f>IF(BD_Carga!N67&lt;&gt;"",BD_Carga!N67,0)</f>
        <v/>
      </c>
      <c r="T66">
        <f>IF(BD_Carga!O67&lt;&gt;"",BD_Carga!O67,0)</f>
        <v/>
      </c>
      <c r="U66">
        <f>IF(BD_Carga!P67&lt;&gt;"",BD_Carga!P67,0)</f>
        <v/>
      </c>
      <c r="V66">
        <f>IF(BD_Carga!U67&lt;&gt;"",BD_Carga!U67,0)</f>
        <v/>
      </c>
      <c r="W66">
        <f>IF(BD_Carga!T67&lt;&gt;"",BD_Carga!T67,0)</f>
        <v/>
      </c>
      <c r="X66">
        <f>IF(BD_Carga!W67&lt;&gt;"",BD_Carga!W67,0)</f>
        <v/>
      </c>
      <c r="Y66">
        <f>IF(BD_Carga!X67&lt;&gt;"",BD_Carga!X67,0)</f>
        <v/>
      </c>
      <c r="Z66">
        <f>IF(BD_Carga!Y67&lt;&gt;"",BD_Carga!Y67,0)</f>
        <v/>
      </c>
      <c r="AA66">
        <f>IF(BD_Carga!Z67&lt;&gt;"",BD_Carga!Z67,0)</f>
        <v/>
      </c>
      <c r="AB66">
        <f>IF(BD_Carga!AA67&lt;&gt;"",BD_Carga!AA67,0)</f>
        <v/>
      </c>
      <c r="AC66" s="6">
        <f t="array" ref="AC66">IFERROR((L66-AVERAGEIF($G$2:$G$462,G66,$L$2:$L$462))/_xlfn.STDEV.P(IF($G$2:$G$462=G66,$L$2:$L$462)),0)</f>
        <v/>
      </c>
      <c r="AD66" s="6">
        <f t="array" ref="AD66">IFERROR((M66-AVERAGEIF($G$2:$G$462,G66,$M$2:$M$462))/_xlfn.STDEV.P(IF($G$2:$G$462=G66,$M$2:$M$462)),0)</f>
        <v/>
      </c>
      <c r="AE66" s="6">
        <f t="array" ref="AE66">IFERROR((N66-AVERAGEIF($G$2:$G$462,G66,$N$2:$N$462))/_xlfn.STDEV.P(IF($G$2:$G$462=G66,$N$2:$N$462)),0)</f>
        <v/>
      </c>
      <c r="AF66" s="6">
        <f t="array" ref="AF66">IFERROR((O66-AVERAGEIF($G$2:$G$462,G66,$O$2:$O$462))/_xlfn.STDEV.P(IF($G$2:$G$462=G66,$O$2:$O$462)),0)</f>
        <v/>
      </c>
      <c r="AG66" s="6">
        <f t="array" ref="AG66">IFERROR((P66-AVERAGEIF($G$2:$G$462,G66,$P$2:$P$462))/_xlfn.STDEV.P(IF($G$2:$G$462=G66,$P$2:$P$462)),0)</f>
        <v/>
      </c>
      <c r="AH66" s="6">
        <f t="array" ref="AH66">IFERROR((R66-AVERAGEIF($G$2:$G$462,G66,$R$2:$R$462))/_xlfn.STDEV.P(IF($G$2:$G$462=G66,$R$2:$R$462)),0)</f>
        <v/>
      </c>
      <c r="AI66" s="6">
        <f>IFERROR((AC66+AD66+AE66+AF66+AG66+AH66)/6,0)</f>
        <v/>
      </c>
    </row>
    <row r="67">
      <c r="A67" s="2">
        <f>IF(BD_Carga!A68&lt;&gt;"",BD_Carga!A68,"")</f>
        <v/>
      </c>
      <c r="B67">
        <f>IF(A67&lt;&gt;"",YEAR(A67),"")</f>
        <v/>
      </c>
      <c r="C67">
        <f>IF(A67&lt;&gt;"",MONTH(A67),"")</f>
        <v/>
      </c>
      <c r="D67">
        <f>IF(A67&lt;&gt;"",_xlfn.ISOWEEKNUM(A67),"")</f>
        <v/>
      </c>
      <c r="E67">
        <f>IF(A67&lt;&gt;"",TEXT(A67,"dddd"),"")</f>
        <v/>
      </c>
      <c r="F67">
        <f>IF(BD_Carga!C68&lt;&gt;"",BD_Carga!C68,"")</f>
        <v/>
      </c>
      <c r="G67">
        <f>IF(BD_Carga!D68&lt;&gt;"",BD_Carga!D68,"")</f>
        <v/>
      </c>
      <c r="H67">
        <f>IF(BD_Carga!Q68&lt;&gt;"",BD_Carga!Q68,"")</f>
        <v/>
      </c>
      <c r="I67">
        <f>IF(BD_Carga!R68&lt;&gt;"",BD_Carga!R68,"")</f>
        <v/>
      </c>
      <c r="J67">
        <f>IF(BD_Carga!S68&lt;&gt;"",BD_Carga!S68,"")</f>
        <v/>
      </c>
      <c r="K67" s="4">
        <f>IF(BD_Carga!E68&lt;&gt;"",BD_Carga!E68,0)</f>
        <v/>
      </c>
      <c r="L67" s="4">
        <f>IF(BD_Carga!F68&lt;&gt;"",BD_Carga!F68,0)</f>
        <v/>
      </c>
      <c r="M67" s="4">
        <f>IF(BD_Carga!G68&lt;&gt;"",BD_Carga!G68,0)</f>
        <v/>
      </c>
      <c r="N67" s="4">
        <f>IF(BD_Carga!H68&lt;&gt;"",BD_Carga!H68,0)</f>
        <v/>
      </c>
      <c r="O67" s="4">
        <f>IF(BD_Carga!I68&lt;&gt;"",BD_Carga!I68,0)</f>
        <v/>
      </c>
      <c r="P67" s="4">
        <f>IF(BD_Carga!J68&lt;&gt;"",BD_Carga!J68,0)</f>
        <v/>
      </c>
      <c r="Q67" s="5">
        <f>IF(BD_Carga!K68&lt;&gt;"",BD_Carga!K68,0)</f>
        <v/>
      </c>
      <c r="R67" s="5">
        <f>IF(BD_Carga!L68&lt;&gt;"",BD_Carga!L68,0)</f>
        <v/>
      </c>
      <c r="S67">
        <f>IF(BD_Carga!N68&lt;&gt;"",BD_Carga!N68,0)</f>
        <v/>
      </c>
      <c r="T67">
        <f>IF(BD_Carga!O68&lt;&gt;"",BD_Carga!O68,0)</f>
        <v/>
      </c>
      <c r="U67">
        <f>IF(BD_Carga!P68&lt;&gt;"",BD_Carga!P68,0)</f>
        <v/>
      </c>
      <c r="V67">
        <f>IF(BD_Carga!U68&lt;&gt;"",BD_Carga!U68,0)</f>
        <v/>
      </c>
      <c r="W67">
        <f>IF(BD_Carga!T68&lt;&gt;"",BD_Carga!T68,0)</f>
        <v/>
      </c>
      <c r="X67">
        <f>IF(BD_Carga!W68&lt;&gt;"",BD_Carga!W68,0)</f>
        <v/>
      </c>
      <c r="Y67">
        <f>IF(BD_Carga!X68&lt;&gt;"",BD_Carga!X68,0)</f>
        <v/>
      </c>
      <c r="Z67">
        <f>IF(BD_Carga!Y68&lt;&gt;"",BD_Carga!Y68,0)</f>
        <v/>
      </c>
      <c r="AA67">
        <f>IF(BD_Carga!Z68&lt;&gt;"",BD_Carga!Z68,0)</f>
        <v/>
      </c>
      <c r="AB67">
        <f>IF(BD_Carga!AA68&lt;&gt;"",BD_Carga!AA68,0)</f>
        <v/>
      </c>
      <c r="AC67" s="6">
        <f t="array" ref="AC67">IFERROR((L67-AVERAGEIF($G$2:$G$462,G67,$L$2:$L$462))/_xlfn.STDEV.P(IF($G$2:$G$462=G67,$L$2:$L$462)),0)</f>
        <v/>
      </c>
      <c r="AD67" s="6">
        <f t="array" ref="AD67">IFERROR((M67-AVERAGEIF($G$2:$G$462,G67,$M$2:$M$462))/_xlfn.STDEV.P(IF($G$2:$G$462=G67,$M$2:$M$462)),0)</f>
        <v/>
      </c>
      <c r="AE67" s="6">
        <f t="array" ref="AE67">IFERROR((N67-AVERAGEIF($G$2:$G$462,G67,$N$2:$N$462))/_xlfn.STDEV.P(IF($G$2:$G$462=G67,$N$2:$N$462)),0)</f>
        <v/>
      </c>
      <c r="AF67" s="6">
        <f t="array" ref="AF67">IFERROR((O67-AVERAGEIF($G$2:$G$462,G67,$O$2:$O$462))/_xlfn.STDEV.P(IF($G$2:$G$462=G67,$O$2:$O$462)),0)</f>
        <v/>
      </c>
      <c r="AG67" s="6">
        <f t="array" ref="AG67">IFERROR((P67-AVERAGEIF($G$2:$G$462,G67,$P$2:$P$462))/_xlfn.STDEV.P(IF($G$2:$G$462=G67,$P$2:$P$462)),0)</f>
        <v/>
      </c>
      <c r="AH67" s="6">
        <f t="array" ref="AH67">IFERROR((R67-AVERAGEIF($G$2:$G$462,G67,$R$2:$R$462))/_xlfn.STDEV.P(IF($G$2:$G$462=G67,$R$2:$R$462)),0)</f>
        <v/>
      </c>
      <c r="AI67" s="6">
        <f>IFERROR((AC67+AD67+AE67+AF67+AG67+AH67)/6,0)</f>
        <v/>
      </c>
    </row>
    <row r="68">
      <c r="A68" s="2">
        <f>IF(BD_Carga!A69&lt;&gt;"",BD_Carga!A69,"")</f>
        <v/>
      </c>
      <c r="B68">
        <f>IF(A68&lt;&gt;"",YEAR(A68),"")</f>
        <v/>
      </c>
      <c r="C68">
        <f>IF(A68&lt;&gt;"",MONTH(A68),"")</f>
        <v/>
      </c>
      <c r="D68">
        <f>IF(A68&lt;&gt;"",_xlfn.ISOWEEKNUM(A68),"")</f>
        <v/>
      </c>
      <c r="E68">
        <f>IF(A68&lt;&gt;"",TEXT(A68,"dddd"),"")</f>
        <v/>
      </c>
      <c r="F68">
        <f>IF(BD_Carga!C69&lt;&gt;"",BD_Carga!C69,"")</f>
        <v/>
      </c>
      <c r="G68">
        <f>IF(BD_Carga!D69&lt;&gt;"",BD_Carga!D69,"")</f>
        <v/>
      </c>
      <c r="H68">
        <f>IF(BD_Carga!Q69&lt;&gt;"",BD_Carga!Q69,"")</f>
        <v/>
      </c>
      <c r="I68">
        <f>IF(BD_Carga!R69&lt;&gt;"",BD_Carga!R69,"")</f>
        <v/>
      </c>
      <c r="J68">
        <f>IF(BD_Carga!S69&lt;&gt;"",BD_Carga!S69,"")</f>
        <v/>
      </c>
      <c r="K68" s="4">
        <f>IF(BD_Carga!E69&lt;&gt;"",BD_Carga!E69,0)</f>
        <v/>
      </c>
      <c r="L68" s="4">
        <f>IF(BD_Carga!F69&lt;&gt;"",BD_Carga!F69,0)</f>
        <v/>
      </c>
      <c r="M68" s="4">
        <f>IF(BD_Carga!G69&lt;&gt;"",BD_Carga!G69,0)</f>
        <v/>
      </c>
      <c r="N68" s="4">
        <f>IF(BD_Carga!H69&lt;&gt;"",BD_Carga!H69,0)</f>
        <v/>
      </c>
      <c r="O68" s="4">
        <f>IF(BD_Carga!I69&lt;&gt;"",BD_Carga!I69,0)</f>
        <v/>
      </c>
      <c r="P68" s="4">
        <f>IF(BD_Carga!J69&lt;&gt;"",BD_Carga!J69,0)</f>
        <v/>
      </c>
      <c r="Q68" s="5">
        <f>IF(BD_Carga!K69&lt;&gt;"",BD_Carga!K69,0)</f>
        <v/>
      </c>
      <c r="R68" s="5">
        <f>IF(BD_Carga!L69&lt;&gt;"",BD_Carga!L69,0)</f>
        <v/>
      </c>
      <c r="S68">
        <f>IF(BD_Carga!N69&lt;&gt;"",BD_Carga!N69,0)</f>
        <v/>
      </c>
      <c r="T68">
        <f>IF(BD_Carga!O69&lt;&gt;"",BD_Carga!O69,0)</f>
        <v/>
      </c>
      <c r="U68">
        <f>IF(BD_Carga!P69&lt;&gt;"",BD_Carga!P69,0)</f>
        <v/>
      </c>
      <c r="V68">
        <f>IF(BD_Carga!U69&lt;&gt;"",BD_Carga!U69,0)</f>
        <v/>
      </c>
      <c r="W68">
        <f>IF(BD_Carga!T69&lt;&gt;"",BD_Carga!T69,0)</f>
        <v/>
      </c>
      <c r="X68">
        <f>IF(BD_Carga!W69&lt;&gt;"",BD_Carga!W69,0)</f>
        <v/>
      </c>
      <c r="Y68">
        <f>IF(BD_Carga!X69&lt;&gt;"",BD_Carga!X69,0)</f>
        <v/>
      </c>
      <c r="Z68">
        <f>IF(BD_Carga!Y69&lt;&gt;"",BD_Carga!Y69,0)</f>
        <v/>
      </c>
      <c r="AA68">
        <f>IF(BD_Carga!Z69&lt;&gt;"",BD_Carga!Z69,0)</f>
        <v/>
      </c>
      <c r="AB68">
        <f>IF(BD_Carga!AA69&lt;&gt;"",BD_Carga!AA69,0)</f>
        <v/>
      </c>
      <c r="AC68" s="6">
        <f t="array" ref="AC68">IFERROR((L68-AVERAGEIF($G$2:$G$462,G68,$L$2:$L$462))/_xlfn.STDEV.P(IF($G$2:$G$462=G68,$L$2:$L$462)),0)</f>
        <v/>
      </c>
      <c r="AD68" s="6">
        <f t="array" ref="AD68">IFERROR((M68-AVERAGEIF($G$2:$G$462,G68,$M$2:$M$462))/_xlfn.STDEV.P(IF($G$2:$G$462=G68,$M$2:$M$462)),0)</f>
        <v/>
      </c>
      <c r="AE68" s="6">
        <f t="array" ref="AE68">IFERROR((N68-AVERAGEIF($G$2:$G$462,G68,$N$2:$N$462))/_xlfn.STDEV.P(IF($G$2:$G$462=G68,$N$2:$N$462)),0)</f>
        <v/>
      </c>
      <c r="AF68" s="6">
        <f t="array" ref="AF68">IFERROR((O68-AVERAGEIF($G$2:$G$462,G68,$O$2:$O$462))/_xlfn.STDEV.P(IF($G$2:$G$462=G68,$O$2:$O$462)),0)</f>
        <v/>
      </c>
      <c r="AG68" s="6">
        <f t="array" ref="AG68">IFERROR((P68-AVERAGEIF($G$2:$G$462,G68,$P$2:$P$462))/_xlfn.STDEV.P(IF($G$2:$G$462=G68,$P$2:$P$462)),0)</f>
        <v/>
      </c>
      <c r="AH68" s="6">
        <f t="array" ref="AH68">IFERROR((R68-AVERAGEIF($G$2:$G$462,G68,$R$2:$R$462))/_xlfn.STDEV.P(IF($G$2:$G$462=G68,$R$2:$R$462)),0)</f>
        <v/>
      </c>
      <c r="AI68" s="6">
        <f>IFERROR((AC68+AD68+AE68+AF68+AG68+AH68)/6,0)</f>
        <v/>
      </c>
    </row>
    <row r="69">
      <c r="A69" s="2">
        <f>IF(BD_Carga!A70&lt;&gt;"",BD_Carga!A70,"")</f>
        <v/>
      </c>
      <c r="B69">
        <f>IF(A69&lt;&gt;"",YEAR(A69),"")</f>
        <v/>
      </c>
      <c r="C69">
        <f>IF(A69&lt;&gt;"",MONTH(A69),"")</f>
        <v/>
      </c>
      <c r="D69">
        <f>IF(A69&lt;&gt;"",_xlfn.ISOWEEKNUM(A69),"")</f>
        <v/>
      </c>
      <c r="E69">
        <f>IF(A69&lt;&gt;"",TEXT(A69,"dddd"),"")</f>
        <v/>
      </c>
      <c r="F69">
        <f>IF(BD_Carga!C70&lt;&gt;"",BD_Carga!C70,"")</f>
        <v/>
      </c>
      <c r="G69">
        <f>IF(BD_Carga!D70&lt;&gt;"",BD_Carga!D70,"")</f>
        <v/>
      </c>
      <c r="H69">
        <f>IF(BD_Carga!Q70&lt;&gt;"",BD_Carga!Q70,"")</f>
        <v/>
      </c>
      <c r="I69">
        <f>IF(BD_Carga!R70&lt;&gt;"",BD_Carga!R70,"")</f>
        <v/>
      </c>
      <c r="J69">
        <f>IF(BD_Carga!S70&lt;&gt;"",BD_Carga!S70,"")</f>
        <v/>
      </c>
      <c r="K69" s="4">
        <f>IF(BD_Carga!E70&lt;&gt;"",BD_Carga!E70,0)</f>
        <v/>
      </c>
      <c r="L69" s="4">
        <f>IF(BD_Carga!F70&lt;&gt;"",BD_Carga!F70,0)</f>
        <v/>
      </c>
      <c r="M69" s="4">
        <f>IF(BD_Carga!G70&lt;&gt;"",BD_Carga!G70,0)</f>
        <v/>
      </c>
      <c r="N69" s="4">
        <f>IF(BD_Carga!H70&lt;&gt;"",BD_Carga!H70,0)</f>
        <v/>
      </c>
      <c r="O69" s="4">
        <f>IF(BD_Carga!I70&lt;&gt;"",BD_Carga!I70,0)</f>
        <v/>
      </c>
      <c r="P69" s="4">
        <f>IF(BD_Carga!J70&lt;&gt;"",BD_Carga!J70,0)</f>
        <v/>
      </c>
      <c r="Q69" s="5">
        <f>IF(BD_Carga!K70&lt;&gt;"",BD_Carga!K70,0)</f>
        <v/>
      </c>
      <c r="R69" s="5">
        <f>IF(BD_Carga!L70&lt;&gt;"",BD_Carga!L70,0)</f>
        <v/>
      </c>
      <c r="S69">
        <f>IF(BD_Carga!N70&lt;&gt;"",BD_Carga!N70,0)</f>
        <v/>
      </c>
      <c r="T69">
        <f>IF(BD_Carga!O70&lt;&gt;"",BD_Carga!O70,0)</f>
        <v/>
      </c>
      <c r="U69">
        <f>IF(BD_Carga!P70&lt;&gt;"",BD_Carga!P70,0)</f>
        <v/>
      </c>
      <c r="V69">
        <f>IF(BD_Carga!U70&lt;&gt;"",BD_Carga!U70,0)</f>
        <v/>
      </c>
      <c r="W69">
        <f>IF(BD_Carga!T70&lt;&gt;"",BD_Carga!T70,0)</f>
        <v/>
      </c>
      <c r="X69">
        <f>IF(BD_Carga!W70&lt;&gt;"",BD_Carga!W70,0)</f>
        <v/>
      </c>
      <c r="Y69">
        <f>IF(BD_Carga!X70&lt;&gt;"",BD_Carga!X70,0)</f>
        <v/>
      </c>
      <c r="Z69">
        <f>IF(BD_Carga!Y70&lt;&gt;"",BD_Carga!Y70,0)</f>
        <v/>
      </c>
      <c r="AA69">
        <f>IF(BD_Carga!Z70&lt;&gt;"",BD_Carga!Z70,0)</f>
        <v/>
      </c>
      <c r="AB69">
        <f>IF(BD_Carga!AA70&lt;&gt;"",BD_Carga!AA70,0)</f>
        <v/>
      </c>
      <c r="AC69" s="6">
        <f t="array" ref="AC69">IFERROR((L69-AVERAGEIF($G$2:$G$462,G69,$L$2:$L$462))/_xlfn.STDEV.P(IF($G$2:$G$462=G69,$L$2:$L$462)),0)</f>
        <v/>
      </c>
      <c r="AD69" s="6">
        <f t="array" ref="AD69">IFERROR((M69-AVERAGEIF($G$2:$G$462,G69,$M$2:$M$462))/_xlfn.STDEV.P(IF($G$2:$G$462=G69,$M$2:$M$462)),0)</f>
        <v/>
      </c>
      <c r="AE69" s="6">
        <f t="array" ref="AE69">IFERROR((N69-AVERAGEIF($G$2:$G$462,G69,$N$2:$N$462))/_xlfn.STDEV.P(IF($G$2:$G$462=G69,$N$2:$N$462)),0)</f>
        <v/>
      </c>
      <c r="AF69" s="6">
        <f t="array" ref="AF69">IFERROR((O69-AVERAGEIF($G$2:$G$462,G69,$O$2:$O$462))/_xlfn.STDEV.P(IF($G$2:$G$462=G69,$O$2:$O$462)),0)</f>
        <v/>
      </c>
      <c r="AG69" s="6">
        <f t="array" ref="AG69">IFERROR((P69-AVERAGEIF($G$2:$G$462,G69,$P$2:$P$462))/_xlfn.STDEV.P(IF($G$2:$G$462=G69,$P$2:$P$462)),0)</f>
        <v/>
      </c>
      <c r="AH69" s="6">
        <f t="array" ref="AH69">IFERROR((R69-AVERAGEIF($G$2:$G$462,G69,$R$2:$R$462))/_xlfn.STDEV.P(IF($G$2:$G$462=G69,$R$2:$R$462)),0)</f>
        <v/>
      </c>
      <c r="AI69" s="6">
        <f>IFERROR((AC69+AD69+AE69+AF69+AG69+AH69)/6,0)</f>
        <v/>
      </c>
    </row>
    <row r="70">
      <c r="A70" s="2">
        <f>IF(BD_Carga!A71&lt;&gt;"",BD_Carga!A71,"")</f>
        <v/>
      </c>
      <c r="B70">
        <f>IF(A70&lt;&gt;"",YEAR(A70),"")</f>
        <v/>
      </c>
      <c r="C70">
        <f>IF(A70&lt;&gt;"",MONTH(A70),"")</f>
        <v/>
      </c>
      <c r="D70">
        <f>IF(A70&lt;&gt;"",_xlfn.ISOWEEKNUM(A70),"")</f>
        <v/>
      </c>
      <c r="E70">
        <f>IF(A70&lt;&gt;"",TEXT(A70,"dddd"),"")</f>
        <v/>
      </c>
      <c r="F70">
        <f>IF(BD_Carga!C71&lt;&gt;"",BD_Carga!C71,"")</f>
        <v/>
      </c>
      <c r="G70">
        <f>IF(BD_Carga!D71&lt;&gt;"",BD_Carga!D71,"")</f>
        <v/>
      </c>
      <c r="H70">
        <f>IF(BD_Carga!Q71&lt;&gt;"",BD_Carga!Q71,"")</f>
        <v/>
      </c>
      <c r="I70">
        <f>IF(BD_Carga!R71&lt;&gt;"",BD_Carga!R71,"")</f>
        <v/>
      </c>
      <c r="J70">
        <f>IF(BD_Carga!S71&lt;&gt;"",BD_Carga!S71,"")</f>
        <v/>
      </c>
      <c r="K70" s="4">
        <f>IF(BD_Carga!E71&lt;&gt;"",BD_Carga!E71,0)</f>
        <v/>
      </c>
      <c r="L70" s="4">
        <f>IF(BD_Carga!F71&lt;&gt;"",BD_Carga!F71,0)</f>
        <v/>
      </c>
      <c r="M70" s="4">
        <f>IF(BD_Carga!G71&lt;&gt;"",BD_Carga!G71,0)</f>
        <v/>
      </c>
      <c r="N70" s="4">
        <f>IF(BD_Carga!H71&lt;&gt;"",BD_Carga!H71,0)</f>
        <v/>
      </c>
      <c r="O70" s="4">
        <f>IF(BD_Carga!I71&lt;&gt;"",BD_Carga!I71,0)</f>
        <v/>
      </c>
      <c r="P70" s="4">
        <f>IF(BD_Carga!J71&lt;&gt;"",BD_Carga!J71,0)</f>
        <v/>
      </c>
      <c r="Q70" s="5">
        <f>IF(BD_Carga!K71&lt;&gt;"",BD_Carga!K71,0)</f>
        <v/>
      </c>
      <c r="R70" s="5">
        <f>IF(BD_Carga!L71&lt;&gt;"",BD_Carga!L71,0)</f>
        <v/>
      </c>
      <c r="S70">
        <f>IF(BD_Carga!N71&lt;&gt;"",BD_Carga!N71,0)</f>
        <v/>
      </c>
      <c r="T70">
        <f>IF(BD_Carga!O71&lt;&gt;"",BD_Carga!O71,0)</f>
        <v/>
      </c>
      <c r="U70">
        <f>IF(BD_Carga!P71&lt;&gt;"",BD_Carga!P71,0)</f>
        <v/>
      </c>
      <c r="V70">
        <f>IF(BD_Carga!U71&lt;&gt;"",BD_Carga!U71,0)</f>
        <v/>
      </c>
      <c r="W70">
        <f>IF(BD_Carga!T71&lt;&gt;"",BD_Carga!T71,0)</f>
        <v/>
      </c>
      <c r="X70">
        <f>IF(BD_Carga!W71&lt;&gt;"",BD_Carga!W71,0)</f>
        <v/>
      </c>
      <c r="Y70">
        <f>IF(BD_Carga!X71&lt;&gt;"",BD_Carga!X71,0)</f>
        <v/>
      </c>
      <c r="Z70">
        <f>IF(BD_Carga!Y71&lt;&gt;"",BD_Carga!Y71,0)</f>
        <v/>
      </c>
      <c r="AA70">
        <f>IF(BD_Carga!Z71&lt;&gt;"",BD_Carga!Z71,0)</f>
        <v/>
      </c>
      <c r="AB70">
        <f>IF(BD_Carga!AA71&lt;&gt;"",BD_Carga!AA71,0)</f>
        <v/>
      </c>
      <c r="AC70" s="6">
        <f t="array" ref="AC70">IFERROR((L70-AVERAGEIF($G$2:$G$462,G70,$L$2:$L$462))/_xlfn.STDEV.P(IF($G$2:$G$462=G70,$L$2:$L$462)),0)</f>
        <v/>
      </c>
      <c r="AD70" s="6">
        <f t="array" ref="AD70">IFERROR((M70-AVERAGEIF($G$2:$G$462,G70,$M$2:$M$462))/_xlfn.STDEV.P(IF($G$2:$G$462=G70,$M$2:$M$462)),0)</f>
        <v/>
      </c>
      <c r="AE70" s="6">
        <f t="array" ref="AE70">IFERROR((N70-AVERAGEIF($G$2:$G$462,G70,$N$2:$N$462))/_xlfn.STDEV.P(IF($G$2:$G$462=G70,$N$2:$N$462)),0)</f>
        <v/>
      </c>
      <c r="AF70" s="6">
        <f t="array" ref="AF70">IFERROR((O70-AVERAGEIF($G$2:$G$462,G70,$O$2:$O$462))/_xlfn.STDEV.P(IF($G$2:$G$462=G70,$O$2:$O$462)),0)</f>
        <v/>
      </c>
      <c r="AG70" s="6">
        <f t="array" ref="AG70">IFERROR((P70-AVERAGEIF($G$2:$G$462,G70,$P$2:$P$462))/_xlfn.STDEV.P(IF($G$2:$G$462=G70,$P$2:$P$462)),0)</f>
        <v/>
      </c>
      <c r="AH70" s="6">
        <f t="array" ref="AH70">IFERROR((R70-AVERAGEIF($G$2:$G$462,G70,$R$2:$R$462))/_xlfn.STDEV.P(IF($G$2:$G$462=G70,$R$2:$R$462)),0)</f>
        <v/>
      </c>
      <c r="AI70" s="6">
        <f>IFERROR((AC70+AD70+AE70+AF70+AG70+AH70)/6,0)</f>
        <v/>
      </c>
    </row>
    <row r="71">
      <c r="A71" s="2">
        <f>IF(BD_Carga!A72&lt;&gt;"",BD_Carga!A72,"")</f>
        <v/>
      </c>
      <c r="B71">
        <f>IF(A71&lt;&gt;"",YEAR(A71),"")</f>
        <v/>
      </c>
      <c r="C71">
        <f>IF(A71&lt;&gt;"",MONTH(A71),"")</f>
        <v/>
      </c>
      <c r="D71">
        <f>IF(A71&lt;&gt;"",_xlfn.ISOWEEKNUM(A71),"")</f>
        <v/>
      </c>
      <c r="E71">
        <f>IF(A71&lt;&gt;"",TEXT(A71,"dddd"),"")</f>
        <v/>
      </c>
      <c r="F71">
        <f>IF(BD_Carga!C72&lt;&gt;"",BD_Carga!C72,"")</f>
        <v/>
      </c>
      <c r="G71">
        <f>IF(BD_Carga!D72&lt;&gt;"",BD_Carga!D72,"")</f>
        <v/>
      </c>
      <c r="H71">
        <f>IF(BD_Carga!Q72&lt;&gt;"",BD_Carga!Q72,"")</f>
        <v/>
      </c>
      <c r="I71">
        <f>IF(BD_Carga!R72&lt;&gt;"",BD_Carga!R72,"")</f>
        <v/>
      </c>
      <c r="J71">
        <f>IF(BD_Carga!S72&lt;&gt;"",BD_Carga!S72,"")</f>
        <v/>
      </c>
      <c r="K71" s="4">
        <f>IF(BD_Carga!E72&lt;&gt;"",BD_Carga!E72,0)</f>
        <v/>
      </c>
      <c r="L71" s="4">
        <f>IF(BD_Carga!F72&lt;&gt;"",BD_Carga!F72,0)</f>
        <v/>
      </c>
      <c r="M71" s="4">
        <f>IF(BD_Carga!G72&lt;&gt;"",BD_Carga!G72,0)</f>
        <v/>
      </c>
      <c r="N71" s="4">
        <f>IF(BD_Carga!H72&lt;&gt;"",BD_Carga!H72,0)</f>
        <v/>
      </c>
      <c r="O71" s="4">
        <f>IF(BD_Carga!I72&lt;&gt;"",BD_Carga!I72,0)</f>
        <v/>
      </c>
      <c r="P71" s="4">
        <f>IF(BD_Carga!J72&lt;&gt;"",BD_Carga!J72,0)</f>
        <v/>
      </c>
      <c r="Q71" s="5">
        <f>IF(BD_Carga!K72&lt;&gt;"",BD_Carga!K72,0)</f>
        <v/>
      </c>
      <c r="R71" s="5">
        <f>IF(BD_Carga!L72&lt;&gt;"",BD_Carga!L72,0)</f>
        <v/>
      </c>
      <c r="S71">
        <f>IF(BD_Carga!N72&lt;&gt;"",BD_Carga!N72,0)</f>
        <v/>
      </c>
      <c r="T71">
        <f>IF(BD_Carga!O72&lt;&gt;"",BD_Carga!O72,0)</f>
        <v/>
      </c>
      <c r="U71">
        <f>IF(BD_Carga!P72&lt;&gt;"",BD_Carga!P72,0)</f>
        <v/>
      </c>
      <c r="V71">
        <f>IF(BD_Carga!U72&lt;&gt;"",BD_Carga!U72,0)</f>
        <v/>
      </c>
      <c r="W71">
        <f>IF(BD_Carga!T72&lt;&gt;"",BD_Carga!T72,0)</f>
        <v/>
      </c>
      <c r="X71">
        <f>IF(BD_Carga!W72&lt;&gt;"",BD_Carga!W72,0)</f>
        <v/>
      </c>
      <c r="Y71">
        <f>IF(BD_Carga!X72&lt;&gt;"",BD_Carga!X72,0)</f>
        <v/>
      </c>
      <c r="Z71">
        <f>IF(BD_Carga!Y72&lt;&gt;"",BD_Carga!Y72,0)</f>
        <v/>
      </c>
      <c r="AA71">
        <f>IF(BD_Carga!Z72&lt;&gt;"",BD_Carga!Z72,0)</f>
        <v/>
      </c>
      <c r="AB71">
        <f>IF(BD_Carga!AA72&lt;&gt;"",BD_Carga!AA72,0)</f>
        <v/>
      </c>
      <c r="AC71" s="6">
        <f t="array" ref="AC71">IFERROR((L71-AVERAGEIF($G$2:$G$462,G71,$L$2:$L$462))/_xlfn.STDEV.P(IF($G$2:$G$462=G71,$L$2:$L$462)),0)</f>
        <v/>
      </c>
      <c r="AD71" s="6">
        <f t="array" ref="AD71">IFERROR((M71-AVERAGEIF($G$2:$G$462,G71,$M$2:$M$462))/_xlfn.STDEV.P(IF($G$2:$G$462=G71,$M$2:$M$462)),0)</f>
        <v/>
      </c>
      <c r="AE71" s="6">
        <f t="array" ref="AE71">IFERROR((N71-AVERAGEIF($G$2:$G$462,G71,$N$2:$N$462))/_xlfn.STDEV.P(IF($G$2:$G$462=G71,$N$2:$N$462)),0)</f>
        <v/>
      </c>
      <c r="AF71" s="6">
        <f t="array" ref="AF71">IFERROR((O71-AVERAGEIF($G$2:$G$462,G71,$O$2:$O$462))/_xlfn.STDEV.P(IF($G$2:$G$462=G71,$O$2:$O$462)),0)</f>
        <v/>
      </c>
      <c r="AG71" s="6">
        <f t="array" ref="AG71">IFERROR((P71-AVERAGEIF($G$2:$G$462,G71,$P$2:$P$462))/_xlfn.STDEV.P(IF($G$2:$G$462=G71,$P$2:$P$462)),0)</f>
        <v/>
      </c>
      <c r="AH71" s="6">
        <f t="array" ref="AH71">IFERROR((R71-AVERAGEIF($G$2:$G$462,G71,$R$2:$R$462))/_xlfn.STDEV.P(IF($G$2:$G$462=G71,$R$2:$R$462)),0)</f>
        <v/>
      </c>
      <c r="AI71" s="6">
        <f>IFERROR((AC71+AD71+AE71+AF71+AG71+AH71)/6,0)</f>
        <v/>
      </c>
    </row>
    <row r="72">
      <c r="A72" s="2">
        <f>IF(BD_Carga!A73&lt;&gt;"",BD_Carga!A73,"")</f>
        <v/>
      </c>
      <c r="B72">
        <f>IF(A72&lt;&gt;"",YEAR(A72),"")</f>
        <v/>
      </c>
      <c r="C72">
        <f>IF(A72&lt;&gt;"",MONTH(A72),"")</f>
        <v/>
      </c>
      <c r="D72">
        <f>IF(A72&lt;&gt;"",_xlfn.ISOWEEKNUM(A72),"")</f>
        <v/>
      </c>
      <c r="E72">
        <f>IF(A72&lt;&gt;"",TEXT(A72,"dddd"),"")</f>
        <v/>
      </c>
      <c r="F72">
        <f>IF(BD_Carga!C73&lt;&gt;"",BD_Carga!C73,"")</f>
        <v/>
      </c>
      <c r="G72">
        <f>IF(BD_Carga!D73&lt;&gt;"",BD_Carga!D73,"")</f>
        <v/>
      </c>
      <c r="H72">
        <f>IF(BD_Carga!Q73&lt;&gt;"",BD_Carga!Q73,"")</f>
        <v/>
      </c>
      <c r="I72">
        <f>IF(BD_Carga!R73&lt;&gt;"",BD_Carga!R73,"")</f>
        <v/>
      </c>
      <c r="J72">
        <f>IF(BD_Carga!S73&lt;&gt;"",BD_Carga!S73,"")</f>
        <v/>
      </c>
      <c r="K72" s="4">
        <f>IF(BD_Carga!E73&lt;&gt;"",BD_Carga!E73,0)</f>
        <v/>
      </c>
      <c r="L72" s="4">
        <f>IF(BD_Carga!F73&lt;&gt;"",BD_Carga!F73,0)</f>
        <v/>
      </c>
      <c r="M72" s="4">
        <f>IF(BD_Carga!G73&lt;&gt;"",BD_Carga!G73,0)</f>
        <v/>
      </c>
      <c r="N72" s="4">
        <f>IF(BD_Carga!H73&lt;&gt;"",BD_Carga!H73,0)</f>
        <v/>
      </c>
      <c r="O72" s="4">
        <f>IF(BD_Carga!I73&lt;&gt;"",BD_Carga!I73,0)</f>
        <v/>
      </c>
      <c r="P72" s="4">
        <f>IF(BD_Carga!J73&lt;&gt;"",BD_Carga!J73,0)</f>
        <v/>
      </c>
      <c r="Q72" s="5">
        <f>IF(BD_Carga!K73&lt;&gt;"",BD_Carga!K73,0)</f>
        <v/>
      </c>
      <c r="R72" s="5">
        <f>IF(BD_Carga!L73&lt;&gt;"",BD_Carga!L73,0)</f>
        <v/>
      </c>
      <c r="S72">
        <f>IF(BD_Carga!N73&lt;&gt;"",BD_Carga!N73,0)</f>
        <v/>
      </c>
      <c r="T72">
        <f>IF(BD_Carga!O73&lt;&gt;"",BD_Carga!O73,0)</f>
        <v/>
      </c>
      <c r="U72">
        <f>IF(BD_Carga!P73&lt;&gt;"",BD_Carga!P73,0)</f>
        <v/>
      </c>
      <c r="V72">
        <f>IF(BD_Carga!U73&lt;&gt;"",BD_Carga!U73,0)</f>
        <v/>
      </c>
      <c r="W72">
        <f>IF(BD_Carga!T73&lt;&gt;"",BD_Carga!T73,0)</f>
        <v/>
      </c>
      <c r="X72">
        <f>IF(BD_Carga!W73&lt;&gt;"",BD_Carga!W73,0)</f>
        <v/>
      </c>
      <c r="Y72">
        <f>IF(BD_Carga!X73&lt;&gt;"",BD_Carga!X73,0)</f>
        <v/>
      </c>
      <c r="Z72">
        <f>IF(BD_Carga!Y73&lt;&gt;"",BD_Carga!Y73,0)</f>
        <v/>
      </c>
      <c r="AA72">
        <f>IF(BD_Carga!Z73&lt;&gt;"",BD_Carga!Z73,0)</f>
        <v/>
      </c>
      <c r="AB72">
        <f>IF(BD_Carga!AA73&lt;&gt;"",BD_Carga!AA73,0)</f>
        <v/>
      </c>
      <c r="AC72" s="6">
        <f t="array" ref="AC72">IFERROR((L72-AVERAGEIF($G$2:$G$462,G72,$L$2:$L$462))/_xlfn.STDEV.P(IF($G$2:$G$462=G72,$L$2:$L$462)),0)</f>
        <v/>
      </c>
      <c r="AD72" s="6">
        <f t="array" ref="AD72">IFERROR((M72-AVERAGEIF($G$2:$G$462,G72,$M$2:$M$462))/_xlfn.STDEV.P(IF($G$2:$G$462=G72,$M$2:$M$462)),0)</f>
        <v/>
      </c>
      <c r="AE72" s="6">
        <f t="array" ref="AE72">IFERROR((N72-AVERAGEIF($G$2:$G$462,G72,$N$2:$N$462))/_xlfn.STDEV.P(IF($G$2:$G$462=G72,$N$2:$N$462)),0)</f>
        <v/>
      </c>
      <c r="AF72" s="6">
        <f t="array" ref="AF72">IFERROR((O72-AVERAGEIF($G$2:$G$462,G72,$O$2:$O$462))/_xlfn.STDEV.P(IF($G$2:$G$462=G72,$O$2:$O$462)),0)</f>
        <v/>
      </c>
      <c r="AG72" s="6">
        <f t="array" ref="AG72">IFERROR((P72-AVERAGEIF($G$2:$G$462,G72,$P$2:$P$462))/_xlfn.STDEV.P(IF($G$2:$G$462=G72,$P$2:$P$462)),0)</f>
        <v/>
      </c>
      <c r="AH72" s="6">
        <f t="array" ref="AH72">IFERROR((R72-AVERAGEIF($G$2:$G$462,G72,$R$2:$R$462))/_xlfn.STDEV.P(IF($G$2:$G$462=G72,$R$2:$R$462)),0)</f>
        <v/>
      </c>
      <c r="AI72" s="6">
        <f>IFERROR((AC72+AD72+AE72+AF72+AG72+AH72)/6,0)</f>
        <v/>
      </c>
    </row>
    <row r="73">
      <c r="A73" s="2">
        <f>IF(BD_Carga!A74&lt;&gt;"",BD_Carga!A74,"")</f>
        <v/>
      </c>
      <c r="B73">
        <f>IF(A73&lt;&gt;"",YEAR(A73),"")</f>
        <v/>
      </c>
      <c r="C73">
        <f>IF(A73&lt;&gt;"",MONTH(A73),"")</f>
        <v/>
      </c>
      <c r="D73">
        <f>IF(A73&lt;&gt;"",_xlfn.ISOWEEKNUM(A73),"")</f>
        <v/>
      </c>
      <c r="E73">
        <f>IF(A73&lt;&gt;"",TEXT(A73,"dddd"),"")</f>
        <v/>
      </c>
      <c r="F73">
        <f>IF(BD_Carga!C74&lt;&gt;"",BD_Carga!C74,"")</f>
        <v/>
      </c>
      <c r="G73">
        <f>IF(BD_Carga!D74&lt;&gt;"",BD_Carga!D74,"")</f>
        <v/>
      </c>
      <c r="H73">
        <f>IF(BD_Carga!Q74&lt;&gt;"",BD_Carga!Q74,"")</f>
        <v/>
      </c>
      <c r="I73">
        <f>IF(BD_Carga!R74&lt;&gt;"",BD_Carga!R74,"")</f>
        <v/>
      </c>
      <c r="J73">
        <f>IF(BD_Carga!S74&lt;&gt;"",BD_Carga!S74,"")</f>
        <v/>
      </c>
      <c r="K73" s="4">
        <f>IF(BD_Carga!E74&lt;&gt;"",BD_Carga!E74,0)</f>
        <v/>
      </c>
      <c r="L73" s="4">
        <f>IF(BD_Carga!F74&lt;&gt;"",BD_Carga!F74,0)</f>
        <v/>
      </c>
      <c r="M73" s="4">
        <f>IF(BD_Carga!G74&lt;&gt;"",BD_Carga!G74,0)</f>
        <v/>
      </c>
      <c r="N73" s="4">
        <f>IF(BD_Carga!H74&lt;&gt;"",BD_Carga!H74,0)</f>
        <v/>
      </c>
      <c r="O73" s="4">
        <f>IF(BD_Carga!I74&lt;&gt;"",BD_Carga!I74,0)</f>
        <v/>
      </c>
      <c r="P73" s="4">
        <f>IF(BD_Carga!J74&lt;&gt;"",BD_Carga!J74,0)</f>
        <v/>
      </c>
      <c r="Q73" s="5">
        <f>IF(BD_Carga!K74&lt;&gt;"",BD_Carga!K74,0)</f>
        <v/>
      </c>
      <c r="R73" s="5">
        <f>IF(BD_Carga!L74&lt;&gt;"",BD_Carga!L74,0)</f>
        <v/>
      </c>
      <c r="S73">
        <f>IF(BD_Carga!N74&lt;&gt;"",BD_Carga!N74,0)</f>
        <v/>
      </c>
      <c r="T73">
        <f>IF(BD_Carga!O74&lt;&gt;"",BD_Carga!O74,0)</f>
        <v/>
      </c>
      <c r="U73">
        <f>IF(BD_Carga!P74&lt;&gt;"",BD_Carga!P74,0)</f>
        <v/>
      </c>
      <c r="V73">
        <f>IF(BD_Carga!U74&lt;&gt;"",BD_Carga!U74,0)</f>
        <v/>
      </c>
      <c r="W73">
        <f>IF(BD_Carga!T74&lt;&gt;"",BD_Carga!T74,0)</f>
        <v/>
      </c>
      <c r="X73">
        <f>IF(BD_Carga!W74&lt;&gt;"",BD_Carga!W74,0)</f>
        <v/>
      </c>
      <c r="Y73">
        <f>IF(BD_Carga!X74&lt;&gt;"",BD_Carga!X74,0)</f>
        <v/>
      </c>
      <c r="Z73">
        <f>IF(BD_Carga!Y74&lt;&gt;"",BD_Carga!Y74,0)</f>
        <v/>
      </c>
      <c r="AA73">
        <f>IF(BD_Carga!Z74&lt;&gt;"",BD_Carga!Z74,0)</f>
        <v/>
      </c>
      <c r="AB73">
        <f>IF(BD_Carga!AA74&lt;&gt;"",BD_Carga!AA74,0)</f>
        <v/>
      </c>
      <c r="AC73" s="6">
        <f t="array" ref="AC73">IFERROR((L73-AVERAGEIF($G$2:$G$462,G73,$L$2:$L$462))/_xlfn.STDEV.P(IF($G$2:$G$462=G73,$L$2:$L$462)),0)</f>
        <v/>
      </c>
      <c r="AD73" s="6">
        <f t="array" ref="AD73">IFERROR((M73-AVERAGEIF($G$2:$G$462,G73,$M$2:$M$462))/_xlfn.STDEV.P(IF($G$2:$G$462=G73,$M$2:$M$462)),0)</f>
        <v/>
      </c>
      <c r="AE73" s="6">
        <f t="array" ref="AE73">IFERROR((N73-AVERAGEIF($G$2:$G$462,G73,$N$2:$N$462))/_xlfn.STDEV.P(IF($G$2:$G$462=G73,$N$2:$N$462)),0)</f>
        <v/>
      </c>
      <c r="AF73" s="6">
        <f t="array" ref="AF73">IFERROR((O73-AVERAGEIF($G$2:$G$462,G73,$O$2:$O$462))/_xlfn.STDEV.P(IF($G$2:$G$462=G73,$O$2:$O$462)),0)</f>
        <v/>
      </c>
      <c r="AG73" s="6">
        <f t="array" ref="AG73">IFERROR((P73-AVERAGEIF($G$2:$G$462,G73,$P$2:$P$462))/_xlfn.STDEV.P(IF($G$2:$G$462=G73,$P$2:$P$462)),0)</f>
        <v/>
      </c>
      <c r="AH73" s="6">
        <f t="array" ref="AH73">IFERROR((R73-AVERAGEIF($G$2:$G$462,G73,$R$2:$R$462))/_xlfn.STDEV.P(IF($G$2:$G$462=G73,$R$2:$R$462)),0)</f>
        <v/>
      </c>
      <c r="AI73" s="6">
        <f>IFERROR((AC73+AD73+AE73+AF73+AG73+AH73)/6,0)</f>
        <v/>
      </c>
    </row>
    <row r="74">
      <c r="A74" s="2">
        <f>IF(BD_Carga!A75&lt;&gt;"",BD_Carga!A75,"")</f>
        <v/>
      </c>
      <c r="B74">
        <f>IF(A74&lt;&gt;"",YEAR(A74),"")</f>
        <v/>
      </c>
      <c r="C74">
        <f>IF(A74&lt;&gt;"",MONTH(A74),"")</f>
        <v/>
      </c>
      <c r="D74">
        <f>IF(A74&lt;&gt;"",_xlfn.ISOWEEKNUM(A74),"")</f>
        <v/>
      </c>
      <c r="E74">
        <f>IF(A74&lt;&gt;"",TEXT(A74,"dddd"),"")</f>
        <v/>
      </c>
      <c r="F74">
        <f>IF(BD_Carga!C75&lt;&gt;"",BD_Carga!C75,"")</f>
        <v/>
      </c>
      <c r="G74">
        <f>IF(BD_Carga!D75&lt;&gt;"",BD_Carga!D75,"")</f>
        <v/>
      </c>
      <c r="H74">
        <f>IF(BD_Carga!Q75&lt;&gt;"",BD_Carga!Q75,"")</f>
        <v/>
      </c>
      <c r="I74">
        <f>IF(BD_Carga!R75&lt;&gt;"",BD_Carga!R75,"")</f>
        <v/>
      </c>
      <c r="J74">
        <f>IF(BD_Carga!S75&lt;&gt;"",BD_Carga!S75,"")</f>
        <v/>
      </c>
      <c r="K74" s="4">
        <f>IF(BD_Carga!E75&lt;&gt;"",BD_Carga!E75,0)</f>
        <v/>
      </c>
      <c r="L74" s="4">
        <f>IF(BD_Carga!F75&lt;&gt;"",BD_Carga!F75,0)</f>
        <v/>
      </c>
      <c r="M74" s="4">
        <f>IF(BD_Carga!G75&lt;&gt;"",BD_Carga!G75,0)</f>
        <v/>
      </c>
      <c r="N74" s="4">
        <f>IF(BD_Carga!H75&lt;&gt;"",BD_Carga!H75,0)</f>
        <v/>
      </c>
      <c r="O74" s="4">
        <f>IF(BD_Carga!I75&lt;&gt;"",BD_Carga!I75,0)</f>
        <v/>
      </c>
      <c r="P74" s="4">
        <f>IF(BD_Carga!J75&lt;&gt;"",BD_Carga!J75,0)</f>
        <v/>
      </c>
      <c r="Q74" s="5">
        <f>IF(BD_Carga!K75&lt;&gt;"",BD_Carga!K75,0)</f>
        <v/>
      </c>
      <c r="R74" s="5">
        <f>IF(BD_Carga!L75&lt;&gt;"",BD_Carga!L75,0)</f>
        <v/>
      </c>
      <c r="S74">
        <f>IF(BD_Carga!N75&lt;&gt;"",BD_Carga!N75,0)</f>
        <v/>
      </c>
      <c r="T74">
        <f>IF(BD_Carga!O75&lt;&gt;"",BD_Carga!O75,0)</f>
        <v/>
      </c>
      <c r="U74">
        <f>IF(BD_Carga!P75&lt;&gt;"",BD_Carga!P75,0)</f>
        <v/>
      </c>
      <c r="V74">
        <f>IF(BD_Carga!U75&lt;&gt;"",BD_Carga!U75,0)</f>
        <v/>
      </c>
      <c r="W74">
        <f>IF(BD_Carga!T75&lt;&gt;"",BD_Carga!T75,0)</f>
        <v/>
      </c>
      <c r="X74">
        <f>IF(BD_Carga!W75&lt;&gt;"",BD_Carga!W75,0)</f>
        <v/>
      </c>
      <c r="Y74">
        <f>IF(BD_Carga!X75&lt;&gt;"",BD_Carga!X75,0)</f>
        <v/>
      </c>
      <c r="Z74">
        <f>IF(BD_Carga!Y75&lt;&gt;"",BD_Carga!Y75,0)</f>
        <v/>
      </c>
      <c r="AA74">
        <f>IF(BD_Carga!Z75&lt;&gt;"",BD_Carga!Z75,0)</f>
        <v/>
      </c>
      <c r="AB74">
        <f>IF(BD_Carga!AA75&lt;&gt;"",BD_Carga!AA75,0)</f>
        <v/>
      </c>
      <c r="AC74" s="6">
        <f t="array" ref="AC74">IFERROR((L74-AVERAGEIF($G$2:$G$462,G74,$L$2:$L$462))/_xlfn.STDEV.P(IF($G$2:$G$462=G74,$L$2:$L$462)),0)</f>
        <v/>
      </c>
      <c r="AD74" s="6">
        <f t="array" ref="AD74">IFERROR((M74-AVERAGEIF($G$2:$G$462,G74,$M$2:$M$462))/_xlfn.STDEV.P(IF($G$2:$G$462=G74,$M$2:$M$462)),0)</f>
        <v/>
      </c>
      <c r="AE74" s="6">
        <f t="array" ref="AE74">IFERROR((N74-AVERAGEIF($G$2:$G$462,G74,$N$2:$N$462))/_xlfn.STDEV.P(IF($G$2:$G$462=G74,$N$2:$N$462)),0)</f>
        <v/>
      </c>
      <c r="AF74" s="6">
        <f t="array" ref="AF74">IFERROR((O74-AVERAGEIF($G$2:$G$462,G74,$O$2:$O$462))/_xlfn.STDEV.P(IF($G$2:$G$462=G74,$O$2:$O$462)),0)</f>
        <v/>
      </c>
      <c r="AG74" s="6">
        <f t="array" ref="AG74">IFERROR((P74-AVERAGEIF($G$2:$G$462,G74,$P$2:$P$462))/_xlfn.STDEV.P(IF($G$2:$G$462=G74,$P$2:$P$462)),0)</f>
        <v/>
      </c>
      <c r="AH74" s="6">
        <f t="array" ref="AH74">IFERROR((R74-AVERAGEIF($G$2:$G$462,G74,$R$2:$R$462))/_xlfn.STDEV.P(IF($G$2:$G$462=G74,$R$2:$R$462)),0)</f>
        <v/>
      </c>
      <c r="AI74" s="6">
        <f>IFERROR((AC74+AD74+AE74+AF74+AG74+AH74)/6,0)</f>
        <v/>
      </c>
    </row>
    <row r="75">
      <c r="A75" s="2">
        <f>IF(BD_Carga!A76&lt;&gt;"",BD_Carga!A76,"")</f>
        <v/>
      </c>
      <c r="B75">
        <f>IF(A75&lt;&gt;"",YEAR(A75),"")</f>
        <v/>
      </c>
      <c r="C75">
        <f>IF(A75&lt;&gt;"",MONTH(A75),"")</f>
        <v/>
      </c>
      <c r="D75">
        <f>IF(A75&lt;&gt;"",_xlfn.ISOWEEKNUM(A75),"")</f>
        <v/>
      </c>
      <c r="E75">
        <f>IF(A75&lt;&gt;"",TEXT(A75,"dddd"),"")</f>
        <v/>
      </c>
      <c r="F75">
        <f>IF(BD_Carga!C76&lt;&gt;"",BD_Carga!C76,"")</f>
        <v/>
      </c>
      <c r="G75">
        <f>IF(BD_Carga!D76&lt;&gt;"",BD_Carga!D76,"")</f>
        <v/>
      </c>
      <c r="H75">
        <f>IF(BD_Carga!Q76&lt;&gt;"",BD_Carga!Q76,"")</f>
        <v/>
      </c>
      <c r="I75">
        <f>IF(BD_Carga!R76&lt;&gt;"",BD_Carga!R76,"")</f>
        <v/>
      </c>
      <c r="J75">
        <f>IF(BD_Carga!S76&lt;&gt;"",BD_Carga!S76,"")</f>
        <v/>
      </c>
      <c r="K75" s="4">
        <f>IF(BD_Carga!E76&lt;&gt;"",BD_Carga!E76,0)</f>
        <v/>
      </c>
      <c r="L75" s="4">
        <f>IF(BD_Carga!F76&lt;&gt;"",BD_Carga!F76,0)</f>
        <v/>
      </c>
      <c r="M75" s="4">
        <f>IF(BD_Carga!G76&lt;&gt;"",BD_Carga!G76,0)</f>
        <v/>
      </c>
      <c r="N75" s="4">
        <f>IF(BD_Carga!H76&lt;&gt;"",BD_Carga!H76,0)</f>
        <v/>
      </c>
      <c r="O75" s="4">
        <f>IF(BD_Carga!I76&lt;&gt;"",BD_Carga!I76,0)</f>
        <v/>
      </c>
      <c r="P75" s="4">
        <f>IF(BD_Carga!J76&lt;&gt;"",BD_Carga!J76,0)</f>
        <v/>
      </c>
      <c r="Q75" s="5">
        <f>IF(BD_Carga!K76&lt;&gt;"",BD_Carga!K76,0)</f>
        <v/>
      </c>
      <c r="R75" s="5">
        <f>IF(BD_Carga!L76&lt;&gt;"",BD_Carga!L76,0)</f>
        <v/>
      </c>
      <c r="S75">
        <f>IF(BD_Carga!N76&lt;&gt;"",BD_Carga!N76,0)</f>
        <v/>
      </c>
      <c r="T75">
        <f>IF(BD_Carga!O76&lt;&gt;"",BD_Carga!O76,0)</f>
        <v/>
      </c>
      <c r="U75">
        <f>IF(BD_Carga!P76&lt;&gt;"",BD_Carga!P76,0)</f>
        <v/>
      </c>
      <c r="V75">
        <f>IF(BD_Carga!U76&lt;&gt;"",BD_Carga!U76,0)</f>
        <v/>
      </c>
      <c r="W75">
        <f>IF(BD_Carga!T76&lt;&gt;"",BD_Carga!T76,0)</f>
        <v/>
      </c>
      <c r="X75">
        <f>IF(BD_Carga!W76&lt;&gt;"",BD_Carga!W76,0)</f>
        <v/>
      </c>
      <c r="Y75">
        <f>IF(BD_Carga!X76&lt;&gt;"",BD_Carga!X76,0)</f>
        <v/>
      </c>
      <c r="Z75">
        <f>IF(BD_Carga!Y76&lt;&gt;"",BD_Carga!Y76,0)</f>
        <v/>
      </c>
      <c r="AA75">
        <f>IF(BD_Carga!Z76&lt;&gt;"",BD_Carga!Z76,0)</f>
        <v/>
      </c>
      <c r="AB75">
        <f>IF(BD_Carga!AA76&lt;&gt;"",BD_Carga!AA76,0)</f>
        <v/>
      </c>
      <c r="AC75" s="6">
        <f t="array" ref="AC75">IFERROR((L75-AVERAGEIF($G$2:$G$462,G75,$L$2:$L$462))/_xlfn.STDEV.P(IF($G$2:$G$462=G75,$L$2:$L$462)),0)</f>
        <v/>
      </c>
      <c r="AD75" s="6">
        <f t="array" ref="AD75">IFERROR((M75-AVERAGEIF($G$2:$G$462,G75,$M$2:$M$462))/_xlfn.STDEV.P(IF($G$2:$G$462=G75,$M$2:$M$462)),0)</f>
        <v/>
      </c>
      <c r="AE75" s="6">
        <f t="array" ref="AE75">IFERROR((N75-AVERAGEIF($G$2:$G$462,G75,$N$2:$N$462))/_xlfn.STDEV.P(IF($G$2:$G$462=G75,$N$2:$N$462)),0)</f>
        <v/>
      </c>
      <c r="AF75" s="6">
        <f t="array" ref="AF75">IFERROR((O75-AVERAGEIF($G$2:$G$462,G75,$O$2:$O$462))/_xlfn.STDEV.P(IF($G$2:$G$462=G75,$O$2:$O$462)),0)</f>
        <v/>
      </c>
      <c r="AG75" s="6">
        <f t="array" ref="AG75">IFERROR((P75-AVERAGEIF($G$2:$G$462,G75,$P$2:$P$462))/_xlfn.STDEV.P(IF($G$2:$G$462=G75,$P$2:$P$462)),0)</f>
        <v/>
      </c>
      <c r="AH75" s="6">
        <f t="array" ref="AH75">IFERROR((R75-AVERAGEIF($G$2:$G$462,G75,$R$2:$R$462))/_xlfn.STDEV.P(IF($G$2:$G$462=G75,$R$2:$R$462)),0)</f>
        <v/>
      </c>
      <c r="AI75" s="6">
        <f>IFERROR((AC75+AD75+AE75+AF75+AG75+AH75)/6,0)</f>
        <v/>
      </c>
    </row>
    <row r="76">
      <c r="A76" s="2">
        <f>IF(BD_Carga!A77&lt;&gt;"",BD_Carga!A77,"")</f>
        <v/>
      </c>
      <c r="B76">
        <f>IF(A76&lt;&gt;"",YEAR(A76),"")</f>
        <v/>
      </c>
      <c r="C76">
        <f>IF(A76&lt;&gt;"",MONTH(A76),"")</f>
        <v/>
      </c>
      <c r="D76">
        <f>IF(A76&lt;&gt;"",_xlfn.ISOWEEKNUM(A76),"")</f>
        <v/>
      </c>
      <c r="E76">
        <f>IF(A76&lt;&gt;"",TEXT(A76,"dddd"),"")</f>
        <v/>
      </c>
      <c r="F76">
        <f>IF(BD_Carga!C77&lt;&gt;"",BD_Carga!C77,"")</f>
        <v/>
      </c>
      <c r="G76">
        <f>IF(BD_Carga!D77&lt;&gt;"",BD_Carga!D77,"")</f>
        <v/>
      </c>
      <c r="H76">
        <f>IF(BD_Carga!Q77&lt;&gt;"",BD_Carga!Q77,"")</f>
        <v/>
      </c>
      <c r="I76">
        <f>IF(BD_Carga!R77&lt;&gt;"",BD_Carga!R77,"")</f>
        <v/>
      </c>
      <c r="J76">
        <f>IF(BD_Carga!S77&lt;&gt;"",BD_Carga!S77,"")</f>
        <v/>
      </c>
      <c r="K76" s="4">
        <f>IF(BD_Carga!E77&lt;&gt;"",BD_Carga!E77,0)</f>
        <v/>
      </c>
      <c r="L76" s="4">
        <f>IF(BD_Carga!F77&lt;&gt;"",BD_Carga!F77,0)</f>
        <v/>
      </c>
      <c r="M76" s="4">
        <f>IF(BD_Carga!G77&lt;&gt;"",BD_Carga!G77,0)</f>
        <v/>
      </c>
      <c r="N76" s="4">
        <f>IF(BD_Carga!H77&lt;&gt;"",BD_Carga!H77,0)</f>
        <v/>
      </c>
      <c r="O76" s="4">
        <f>IF(BD_Carga!I77&lt;&gt;"",BD_Carga!I77,0)</f>
        <v/>
      </c>
      <c r="P76" s="4">
        <f>IF(BD_Carga!J77&lt;&gt;"",BD_Carga!J77,0)</f>
        <v/>
      </c>
      <c r="Q76" s="5">
        <f>IF(BD_Carga!K77&lt;&gt;"",BD_Carga!K77,0)</f>
        <v/>
      </c>
      <c r="R76" s="5">
        <f>IF(BD_Carga!L77&lt;&gt;"",BD_Carga!L77,0)</f>
        <v/>
      </c>
      <c r="S76">
        <f>IF(BD_Carga!N77&lt;&gt;"",BD_Carga!N77,0)</f>
        <v/>
      </c>
      <c r="T76">
        <f>IF(BD_Carga!O77&lt;&gt;"",BD_Carga!O77,0)</f>
        <v/>
      </c>
      <c r="U76">
        <f>IF(BD_Carga!P77&lt;&gt;"",BD_Carga!P77,0)</f>
        <v/>
      </c>
      <c r="V76">
        <f>IF(BD_Carga!U77&lt;&gt;"",BD_Carga!U77,0)</f>
        <v/>
      </c>
      <c r="W76">
        <f>IF(BD_Carga!T77&lt;&gt;"",BD_Carga!T77,0)</f>
        <v/>
      </c>
      <c r="X76">
        <f>IF(BD_Carga!W77&lt;&gt;"",BD_Carga!W77,0)</f>
        <v/>
      </c>
      <c r="Y76">
        <f>IF(BD_Carga!X77&lt;&gt;"",BD_Carga!X77,0)</f>
        <v/>
      </c>
      <c r="Z76">
        <f>IF(BD_Carga!Y77&lt;&gt;"",BD_Carga!Y77,0)</f>
        <v/>
      </c>
      <c r="AA76">
        <f>IF(BD_Carga!Z77&lt;&gt;"",BD_Carga!Z77,0)</f>
        <v/>
      </c>
      <c r="AB76">
        <f>IF(BD_Carga!AA77&lt;&gt;"",BD_Carga!AA77,0)</f>
        <v/>
      </c>
      <c r="AC76" s="6">
        <f t="array" ref="AC76">IFERROR((L76-AVERAGEIF($G$2:$G$462,G76,$L$2:$L$462))/_xlfn.STDEV.P(IF($G$2:$G$462=G76,$L$2:$L$462)),0)</f>
        <v/>
      </c>
      <c r="AD76" s="6">
        <f t="array" ref="AD76">IFERROR((M76-AVERAGEIF($G$2:$G$462,G76,$M$2:$M$462))/_xlfn.STDEV.P(IF($G$2:$G$462=G76,$M$2:$M$462)),0)</f>
        <v/>
      </c>
      <c r="AE76" s="6">
        <f t="array" ref="AE76">IFERROR((N76-AVERAGEIF($G$2:$G$462,G76,$N$2:$N$462))/_xlfn.STDEV.P(IF($G$2:$G$462=G76,$N$2:$N$462)),0)</f>
        <v/>
      </c>
      <c r="AF76" s="6">
        <f t="array" ref="AF76">IFERROR((O76-AVERAGEIF($G$2:$G$462,G76,$O$2:$O$462))/_xlfn.STDEV.P(IF($G$2:$G$462=G76,$O$2:$O$462)),0)</f>
        <v/>
      </c>
      <c r="AG76" s="6">
        <f t="array" ref="AG76">IFERROR((P76-AVERAGEIF($G$2:$G$462,G76,$P$2:$P$462))/_xlfn.STDEV.P(IF($G$2:$G$462=G76,$P$2:$P$462)),0)</f>
        <v/>
      </c>
      <c r="AH76" s="6">
        <f t="array" ref="AH76">IFERROR((R76-AVERAGEIF($G$2:$G$462,G76,$R$2:$R$462))/_xlfn.STDEV.P(IF($G$2:$G$462=G76,$R$2:$R$462)),0)</f>
        <v/>
      </c>
      <c r="AI76" s="6">
        <f>IFERROR((AC76+AD76+AE76+AF76+AG76+AH76)/6,0)</f>
        <v/>
      </c>
    </row>
    <row r="77">
      <c r="A77" s="2">
        <f>IF(BD_Carga!A78&lt;&gt;"",BD_Carga!A78,"")</f>
        <v/>
      </c>
      <c r="B77">
        <f>IF(A77&lt;&gt;"",YEAR(A77),"")</f>
        <v/>
      </c>
      <c r="C77">
        <f>IF(A77&lt;&gt;"",MONTH(A77),"")</f>
        <v/>
      </c>
      <c r="D77">
        <f>IF(A77&lt;&gt;"",_xlfn.ISOWEEKNUM(A77),"")</f>
        <v/>
      </c>
      <c r="E77">
        <f>IF(A77&lt;&gt;"",TEXT(A77,"dddd"),"")</f>
        <v/>
      </c>
      <c r="F77">
        <f>IF(BD_Carga!C78&lt;&gt;"",BD_Carga!C78,"")</f>
        <v/>
      </c>
      <c r="G77">
        <f>IF(BD_Carga!D78&lt;&gt;"",BD_Carga!D78,"")</f>
        <v/>
      </c>
      <c r="H77">
        <f>IF(BD_Carga!Q78&lt;&gt;"",BD_Carga!Q78,"")</f>
        <v/>
      </c>
      <c r="I77">
        <f>IF(BD_Carga!R78&lt;&gt;"",BD_Carga!R78,"")</f>
        <v/>
      </c>
      <c r="J77">
        <f>IF(BD_Carga!S78&lt;&gt;"",BD_Carga!S78,"")</f>
        <v/>
      </c>
      <c r="K77" s="4">
        <f>IF(BD_Carga!E78&lt;&gt;"",BD_Carga!E78,0)</f>
        <v/>
      </c>
      <c r="L77" s="4">
        <f>IF(BD_Carga!F78&lt;&gt;"",BD_Carga!F78,0)</f>
        <v/>
      </c>
      <c r="M77" s="4">
        <f>IF(BD_Carga!G78&lt;&gt;"",BD_Carga!G78,0)</f>
        <v/>
      </c>
      <c r="N77" s="4">
        <f>IF(BD_Carga!H78&lt;&gt;"",BD_Carga!H78,0)</f>
        <v/>
      </c>
      <c r="O77" s="4">
        <f>IF(BD_Carga!I78&lt;&gt;"",BD_Carga!I78,0)</f>
        <v/>
      </c>
      <c r="P77" s="4">
        <f>IF(BD_Carga!J78&lt;&gt;"",BD_Carga!J78,0)</f>
        <v/>
      </c>
      <c r="Q77" s="5">
        <f>IF(BD_Carga!K78&lt;&gt;"",BD_Carga!K78,0)</f>
        <v/>
      </c>
      <c r="R77" s="5">
        <f>IF(BD_Carga!L78&lt;&gt;"",BD_Carga!L78,0)</f>
        <v/>
      </c>
      <c r="S77">
        <f>IF(BD_Carga!N78&lt;&gt;"",BD_Carga!N78,0)</f>
        <v/>
      </c>
      <c r="T77">
        <f>IF(BD_Carga!O78&lt;&gt;"",BD_Carga!O78,0)</f>
        <v/>
      </c>
      <c r="U77">
        <f>IF(BD_Carga!P78&lt;&gt;"",BD_Carga!P78,0)</f>
        <v/>
      </c>
      <c r="V77">
        <f>IF(BD_Carga!U78&lt;&gt;"",BD_Carga!U78,0)</f>
        <v/>
      </c>
      <c r="W77">
        <f>IF(BD_Carga!T78&lt;&gt;"",BD_Carga!T78,0)</f>
        <v/>
      </c>
      <c r="X77">
        <f>IF(BD_Carga!W78&lt;&gt;"",BD_Carga!W78,0)</f>
        <v/>
      </c>
      <c r="Y77">
        <f>IF(BD_Carga!X78&lt;&gt;"",BD_Carga!X78,0)</f>
        <v/>
      </c>
      <c r="Z77">
        <f>IF(BD_Carga!Y78&lt;&gt;"",BD_Carga!Y78,0)</f>
        <v/>
      </c>
      <c r="AA77">
        <f>IF(BD_Carga!Z78&lt;&gt;"",BD_Carga!Z78,0)</f>
        <v/>
      </c>
      <c r="AB77">
        <f>IF(BD_Carga!AA78&lt;&gt;"",BD_Carga!AA78,0)</f>
        <v/>
      </c>
      <c r="AC77" s="6">
        <f t="array" ref="AC77">IFERROR((L77-AVERAGEIF($G$2:$G$462,G77,$L$2:$L$462))/_xlfn.STDEV.P(IF($G$2:$G$462=G77,$L$2:$L$462)),0)</f>
        <v/>
      </c>
      <c r="AD77" s="6">
        <f t="array" ref="AD77">IFERROR((M77-AVERAGEIF($G$2:$G$462,G77,$M$2:$M$462))/_xlfn.STDEV.P(IF($G$2:$G$462=G77,$M$2:$M$462)),0)</f>
        <v/>
      </c>
      <c r="AE77" s="6">
        <f t="array" ref="AE77">IFERROR((N77-AVERAGEIF($G$2:$G$462,G77,$N$2:$N$462))/_xlfn.STDEV.P(IF($G$2:$G$462=G77,$N$2:$N$462)),0)</f>
        <v/>
      </c>
      <c r="AF77" s="6">
        <f t="array" ref="AF77">IFERROR((O77-AVERAGEIF($G$2:$G$462,G77,$O$2:$O$462))/_xlfn.STDEV.P(IF($G$2:$G$462=G77,$O$2:$O$462)),0)</f>
        <v/>
      </c>
      <c r="AG77" s="6">
        <f t="array" ref="AG77">IFERROR((P77-AVERAGEIF($G$2:$G$462,G77,$P$2:$P$462))/_xlfn.STDEV.P(IF($G$2:$G$462=G77,$P$2:$P$462)),0)</f>
        <v/>
      </c>
      <c r="AH77" s="6">
        <f t="array" ref="AH77">IFERROR((R77-AVERAGEIF($G$2:$G$462,G77,$R$2:$R$462))/_xlfn.STDEV.P(IF($G$2:$G$462=G77,$R$2:$R$462)),0)</f>
        <v/>
      </c>
      <c r="AI77" s="6">
        <f>IFERROR((AC77+AD77+AE77+AF77+AG77+AH77)/6,0)</f>
        <v/>
      </c>
    </row>
    <row r="78">
      <c r="A78" s="2">
        <f>IF(BD_Carga!A79&lt;&gt;"",BD_Carga!A79,"")</f>
        <v/>
      </c>
      <c r="B78">
        <f>IF(A78&lt;&gt;"",YEAR(A78),"")</f>
        <v/>
      </c>
      <c r="C78">
        <f>IF(A78&lt;&gt;"",MONTH(A78),"")</f>
        <v/>
      </c>
      <c r="D78">
        <f>IF(A78&lt;&gt;"",_xlfn.ISOWEEKNUM(A78),"")</f>
        <v/>
      </c>
      <c r="E78">
        <f>IF(A78&lt;&gt;"",TEXT(A78,"dddd"),"")</f>
        <v/>
      </c>
      <c r="F78">
        <f>IF(BD_Carga!C79&lt;&gt;"",BD_Carga!C79,"")</f>
        <v/>
      </c>
      <c r="G78">
        <f>IF(BD_Carga!D79&lt;&gt;"",BD_Carga!D79,"")</f>
        <v/>
      </c>
      <c r="H78">
        <f>IF(BD_Carga!Q79&lt;&gt;"",BD_Carga!Q79,"")</f>
        <v/>
      </c>
      <c r="I78">
        <f>IF(BD_Carga!R79&lt;&gt;"",BD_Carga!R79,"")</f>
        <v/>
      </c>
      <c r="J78">
        <f>IF(BD_Carga!S79&lt;&gt;"",BD_Carga!S79,"")</f>
        <v/>
      </c>
      <c r="K78" s="4">
        <f>IF(BD_Carga!E79&lt;&gt;"",BD_Carga!E79,0)</f>
        <v/>
      </c>
      <c r="L78" s="4">
        <f>IF(BD_Carga!F79&lt;&gt;"",BD_Carga!F79,0)</f>
        <v/>
      </c>
      <c r="M78" s="4">
        <f>IF(BD_Carga!G79&lt;&gt;"",BD_Carga!G79,0)</f>
        <v/>
      </c>
      <c r="N78" s="4">
        <f>IF(BD_Carga!H79&lt;&gt;"",BD_Carga!H79,0)</f>
        <v/>
      </c>
      <c r="O78" s="4">
        <f>IF(BD_Carga!I79&lt;&gt;"",BD_Carga!I79,0)</f>
        <v/>
      </c>
      <c r="P78" s="4">
        <f>IF(BD_Carga!J79&lt;&gt;"",BD_Carga!J79,0)</f>
        <v/>
      </c>
      <c r="Q78" s="5">
        <f>IF(BD_Carga!K79&lt;&gt;"",BD_Carga!K79,0)</f>
        <v/>
      </c>
      <c r="R78" s="5">
        <f>IF(BD_Carga!L79&lt;&gt;"",BD_Carga!L79,0)</f>
        <v/>
      </c>
      <c r="S78">
        <f>IF(BD_Carga!N79&lt;&gt;"",BD_Carga!N79,0)</f>
        <v/>
      </c>
      <c r="T78">
        <f>IF(BD_Carga!O79&lt;&gt;"",BD_Carga!O79,0)</f>
        <v/>
      </c>
      <c r="U78">
        <f>IF(BD_Carga!P79&lt;&gt;"",BD_Carga!P79,0)</f>
        <v/>
      </c>
      <c r="V78">
        <f>IF(BD_Carga!U79&lt;&gt;"",BD_Carga!U79,0)</f>
        <v/>
      </c>
      <c r="W78">
        <f>IF(BD_Carga!T79&lt;&gt;"",BD_Carga!T79,0)</f>
        <v/>
      </c>
      <c r="X78">
        <f>IF(BD_Carga!W79&lt;&gt;"",BD_Carga!W79,0)</f>
        <v/>
      </c>
      <c r="Y78">
        <f>IF(BD_Carga!X79&lt;&gt;"",BD_Carga!X79,0)</f>
        <v/>
      </c>
      <c r="Z78">
        <f>IF(BD_Carga!Y79&lt;&gt;"",BD_Carga!Y79,0)</f>
        <v/>
      </c>
      <c r="AA78">
        <f>IF(BD_Carga!Z79&lt;&gt;"",BD_Carga!Z79,0)</f>
        <v/>
      </c>
      <c r="AB78">
        <f>IF(BD_Carga!AA79&lt;&gt;"",BD_Carga!AA79,0)</f>
        <v/>
      </c>
      <c r="AC78" s="6">
        <f t="array" ref="AC78">IFERROR((L78-AVERAGEIF($G$2:$G$462,G78,$L$2:$L$462))/_xlfn.STDEV.P(IF($G$2:$G$462=G78,$L$2:$L$462)),0)</f>
        <v/>
      </c>
      <c r="AD78" s="6">
        <f t="array" ref="AD78">IFERROR((M78-AVERAGEIF($G$2:$G$462,G78,$M$2:$M$462))/_xlfn.STDEV.P(IF($G$2:$G$462=G78,$M$2:$M$462)),0)</f>
        <v/>
      </c>
      <c r="AE78" s="6">
        <f t="array" ref="AE78">IFERROR((N78-AVERAGEIF($G$2:$G$462,G78,$N$2:$N$462))/_xlfn.STDEV.P(IF($G$2:$G$462=G78,$N$2:$N$462)),0)</f>
        <v/>
      </c>
      <c r="AF78" s="6">
        <f t="array" ref="AF78">IFERROR((O78-AVERAGEIF($G$2:$G$462,G78,$O$2:$O$462))/_xlfn.STDEV.P(IF($G$2:$G$462=G78,$O$2:$O$462)),0)</f>
        <v/>
      </c>
      <c r="AG78" s="6">
        <f t="array" ref="AG78">IFERROR((P78-AVERAGEIF($G$2:$G$462,G78,$P$2:$P$462))/_xlfn.STDEV.P(IF($G$2:$G$462=G78,$P$2:$P$462)),0)</f>
        <v/>
      </c>
      <c r="AH78" s="6">
        <f t="array" ref="AH78">IFERROR((R78-AVERAGEIF($G$2:$G$462,G78,$R$2:$R$462))/_xlfn.STDEV.P(IF($G$2:$G$462=G78,$R$2:$R$462)),0)</f>
        <v/>
      </c>
      <c r="AI78" s="6">
        <f>IFERROR((AC78+AD78+AE78+AF78+AG78+AH78)/6,0)</f>
        <v/>
      </c>
    </row>
    <row r="79">
      <c r="A79" s="2">
        <f>IF(BD_Carga!A80&lt;&gt;"",BD_Carga!A80,"")</f>
        <v/>
      </c>
      <c r="B79">
        <f>IF(A79&lt;&gt;"",YEAR(A79),"")</f>
        <v/>
      </c>
      <c r="C79">
        <f>IF(A79&lt;&gt;"",MONTH(A79),"")</f>
        <v/>
      </c>
      <c r="D79">
        <f>IF(A79&lt;&gt;"",_xlfn.ISOWEEKNUM(A79),"")</f>
        <v/>
      </c>
      <c r="E79">
        <f>IF(A79&lt;&gt;"",TEXT(A79,"dddd"),"")</f>
        <v/>
      </c>
      <c r="F79">
        <f>IF(BD_Carga!C80&lt;&gt;"",BD_Carga!C80,"")</f>
        <v/>
      </c>
      <c r="G79">
        <f>IF(BD_Carga!D80&lt;&gt;"",BD_Carga!D80,"")</f>
        <v/>
      </c>
      <c r="H79">
        <f>IF(BD_Carga!Q80&lt;&gt;"",BD_Carga!Q80,"")</f>
        <v/>
      </c>
      <c r="I79">
        <f>IF(BD_Carga!R80&lt;&gt;"",BD_Carga!R80,"")</f>
        <v/>
      </c>
      <c r="J79">
        <f>IF(BD_Carga!S80&lt;&gt;"",BD_Carga!S80,"")</f>
        <v/>
      </c>
      <c r="K79" s="4">
        <f>IF(BD_Carga!E80&lt;&gt;"",BD_Carga!E80,0)</f>
        <v/>
      </c>
      <c r="L79" s="4">
        <f>IF(BD_Carga!F80&lt;&gt;"",BD_Carga!F80,0)</f>
        <v/>
      </c>
      <c r="M79" s="4">
        <f>IF(BD_Carga!G80&lt;&gt;"",BD_Carga!G80,0)</f>
        <v/>
      </c>
      <c r="N79" s="4">
        <f>IF(BD_Carga!H80&lt;&gt;"",BD_Carga!H80,0)</f>
        <v/>
      </c>
      <c r="O79" s="4">
        <f>IF(BD_Carga!I80&lt;&gt;"",BD_Carga!I80,0)</f>
        <v/>
      </c>
      <c r="P79" s="4">
        <f>IF(BD_Carga!J80&lt;&gt;"",BD_Carga!J80,0)</f>
        <v/>
      </c>
      <c r="Q79" s="5">
        <f>IF(BD_Carga!K80&lt;&gt;"",BD_Carga!K80,0)</f>
        <v/>
      </c>
      <c r="R79" s="5">
        <f>IF(BD_Carga!L80&lt;&gt;"",BD_Carga!L80,0)</f>
        <v/>
      </c>
      <c r="S79">
        <f>IF(BD_Carga!N80&lt;&gt;"",BD_Carga!N80,0)</f>
        <v/>
      </c>
      <c r="T79">
        <f>IF(BD_Carga!O80&lt;&gt;"",BD_Carga!O80,0)</f>
        <v/>
      </c>
      <c r="U79">
        <f>IF(BD_Carga!P80&lt;&gt;"",BD_Carga!P80,0)</f>
        <v/>
      </c>
      <c r="V79">
        <f>IF(BD_Carga!U80&lt;&gt;"",BD_Carga!U80,0)</f>
        <v/>
      </c>
      <c r="W79">
        <f>IF(BD_Carga!T80&lt;&gt;"",BD_Carga!T80,0)</f>
        <v/>
      </c>
      <c r="X79">
        <f>IF(BD_Carga!W80&lt;&gt;"",BD_Carga!W80,0)</f>
        <v/>
      </c>
      <c r="Y79">
        <f>IF(BD_Carga!X80&lt;&gt;"",BD_Carga!X80,0)</f>
        <v/>
      </c>
      <c r="Z79">
        <f>IF(BD_Carga!Y80&lt;&gt;"",BD_Carga!Y80,0)</f>
        <v/>
      </c>
      <c r="AA79">
        <f>IF(BD_Carga!Z80&lt;&gt;"",BD_Carga!Z80,0)</f>
        <v/>
      </c>
      <c r="AB79">
        <f>IF(BD_Carga!AA80&lt;&gt;"",BD_Carga!AA80,0)</f>
        <v/>
      </c>
      <c r="AC79" s="6">
        <f t="array" ref="AC79">IFERROR((L79-AVERAGEIF($G$2:$G$462,G79,$L$2:$L$462))/_xlfn.STDEV.P(IF($G$2:$G$462=G79,$L$2:$L$462)),0)</f>
        <v/>
      </c>
      <c r="AD79" s="6">
        <f t="array" ref="AD79">IFERROR((M79-AVERAGEIF($G$2:$G$462,G79,$M$2:$M$462))/_xlfn.STDEV.P(IF($G$2:$G$462=G79,$M$2:$M$462)),0)</f>
        <v/>
      </c>
      <c r="AE79" s="6">
        <f t="array" ref="AE79">IFERROR((N79-AVERAGEIF($G$2:$G$462,G79,$N$2:$N$462))/_xlfn.STDEV.P(IF($G$2:$G$462=G79,$N$2:$N$462)),0)</f>
        <v/>
      </c>
      <c r="AF79" s="6">
        <f t="array" ref="AF79">IFERROR((O79-AVERAGEIF($G$2:$G$462,G79,$O$2:$O$462))/_xlfn.STDEV.P(IF($G$2:$G$462=G79,$O$2:$O$462)),0)</f>
        <v/>
      </c>
      <c r="AG79" s="6">
        <f t="array" ref="AG79">IFERROR((P79-AVERAGEIF($G$2:$G$462,G79,$P$2:$P$462))/_xlfn.STDEV.P(IF($G$2:$G$462=G79,$P$2:$P$462)),0)</f>
        <v/>
      </c>
      <c r="AH79" s="6">
        <f t="array" ref="AH79">IFERROR((R79-AVERAGEIF($G$2:$G$462,G79,$R$2:$R$462))/_xlfn.STDEV.P(IF($G$2:$G$462=G79,$R$2:$R$462)),0)</f>
        <v/>
      </c>
      <c r="AI79" s="6">
        <f>IFERROR((AC79+AD79+AE79+AF79+AG79+AH79)/6,0)</f>
        <v/>
      </c>
    </row>
    <row r="80">
      <c r="A80" s="2">
        <f>IF(BD_Carga!A81&lt;&gt;"",BD_Carga!A81,"")</f>
        <v/>
      </c>
      <c r="B80">
        <f>IF(A80&lt;&gt;"",YEAR(A80),"")</f>
        <v/>
      </c>
      <c r="C80">
        <f>IF(A80&lt;&gt;"",MONTH(A80),"")</f>
        <v/>
      </c>
      <c r="D80">
        <f>IF(A80&lt;&gt;"",_xlfn.ISOWEEKNUM(A80),"")</f>
        <v/>
      </c>
      <c r="E80">
        <f>IF(A80&lt;&gt;"",TEXT(A80,"dddd"),"")</f>
        <v/>
      </c>
      <c r="F80">
        <f>IF(BD_Carga!C81&lt;&gt;"",BD_Carga!C81,"")</f>
        <v/>
      </c>
      <c r="G80">
        <f>IF(BD_Carga!D81&lt;&gt;"",BD_Carga!D81,"")</f>
        <v/>
      </c>
      <c r="H80">
        <f>IF(BD_Carga!Q81&lt;&gt;"",BD_Carga!Q81,"")</f>
        <v/>
      </c>
      <c r="I80">
        <f>IF(BD_Carga!R81&lt;&gt;"",BD_Carga!R81,"")</f>
        <v/>
      </c>
      <c r="J80">
        <f>IF(BD_Carga!S81&lt;&gt;"",BD_Carga!S81,"")</f>
        <v/>
      </c>
      <c r="K80" s="4">
        <f>IF(BD_Carga!E81&lt;&gt;"",BD_Carga!E81,0)</f>
        <v/>
      </c>
      <c r="L80" s="4">
        <f>IF(BD_Carga!F81&lt;&gt;"",BD_Carga!F81,0)</f>
        <v/>
      </c>
      <c r="M80" s="4">
        <f>IF(BD_Carga!G81&lt;&gt;"",BD_Carga!G81,0)</f>
        <v/>
      </c>
      <c r="N80" s="4">
        <f>IF(BD_Carga!H81&lt;&gt;"",BD_Carga!H81,0)</f>
        <v/>
      </c>
      <c r="O80" s="4">
        <f>IF(BD_Carga!I81&lt;&gt;"",BD_Carga!I81,0)</f>
        <v/>
      </c>
      <c r="P80" s="4">
        <f>IF(BD_Carga!J81&lt;&gt;"",BD_Carga!J81,0)</f>
        <v/>
      </c>
      <c r="Q80" s="5">
        <f>IF(BD_Carga!K81&lt;&gt;"",BD_Carga!K81,0)</f>
        <v/>
      </c>
      <c r="R80" s="5">
        <f>IF(BD_Carga!L81&lt;&gt;"",BD_Carga!L81,0)</f>
        <v/>
      </c>
      <c r="S80">
        <f>IF(BD_Carga!N81&lt;&gt;"",BD_Carga!N81,0)</f>
        <v/>
      </c>
      <c r="T80">
        <f>IF(BD_Carga!O81&lt;&gt;"",BD_Carga!O81,0)</f>
        <v/>
      </c>
      <c r="U80">
        <f>IF(BD_Carga!P81&lt;&gt;"",BD_Carga!P81,0)</f>
        <v/>
      </c>
      <c r="V80">
        <f>IF(BD_Carga!U81&lt;&gt;"",BD_Carga!U81,0)</f>
        <v/>
      </c>
      <c r="W80">
        <f>IF(BD_Carga!T81&lt;&gt;"",BD_Carga!T81,0)</f>
        <v/>
      </c>
      <c r="X80">
        <f>IF(BD_Carga!W81&lt;&gt;"",BD_Carga!W81,0)</f>
        <v/>
      </c>
      <c r="Y80">
        <f>IF(BD_Carga!X81&lt;&gt;"",BD_Carga!X81,0)</f>
        <v/>
      </c>
      <c r="Z80">
        <f>IF(BD_Carga!Y81&lt;&gt;"",BD_Carga!Y81,0)</f>
        <v/>
      </c>
      <c r="AA80">
        <f>IF(BD_Carga!Z81&lt;&gt;"",BD_Carga!Z81,0)</f>
        <v/>
      </c>
      <c r="AB80">
        <f>IF(BD_Carga!AA81&lt;&gt;"",BD_Carga!AA81,0)</f>
        <v/>
      </c>
      <c r="AC80" s="6">
        <f t="array" ref="AC80">IFERROR((L80-AVERAGEIF($G$2:$G$462,G80,$L$2:$L$462))/_xlfn.STDEV.P(IF($G$2:$G$462=G80,$L$2:$L$462)),0)</f>
        <v/>
      </c>
      <c r="AD80" s="6">
        <f t="array" ref="AD80">IFERROR((M80-AVERAGEIF($G$2:$G$462,G80,$M$2:$M$462))/_xlfn.STDEV.P(IF($G$2:$G$462=G80,$M$2:$M$462)),0)</f>
        <v/>
      </c>
      <c r="AE80" s="6">
        <f t="array" ref="AE80">IFERROR((N80-AVERAGEIF($G$2:$G$462,G80,$N$2:$N$462))/_xlfn.STDEV.P(IF($G$2:$G$462=G80,$N$2:$N$462)),0)</f>
        <v/>
      </c>
      <c r="AF80" s="6">
        <f t="array" ref="AF80">IFERROR((O80-AVERAGEIF($G$2:$G$462,G80,$O$2:$O$462))/_xlfn.STDEV.P(IF($G$2:$G$462=G80,$O$2:$O$462)),0)</f>
        <v/>
      </c>
      <c r="AG80" s="6">
        <f t="array" ref="AG80">IFERROR((P80-AVERAGEIF($G$2:$G$462,G80,$P$2:$P$462))/_xlfn.STDEV.P(IF($G$2:$G$462=G80,$P$2:$P$462)),0)</f>
        <v/>
      </c>
      <c r="AH80" s="6">
        <f t="array" ref="AH80">IFERROR((R80-AVERAGEIF($G$2:$G$462,G80,$R$2:$R$462))/_xlfn.STDEV.P(IF($G$2:$G$462=G80,$R$2:$R$462)),0)</f>
        <v/>
      </c>
      <c r="AI80" s="6">
        <f>IFERROR((AC80+AD80+AE80+AF80+AG80+AH80)/6,0)</f>
        <v/>
      </c>
    </row>
    <row r="81">
      <c r="A81" s="2">
        <f>IF(BD_Carga!A82&lt;&gt;"",BD_Carga!A82,"")</f>
        <v/>
      </c>
      <c r="B81">
        <f>IF(A81&lt;&gt;"",YEAR(A81),"")</f>
        <v/>
      </c>
      <c r="C81">
        <f>IF(A81&lt;&gt;"",MONTH(A81),"")</f>
        <v/>
      </c>
      <c r="D81">
        <f>IF(A81&lt;&gt;"",_xlfn.ISOWEEKNUM(A81),"")</f>
        <v/>
      </c>
      <c r="E81">
        <f>IF(A81&lt;&gt;"",TEXT(A81,"dddd"),"")</f>
        <v/>
      </c>
      <c r="F81">
        <f>IF(BD_Carga!C82&lt;&gt;"",BD_Carga!C82,"")</f>
        <v/>
      </c>
      <c r="G81">
        <f>IF(BD_Carga!D82&lt;&gt;"",BD_Carga!D82,"")</f>
        <v/>
      </c>
      <c r="H81">
        <f>IF(BD_Carga!Q82&lt;&gt;"",BD_Carga!Q82,"")</f>
        <v/>
      </c>
      <c r="I81">
        <f>IF(BD_Carga!R82&lt;&gt;"",BD_Carga!R82,"")</f>
        <v/>
      </c>
      <c r="J81">
        <f>IF(BD_Carga!S82&lt;&gt;"",BD_Carga!S82,"")</f>
        <v/>
      </c>
      <c r="K81" s="4">
        <f>IF(BD_Carga!E82&lt;&gt;"",BD_Carga!E82,0)</f>
        <v/>
      </c>
      <c r="L81" s="4">
        <f>IF(BD_Carga!F82&lt;&gt;"",BD_Carga!F82,0)</f>
        <v/>
      </c>
      <c r="M81" s="4">
        <f>IF(BD_Carga!G82&lt;&gt;"",BD_Carga!G82,0)</f>
        <v/>
      </c>
      <c r="N81" s="4">
        <f>IF(BD_Carga!H82&lt;&gt;"",BD_Carga!H82,0)</f>
        <v/>
      </c>
      <c r="O81" s="4">
        <f>IF(BD_Carga!I82&lt;&gt;"",BD_Carga!I82,0)</f>
        <v/>
      </c>
      <c r="P81" s="4">
        <f>IF(BD_Carga!J82&lt;&gt;"",BD_Carga!J82,0)</f>
        <v/>
      </c>
      <c r="Q81" s="5">
        <f>IF(BD_Carga!K82&lt;&gt;"",BD_Carga!K82,0)</f>
        <v/>
      </c>
      <c r="R81" s="5">
        <f>IF(BD_Carga!L82&lt;&gt;"",BD_Carga!L82,0)</f>
        <v/>
      </c>
      <c r="S81">
        <f>IF(BD_Carga!N82&lt;&gt;"",BD_Carga!N82,0)</f>
        <v/>
      </c>
      <c r="T81">
        <f>IF(BD_Carga!O82&lt;&gt;"",BD_Carga!O82,0)</f>
        <v/>
      </c>
      <c r="U81">
        <f>IF(BD_Carga!P82&lt;&gt;"",BD_Carga!P82,0)</f>
        <v/>
      </c>
      <c r="V81">
        <f>IF(BD_Carga!U82&lt;&gt;"",BD_Carga!U82,0)</f>
        <v/>
      </c>
      <c r="W81">
        <f>IF(BD_Carga!T82&lt;&gt;"",BD_Carga!T82,0)</f>
        <v/>
      </c>
      <c r="X81">
        <f>IF(BD_Carga!W82&lt;&gt;"",BD_Carga!W82,0)</f>
        <v/>
      </c>
      <c r="Y81">
        <f>IF(BD_Carga!X82&lt;&gt;"",BD_Carga!X82,0)</f>
        <v/>
      </c>
      <c r="Z81">
        <f>IF(BD_Carga!Y82&lt;&gt;"",BD_Carga!Y82,0)</f>
        <v/>
      </c>
      <c r="AA81">
        <f>IF(BD_Carga!Z82&lt;&gt;"",BD_Carga!Z82,0)</f>
        <v/>
      </c>
      <c r="AB81">
        <f>IF(BD_Carga!AA82&lt;&gt;"",BD_Carga!AA82,0)</f>
        <v/>
      </c>
      <c r="AC81" s="6">
        <f t="array" ref="AC81">IFERROR((L81-AVERAGEIF($G$2:$G$462,G81,$L$2:$L$462))/_xlfn.STDEV.P(IF($G$2:$G$462=G81,$L$2:$L$462)),0)</f>
        <v/>
      </c>
      <c r="AD81" s="6">
        <f t="array" ref="AD81">IFERROR((M81-AVERAGEIF($G$2:$G$462,G81,$M$2:$M$462))/_xlfn.STDEV.P(IF($G$2:$G$462=G81,$M$2:$M$462)),0)</f>
        <v/>
      </c>
      <c r="AE81" s="6">
        <f t="array" ref="AE81">IFERROR((N81-AVERAGEIF($G$2:$G$462,G81,$N$2:$N$462))/_xlfn.STDEV.P(IF($G$2:$G$462=G81,$N$2:$N$462)),0)</f>
        <v/>
      </c>
      <c r="AF81" s="6">
        <f t="array" ref="AF81">IFERROR((O81-AVERAGEIF($G$2:$G$462,G81,$O$2:$O$462))/_xlfn.STDEV.P(IF($G$2:$G$462=G81,$O$2:$O$462)),0)</f>
        <v/>
      </c>
      <c r="AG81" s="6">
        <f t="array" ref="AG81">IFERROR((P81-AVERAGEIF($G$2:$G$462,G81,$P$2:$P$462))/_xlfn.STDEV.P(IF($G$2:$G$462=G81,$P$2:$P$462)),0)</f>
        <v/>
      </c>
      <c r="AH81" s="6">
        <f t="array" ref="AH81">IFERROR((R81-AVERAGEIF($G$2:$G$462,G81,$R$2:$R$462))/_xlfn.STDEV.P(IF($G$2:$G$462=G81,$R$2:$R$462)),0)</f>
        <v/>
      </c>
      <c r="AI81" s="6">
        <f>IFERROR((AC81+AD81+AE81+AF81+AG81+AH81)/6,0)</f>
        <v/>
      </c>
    </row>
    <row r="82">
      <c r="A82" s="2">
        <f>IF(BD_Carga!A83&lt;&gt;"",BD_Carga!A83,"")</f>
        <v/>
      </c>
      <c r="B82">
        <f>IF(A82&lt;&gt;"",YEAR(A82),"")</f>
        <v/>
      </c>
      <c r="C82">
        <f>IF(A82&lt;&gt;"",MONTH(A82),"")</f>
        <v/>
      </c>
      <c r="D82">
        <f>IF(A82&lt;&gt;"",_xlfn.ISOWEEKNUM(A82),"")</f>
        <v/>
      </c>
      <c r="E82">
        <f>IF(A82&lt;&gt;"",TEXT(A82,"dddd"),"")</f>
        <v/>
      </c>
      <c r="F82">
        <f>IF(BD_Carga!C83&lt;&gt;"",BD_Carga!C83,"")</f>
        <v/>
      </c>
      <c r="G82">
        <f>IF(BD_Carga!D83&lt;&gt;"",BD_Carga!D83,"")</f>
        <v/>
      </c>
      <c r="H82">
        <f>IF(BD_Carga!Q83&lt;&gt;"",BD_Carga!Q83,"")</f>
        <v/>
      </c>
      <c r="I82">
        <f>IF(BD_Carga!R83&lt;&gt;"",BD_Carga!R83,"")</f>
        <v/>
      </c>
      <c r="J82">
        <f>IF(BD_Carga!S83&lt;&gt;"",BD_Carga!S83,"")</f>
        <v/>
      </c>
      <c r="K82" s="4">
        <f>IF(BD_Carga!E83&lt;&gt;"",BD_Carga!E83,0)</f>
        <v/>
      </c>
      <c r="L82" s="4">
        <f>IF(BD_Carga!F83&lt;&gt;"",BD_Carga!F83,0)</f>
        <v/>
      </c>
      <c r="M82" s="4">
        <f>IF(BD_Carga!G83&lt;&gt;"",BD_Carga!G83,0)</f>
        <v/>
      </c>
      <c r="N82" s="4">
        <f>IF(BD_Carga!H83&lt;&gt;"",BD_Carga!H83,0)</f>
        <v/>
      </c>
      <c r="O82" s="4">
        <f>IF(BD_Carga!I83&lt;&gt;"",BD_Carga!I83,0)</f>
        <v/>
      </c>
      <c r="P82" s="4">
        <f>IF(BD_Carga!J83&lt;&gt;"",BD_Carga!J83,0)</f>
        <v/>
      </c>
      <c r="Q82" s="5">
        <f>IF(BD_Carga!K83&lt;&gt;"",BD_Carga!K83,0)</f>
        <v/>
      </c>
      <c r="R82" s="5">
        <f>IF(BD_Carga!L83&lt;&gt;"",BD_Carga!L83,0)</f>
        <v/>
      </c>
      <c r="S82">
        <f>IF(BD_Carga!N83&lt;&gt;"",BD_Carga!N83,0)</f>
        <v/>
      </c>
      <c r="T82">
        <f>IF(BD_Carga!O83&lt;&gt;"",BD_Carga!O83,0)</f>
        <v/>
      </c>
      <c r="U82">
        <f>IF(BD_Carga!P83&lt;&gt;"",BD_Carga!P83,0)</f>
        <v/>
      </c>
      <c r="V82">
        <f>IF(BD_Carga!U83&lt;&gt;"",BD_Carga!U83,0)</f>
        <v/>
      </c>
      <c r="W82">
        <f>IF(BD_Carga!T83&lt;&gt;"",BD_Carga!T83,0)</f>
        <v/>
      </c>
      <c r="X82">
        <f>IF(BD_Carga!W83&lt;&gt;"",BD_Carga!W83,0)</f>
        <v/>
      </c>
      <c r="Y82">
        <f>IF(BD_Carga!X83&lt;&gt;"",BD_Carga!X83,0)</f>
        <v/>
      </c>
      <c r="Z82">
        <f>IF(BD_Carga!Y83&lt;&gt;"",BD_Carga!Y83,0)</f>
        <v/>
      </c>
      <c r="AA82">
        <f>IF(BD_Carga!Z83&lt;&gt;"",BD_Carga!Z83,0)</f>
        <v/>
      </c>
      <c r="AB82">
        <f>IF(BD_Carga!AA83&lt;&gt;"",BD_Carga!AA83,0)</f>
        <v/>
      </c>
      <c r="AC82" s="6">
        <f t="array" ref="AC82">IFERROR((L82-AVERAGEIF($G$2:$G$462,G82,$L$2:$L$462))/_xlfn.STDEV.P(IF($G$2:$G$462=G82,$L$2:$L$462)),0)</f>
        <v/>
      </c>
      <c r="AD82" s="6">
        <f t="array" ref="AD82">IFERROR((M82-AVERAGEIF($G$2:$G$462,G82,$M$2:$M$462))/_xlfn.STDEV.P(IF($G$2:$G$462=G82,$M$2:$M$462)),0)</f>
        <v/>
      </c>
      <c r="AE82" s="6">
        <f t="array" ref="AE82">IFERROR((N82-AVERAGEIF($G$2:$G$462,G82,$N$2:$N$462))/_xlfn.STDEV.P(IF($G$2:$G$462=G82,$N$2:$N$462)),0)</f>
        <v/>
      </c>
      <c r="AF82" s="6">
        <f t="array" ref="AF82">IFERROR((O82-AVERAGEIF($G$2:$G$462,G82,$O$2:$O$462))/_xlfn.STDEV.P(IF($G$2:$G$462=G82,$O$2:$O$462)),0)</f>
        <v/>
      </c>
      <c r="AG82" s="6">
        <f t="array" ref="AG82">IFERROR((P82-AVERAGEIF($G$2:$G$462,G82,$P$2:$P$462))/_xlfn.STDEV.P(IF($G$2:$G$462=G82,$P$2:$P$462)),0)</f>
        <v/>
      </c>
      <c r="AH82" s="6">
        <f t="array" ref="AH82">IFERROR((R82-AVERAGEIF($G$2:$G$462,G82,$R$2:$R$462))/_xlfn.STDEV.P(IF($G$2:$G$462=G82,$R$2:$R$462)),0)</f>
        <v/>
      </c>
      <c r="AI82" s="6">
        <f>IFERROR((AC82+AD82+AE82+AF82+AG82+AH82)/6,0)</f>
        <v/>
      </c>
    </row>
    <row r="83">
      <c r="A83" s="2">
        <f>IF(BD_Carga!A84&lt;&gt;"",BD_Carga!A84,"")</f>
        <v/>
      </c>
      <c r="B83">
        <f>IF(A83&lt;&gt;"",YEAR(A83),"")</f>
        <v/>
      </c>
      <c r="C83">
        <f>IF(A83&lt;&gt;"",MONTH(A83),"")</f>
        <v/>
      </c>
      <c r="D83">
        <f>IF(A83&lt;&gt;"",_xlfn.ISOWEEKNUM(A83),"")</f>
        <v/>
      </c>
      <c r="E83">
        <f>IF(A83&lt;&gt;"",TEXT(A83,"dddd"),"")</f>
        <v/>
      </c>
      <c r="F83">
        <f>IF(BD_Carga!C84&lt;&gt;"",BD_Carga!C84,"")</f>
        <v/>
      </c>
      <c r="G83">
        <f>IF(BD_Carga!D84&lt;&gt;"",BD_Carga!D84,"")</f>
        <v/>
      </c>
      <c r="H83">
        <f>IF(BD_Carga!Q84&lt;&gt;"",BD_Carga!Q84,"")</f>
        <v/>
      </c>
      <c r="I83">
        <f>IF(BD_Carga!R84&lt;&gt;"",BD_Carga!R84,"")</f>
        <v/>
      </c>
      <c r="J83">
        <f>IF(BD_Carga!S84&lt;&gt;"",BD_Carga!S84,"")</f>
        <v/>
      </c>
      <c r="K83" s="4">
        <f>IF(BD_Carga!E84&lt;&gt;"",BD_Carga!E84,0)</f>
        <v/>
      </c>
      <c r="L83" s="4">
        <f>IF(BD_Carga!F84&lt;&gt;"",BD_Carga!F84,0)</f>
        <v/>
      </c>
      <c r="M83" s="4">
        <f>IF(BD_Carga!G84&lt;&gt;"",BD_Carga!G84,0)</f>
        <v/>
      </c>
      <c r="N83" s="4">
        <f>IF(BD_Carga!H84&lt;&gt;"",BD_Carga!H84,0)</f>
        <v/>
      </c>
      <c r="O83" s="4">
        <f>IF(BD_Carga!I84&lt;&gt;"",BD_Carga!I84,0)</f>
        <v/>
      </c>
      <c r="P83" s="4">
        <f>IF(BD_Carga!J84&lt;&gt;"",BD_Carga!J84,0)</f>
        <v/>
      </c>
      <c r="Q83" s="5">
        <f>IF(BD_Carga!K84&lt;&gt;"",BD_Carga!K84,0)</f>
        <v/>
      </c>
      <c r="R83" s="5">
        <f>IF(BD_Carga!L84&lt;&gt;"",BD_Carga!L84,0)</f>
        <v/>
      </c>
      <c r="S83">
        <f>IF(BD_Carga!N84&lt;&gt;"",BD_Carga!N84,0)</f>
        <v/>
      </c>
      <c r="T83">
        <f>IF(BD_Carga!O84&lt;&gt;"",BD_Carga!O84,0)</f>
        <v/>
      </c>
      <c r="U83">
        <f>IF(BD_Carga!P84&lt;&gt;"",BD_Carga!P84,0)</f>
        <v/>
      </c>
      <c r="V83">
        <f>IF(BD_Carga!U84&lt;&gt;"",BD_Carga!U84,0)</f>
        <v/>
      </c>
      <c r="W83">
        <f>IF(BD_Carga!T84&lt;&gt;"",BD_Carga!T84,0)</f>
        <v/>
      </c>
      <c r="X83">
        <f>IF(BD_Carga!W84&lt;&gt;"",BD_Carga!W84,0)</f>
        <v/>
      </c>
      <c r="Y83">
        <f>IF(BD_Carga!X84&lt;&gt;"",BD_Carga!X84,0)</f>
        <v/>
      </c>
      <c r="Z83">
        <f>IF(BD_Carga!Y84&lt;&gt;"",BD_Carga!Y84,0)</f>
        <v/>
      </c>
      <c r="AA83">
        <f>IF(BD_Carga!Z84&lt;&gt;"",BD_Carga!Z84,0)</f>
        <v/>
      </c>
      <c r="AB83">
        <f>IF(BD_Carga!AA84&lt;&gt;"",BD_Carga!AA84,0)</f>
        <v/>
      </c>
      <c r="AC83" s="6">
        <f t="array" ref="AC83">IFERROR((L83-AVERAGEIF($G$2:$G$462,G83,$L$2:$L$462))/_xlfn.STDEV.P(IF($G$2:$G$462=G83,$L$2:$L$462)),0)</f>
        <v/>
      </c>
      <c r="AD83" s="6">
        <f t="array" ref="AD83">IFERROR((M83-AVERAGEIF($G$2:$G$462,G83,$M$2:$M$462))/_xlfn.STDEV.P(IF($G$2:$G$462=G83,$M$2:$M$462)),0)</f>
        <v/>
      </c>
      <c r="AE83" s="6">
        <f t="array" ref="AE83">IFERROR((N83-AVERAGEIF($G$2:$G$462,G83,$N$2:$N$462))/_xlfn.STDEV.P(IF($G$2:$G$462=G83,$N$2:$N$462)),0)</f>
        <v/>
      </c>
      <c r="AF83" s="6">
        <f t="array" ref="AF83">IFERROR((O83-AVERAGEIF($G$2:$G$462,G83,$O$2:$O$462))/_xlfn.STDEV.P(IF($G$2:$G$462=G83,$O$2:$O$462)),0)</f>
        <v/>
      </c>
      <c r="AG83" s="6">
        <f t="array" ref="AG83">IFERROR((P83-AVERAGEIF($G$2:$G$462,G83,$P$2:$P$462))/_xlfn.STDEV.P(IF($G$2:$G$462=G83,$P$2:$P$462)),0)</f>
        <v/>
      </c>
      <c r="AH83" s="6">
        <f t="array" ref="AH83">IFERROR((R83-AVERAGEIF($G$2:$G$462,G83,$R$2:$R$462))/_xlfn.STDEV.P(IF($G$2:$G$462=G83,$R$2:$R$462)),0)</f>
        <v/>
      </c>
      <c r="AI83" s="6">
        <f>IFERROR((AC83+AD83+AE83+AF83+AG83+AH83)/6,0)</f>
        <v/>
      </c>
    </row>
    <row r="84">
      <c r="A84" s="2">
        <f>IF(BD_Carga!A85&lt;&gt;"",BD_Carga!A85,"")</f>
        <v/>
      </c>
      <c r="B84">
        <f>IF(A84&lt;&gt;"",YEAR(A84),"")</f>
        <v/>
      </c>
      <c r="C84">
        <f>IF(A84&lt;&gt;"",MONTH(A84),"")</f>
        <v/>
      </c>
      <c r="D84">
        <f>IF(A84&lt;&gt;"",_xlfn.ISOWEEKNUM(A84),"")</f>
        <v/>
      </c>
      <c r="E84">
        <f>IF(A84&lt;&gt;"",TEXT(A84,"dddd"),"")</f>
        <v/>
      </c>
      <c r="F84">
        <f>IF(BD_Carga!C85&lt;&gt;"",BD_Carga!C85,"")</f>
        <v/>
      </c>
      <c r="G84">
        <f>IF(BD_Carga!D85&lt;&gt;"",BD_Carga!D85,"")</f>
        <v/>
      </c>
      <c r="H84">
        <f>IF(BD_Carga!Q85&lt;&gt;"",BD_Carga!Q85,"")</f>
        <v/>
      </c>
      <c r="I84">
        <f>IF(BD_Carga!R85&lt;&gt;"",BD_Carga!R85,"")</f>
        <v/>
      </c>
      <c r="J84">
        <f>IF(BD_Carga!S85&lt;&gt;"",BD_Carga!S85,"")</f>
        <v/>
      </c>
      <c r="K84" s="4">
        <f>IF(BD_Carga!E85&lt;&gt;"",BD_Carga!E85,0)</f>
        <v/>
      </c>
      <c r="L84" s="4">
        <f>IF(BD_Carga!F85&lt;&gt;"",BD_Carga!F85,0)</f>
        <v/>
      </c>
      <c r="M84" s="4">
        <f>IF(BD_Carga!G85&lt;&gt;"",BD_Carga!G85,0)</f>
        <v/>
      </c>
      <c r="N84" s="4">
        <f>IF(BD_Carga!H85&lt;&gt;"",BD_Carga!H85,0)</f>
        <v/>
      </c>
      <c r="O84" s="4">
        <f>IF(BD_Carga!I85&lt;&gt;"",BD_Carga!I85,0)</f>
        <v/>
      </c>
      <c r="P84" s="4">
        <f>IF(BD_Carga!J85&lt;&gt;"",BD_Carga!J85,0)</f>
        <v/>
      </c>
      <c r="Q84" s="5">
        <f>IF(BD_Carga!K85&lt;&gt;"",BD_Carga!K85,0)</f>
        <v/>
      </c>
      <c r="R84" s="5">
        <f>IF(BD_Carga!L85&lt;&gt;"",BD_Carga!L85,0)</f>
        <v/>
      </c>
      <c r="S84">
        <f>IF(BD_Carga!N85&lt;&gt;"",BD_Carga!N85,0)</f>
        <v/>
      </c>
      <c r="T84">
        <f>IF(BD_Carga!O85&lt;&gt;"",BD_Carga!O85,0)</f>
        <v/>
      </c>
      <c r="U84">
        <f>IF(BD_Carga!P85&lt;&gt;"",BD_Carga!P85,0)</f>
        <v/>
      </c>
      <c r="V84">
        <f>IF(BD_Carga!U85&lt;&gt;"",BD_Carga!U85,0)</f>
        <v/>
      </c>
      <c r="W84">
        <f>IF(BD_Carga!T85&lt;&gt;"",BD_Carga!T85,0)</f>
        <v/>
      </c>
      <c r="X84">
        <f>IF(BD_Carga!W85&lt;&gt;"",BD_Carga!W85,0)</f>
        <v/>
      </c>
      <c r="Y84">
        <f>IF(BD_Carga!X85&lt;&gt;"",BD_Carga!X85,0)</f>
        <v/>
      </c>
      <c r="Z84">
        <f>IF(BD_Carga!Y85&lt;&gt;"",BD_Carga!Y85,0)</f>
        <v/>
      </c>
      <c r="AA84">
        <f>IF(BD_Carga!Z85&lt;&gt;"",BD_Carga!Z85,0)</f>
        <v/>
      </c>
      <c r="AB84">
        <f>IF(BD_Carga!AA85&lt;&gt;"",BD_Carga!AA85,0)</f>
        <v/>
      </c>
      <c r="AC84" s="6">
        <f t="array" ref="AC84">IFERROR((L84-AVERAGEIF($G$2:$G$462,G84,$L$2:$L$462))/_xlfn.STDEV.P(IF($G$2:$G$462=G84,$L$2:$L$462)),0)</f>
        <v/>
      </c>
      <c r="AD84" s="6">
        <f t="array" ref="AD84">IFERROR((M84-AVERAGEIF($G$2:$G$462,G84,$M$2:$M$462))/_xlfn.STDEV.P(IF($G$2:$G$462=G84,$M$2:$M$462)),0)</f>
        <v/>
      </c>
      <c r="AE84" s="6">
        <f t="array" ref="AE84">IFERROR((N84-AVERAGEIF($G$2:$G$462,G84,$N$2:$N$462))/_xlfn.STDEV.P(IF($G$2:$G$462=G84,$N$2:$N$462)),0)</f>
        <v/>
      </c>
      <c r="AF84" s="6">
        <f t="array" ref="AF84">IFERROR((O84-AVERAGEIF($G$2:$G$462,G84,$O$2:$O$462))/_xlfn.STDEV.P(IF($G$2:$G$462=G84,$O$2:$O$462)),0)</f>
        <v/>
      </c>
      <c r="AG84" s="6">
        <f t="array" ref="AG84">IFERROR((P84-AVERAGEIF($G$2:$G$462,G84,$P$2:$P$462))/_xlfn.STDEV.P(IF($G$2:$G$462=G84,$P$2:$P$462)),0)</f>
        <v/>
      </c>
      <c r="AH84" s="6">
        <f t="array" ref="AH84">IFERROR((R84-AVERAGEIF($G$2:$G$462,G84,$R$2:$R$462))/_xlfn.STDEV.P(IF($G$2:$G$462=G84,$R$2:$R$462)),0)</f>
        <v/>
      </c>
      <c r="AI84" s="6">
        <f>IFERROR((AC84+AD84+AE84+AF84+AG84+AH84)/6,0)</f>
        <v/>
      </c>
    </row>
    <row r="85">
      <c r="A85" s="2">
        <f>IF(BD_Carga!A86&lt;&gt;"",BD_Carga!A86,"")</f>
        <v/>
      </c>
      <c r="B85">
        <f>IF(A85&lt;&gt;"",YEAR(A85),"")</f>
        <v/>
      </c>
      <c r="C85">
        <f>IF(A85&lt;&gt;"",MONTH(A85),"")</f>
        <v/>
      </c>
      <c r="D85">
        <f>IF(A85&lt;&gt;"",_xlfn.ISOWEEKNUM(A85),"")</f>
        <v/>
      </c>
      <c r="E85">
        <f>IF(A85&lt;&gt;"",TEXT(A85,"dddd"),"")</f>
        <v/>
      </c>
      <c r="F85">
        <f>IF(BD_Carga!C86&lt;&gt;"",BD_Carga!C86,"")</f>
        <v/>
      </c>
      <c r="G85">
        <f>IF(BD_Carga!D86&lt;&gt;"",BD_Carga!D86,"")</f>
        <v/>
      </c>
      <c r="H85">
        <f>IF(BD_Carga!Q86&lt;&gt;"",BD_Carga!Q86,"")</f>
        <v/>
      </c>
      <c r="I85">
        <f>IF(BD_Carga!R86&lt;&gt;"",BD_Carga!R86,"")</f>
        <v/>
      </c>
      <c r="J85">
        <f>IF(BD_Carga!S86&lt;&gt;"",BD_Carga!S86,"")</f>
        <v/>
      </c>
      <c r="K85" s="4">
        <f>IF(BD_Carga!E86&lt;&gt;"",BD_Carga!E86,0)</f>
        <v/>
      </c>
      <c r="L85" s="4">
        <f>IF(BD_Carga!F86&lt;&gt;"",BD_Carga!F86,0)</f>
        <v/>
      </c>
      <c r="M85" s="4">
        <f>IF(BD_Carga!G86&lt;&gt;"",BD_Carga!G86,0)</f>
        <v/>
      </c>
      <c r="N85" s="4">
        <f>IF(BD_Carga!H86&lt;&gt;"",BD_Carga!H86,0)</f>
        <v/>
      </c>
      <c r="O85" s="4">
        <f>IF(BD_Carga!I86&lt;&gt;"",BD_Carga!I86,0)</f>
        <v/>
      </c>
      <c r="P85" s="4">
        <f>IF(BD_Carga!J86&lt;&gt;"",BD_Carga!J86,0)</f>
        <v/>
      </c>
      <c r="Q85" s="5">
        <f>IF(BD_Carga!K86&lt;&gt;"",BD_Carga!K86,0)</f>
        <v/>
      </c>
      <c r="R85" s="5">
        <f>IF(BD_Carga!L86&lt;&gt;"",BD_Carga!L86,0)</f>
        <v/>
      </c>
      <c r="S85">
        <f>IF(BD_Carga!N86&lt;&gt;"",BD_Carga!N86,0)</f>
        <v/>
      </c>
      <c r="T85">
        <f>IF(BD_Carga!O86&lt;&gt;"",BD_Carga!O86,0)</f>
        <v/>
      </c>
      <c r="U85">
        <f>IF(BD_Carga!P86&lt;&gt;"",BD_Carga!P86,0)</f>
        <v/>
      </c>
      <c r="V85">
        <f>IF(BD_Carga!U86&lt;&gt;"",BD_Carga!U86,0)</f>
        <v/>
      </c>
      <c r="W85">
        <f>IF(BD_Carga!T86&lt;&gt;"",BD_Carga!T86,0)</f>
        <v/>
      </c>
      <c r="X85">
        <f>IF(BD_Carga!W86&lt;&gt;"",BD_Carga!W86,0)</f>
        <v/>
      </c>
      <c r="Y85">
        <f>IF(BD_Carga!X86&lt;&gt;"",BD_Carga!X86,0)</f>
        <v/>
      </c>
      <c r="Z85">
        <f>IF(BD_Carga!Y86&lt;&gt;"",BD_Carga!Y86,0)</f>
        <v/>
      </c>
      <c r="AA85">
        <f>IF(BD_Carga!Z86&lt;&gt;"",BD_Carga!Z86,0)</f>
        <v/>
      </c>
      <c r="AB85">
        <f>IF(BD_Carga!AA86&lt;&gt;"",BD_Carga!AA86,0)</f>
        <v/>
      </c>
      <c r="AC85" s="6">
        <f t="array" ref="AC85">IFERROR((L85-AVERAGEIF($G$2:$G$462,G85,$L$2:$L$462))/_xlfn.STDEV.P(IF($G$2:$G$462=G85,$L$2:$L$462)),0)</f>
        <v/>
      </c>
      <c r="AD85" s="6">
        <f t="array" ref="AD85">IFERROR((M85-AVERAGEIF($G$2:$G$462,G85,$M$2:$M$462))/_xlfn.STDEV.P(IF($G$2:$G$462=G85,$M$2:$M$462)),0)</f>
        <v/>
      </c>
      <c r="AE85" s="6">
        <f t="array" ref="AE85">IFERROR((N85-AVERAGEIF($G$2:$G$462,G85,$N$2:$N$462))/_xlfn.STDEV.P(IF($G$2:$G$462=G85,$N$2:$N$462)),0)</f>
        <v/>
      </c>
      <c r="AF85" s="6">
        <f t="array" ref="AF85">IFERROR((O85-AVERAGEIF($G$2:$G$462,G85,$O$2:$O$462))/_xlfn.STDEV.P(IF($G$2:$G$462=G85,$O$2:$O$462)),0)</f>
        <v/>
      </c>
      <c r="AG85" s="6">
        <f t="array" ref="AG85">IFERROR((P85-AVERAGEIF($G$2:$G$462,G85,$P$2:$P$462))/_xlfn.STDEV.P(IF($G$2:$G$462=G85,$P$2:$P$462)),0)</f>
        <v/>
      </c>
      <c r="AH85" s="6">
        <f t="array" ref="AH85">IFERROR((R85-AVERAGEIF($G$2:$G$462,G85,$R$2:$R$462))/_xlfn.STDEV.P(IF($G$2:$G$462=G85,$R$2:$R$462)),0)</f>
        <v/>
      </c>
      <c r="AI85" s="6">
        <f>IFERROR((AC85+AD85+AE85+AF85+AG85+AH85)/6,0)</f>
        <v/>
      </c>
    </row>
    <row r="86">
      <c r="A86" s="2">
        <f>IF(BD_Carga!A87&lt;&gt;"",BD_Carga!A87,"")</f>
        <v/>
      </c>
      <c r="B86">
        <f>IF(A86&lt;&gt;"",YEAR(A86),"")</f>
        <v/>
      </c>
      <c r="C86">
        <f>IF(A86&lt;&gt;"",MONTH(A86),"")</f>
        <v/>
      </c>
      <c r="D86">
        <f>IF(A86&lt;&gt;"",_xlfn.ISOWEEKNUM(A86),"")</f>
        <v/>
      </c>
      <c r="E86">
        <f>IF(A86&lt;&gt;"",TEXT(A86,"dddd"),"")</f>
        <v/>
      </c>
      <c r="F86">
        <f>IF(BD_Carga!C87&lt;&gt;"",BD_Carga!C87,"")</f>
        <v/>
      </c>
      <c r="G86">
        <f>IF(BD_Carga!D87&lt;&gt;"",BD_Carga!D87,"")</f>
        <v/>
      </c>
      <c r="H86">
        <f>IF(BD_Carga!Q87&lt;&gt;"",BD_Carga!Q87,"")</f>
        <v/>
      </c>
      <c r="I86">
        <f>IF(BD_Carga!R87&lt;&gt;"",BD_Carga!R87,"")</f>
        <v/>
      </c>
      <c r="J86">
        <f>IF(BD_Carga!S87&lt;&gt;"",BD_Carga!S87,"")</f>
        <v/>
      </c>
      <c r="K86" s="4">
        <f>IF(BD_Carga!E87&lt;&gt;"",BD_Carga!E87,0)</f>
        <v/>
      </c>
      <c r="L86" s="4">
        <f>IF(BD_Carga!F87&lt;&gt;"",BD_Carga!F87,0)</f>
        <v/>
      </c>
      <c r="M86" s="4">
        <f>IF(BD_Carga!G87&lt;&gt;"",BD_Carga!G87,0)</f>
        <v/>
      </c>
      <c r="N86" s="4">
        <f>IF(BD_Carga!H87&lt;&gt;"",BD_Carga!H87,0)</f>
        <v/>
      </c>
      <c r="O86" s="4">
        <f>IF(BD_Carga!I87&lt;&gt;"",BD_Carga!I87,0)</f>
        <v/>
      </c>
      <c r="P86" s="4">
        <f>IF(BD_Carga!J87&lt;&gt;"",BD_Carga!J87,0)</f>
        <v/>
      </c>
      <c r="Q86" s="5">
        <f>IF(BD_Carga!K87&lt;&gt;"",BD_Carga!K87,0)</f>
        <v/>
      </c>
      <c r="R86" s="5">
        <f>IF(BD_Carga!L87&lt;&gt;"",BD_Carga!L87,0)</f>
        <v/>
      </c>
      <c r="S86">
        <f>IF(BD_Carga!N87&lt;&gt;"",BD_Carga!N87,0)</f>
        <v/>
      </c>
      <c r="T86">
        <f>IF(BD_Carga!O87&lt;&gt;"",BD_Carga!O87,0)</f>
        <v/>
      </c>
      <c r="U86">
        <f>IF(BD_Carga!P87&lt;&gt;"",BD_Carga!P87,0)</f>
        <v/>
      </c>
      <c r="V86">
        <f>IF(BD_Carga!U87&lt;&gt;"",BD_Carga!U87,0)</f>
        <v/>
      </c>
      <c r="W86">
        <f>IF(BD_Carga!T87&lt;&gt;"",BD_Carga!T87,0)</f>
        <v/>
      </c>
      <c r="X86">
        <f>IF(BD_Carga!W87&lt;&gt;"",BD_Carga!W87,0)</f>
        <v/>
      </c>
      <c r="Y86">
        <f>IF(BD_Carga!X87&lt;&gt;"",BD_Carga!X87,0)</f>
        <v/>
      </c>
      <c r="Z86">
        <f>IF(BD_Carga!Y87&lt;&gt;"",BD_Carga!Y87,0)</f>
        <v/>
      </c>
      <c r="AA86">
        <f>IF(BD_Carga!Z87&lt;&gt;"",BD_Carga!Z87,0)</f>
        <v/>
      </c>
      <c r="AB86">
        <f>IF(BD_Carga!AA87&lt;&gt;"",BD_Carga!AA87,0)</f>
        <v/>
      </c>
      <c r="AC86" s="6">
        <f t="array" ref="AC86">IFERROR((L86-AVERAGEIF($G$2:$G$462,G86,$L$2:$L$462))/_xlfn.STDEV.P(IF($G$2:$G$462=G86,$L$2:$L$462)),0)</f>
        <v/>
      </c>
      <c r="AD86" s="6">
        <f t="array" ref="AD86">IFERROR((M86-AVERAGEIF($G$2:$G$462,G86,$M$2:$M$462))/_xlfn.STDEV.P(IF($G$2:$G$462=G86,$M$2:$M$462)),0)</f>
        <v/>
      </c>
      <c r="AE86" s="6">
        <f t="array" ref="AE86">IFERROR((N86-AVERAGEIF($G$2:$G$462,G86,$N$2:$N$462))/_xlfn.STDEV.P(IF($G$2:$G$462=G86,$N$2:$N$462)),0)</f>
        <v/>
      </c>
      <c r="AF86" s="6">
        <f t="array" ref="AF86">IFERROR((O86-AVERAGEIF($G$2:$G$462,G86,$O$2:$O$462))/_xlfn.STDEV.P(IF($G$2:$G$462=G86,$O$2:$O$462)),0)</f>
        <v/>
      </c>
      <c r="AG86" s="6">
        <f t="array" ref="AG86">IFERROR((P86-AVERAGEIF($G$2:$G$462,G86,$P$2:$P$462))/_xlfn.STDEV.P(IF($G$2:$G$462=G86,$P$2:$P$462)),0)</f>
        <v/>
      </c>
      <c r="AH86" s="6">
        <f t="array" ref="AH86">IFERROR((R86-AVERAGEIF($G$2:$G$462,G86,$R$2:$R$462))/_xlfn.STDEV.P(IF($G$2:$G$462=G86,$R$2:$R$462)),0)</f>
        <v/>
      </c>
      <c r="AI86" s="6">
        <f>IFERROR((AC86+AD86+AE86+AF86+AG86+AH86)/6,0)</f>
        <v/>
      </c>
    </row>
    <row r="87">
      <c r="A87" s="2">
        <f>IF(BD_Carga!A88&lt;&gt;"",BD_Carga!A88,"")</f>
        <v/>
      </c>
      <c r="B87">
        <f>IF(A87&lt;&gt;"",YEAR(A87),"")</f>
        <v/>
      </c>
      <c r="C87">
        <f>IF(A87&lt;&gt;"",MONTH(A87),"")</f>
        <v/>
      </c>
      <c r="D87">
        <f>IF(A87&lt;&gt;"",_xlfn.ISOWEEKNUM(A87),"")</f>
        <v/>
      </c>
      <c r="E87">
        <f>IF(A87&lt;&gt;"",TEXT(A87,"dddd"),"")</f>
        <v/>
      </c>
      <c r="F87">
        <f>IF(BD_Carga!C88&lt;&gt;"",BD_Carga!C88,"")</f>
        <v/>
      </c>
      <c r="G87">
        <f>IF(BD_Carga!D88&lt;&gt;"",BD_Carga!D88,"")</f>
        <v/>
      </c>
      <c r="H87">
        <f>IF(BD_Carga!Q88&lt;&gt;"",BD_Carga!Q88,"")</f>
        <v/>
      </c>
      <c r="I87">
        <f>IF(BD_Carga!R88&lt;&gt;"",BD_Carga!R88,"")</f>
        <v/>
      </c>
      <c r="J87">
        <f>IF(BD_Carga!S88&lt;&gt;"",BD_Carga!S88,"")</f>
        <v/>
      </c>
      <c r="K87" s="4">
        <f>IF(BD_Carga!E88&lt;&gt;"",BD_Carga!E88,0)</f>
        <v/>
      </c>
      <c r="L87" s="4">
        <f>IF(BD_Carga!F88&lt;&gt;"",BD_Carga!F88,0)</f>
        <v/>
      </c>
      <c r="M87" s="4">
        <f>IF(BD_Carga!G88&lt;&gt;"",BD_Carga!G88,0)</f>
        <v/>
      </c>
      <c r="N87" s="4">
        <f>IF(BD_Carga!H88&lt;&gt;"",BD_Carga!H88,0)</f>
        <v/>
      </c>
      <c r="O87" s="4">
        <f>IF(BD_Carga!I88&lt;&gt;"",BD_Carga!I88,0)</f>
        <v/>
      </c>
      <c r="P87" s="4">
        <f>IF(BD_Carga!J88&lt;&gt;"",BD_Carga!J88,0)</f>
        <v/>
      </c>
      <c r="Q87" s="5">
        <f>IF(BD_Carga!K88&lt;&gt;"",BD_Carga!K88,0)</f>
        <v/>
      </c>
      <c r="R87" s="5">
        <f>IF(BD_Carga!L88&lt;&gt;"",BD_Carga!L88,0)</f>
        <v/>
      </c>
      <c r="S87">
        <f>IF(BD_Carga!N88&lt;&gt;"",BD_Carga!N88,0)</f>
        <v/>
      </c>
      <c r="T87">
        <f>IF(BD_Carga!O88&lt;&gt;"",BD_Carga!O88,0)</f>
        <v/>
      </c>
      <c r="U87">
        <f>IF(BD_Carga!P88&lt;&gt;"",BD_Carga!P88,0)</f>
        <v/>
      </c>
      <c r="V87">
        <f>IF(BD_Carga!U88&lt;&gt;"",BD_Carga!U88,0)</f>
        <v/>
      </c>
      <c r="W87">
        <f>IF(BD_Carga!T88&lt;&gt;"",BD_Carga!T88,0)</f>
        <v/>
      </c>
      <c r="X87">
        <f>IF(BD_Carga!W88&lt;&gt;"",BD_Carga!W88,0)</f>
        <v/>
      </c>
      <c r="Y87">
        <f>IF(BD_Carga!X88&lt;&gt;"",BD_Carga!X88,0)</f>
        <v/>
      </c>
      <c r="Z87">
        <f>IF(BD_Carga!Y88&lt;&gt;"",BD_Carga!Y88,0)</f>
        <v/>
      </c>
      <c r="AA87">
        <f>IF(BD_Carga!Z88&lt;&gt;"",BD_Carga!Z88,0)</f>
        <v/>
      </c>
      <c r="AB87">
        <f>IF(BD_Carga!AA88&lt;&gt;"",BD_Carga!AA88,0)</f>
        <v/>
      </c>
      <c r="AC87" s="6">
        <f t="array" ref="AC87">IFERROR((L87-AVERAGEIF($G$2:$G$462,G87,$L$2:$L$462))/_xlfn.STDEV.P(IF($G$2:$G$462=G87,$L$2:$L$462)),0)</f>
        <v/>
      </c>
      <c r="AD87" s="6">
        <f t="array" ref="AD87">IFERROR((M87-AVERAGEIF($G$2:$G$462,G87,$M$2:$M$462))/_xlfn.STDEV.P(IF($G$2:$G$462=G87,$M$2:$M$462)),0)</f>
        <v/>
      </c>
      <c r="AE87" s="6">
        <f t="array" ref="AE87">IFERROR((N87-AVERAGEIF($G$2:$G$462,G87,$N$2:$N$462))/_xlfn.STDEV.P(IF($G$2:$G$462=G87,$N$2:$N$462)),0)</f>
        <v/>
      </c>
      <c r="AF87" s="6">
        <f t="array" ref="AF87">IFERROR((O87-AVERAGEIF($G$2:$G$462,G87,$O$2:$O$462))/_xlfn.STDEV.P(IF($G$2:$G$462=G87,$O$2:$O$462)),0)</f>
        <v/>
      </c>
      <c r="AG87" s="6">
        <f t="array" ref="AG87">IFERROR((P87-AVERAGEIF($G$2:$G$462,G87,$P$2:$P$462))/_xlfn.STDEV.P(IF($G$2:$G$462=G87,$P$2:$P$462)),0)</f>
        <v/>
      </c>
      <c r="AH87" s="6">
        <f t="array" ref="AH87">IFERROR((R87-AVERAGEIF($G$2:$G$462,G87,$R$2:$R$462))/_xlfn.STDEV.P(IF($G$2:$G$462=G87,$R$2:$R$462)),0)</f>
        <v/>
      </c>
      <c r="AI87" s="6">
        <f>IFERROR((AC87+AD87+AE87+AF87+AG87+AH87)/6,0)</f>
        <v/>
      </c>
    </row>
    <row r="88">
      <c r="A88" s="2">
        <f>IF(BD_Carga!A89&lt;&gt;"",BD_Carga!A89,"")</f>
        <v/>
      </c>
      <c r="B88">
        <f>IF(A88&lt;&gt;"",YEAR(A88),"")</f>
        <v/>
      </c>
      <c r="C88">
        <f>IF(A88&lt;&gt;"",MONTH(A88),"")</f>
        <v/>
      </c>
      <c r="D88">
        <f>IF(A88&lt;&gt;"",_xlfn.ISOWEEKNUM(A88),"")</f>
        <v/>
      </c>
      <c r="E88">
        <f>IF(A88&lt;&gt;"",TEXT(A88,"dddd"),"")</f>
        <v/>
      </c>
      <c r="F88">
        <f>IF(BD_Carga!C89&lt;&gt;"",BD_Carga!C89,"")</f>
        <v/>
      </c>
      <c r="G88">
        <f>IF(BD_Carga!D89&lt;&gt;"",BD_Carga!D89,"")</f>
        <v/>
      </c>
      <c r="H88">
        <f>IF(BD_Carga!Q89&lt;&gt;"",BD_Carga!Q89,"")</f>
        <v/>
      </c>
      <c r="I88">
        <f>IF(BD_Carga!R89&lt;&gt;"",BD_Carga!R89,"")</f>
        <v/>
      </c>
      <c r="J88">
        <f>IF(BD_Carga!S89&lt;&gt;"",BD_Carga!S89,"")</f>
        <v/>
      </c>
      <c r="K88" s="4">
        <f>IF(BD_Carga!E89&lt;&gt;"",BD_Carga!E89,0)</f>
        <v/>
      </c>
      <c r="L88" s="4">
        <f>IF(BD_Carga!F89&lt;&gt;"",BD_Carga!F89,0)</f>
        <v/>
      </c>
      <c r="M88" s="4">
        <f>IF(BD_Carga!G89&lt;&gt;"",BD_Carga!G89,0)</f>
        <v/>
      </c>
      <c r="N88" s="4">
        <f>IF(BD_Carga!H89&lt;&gt;"",BD_Carga!H89,0)</f>
        <v/>
      </c>
      <c r="O88" s="4">
        <f>IF(BD_Carga!I89&lt;&gt;"",BD_Carga!I89,0)</f>
        <v/>
      </c>
      <c r="P88" s="4">
        <f>IF(BD_Carga!J89&lt;&gt;"",BD_Carga!J89,0)</f>
        <v/>
      </c>
      <c r="Q88" s="5">
        <f>IF(BD_Carga!K89&lt;&gt;"",BD_Carga!K89,0)</f>
        <v/>
      </c>
      <c r="R88" s="5">
        <f>IF(BD_Carga!L89&lt;&gt;"",BD_Carga!L89,0)</f>
        <v/>
      </c>
      <c r="S88">
        <f>IF(BD_Carga!N89&lt;&gt;"",BD_Carga!N89,0)</f>
        <v/>
      </c>
      <c r="T88">
        <f>IF(BD_Carga!O89&lt;&gt;"",BD_Carga!O89,0)</f>
        <v/>
      </c>
      <c r="U88">
        <f>IF(BD_Carga!P89&lt;&gt;"",BD_Carga!P89,0)</f>
        <v/>
      </c>
      <c r="V88">
        <f>IF(BD_Carga!U89&lt;&gt;"",BD_Carga!U89,0)</f>
        <v/>
      </c>
      <c r="W88">
        <f>IF(BD_Carga!T89&lt;&gt;"",BD_Carga!T89,0)</f>
        <v/>
      </c>
      <c r="X88">
        <f>IF(BD_Carga!W89&lt;&gt;"",BD_Carga!W89,0)</f>
        <v/>
      </c>
      <c r="Y88">
        <f>IF(BD_Carga!X89&lt;&gt;"",BD_Carga!X89,0)</f>
        <v/>
      </c>
      <c r="Z88">
        <f>IF(BD_Carga!Y89&lt;&gt;"",BD_Carga!Y89,0)</f>
        <v/>
      </c>
      <c r="AA88">
        <f>IF(BD_Carga!Z89&lt;&gt;"",BD_Carga!Z89,0)</f>
        <v/>
      </c>
      <c r="AB88">
        <f>IF(BD_Carga!AA89&lt;&gt;"",BD_Carga!AA89,0)</f>
        <v/>
      </c>
      <c r="AC88" s="6">
        <f t="array" ref="AC88">IFERROR((L88-AVERAGEIF($G$2:$G$462,G88,$L$2:$L$462))/_xlfn.STDEV.P(IF($G$2:$G$462=G88,$L$2:$L$462)),0)</f>
        <v/>
      </c>
      <c r="AD88" s="6">
        <f t="array" ref="AD88">IFERROR((M88-AVERAGEIF($G$2:$G$462,G88,$M$2:$M$462))/_xlfn.STDEV.P(IF($G$2:$G$462=G88,$M$2:$M$462)),0)</f>
        <v/>
      </c>
      <c r="AE88" s="6">
        <f t="array" ref="AE88">IFERROR((N88-AVERAGEIF($G$2:$G$462,G88,$N$2:$N$462))/_xlfn.STDEV.P(IF($G$2:$G$462=G88,$N$2:$N$462)),0)</f>
        <v/>
      </c>
      <c r="AF88" s="6">
        <f t="array" ref="AF88">IFERROR((O88-AVERAGEIF($G$2:$G$462,G88,$O$2:$O$462))/_xlfn.STDEV.P(IF($G$2:$G$462=G88,$O$2:$O$462)),0)</f>
        <v/>
      </c>
      <c r="AG88" s="6">
        <f t="array" ref="AG88">IFERROR((P88-AVERAGEIF($G$2:$G$462,G88,$P$2:$P$462))/_xlfn.STDEV.P(IF($G$2:$G$462=G88,$P$2:$P$462)),0)</f>
        <v/>
      </c>
      <c r="AH88" s="6">
        <f t="array" ref="AH88">IFERROR((R88-AVERAGEIF($G$2:$G$462,G88,$R$2:$R$462))/_xlfn.STDEV.P(IF($G$2:$G$462=G88,$R$2:$R$462)),0)</f>
        <v/>
      </c>
      <c r="AI88" s="6">
        <f>IFERROR((AC88+AD88+AE88+AF88+AG88+AH88)/6,0)</f>
        <v/>
      </c>
    </row>
    <row r="89">
      <c r="A89" s="2">
        <f>IF(BD_Carga!A90&lt;&gt;"",BD_Carga!A90,"")</f>
        <v/>
      </c>
      <c r="B89">
        <f>IF(A89&lt;&gt;"",YEAR(A89),"")</f>
        <v/>
      </c>
      <c r="C89">
        <f>IF(A89&lt;&gt;"",MONTH(A89),"")</f>
        <v/>
      </c>
      <c r="D89">
        <f>IF(A89&lt;&gt;"",_xlfn.ISOWEEKNUM(A89),"")</f>
        <v/>
      </c>
      <c r="E89">
        <f>IF(A89&lt;&gt;"",TEXT(A89,"dddd"),"")</f>
        <v/>
      </c>
      <c r="F89">
        <f>IF(BD_Carga!C90&lt;&gt;"",BD_Carga!C90,"")</f>
        <v/>
      </c>
      <c r="G89">
        <f>IF(BD_Carga!D90&lt;&gt;"",BD_Carga!D90,"")</f>
        <v/>
      </c>
      <c r="H89">
        <f>IF(BD_Carga!Q90&lt;&gt;"",BD_Carga!Q90,"")</f>
        <v/>
      </c>
      <c r="I89">
        <f>IF(BD_Carga!R90&lt;&gt;"",BD_Carga!R90,"")</f>
        <v/>
      </c>
      <c r="J89">
        <f>IF(BD_Carga!S90&lt;&gt;"",BD_Carga!S90,"")</f>
        <v/>
      </c>
      <c r="K89" s="4">
        <f>IF(BD_Carga!E90&lt;&gt;"",BD_Carga!E90,0)</f>
        <v/>
      </c>
      <c r="L89" s="4">
        <f>IF(BD_Carga!F90&lt;&gt;"",BD_Carga!F90,0)</f>
        <v/>
      </c>
      <c r="M89" s="4">
        <f>IF(BD_Carga!G90&lt;&gt;"",BD_Carga!G90,0)</f>
        <v/>
      </c>
      <c r="N89" s="4">
        <f>IF(BD_Carga!H90&lt;&gt;"",BD_Carga!H90,0)</f>
        <v/>
      </c>
      <c r="O89" s="4">
        <f>IF(BD_Carga!I90&lt;&gt;"",BD_Carga!I90,0)</f>
        <v/>
      </c>
      <c r="P89" s="4">
        <f>IF(BD_Carga!J90&lt;&gt;"",BD_Carga!J90,0)</f>
        <v/>
      </c>
      <c r="Q89" s="5">
        <f>IF(BD_Carga!K90&lt;&gt;"",BD_Carga!K90,0)</f>
        <v/>
      </c>
      <c r="R89" s="5">
        <f>IF(BD_Carga!L90&lt;&gt;"",BD_Carga!L90,0)</f>
        <v/>
      </c>
      <c r="S89">
        <f>IF(BD_Carga!N90&lt;&gt;"",BD_Carga!N90,0)</f>
        <v/>
      </c>
      <c r="T89">
        <f>IF(BD_Carga!O90&lt;&gt;"",BD_Carga!O90,0)</f>
        <v/>
      </c>
      <c r="U89">
        <f>IF(BD_Carga!P90&lt;&gt;"",BD_Carga!P90,0)</f>
        <v/>
      </c>
      <c r="V89">
        <f>IF(BD_Carga!U90&lt;&gt;"",BD_Carga!U90,0)</f>
        <v/>
      </c>
      <c r="W89">
        <f>IF(BD_Carga!T90&lt;&gt;"",BD_Carga!T90,0)</f>
        <v/>
      </c>
      <c r="X89">
        <f>IF(BD_Carga!W90&lt;&gt;"",BD_Carga!W90,0)</f>
        <v/>
      </c>
      <c r="Y89">
        <f>IF(BD_Carga!X90&lt;&gt;"",BD_Carga!X90,0)</f>
        <v/>
      </c>
      <c r="Z89">
        <f>IF(BD_Carga!Y90&lt;&gt;"",BD_Carga!Y90,0)</f>
        <v/>
      </c>
      <c r="AA89">
        <f>IF(BD_Carga!Z90&lt;&gt;"",BD_Carga!Z90,0)</f>
        <v/>
      </c>
      <c r="AB89">
        <f>IF(BD_Carga!AA90&lt;&gt;"",BD_Carga!AA90,0)</f>
        <v/>
      </c>
      <c r="AC89" s="6">
        <f t="array" ref="AC89">IFERROR((L89-AVERAGEIF($G$2:$G$462,G89,$L$2:$L$462))/_xlfn.STDEV.P(IF($G$2:$G$462=G89,$L$2:$L$462)),0)</f>
        <v/>
      </c>
      <c r="AD89" s="6">
        <f t="array" ref="AD89">IFERROR((M89-AVERAGEIF($G$2:$G$462,G89,$M$2:$M$462))/_xlfn.STDEV.P(IF($G$2:$G$462=G89,$M$2:$M$462)),0)</f>
        <v/>
      </c>
      <c r="AE89" s="6">
        <f t="array" ref="AE89">IFERROR((N89-AVERAGEIF($G$2:$G$462,G89,$N$2:$N$462))/_xlfn.STDEV.P(IF($G$2:$G$462=G89,$N$2:$N$462)),0)</f>
        <v/>
      </c>
      <c r="AF89" s="6">
        <f t="array" ref="AF89">IFERROR((O89-AVERAGEIF($G$2:$G$462,G89,$O$2:$O$462))/_xlfn.STDEV.P(IF($G$2:$G$462=G89,$O$2:$O$462)),0)</f>
        <v/>
      </c>
      <c r="AG89" s="6">
        <f t="array" ref="AG89">IFERROR((P89-AVERAGEIF($G$2:$G$462,G89,$P$2:$P$462))/_xlfn.STDEV.P(IF($G$2:$G$462=G89,$P$2:$P$462)),0)</f>
        <v/>
      </c>
      <c r="AH89" s="6">
        <f t="array" ref="AH89">IFERROR((R89-AVERAGEIF($G$2:$G$462,G89,$R$2:$R$462))/_xlfn.STDEV.P(IF($G$2:$G$462=G89,$R$2:$R$462)),0)</f>
        <v/>
      </c>
      <c r="AI89" s="6">
        <f>IFERROR((AC89+AD89+AE89+AF89+AG89+AH89)/6,0)</f>
        <v/>
      </c>
    </row>
    <row r="90">
      <c r="A90" s="2">
        <f>IF(BD_Carga!A91&lt;&gt;"",BD_Carga!A91,"")</f>
        <v/>
      </c>
      <c r="B90">
        <f>IF(A90&lt;&gt;"",YEAR(A90),"")</f>
        <v/>
      </c>
      <c r="C90">
        <f>IF(A90&lt;&gt;"",MONTH(A90),"")</f>
        <v/>
      </c>
      <c r="D90">
        <f>IF(A90&lt;&gt;"",_xlfn.ISOWEEKNUM(A90),"")</f>
        <v/>
      </c>
      <c r="E90">
        <f>IF(A90&lt;&gt;"",TEXT(A90,"dddd"),"")</f>
        <v/>
      </c>
      <c r="F90">
        <f>IF(BD_Carga!C91&lt;&gt;"",BD_Carga!C91,"")</f>
        <v/>
      </c>
      <c r="G90">
        <f>IF(BD_Carga!D91&lt;&gt;"",BD_Carga!D91,"")</f>
        <v/>
      </c>
      <c r="H90">
        <f>IF(BD_Carga!Q91&lt;&gt;"",BD_Carga!Q91,"")</f>
        <v/>
      </c>
      <c r="I90">
        <f>IF(BD_Carga!R91&lt;&gt;"",BD_Carga!R91,"")</f>
        <v/>
      </c>
      <c r="J90">
        <f>IF(BD_Carga!S91&lt;&gt;"",BD_Carga!S91,"")</f>
        <v/>
      </c>
      <c r="K90" s="4">
        <f>IF(BD_Carga!E91&lt;&gt;"",BD_Carga!E91,0)</f>
        <v/>
      </c>
      <c r="L90" s="4">
        <f>IF(BD_Carga!F91&lt;&gt;"",BD_Carga!F91,0)</f>
        <v/>
      </c>
      <c r="M90" s="4">
        <f>IF(BD_Carga!G91&lt;&gt;"",BD_Carga!G91,0)</f>
        <v/>
      </c>
      <c r="N90" s="4">
        <f>IF(BD_Carga!H91&lt;&gt;"",BD_Carga!H91,0)</f>
        <v/>
      </c>
      <c r="O90" s="4">
        <f>IF(BD_Carga!I91&lt;&gt;"",BD_Carga!I91,0)</f>
        <v/>
      </c>
      <c r="P90" s="4">
        <f>IF(BD_Carga!J91&lt;&gt;"",BD_Carga!J91,0)</f>
        <v/>
      </c>
      <c r="Q90" s="5">
        <f>IF(BD_Carga!K91&lt;&gt;"",BD_Carga!K91,0)</f>
        <v/>
      </c>
      <c r="R90" s="5">
        <f>IF(BD_Carga!L91&lt;&gt;"",BD_Carga!L91,0)</f>
        <v/>
      </c>
      <c r="S90">
        <f>IF(BD_Carga!N91&lt;&gt;"",BD_Carga!N91,0)</f>
        <v/>
      </c>
      <c r="T90">
        <f>IF(BD_Carga!O91&lt;&gt;"",BD_Carga!O91,0)</f>
        <v/>
      </c>
      <c r="U90">
        <f>IF(BD_Carga!P91&lt;&gt;"",BD_Carga!P91,0)</f>
        <v/>
      </c>
      <c r="V90">
        <f>IF(BD_Carga!U91&lt;&gt;"",BD_Carga!U91,0)</f>
        <v/>
      </c>
      <c r="W90">
        <f>IF(BD_Carga!T91&lt;&gt;"",BD_Carga!T91,0)</f>
        <v/>
      </c>
      <c r="X90">
        <f>IF(BD_Carga!W91&lt;&gt;"",BD_Carga!W91,0)</f>
        <v/>
      </c>
      <c r="Y90">
        <f>IF(BD_Carga!X91&lt;&gt;"",BD_Carga!X91,0)</f>
        <v/>
      </c>
      <c r="Z90">
        <f>IF(BD_Carga!Y91&lt;&gt;"",BD_Carga!Y91,0)</f>
        <v/>
      </c>
      <c r="AA90">
        <f>IF(BD_Carga!Z91&lt;&gt;"",BD_Carga!Z91,0)</f>
        <v/>
      </c>
      <c r="AB90">
        <f>IF(BD_Carga!AA91&lt;&gt;"",BD_Carga!AA91,0)</f>
        <v/>
      </c>
      <c r="AC90" s="6">
        <f t="array" ref="AC90">IFERROR((L90-AVERAGEIF($G$2:$G$462,G90,$L$2:$L$462))/_xlfn.STDEV.P(IF($G$2:$G$462=G90,$L$2:$L$462)),0)</f>
        <v/>
      </c>
      <c r="AD90" s="6">
        <f t="array" ref="AD90">IFERROR((M90-AVERAGEIF($G$2:$G$462,G90,$M$2:$M$462))/_xlfn.STDEV.P(IF($G$2:$G$462=G90,$M$2:$M$462)),0)</f>
        <v/>
      </c>
      <c r="AE90" s="6">
        <f t="array" ref="AE90">IFERROR((N90-AVERAGEIF($G$2:$G$462,G90,$N$2:$N$462))/_xlfn.STDEV.P(IF($G$2:$G$462=G90,$N$2:$N$462)),0)</f>
        <v/>
      </c>
      <c r="AF90" s="6">
        <f t="array" ref="AF90">IFERROR((O90-AVERAGEIF($G$2:$G$462,G90,$O$2:$O$462))/_xlfn.STDEV.P(IF($G$2:$G$462=G90,$O$2:$O$462)),0)</f>
        <v/>
      </c>
      <c r="AG90" s="6">
        <f t="array" ref="AG90">IFERROR((P90-AVERAGEIF($G$2:$G$462,G90,$P$2:$P$462))/_xlfn.STDEV.P(IF($G$2:$G$462=G90,$P$2:$P$462)),0)</f>
        <v/>
      </c>
      <c r="AH90" s="6">
        <f t="array" ref="AH90">IFERROR((R90-AVERAGEIF($G$2:$G$462,G90,$R$2:$R$462))/_xlfn.STDEV.P(IF($G$2:$G$462=G90,$R$2:$R$462)),0)</f>
        <v/>
      </c>
      <c r="AI90" s="6">
        <f>IFERROR((AC90+AD90+AE90+AF90+AG90+AH90)/6,0)</f>
        <v/>
      </c>
    </row>
    <row r="91">
      <c r="A91" s="2">
        <f>IF(BD_Carga!A92&lt;&gt;"",BD_Carga!A92,"")</f>
        <v/>
      </c>
      <c r="B91">
        <f>IF(A91&lt;&gt;"",YEAR(A91),"")</f>
        <v/>
      </c>
      <c r="C91">
        <f>IF(A91&lt;&gt;"",MONTH(A91),"")</f>
        <v/>
      </c>
      <c r="D91">
        <f>IF(A91&lt;&gt;"",_xlfn.ISOWEEKNUM(A91),"")</f>
        <v/>
      </c>
      <c r="E91">
        <f>IF(A91&lt;&gt;"",TEXT(A91,"dddd"),"")</f>
        <v/>
      </c>
      <c r="F91">
        <f>IF(BD_Carga!C92&lt;&gt;"",BD_Carga!C92,"")</f>
        <v/>
      </c>
      <c r="G91">
        <f>IF(BD_Carga!D92&lt;&gt;"",BD_Carga!D92,"")</f>
        <v/>
      </c>
      <c r="H91">
        <f>IF(BD_Carga!Q92&lt;&gt;"",BD_Carga!Q92,"")</f>
        <v/>
      </c>
      <c r="I91">
        <f>IF(BD_Carga!R92&lt;&gt;"",BD_Carga!R92,"")</f>
        <v/>
      </c>
      <c r="J91">
        <f>IF(BD_Carga!S92&lt;&gt;"",BD_Carga!S92,"")</f>
        <v/>
      </c>
      <c r="K91" s="4">
        <f>IF(BD_Carga!E92&lt;&gt;"",BD_Carga!E92,0)</f>
        <v/>
      </c>
      <c r="L91" s="4">
        <f>IF(BD_Carga!F92&lt;&gt;"",BD_Carga!F92,0)</f>
        <v/>
      </c>
      <c r="M91" s="4">
        <f>IF(BD_Carga!G92&lt;&gt;"",BD_Carga!G92,0)</f>
        <v/>
      </c>
      <c r="N91" s="4">
        <f>IF(BD_Carga!H92&lt;&gt;"",BD_Carga!H92,0)</f>
        <v/>
      </c>
      <c r="O91" s="4">
        <f>IF(BD_Carga!I92&lt;&gt;"",BD_Carga!I92,0)</f>
        <v/>
      </c>
      <c r="P91" s="4">
        <f>IF(BD_Carga!J92&lt;&gt;"",BD_Carga!J92,0)</f>
        <v/>
      </c>
      <c r="Q91" s="5">
        <f>IF(BD_Carga!K92&lt;&gt;"",BD_Carga!K92,0)</f>
        <v/>
      </c>
      <c r="R91" s="5">
        <f>IF(BD_Carga!L92&lt;&gt;"",BD_Carga!L92,0)</f>
        <v/>
      </c>
      <c r="S91">
        <f>IF(BD_Carga!N92&lt;&gt;"",BD_Carga!N92,0)</f>
        <v/>
      </c>
      <c r="T91">
        <f>IF(BD_Carga!O92&lt;&gt;"",BD_Carga!O92,0)</f>
        <v/>
      </c>
      <c r="U91">
        <f>IF(BD_Carga!P92&lt;&gt;"",BD_Carga!P92,0)</f>
        <v/>
      </c>
      <c r="V91">
        <f>IF(BD_Carga!U92&lt;&gt;"",BD_Carga!U92,0)</f>
        <v/>
      </c>
      <c r="W91">
        <f>IF(BD_Carga!T92&lt;&gt;"",BD_Carga!T92,0)</f>
        <v/>
      </c>
      <c r="X91">
        <f>IF(BD_Carga!W92&lt;&gt;"",BD_Carga!W92,0)</f>
        <v/>
      </c>
      <c r="Y91">
        <f>IF(BD_Carga!X92&lt;&gt;"",BD_Carga!X92,0)</f>
        <v/>
      </c>
      <c r="Z91">
        <f>IF(BD_Carga!Y92&lt;&gt;"",BD_Carga!Y92,0)</f>
        <v/>
      </c>
      <c r="AA91">
        <f>IF(BD_Carga!Z92&lt;&gt;"",BD_Carga!Z92,0)</f>
        <v/>
      </c>
      <c r="AB91">
        <f>IF(BD_Carga!AA92&lt;&gt;"",BD_Carga!AA92,0)</f>
        <v/>
      </c>
      <c r="AC91" s="6">
        <f t="array" ref="AC91">IFERROR((L91-AVERAGEIF($G$2:$G$462,G91,$L$2:$L$462))/_xlfn.STDEV.P(IF($G$2:$G$462=G91,$L$2:$L$462)),0)</f>
        <v/>
      </c>
      <c r="AD91" s="6">
        <f t="array" ref="AD91">IFERROR((M91-AVERAGEIF($G$2:$G$462,G91,$M$2:$M$462))/_xlfn.STDEV.P(IF($G$2:$G$462=G91,$M$2:$M$462)),0)</f>
        <v/>
      </c>
      <c r="AE91" s="6">
        <f t="array" ref="AE91">IFERROR((N91-AVERAGEIF($G$2:$G$462,G91,$N$2:$N$462))/_xlfn.STDEV.P(IF($G$2:$G$462=G91,$N$2:$N$462)),0)</f>
        <v/>
      </c>
      <c r="AF91" s="6">
        <f t="array" ref="AF91">IFERROR((O91-AVERAGEIF($G$2:$G$462,G91,$O$2:$O$462))/_xlfn.STDEV.P(IF($G$2:$G$462=G91,$O$2:$O$462)),0)</f>
        <v/>
      </c>
      <c r="AG91" s="6">
        <f t="array" ref="AG91">IFERROR((P91-AVERAGEIF($G$2:$G$462,G91,$P$2:$P$462))/_xlfn.STDEV.P(IF($G$2:$G$462=G91,$P$2:$P$462)),0)</f>
        <v/>
      </c>
      <c r="AH91" s="6">
        <f t="array" ref="AH91">IFERROR((R91-AVERAGEIF($G$2:$G$462,G91,$R$2:$R$462))/_xlfn.STDEV.P(IF($G$2:$G$462=G91,$R$2:$R$462)),0)</f>
        <v/>
      </c>
      <c r="AI91" s="6">
        <f>IFERROR((AC91+AD91+AE91+AF91+AG91+AH91)/6,0)</f>
        <v/>
      </c>
    </row>
    <row r="92">
      <c r="A92" s="2">
        <f>IF(BD_Carga!A93&lt;&gt;"",BD_Carga!A93,"")</f>
        <v/>
      </c>
      <c r="B92">
        <f>IF(A92&lt;&gt;"",YEAR(A92),"")</f>
        <v/>
      </c>
      <c r="C92">
        <f>IF(A92&lt;&gt;"",MONTH(A92),"")</f>
        <v/>
      </c>
      <c r="D92">
        <f>IF(A92&lt;&gt;"",_xlfn.ISOWEEKNUM(A92),"")</f>
        <v/>
      </c>
      <c r="E92">
        <f>IF(A92&lt;&gt;"",TEXT(A92,"dddd"),"")</f>
        <v/>
      </c>
      <c r="F92">
        <f>IF(BD_Carga!C93&lt;&gt;"",BD_Carga!C93,"")</f>
        <v/>
      </c>
      <c r="G92">
        <f>IF(BD_Carga!D93&lt;&gt;"",BD_Carga!D93,"")</f>
        <v/>
      </c>
      <c r="H92">
        <f>IF(BD_Carga!Q93&lt;&gt;"",BD_Carga!Q93,"")</f>
        <v/>
      </c>
      <c r="I92">
        <f>IF(BD_Carga!R93&lt;&gt;"",BD_Carga!R93,"")</f>
        <v/>
      </c>
      <c r="J92">
        <f>IF(BD_Carga!S93&lt;&gt;"",BD_Carga!S93,"")</f>
        <v/>
      </c>
      <c r="K92" s="4">
        <f>IF(BD_Carga!E93&lt;&gt;"",BD_Carga!E93,0)</f>
        <v/>
      </c>
      <c r="L92" s="4">
        <f>IF(BD_Carga!F93&lt;&gt;"",BD_Carga!F93,0)</f>
        <v/>
      </c>
      <c r="M92" s="4">
        <f>IF(BD_Carga!G93&lt;&gt;"",BD_Carga!G93,0)</f>
        <v/>
      </c>
      <c r="N92" s="4">
        <f>IF(BD_Carga!H93&lt;&gt;"",BD_Carga!H93,0)</f>
        <v/>
      </c>
      <c r="O92" s="4">
        <f>IF(BD_Carga!I93&lt;&gt;"",BD_Carga!I93,0)</f>
        <v/>
      </c>
      <c r="P92" s="4">
        <f>IF(BD_Carga!J93&lt;&gt;"",BD_Carga!J93,0)</f>
        <v/>
      </c>
      <c r="Q92" s="5">
        <f>IF(BD_Carga!K93&lt;&gt;"",BD_Carga!K93,0)</f>
        <v/>
      </c>
      <c r="R92" s="5">
        <f>IF(BD_Carga!L93&lt;&gt;"",BD_Carga!L93,0)</f>
        <v/>
      </c>
      <c r="S92">
        <f>IF(BD_Carga!N93&lt;&gt;"",BD_Carga!N93,0)</f>
        <v/>
      </c>
      <c r="T92">
        <f>IF(BD_Carga!O93&lt;&gt;"",BD_Carga!O93,0)</f>
        <v/>
      </c>
      <c r="U92">
        <f>IF(BD_Carga!P93&lt;&gt;"",BD_Carga!P93,0)</f>
        <v/>
      </c>
      <c r="V92">
        <f>IF(BD_Carga!U93&lt;&gt;"",BD_Carga!U93,0)</f>
        <v/>
      </c>
      <c r="W92">
        <f>IF(BD_Carga!T93&lt;&gt;"",BD_Carga!T93,0)</f>
        <v/>
      </c>
      <c r="X92">
        <f>IF(BD_Carga!W93&lt;&gt;"",BD_Carga!W93,0)</f>
        <v/>
      </c>
      <c r="Y92">
        <f>IF(BD_Carga!X93&lt;&gt;"",BD_Carga!X93,0)</f>
        <v/>
      </c>
      <c r="Z92">
        <f>IF(BD_Carga!Y93&lt;&gt;"",BD_Carga!Y93,0)</f>
        <v/>
      </c>
      <c r="AA92">
        <f>IF(BD_Carga!Z93&lt;&gt;"",BD_Carga!Z93,0)</f>
        <v/>
      </c>
      <c r="AB92">
        <f>IF(BD_Carga!AA93&lt;&gt;"",BD_Carga!AA93,0)</f>
        <v/>
      </c>
      <c r="AC92" s="6">
        <f t="array" ref="AC92">IFERROR((L92-AVERAGEIF($G$2:$G$462,G92,$L$2:$L$462))/_xlfn.STDEV.P(IF($G$2:$G$462=G92,$L$2:$L$462)),0)</f>
        <v/>
      </c>
      <c r="AD92" s="6">
        <f t="array" ref="AD92">IFERROR((M92-AVERAGEIF($G$2:$G$462,G92,$M$2:$M$462))/_xlfn.STDEV.P(IF($G$2:$G$462=G92,$M$2:$M$462)),0)</f>
        <v/>
      </c>
      <c r="AE92" s="6">
        <f t="array" ref="AE92">IFERROR((N92-AVERAGEIF($G$2:$G$462,G92,$N$2:$N$462))/_xlfn.STDEV.P(IF($G$2:$G$462=G92,$N$2:$N$462)),0)</f>
        <v/>
      </c>
      <c r="AF92" s="6">
        <f t="array" ref="AF92">IFERROR((O92-AVERAGEIF($G$2:$G$462,G92,$O$2:$O$462))/_xlfn.STDEV.P(IF($G$2:$G$462=G92,$O$2:$O$462)),0)</f>
        <v/>
      </c>
      <c r="AG92" s="6">
        <f t="array" ref="AG92">IFERROR((P92-AVERAGEIF($G$2:$G$462,G92,$P$2:$P$462))/_xlfn.STDEV.P(IF($G$2:$G$462=G92,$P$2:$P$462)),0)</f>
        <v/>
      </c>
      <c r="AH92" s="6">
        <f t="array" ref="AH92">IFERROR((R92-AVERAGEIF($G$2:$G$462,G92,$R$2:$R$462))/_xlfn.STDEV.P(IF($G$2:$G$462=G92,$R$2:$R$462)),0)</f>
        <v/>
      </c>
      <c r="AI92" s="6">
        <f>IFERROR((AC92+AD92+AE92+AF92+AG92+AH92)/6,0)</f>
        <v/>
      </c>
    </row>
    <row r="93">
      <c r="A93" s="2">
        <f>IF(BD_Carga!A94&lt;&gt;"",BD_Carga!A94,"")</f>
        <v/>
      </c>
      <c r="B93">
        <f>IF(A93&lt;&gt;"",YEAR(A93),"")</f>
        <v/>
      </c>
      <c r="C93">
        <f>IF(A93&lt;&gt;"",MONTH(A93),"")</f>
        <v/>
      </c>
      <c r="D93">
        <f>IF(A93&lt;&gt;"",_xlfn.ISOWEEKNUM(A93),"")</f>
        <v/>
      </c>
      <c r="E93">
        <f>IF(A93&lt;&gt;"",TEXT(A93,"dddd"),"")</f>
        <v/>
      </c>
      <c r="F93">
        <f>IF(BD_Carga!C94&lt;&gt;"",BD_Carga!C94,"")</f>
        <v/>
      </c>
      <c r="G93">
        <f>IF(BD_Carga!D94&lt;&gt;"",BD_Carga!D94,"")</f>
        <v/>
      </c>
      <c r="H93">
        <f>IF(BD_Carga!Q94&lt;&gt;"",BD_Carga!Q94,"")</f>
        <v/>
      </c>
      <c r="I93">
        <f>IF(BD_Carga!R94&lt;&gt;"",BD_Carga!R94,"")</f>
        <v/>
      </c>
      <c r="J93">
        <f>IF(BD_Carga!S94&lt;&gt;"",BD_Carga!S94,"")</f>
        <v/>
      </c>
      <c r="K93" s="4">
        <f>IF(BD_Carga!E94&lt;&gt;"",BD_Carga!E94,0)</f>
        <v/>
      </c>
      <c r="L93" s="4">
        <f>IF(BD_Carga!F94&lt;&gt;"",BD_Carga!F94,0)</f>
        <v/>
      </c>
      <c r="M93" s="4">
        <f>IF(BD_Carga!G94&lt;&gt;"",BD_Carga!G94,0)</f>
        <v/>
      </c>
      <c r="N93" s="4">
        <f>IF(BD_Carga!H94&lt;&gt;"",BD_Carga!H94,0)</f>
        <v/>
      </c>
      <c r="O93" s="4">
        <f>IF(BD_Carga!I94&lt;&gt;"",BD_Carga!I94,0)</f>
        <v/>
      </c>
      <c r="P93" s="4">
        <f>IF(BD_Carga!J94&lt;&gt;"",BD_Carga!J94,0)</f>
        <v/>
      </c>
      <c r="Q93" s="5">
        <f>IF(BD_Carga!K94&lt;&gt;"",BD_Carga!K94,0)</f>
        <v/>
      </c>
      <c r="R93" s="5">
        <f>IF(BD_Carga!L94&lt;&gt;"",BD_Carga!L94,0)</f>
        <v/>
      </c>
      <c r="S93">
        <f>IF(BD_Carga!N94&lt;&gt;"",BD_Carga!N94,0)</f>
        <v/>
      </c>
      <c r="T93">
        <f>IF(BD_Carga!O94&lt;&gt;"",BD_Carga!O94,0)</f>
        <v/>
      </c>
      <c r="U93">
        <f>IF(BD_Carga!P94&lt;&gt;"",BD_Carga!P94,0)</f>
        <v/>
      </c>
      <c r="V93">
        <f>IF(BD_Carga!U94&lt;&gt;"",BD_Carga!U94,0)</f>
        <v/>
      </c>
      <c r="W93">
        <f>IF(BD_Carga!T94&lt;&gt;"",BD_Carga!T94,0)</f>
        <v/>
      </c>
      <c r="X93">
        <f>IF(BD_Carga!W94&lt;&gt;"",BD_Carga!W94,0)</f>
        <v/>
      </c>
      <c r="Y93">
        <f>IF(BD_Carga!X94&lt;&gt;"",BD_Carga!X94,0)</f>
        <v/>
      </c>
      <c r="Z93">
        <f>IF(BD_Carga!Y94&lt;&gt;"",BD_Carga!Y94,0)</f>
        <v/>
      </c>
      <c r="AA93">
        <f>IF(BD_Carga!Z94&lt;&gt;"",BD_Carga!Z94,0)</f>
        <v/>
      </c>
      <c r="AB93">
        <f>IF(BD_Carga!AA94&lt;&gt;"",BD_Carga!AA94,0)</f>
        <v/>
      </c>
      <c r="AC93" s="6">
        <f t="array" ref="AC93">IFERROR((L93-AVERAGEIF($G$2:$G$462,G93,$L$2:$L$462))/_xlfn.STDEV.P(IF($G$2:$G$462=G93,$L$2:$L$462)),0)</f>
        <v/>
      </c>
      <c r="AD93" s="6">
        <f t="array" ref="AD93">IFERROR((M93-AVERAGEIF($G$2:$G$462,G93,$M$2:$M$462))/_xlfn.STDEV.P(IF($G$2:$G$462=G93,$M$2:$M$462)),0)</f>
        <v/>
      </c>
      <c r="AE93" s="6">
        <f t="array" ref="AE93">IFERROR((N93-AVERAGEIF($G$2:$G$462,G93,$N$2:$N$462))/_xlfn.STDEV.P(IF($G$2:$G$462=G93,$N$2:$N$462)),0)</f>
        <v/>
      </c>
      <c r="AF93" s="6">
        <f t="array" ref="AF93">IFERROR((O93-AVERAGEIF($G$2:$G$462,G93,$O$2:$O$462))/_xlfn.STDEV.P(IF($G$2:$G$462=G93,$O$2:$O$462)),0)</f>
        <v/>
      </c>
      <c r="AG93" s="6">
        <f t="array" ref="AG93">IFERROR((P93-AVERAGEIF($G$2:$G$462,G93,$P$2:$P$462))/_xlfn.STDEV.P(IF($G$2:$G$462=G93,$P$2:$P$462)),0)</f>
        <v/>
      </c>
      <c r="AH93" s="6">
        <f t="array" ref="AH93">IFERROR((R93-AVERAGEIF($G$2:$G$462,G93,$R$2:$R$462))/_xlfn.STDEV.P(IF($G$2:$G$462=G93,$R$2:$R$462)),0)</f>
        <v/>
      </c>
      <c r="AI93" s="6">
        <f>IFERROR((AC93+AD93+AE93+AF93+AG93+AH93)/6,0)</f>
        <v/>
      </c>
    </row>
    <row r="94">
      <c r="A94" s="2">
        <f>IF(BD_Carga!A95&lt;&gt;"",BD_Carga!A95,"")</f>
        <v/>
      </c>
      <c r="B94">
        <f>IF(A94&lt;&gt;"",YEAR(A94),"")</f>
        <v/>
      </c>
      <c r="C94">
        <f>IF(A94&lt;&gt;"",MONTH(A94),"")</f>
        <v/>
      </c>
      <c r="D94">
        <f>IF(A94&lt;&gt;"",_xlfn.ISOWEEKNUM(A94),"")</f>
        <v/>
      </c>
      <c r="E94">
        <f>IF(A94&lt;&gt;"",TEXT(A94,"dddd"),"")</f>
        <v/>
      </c>
      <c r="F94">
        <f>IF(BD_Carga!C95&lt;&gt;"",BD_Carga!C95,"")</f>
        <v/>
      </c>
      <c r="G94">
        <f>IF(BD_Carga!D95&lt;&gt;"",BD_Carga!D95,"")</f>
        <v/>
      </c>
      <c r="H94">
        <f>IF(BD_Carga!Q95&lt;&gt;"",BD_Carga!Q95,"")</f>
        <v/>
      </c>
      <c r="I94">
        <f>IF(BD_Carga!R95&lt;&gt;"",BD_Carga!R95,"")</f>
        <v/>
      </c>
      <c r="J94">
        <f>IF(BD_Carga!S95&lt;&gt;"",BD_Carga!S95,"")</f>
        <v/>
      </c>
      <c r="K94" s="4">
        <f>IF(BD_Carga!E95&lt;&gt;"",BD_Carga!E95,0)</f>
        <v/>
      </c>
      <c r="L94" s="4">
        <f>IF(BD_Carga!F95&lt;&gt;"",BD_Carga!F95,0)</f>
        <v/>
      </c>
      <c r="M94" s="4">
        <f>IF(BD_Carga!G95&lt;&gt;"",BD_Carga!G95,0)</f>
        <v/>
      </c>
      <c r="N94" s="4">
        <f>IF(BD_Carga!H95&lt;&gt;"",BD_Carga!H95,0)</f>
        <v/>
      </c>
      <c r="O94" s="4">
        <f>IF(BD_Carga!I95&lt;&gt;"",BD_Carga!I95,0)</f>
        <v/>
      </c>
      <c r="P94" s="4">
        <f>IF(BD_Carga!J95&lt;&gt;"",BD_Carga!J95,0)</f>
        <v/>
      </c>
      <c r="Q94" s="5">
        <f>IF(BD_Carga!K95&lt;&gt;"",BD_Carga!K95,0)</f>
        <v/>
      </c>
      <c r="R94" s="5">
        <f>IF(BD_Carga!L95&lt;&gt;"",BD_Carga!L95,0)</f>
        <v/>
      </c>
      <c r="S94">
        <f>IF(BD_Carga!N95&lt;&gt;"",BD_Carga!N95,0)</f>
        <v/>
      </c>
      <c r="T94">
        <f>IF(BD_Carga!O95&lt;&gt;"",BD_Carga!O95,0)</f>
        <v/>
      </c>
      <c r="U94">
        <f>IF(BD_Carga!P95&lt;&gt;"",BD_Carga!P95,0)</f>
        <v/>
      </c>
      <c r="V94">
        <f>IF(BD_Carga!U95&lt;&gt;"",BD_Carga!U95,0)</f>
        <v/>
      </c>
      <c r="W94">
        <f>IF(BD_Carga!T95&lt;&gt;"",BD_Carga!T95,0)</f>
        <v/>
      </c>
      <c r="X94">
        <f>IF(BD_Carga!W95&lt;&gt;"",BD_Carga!W95,0)</f>
        <v/>
      </c>
      <c r="Y94">
        <f>IF(BD_Carga!X95&lt;&gt;"",BD_Carga!X95,0)</f>
        <v/>
      </c>
      <c r="Z94">
        <f>IF(BD_Carga!Y95&lt;&gt;"",BD_Carga!Y95,0)</f>
        <v/>
      </c>
      <c r="AA94">
        <f>IF(BD_Carga!Z95&lt;&gt;"",BD_Carga!Z95,0)</f>
        <v/>
      </c>
      <c r="AB94">
        <f>IF(BD_Carga!AA95&lt;&gt;"",BD_Carga!AA95,0)</f>
        <v/>
      </c>
      <c r="AC94" s="6">
        <f t="array" ref="AC94">IFERROR((L94-AVERAGEIF($G$2:$G$462,G94,$L$2:$L$462))/_xlfn.STDEV.P(IF($G$2:$G$462=G94,$L$2:$L$462)),0)</f>
        <v/>
      </c>
      <c r="AD94" s="6">
        <f t="array" ref="AD94">IFERROR((M94-AVERAGEIF($G$2:$G$462,G94,$M$2:$M$462))/_xlfn.STDEV.P(IF($G$2:$G$462=G94,$M$2:$M$462)),0)</f>
        <v/>
      </c>
      <c r="AE94" s="6">
        <f t="array" ref="AE94">IFERROR((N94-AVERAGEIF($G$2:$G$462,G94,$N$2:$N$462))/_xlfn.STDEV.P(IF($G$2:$G$462=G94,$N$2:$N$462)),0)</f>
        <v/>
      </c>
      <c r="AF94" s="6">
        <f t="array" ref="AF94">IFERROR((O94-AVERAGEIF($G$2:$G$462,G94,$O$2:$O$462))/_xlfn.STDEV.P(IF($G$2:$G$462=G94,$O$2:$O$462)),0)</f>
        <v/>
      </c>
      <c r="AG94" s="6">
        <f t="array" ref="AG94">IFERROR((P94-AVERAGEIF($G$2:$G$462,G94,$P$2:$P$462))/_xlfn.STDEV.P(IF($G$2:$G$462=G94,$P$2:$P$462)),0)</f>
        <v/>
      </c>
      <c r="AH94" s="6">
        <f t="array" ref="AH94">IFERROR((R94-AVERAGEIF($G$2:$G$462,G94,$R$2:$R$462))/_xlfn.STDEV.P(IF($G$2:$G$462=G94,$R$2:$R$462)),0)</f>
        <v/>
      </c>
      <c r="AI94" s="6">
        <f>IFERROR((AC94+AD94+AE94+AF94+AG94+AH94)/6,0)</f>
        <v/>
      </c>
    </row>
    <row r="95">
      <c r="A95" s="2">
        <f>IF(BD_Carga!A96&lt;&gt;"",BD_Carga!A96,"")</f>
        <v/>
      </c>
      <c r="B95">
        <f>IF(A95&lt;&gt;"",YEAR(A95),"")</f>
        <v/>
      </c>
      <c r="C95">
        <f>IF(A95&lt;&gt;"",MONTH(A95),"")</f>
        <v/>
      </c>
      <c r="D95">
        <f>IF(A95&lt;&gt;"",_xlfn.ISOWEEKNUM(A95),"")</f>
        <v/>
      </c>
      <c r="E95">
        <f>IF(A95&lt;&gt;"",TEXT(A95,"dddd"),"")</f>
        <v/>
      </c>
      <c r="F95">
        <f>IF(BD_Carga!C96&lt;&gt;"",BD_Carga!C96,"")</f>
        <v/>
      </c>
      <c r="G95">
        <f>IF(BD_Carga!D96&lt;&gt;"",BD_Carga!D96,"")</f>
        <v/>
      </c>
      <c r="H95">
        <f>IF(BD_Carga!Q96&lt;&gt;"",BD_Carga!Q96,"")</f>
        <v/>
      </c>
      <c r="I95">
        <f>IF(BD_Carga!R96&lt;&gt;"",BD_Carga!R96,"")</f>
        <v/>
      </c>
      <c r="J95">
        <f>IF(BD_Carga!S96&lt;&gt;"",BD_Carga!S96,"")</f>
        <v/>
      </c>
      <c r="K95" s="4">
        <f>IF(BD_Carga!E96&lt;&gt;"",BD_Carga!E96,0)</f>
        <v/>
      </c>
      <c r="L95" s="4">
        <f>IF(BD_Carga!F96&lt;&gt;"",BD_Carga!F96,0)</f>
        <v/>
      </c>
      <c r="M95" s="4">
        <f>IF(BD_Carga!G96&lt;&gt;"",BD_Carga!G96,0)</f>
        <v/>
      </c>
      <c r="N95" s="4">
        <f>IF(BD_Carga!H96&lt;&gt;"",BD_Carga!H96,0)</f>
        <v/>
      </c>
      <c r="O95" s="4">
        <f>IF(BD_Carga!I96&lt;&gt;"",BD_Carga!I96,0)</f>
        <v/>
      </c>
      <c r="P95" s="4">
        <f>IF(BD_Carga!J96&lt;&gt;"",BD_Carga!J96,0)</f>
        <v/>
      </c>
      <c r="Q95" s="5">
        <f>IF(BD_Carga!K96&lt;&gt;"",BD_Carga!K96,0)</f>
        <v/>
      </c>
      <c r="R95" s="5">
        <f>IF(BD_Carga!L96&lt;&gt;"",BD_Carga!L96,0)</f>
        <v/>
      </c>
      <c r="S95">
        <f>IF(BD_Carga!N96&lt;&gt;"",BD_Carga!N96,0)</f>
        <v/>
      </c>
      <c r="T95">
        <f>IF(BD_Carga!O96&lt;&gt;"",BD_Carga!O96,0)</f>
        <v/>
      </c>
      <c r="U95">
        <f>IF(BD_Carga!P96&lt;&gt;"",BD_Carga!P96,0)</f>
        <v/>
      </c>
      <c r="V95">
        <f>IF(BD_Carga!U96&lt;&gt;"",BD_Carga!U96,0)</f>
        <v/>
      </c>
      <c r="W95">
        <f>IF(BD_Carga!T96&lt;&gt;"",BD_Carga!T96,0)</f>
        <v/>
      </c>
      <c r="X95">
        <f>IF(BD_Carga!W96&lt;&gt;"",BD_Carga!W96,0)</f>
        <v/>
      </c>
      <c r="Y95">
        <f>IF(BD_Carga!X96&lt;&gt;"",BD_Carga!X96,0)</f>
        <v/>
      </c>
      <c r="Z95">
        <f>IF(BD_Carga!Y96&lt;&gt;"",BD_Carga!Y96,0)</f>
        <v/>
      </c>
      <c r="AA95">
        <f>IF(BD_Carga!Z96&lt;&gt;"",BD_Carga!Z96,0)</f>
        <v/>
      </c>
      <c r="AB95">
        <f>IF(BD_Carga!AA96&lt;&gt;"",BD_Carga!AA96,0)</f>
        <v/>
      </c>
      <c r="AC95" s="6">
        <f t="array" ref="AC95">IFERROR((L95-AVERAGEIF($G$2:$G$462,G95,$L$2:$L$462))/_xlfn.STDEV.P(IF($G$2:$G$462=G95,$L$2:$L$462)),0)</f>
        <v/>
      </c>
      <c r="AD95" s="6">
        <f t="array" ref="AD95">IFERROR((M95-AVERAGEIF($G$2:$G$462,G95,$M$2:$M$462))/_xlfn.STDEV.P(IF($G$2:$G$462=G95,$M$2:$M$462)),0)</f>
        <v/>
      </c>
      <c r="AE95" s="6">
        <f t="array" ref="AE95">IFERROR((N95-AVERAGEIF($G$2:$G$462,G95,$N$2:$N$462))/_xlfn.STDEV.P(IF($G$2:$G$462=G95,$N$2:$N$462)),0)</f>
        <v/>
      </c>
      <c r="AF95" s="6">
        <f t="array" ref="AF95">IFERROR((O95-AVERAGEIF($G$2:$G$462,G95,$O$2:$O$462))/_xlfn.STDEV.P(IF($G$2:$G$462=G95,$O$2:$O$462)),0)</f>
        <v/>
      </c>
      <c r="AG95" s="6">
        <f t="array" ref="AG95">IFERROR((P95-AVERAGEIF($G$2:$G$462,G95,$P$2:$P$462))/_xlfn.STDEV.P(IF($G$2:$G$462=G95,$P$2:$P$462)),0)</f>
        <v/>
      </c>
      <c r="AH95" s="6">
        <f t="array" ref="AH95">IFERROR((R95-AVERAGEIF($G$2:$G$462,G95,$R$2:$R$462))/_xlfn.STDEV.P(IF($G$2:$G$462=G95,$R$2:$R$462)),0)</f>
        <v/>
      </c>
      <c r="AI95" s="6">
        <f>IFERROR((AC95+AD95+AE95+AF95+AG95+AH95)/6,0)</f>
        <v/>
      </c>
    </row>
    <row r="96">
      <c r="A96" s="2">
        <f>IF(BD_Carga!A97&lt;&gt;"",BD_Carga!A97,"")</f>
        <v/>
      </c>
      <c r="B96">
        <f>IF(A96&lt;&gt;"",YEAR(A96),"")</f>
        <v/>
      </c>
      <c r="C96">
        <f>IF(A96&lt;&gt;"",MONTH(A96),"")</f>
        <v/>
      </c>
      <c r="D96">
        <f>IF(A96&lt;&gt;"",_xlfn.ISOWEEKNUM(A96),"")</f>
        <v/>
      </c>
      <c r="E96">
        <f>IF(A96&lt;&gt;"",TEXT(A96,"dddd"),"")</f>
        <v/>
      </c>
      <c r="F96">
        <f>IF(BD_Carga!C97&lt;&gt;"",BD_Carga!C97,"")</f>
        <v/>
      </c>
      <c r="G96">
        <f>IF(BD_Carga!D97&lt;&gt;"",BD_Carga!D97,"")</f>
        <v/>
      </c>
      <c r="H96">
        <f>IF(BD_Carga!Q97&lt;&gt;"",BD_Carga!Q97,"")</f>
        <v/>
      </c>
      <c r="I96">
        <f>IF(BD_Carga!R97&lt;&gt;"",BD_Carga!R97,"")</f>
        <v/>
      </c>
      <c r="J96">
        <f>IF(BD_Carga!S97&lt;&gt;"",BD_Carga!S97,"")</f>
        <v/>
      </c>
      <c r="K96" s="4">
        <f>IF(BD_Carga!E97&lt;&gt;"",BD_Carga!E97,0)</f>
        <v/>
      </c>
      <c r="L96" s="4">
        <f>IF(BD_Carga!F97&lt;&gt;"",BD_Carga!F97,0)</f>
        <v/>
      </c>
      <c r="M96" s="4">
        <f>IF(BD_Carga!G97&lt;&gt;"",BD_Carga!G97,0)</f>
        <v/>
      </c>
      <c r="N96" s="4">
        <f>IF(BD_Carga!H97&lt;&gt;"",BD_Carga!H97,0)</f>
        <v/>
      </c>
      <c r="O96" s="4">
        <f>IF(BD_Carga!I97&lt;&gt;"",BD_Carga!I97,0)</f>
        <v/>
      </c>
      <c r="P96" s="4">
        <f>IF(BD_Carga!J97&lt;&gt;"",BD_Carga!J97,0)</f>
        <v/>
      </c>
      <c r="Q96" s="5">
        <f>IF(BD_Carga!K97&lt;&gt;"",BD_Carga!K97,0)</f>
        <v/>
      </c>
      <c r="R96" s="5">
        <f>IF(BD_Carga!L97&lt;&gt;"",BD_Carga!L97,0)</f>
        <v/>
      </c>
      <c r="S96">
        <f>IF(BD_Carga!N97&lt;&gt;"",BD_Carga!N97,0)</f>
        <v/>
      </c>
      <c r="T96">
        <f>IF(BD_Carga!O97&lt;&gt;"",BD_Carga!O97,0)</f>
        <v/>
      </c>
      <c r="U96">
        <f>IF(BD_Carga!P97&lt;&gt;"",BD_Carga!P97,0)</f>
        <v/>
      </c>
      <c r="V96">
        <f>IF(BD_Carga!U97&lt;&gt;"",BD_Carga!U97,0)</f>
        <v/>
      </c>
      <c r="W96">
        <f>IF(BD_Carga!T97&lt;&gt;"",BD_Carga!T97,0)</f>
        <v/>
      </c>
      <c r="X96">
        <f>IF(BD_Carga!W97&lt;&gt;"",BD_Carga!W97,0)</f>
        <v/>
      </c>
      <c r="Y96">
        <f>IF(BD_Carga!X97&lt;&gt;"",BD_Carga!X97,0)</f>
        <v/>
      </c>
      <c r="Z96">
        <f>IF(BD_Carga!Y97&lt;&gt;"",BD_Carga!Y97,0)</f>
        <v/>
      </c>
      <c r="AA96">
        <f>IF(BD_Carga!Z97&lt;&gt;"",BD_Carga!Z97,0)</f>
        <v/>
      </c>
      <c r="AB96">
        <f>IF(BD_Carga!AA97&lt;&gt;"",BD_Carga!AA97,0)</f>
        <v/>
      </c>
      <c r="AC96" s="6">
        <f t="array" ref="AC96">IFERROR((L96-AVERAGEIF($G$2:$G$462,G96,$L$2:$L$462))/_xlfn.STDEV.P(IF($G$2:$G$462=G96,$L$2:$L$462)),0)</f>
        <v/>
      </c>
      <c r="AD96" s="6">
        <f t="array" ref="AD96">IFERROR((M96-AVERAGEIF($G$2:$G$462,G96,$M$2:$M$462))/_xlfn.STDEV.P(IF($G$2:$G$462=G96,$M$2:$M$462)),0)</f>
        <v/>
      </c>
      <c r="AE96" s="6">
        <f t="array" ref="AE96">IFERROR((N96-AVERAGEIF($G$2:$G$462,G96,$N$2:$N$462))/_xlfn.STDEV.P(IF($G$2:$G$462=G96,$N$2:$N$462)),0)</f>
        <v/>
      </c>
      <c r="AF96" s="6">
        <f t="array" ref="AF96">IFERROR((O96-AVERAGEIF($G$2:$G$462,G96,$O$2:$O$462))/_xlfn.STDEV.P(IF($G$2:$G$462=G96,$O$2:$O$462)),0)</f>
        <v/>
      </c>
      <c r="AG96" s="6">
        <f t="array" ref="AG96">IFERROR((P96-AVERAGEIF($G$2:$G$462,G96,$P$2:$P$462))/_xlfn.STDEV.P(IF($G$2:$G$462=G96,$P$2:$P$462)),0)</f>
        <v/>
      </c>
      <c r="AH96" s="6">
        <f t="array" ref="AH96">IFERROR((R96-AVERAGEIF($G$2:$G$462,G96,$R$2:$R$462))/_xlfn.STDEV.P(IF($G$2:$G$462=G96,$R$2:$R$462)),0)</f>
        <v/>
      </c>
      <c r="AI96" s="6">
        <f>IFERROR((AC96+AD96+AE96+AF96+AG96+AH96)/6,0)</f>
        <v/>
      </c>
    </row>
    <row r="97">
      <c r="A97" s="2">
        <f>IF(BD_Carga!A98&lt;&gt;"",BD_Carga!A98,"")</f>
        <v/>
      </c>
      <c r="B97">
        <f>IF(A97&lt;&gt;"",YEAR(A97),"")</f>
        <v/>
      </c>
      <c r="C97">
        <f>IF(A97&lt;&gt;"",MONTH(A97),"")</f>
        <v/>
      </c>
      <c r="D97">
        <f>IF(A97&lt;&gt;"",_xlfn.ISOWEEKNUM(A97),"")</f>
        <v/>
      </c>
      <c r="E97">
        <f>IF(A97&lt;&gt;"",TEXT(A97,"dddd"),"")</f>
        <v/>
      </c>
      <c r="F97">
        <f>IF(BD_Carga!C98&lt;&gt;"",BD_Carga!C98,"")</f>
        <v/>
      </c>
      <c r="G97">
        <f>IF(BD_Carga!D98&lt;&gt;"",BD_Carga!D98,"")</f>
        <v/>
      </c>
      <c r="H97">
        <f>IF(BD_Carga!Q98&lt;&gt;"",BD_Carga!Q98,"")</f>
        <v/>
      </c>
      <c r="I97">
        <f>IF(BD_Carga!R98&lt;&gt;"",BD_Carga!R98,"")</f>
        <v/>
      </c>
      <c r="J97">
        <f>IF(BD_Carga!S98&lt;&gt;"",BD_Carga!S98,"")</f>
        <v/>
      </c>
      <c r="K97" s="4">
        <f>IF(BD_Carga!E98&lt;&gt;"",BD_Carga!E98,0)</f>
        <v/>
      </c>
      <c r="L97" s="4">
        <f>IF(BD_Carga!F98&lt;&gt;"",BD_Carga!F98,0)</f>
        <v/>
      </c>
      <c r="M97" s="4">
        <f>IF(BD_Carga!G98&lt;&gt;"",BD_Carga!G98,0)</f>
        <v/>
      </c>
      <c r="N97" s="4">
        <f>IF(BD_Carga!H98&lt;&gt;"",BD_Carga!H98,0)</f>
        <v/>
      </c>
      <c r="O97" s="4">
        <f>IF(BD_Carga!I98&lt;&gt;"",BD_Carga!I98,0)</f>
        <v/>
      </c>
      <c r="P97" s="4">
        <f>IF(BD_Carga!J98&lt;&gt;"",BD_Carga!J98,0)</f>
        <v/>
      </c>
      <c r="Q97" s="5">
        <f>IF(BD_Carga!K98&lt;&gt;"",BD_Carga!K98,0)</f>
        <v/>
      </c>
      <c r="R97" s="5">
        <f>IF(BD_Carga!L98&lt;&gt;"",BD_Carga!L98,0)</f>
        <v/>
      </c>
      <c r="S97">
        <f>IF(BD_Carga!N98&lt;&gt;"",BD_Carga!N98,0)</f>
        <v/>
      </c>
      <c r="T97">
        <f>IF(BD_Carga!O98&lt;&gt;"",BD_Carga!O98,0)</f>
        <v/>
      </c>
      <c r="U97">
        <f>IF(BD_Carga!P98&lt;&gt;"",BD_Carga!P98,0)</f>
        <v/>
      </c>
      <c r="V97">
        <f>IF(BD_Carga!U98&lt;&gt;"",BD_Carga!U98,0)</f>
        <v/>
      </c>
      <c r="W97">
        <f>IF(BD_Carga!T98&lt;&gt;"",BD_Carga!T98,0)</f>
        <v/>
      </c>
      <c r="X97">
        <f>IF(BD_Carga!W98&lt;&gt;"",BD_Carga!W98,0)</f>
        <v/>
      </c>
      <c r="Y97">
        <f>IF(BD_Carga!X98&lt;&gt;"",BD_Carga!X98,0)</f>
        <v/>
      </c>
      <c r="Z97">
        <f>IF(BD_Carga!Y98&lt;&gt;"",BD_Carga!Y98,0)</f>
        <v/>
      </c>
      <c r="AA97">
        <f>IF(BD_Carga!Z98&lt;&gt;"",BD_Carga!Z98,0)</f>
        <v/>
      </c>
      <c r="AB97">
        <f>IF(BD_Carga!AA98&lt;&gt;"",BD_Carga!AA98,0)</f>
        <v/>
      </c>
      <c r="AC97" s="6">
        <f t="array" ref="AC97">IFERROR((L97-AVERAGEIF($G$2:$G$462,G97,$L$2:$L$462))/_xlfn.STDEV.P(IF($G$2:$G$462=G97,$L$2:$L$462)),0)</f>
        <v/>
      </c>
      <c r="AD97" s="6">
        <f t="array" ref="AD97">IFERROR((M97-AVERAGEIF($G$2:$G$462,G97,$M$2:$M$462))/_xlfn.STDEV.P(IF($G$2:$G$462=G97,$M$2:$M$462)),0)</f>
        <v/>
      </c>
      <c r="AE97" s="6">
        <f t="array" ref="AE97">IFERROR((N97-AVERAGEIF($G$2:$G$462,G97,$N$2:$N$462))/_xlfn.STDEV.P(IF($G$2:$G$462=G97,$N$2:$N$462)),0)</f>
        <v/>
      </c>
      <c r="AF97" s="6">
        <f t="array" ref="AF97">IFERROR((O97-AVERAGEIF($G$2:$G$462,G97,$O$2:$O$462))/_xlfn.STDEV.P(IF($G$2:$G$462=G97,$O$2:$O$462)),0)</f>
        <v/>
      </c>
      <c r="AG97" s="6">
        <f t="array" ref="AG97">IFERROR((P97-AVERAGEIF($G$2:$G$462,G97,$P$2:$P$462))/_xlfn.STDEV.P(IF($G$2:$G$462=G97,$P$2:$P$462)),0)</f>
        <v/>
      </c>
      <c r="AH97" s="6">
        <f t="array" ref="AH97">IFERROR((R97-AVERAGEIF($G$2:$G$462,G97,$R$2:$R$462))/_xlfn.STDEV.P(IF($G$2:$G$462=G97,$R$2:$R$462)),0)</f>
        <v/>
      </c>
      <c r="AI97" s="6">
        <f>IFERROR((AC97+AD97+AE97+AF97+AG97+AH97)/6,0)</f>
        <v/>
      </c>
    </row>
    <row r="98">
      <c r="A98" s="2">
        <f>IF(BD_Carga!A99&lt;&gt;"",BD_Carga!A99,"")</f>
        <v/>
      </c>
      <c r="B98">
        <f>IF(A98&lt;&gt;"",YEAR(A98),"")</f>
        <v/>
      </c>
      <c r="C98">
        <f>IF(A98&lt;&gt;"",MONTH(A98),"")</f>
        <v/>
      </c>
      <c r="D98">
        <f>IF(A98&lt;&gt;"",_xlfn.ISOWEEKNUM(A98),"")</f>
        <v/>
      </c>
      <c r="E98">
        <f>IF(A98&lt;&gt;"",TEXT(A98,"dddd"),"")</f>
        <v/>
      </c>
      <c r="F98">
        <f>IF(BD_Carga!C99&lt;&gt;"",BD_Carga!C99,"")</f>
        <v/>
      </c>
      <c r="G98">
        <f>IF(BD_Carga!D99&lt;&gt;"",BD_Carga!D99,"")</f>
        <v/>
      </c>
      <c r="H98">
        <f>IF(BD_Carga!Q99&lt;&gt;"",BD_Carga!Q99,"")</f>
        <v/>
      </c>
      <c r="I98">
        <f>IF(BD_Carga!R99&lt;&gt;"",BD_Carga!R99,"")</f>
        <v/>
      </c>
      <c r="J98">
        <f>IF(BD_Carga!S99&lt;&gt;"",BD_Carga!S99,"")</f>
        <v/>
      </c>
      <c r="K98" s="4">
        <f>IF(BD_Carga!E99&lt;&gt;"",BD_Carga!E99,0)</f>
        <v/>
      </c>
      <c r="L98" s="4">
        <f>IF(BD_Carga!F99&lt;&gt;"",BD_Carga!F99,0)</f>
        <v/>
      </c>
      <c r="M98" s="4">
        <f>IF(BD_Carga!G99&lt;&gt;"",BD_Carga!G99,0)</f>
        <v/>
      </c>
      <c r="N98" s="4">
        <f>IF(BD_Carga!H99&lt;&gt;"",BD_Carga!H99,0)</f>
        <v/>
      </c>
      <c r="O98" s="4">
        <f>IF(BD_Carga!I99&lt;&gt;"",BD_Carga!I99,0)</f>
        <v/>
      </c>
      <c r="P98" s="4">
        <f>IF(BD_Carga!J99&lt;&gt;"",BD_Carga!J99,0)</f>
        <v/>
      </c>
      <c r="Q98" s="5">
        <f>IF(BD_Carga!K99&lt;&gt;"",BD_Carga!K99,0)</f>
        <v/>
      </c>
      <c r="R98" s="5">
        <f>IF(BD_Carga!L99&lt;&gt;"",BD_Carga!L99,0)</f>
        <v/>
      </c>
      <c r="S98">
        <f>IF(BD_Carga!N99&lt;&gt;"",BD_Carga!N99,0)</f>
        <v/>
      </c>
      <c r="T98">
        <f>IF(BD_Carga!O99&lt;&gt;"",BD_Carga!O99,0)</f>
        <v/>
      </c>
      <c r="U98">
        <f>IF(BD_Carga!P99&lt;&gt;"",BD_Carga!P99,0)</f>
        <v/>
      </c>
      <c r="V98">
        <f>IF(BD_Carga!U99&lt;&gt;"",BD_Carga!U99,0)</f>
        <v/>
      </c>
      <c r="W98">
        <f>IF(BD_Carga!T99&lt;&gt;"",BD_Carga!T99,0)</f>
        <v/>
      </c>
      <c r="X98">
        <f>IF(BD_Carga!W99&lt;&gt;"",BD_Carga!W99,0)</f>
        <v/>
      </c>
      <c r="Y98">
        <f>IF(BD_Carga!X99&lt;&gt;"",BD_Carga!X99,0)</f>
        <v/>
      </c>
      <c r="Z98">
        <f>IF(BD_Carga!Y99&lt;&gt;"",BD_Carga!Y99,0)</f>
        <v/>
      </c>
      <c r="AA98">
        <f>IF(BD_Carga!Z99&lt;&gt;"",BD_Carga!Z99,0)</f>
        <v/>
      </c>
      <c r="AB98">
        <f>IF(BD_Carga!AA99&lt;&gt;"",BD_Carga!AA99,0)</f>
        <v/>
      </c>
      <c r="AC98" s="6">
        <f t="array" ref="AC98">IFERROR((L98-AVERAGEIF($G$2:$G$462,G98,$L$2:$L$462))/_xlfn.STDEV.P(IF($G$2:$G$462=G98,$L$2:$L$462)),0)</f>
        <v/>
      </c>
      <c r="AD98" s="6">
        <f t="array" ref="AD98">IFERROR((M98-AVERAGEIF($G$2:$G$462,G98,$M$2:$M$462))/_xlfn.STDEV.P(IF($G$2:$G$462=G98,$M$2:$M$462)),0)</f>
        <v/>
      </c>
      <c r="AE98" s="6">
        <f t="array" ref="AE98">IFERROR((N98-AVERAGEIF($G$2:$G$462,G98,$N$2:$N$462))/_xlfn.STDEV.P(IF($G$2:$G$462=G98,$N$2:$N$462)),0)</f>
        <v/>
      </c>
      <c r="AF98" s="6">
        <f t="array" ref="AF98">IFERROR((O98-AVERAGEIF($G$2:$G$462,G98,$O$2:$O$462))/_xlfn.STDEV.P(IF($G$2:$G$462=G98,$O$2:$O$462)),0)</f>
        <v/>
      </c>
      <c r="AG98" s="6">
        <f t="array" ref="AG98">IFERROR((P98-AVERAGEIF($G$2:$G$462,G98,$P$2:$P$462))/_xlfn.STDEV.P(IF($G$2:$G$462=G98,$P$2:$P$462)),0)</f>
        <v/>
      </c>
      <c r="AH98" s="6">
        <f t="array" ref="AH98">IFERROR((R98-AVERAGEIF($G$2:$G$462,G98,$R$2:$R$462))/_xlfn.STDEV.P(IF($G$2:$G$462=G98,$R$2:$R$462)),0)</f>
        <v/>
      </c>
      <c r="AI98" s="6">
        <f>IFERROR((AC98+AD98+AE98+AF98+AG98+AH98)/6,0)</f>
        <v/>
      </c>
    </row>
    <row r="99">
      <c r="A99" s="2">
        <f>IF(BD_Carga!A100&lt;&gt;"",BD_Carga!A100,"")</f>
        <v/>
      </c>
      <c r="B99">
        <f>IF(A99&lt;&gt;"",YEAR(A99),"")</f>
        <v/>
      </c>
      <c r="C99">
        <f>IF(A99&lt;&gt;"",MONTH(A99),"")</f>
        <v/>
      </c>
      <c r="D99">
        <f>IF(A99&lt;&gt;"",_xlfn.ISOWEEKNUM(A99),"")</f>
        <v/>
      </c>
      <c r="E99">
        <f>IF(A99&lt;&gt;"",TEXT(A99,"dddd"),"")</f>
        <v/>
      </c>
      <c r="F99">
        <f>IF(BD_Carga!C100&lt;&gt;"",BD_Carga!C100,"")</f>
        <v/>
      </c>
      <c r="G99">
        <f>IF(BD_Carga!D100&lt;&gt;"",BD_Carga!D100,"")</f>
        <v/>
      </c>
      <c r="H99">
        <f>IF(BD_Carga!Q100&lt;&gt;"",BD_Carga!Q100,"")</f>
        <v/>
      </c>
      <c r="I99">
        <f>IF(BD_Carga!R100&lt;&gt;"",BD_Carga!R100,"")</f>
        <v/>
      </c>
      <c r="J99">
        <f>IF(BD_Carga!S100&lt;&gt;"",BD_Carga!S100,"")</f>
        <v/>
      </c>
      <c r="K99" s="4">
        <f>IF(BD_Carga!E100&lt;&gt;"",BD_Carga!E100,0)</f>
        <v/>
      </c>
      <c r="L99" s="4">
        <f>IF(BD_Carga!F100&lt;&gt;"",BD_Carga!F100,0)</f>
        <v/>
      </c>
      <c r="M99" s="4">
        <f>IF(BD_Carga!G100&lt;&gt;"",BD_Carga!G100,0)</f>
        <v/>
      </c>
      <c r="N99" s="4">
        <f>IF(BD_Carga!H100&lt;&gt;"",BD_Carga!H100,0)</f>
        <v/>
      </c>
      <c r="O99" s="4">
        <f>IF(BD_Carga!I100&lt;&gt;"",BD_Carga!I100,0)</f>
        <v/>
      </c>
      <c r="P99" s="4">
        <f>IF(BD_Carga!J100&lt;&gt;"",BD_Carga!J100,0)</f>
        <v/>
      </c>
      <c r="Q99" s="5">
        <f>IF(BD_Carga!K100&lt;&gt;"",BD_Carga!K100,0)</f>
        <v/>
      </c>
      <c r="R99" s="5">
        <f>IF(BD_Carga!L100&lt;&gt;"",BD_Carga!L100,0)</f>
        <v/>
      </c>
      <c r="S99">
        <f>IF(BD_Carga!N100&lt;&gt;"",BD_Carga!N100,0)</f>
        <v/>
      </c>
      <c r="T99">
        <f>IF(BD_Carga!O100&lt;&gt;"",BD_Carga!O100,0)</f>
        <v/>
      </c>
      <c r="U99">
        <f>IF(BD_Carga!P100&lt;&gt;"",BD_Carga!P100,0)</f>
        <v/>
      </c>
      <c r="V99">
        <f>IF(BD_Carga!U100&lt;&gt;"",BD_Carga!U100,0)</f>
        <v/>
      </c>
      <c r="W99">
        <f>IF(BD_Carga!T100&lt;&gt;"",BD_Carga!T100,0)</f>
        <v/>
      </c>
      <c r="X99">
        <f>IF(BD_Carga!W100&lt;&gt;"",BD_Carga!W100,0)</f>
        <v/>
      </c>
      <c r="Y99">
        <f>IF(BD_Carga!X100&lt;&gt;"",BD_Carga!X100,0)</f>
        <v/>
      </c>
      <c r="Z99">
        <f>IF(BD_Carga!Y100&lt;&gt;"",BD_Carga!Y100,0)</f>
        <v/>
      </c>
      <c r="AA99">
        <f>IF(BD_Carga!Z100&lt;&gt;"",BD_Carga!Z100,0)</f>
        <v/>
      </c>
      <c r="AB99">
        <f>IF(BD_Carga!AA100&lt;&gt;"",BD_Carga!AA100,0)</f>
        <v/>
      </c>
      <c r="AC99" s="6">
        <f t="array" ref="AC99">IFERROR((L99-AVERAGEIF($G$2:$G$462,G99,$L$2:$L$462))/_xlfn.STDEV.P(IF($G$2:$G$462=G99,$L$2:$L$462)),0)</f>
        <v/>
      </c>
      <c r="AD99" s="6">
        <f t="array" ref="AD99">IFERROR((M99-AVERAGEIF($G$2:$G$462,G99,$M$2:$M$462))/_xlfn.STDEV.P(IF($G$2:$G$462=G99,$M$2:$M$462)),0)</f>
        <v/>
      </c>
      <c r="AE99" s="6">
        <f t="array" ref="AE99">IFERROR((N99-AVERAGEIF($G$2:$G$462,G99,$N$2:$N$462))/_xlfn.STDEV.P(IF($G$2:$G$462=G99,$N$2:$N$462)),0)</f>
        <v/>
      </c>
      <c r="AF99" s="6">
        <f t="array" ref="AF99">IFERROR((O99-AVERAGEIF($G$2:$G$462,G99,$O$2:$O$462))/_xlfn.STDEV.P(IF($G$2:$G$462=G99,$O$2:$O$462)),0)</f>
        <v/>
      </c>
      <c r="AG99" s="6">
        <f t="array" ref="AG99">IFERROR((P99-AVERAGEIF($G$2:$G$462,G99,$P$2:$P$462))/_xlfn.STDEV.P(IF($G$2:$G$462=G99,$P$2:$P$462)),0)</f>
        <v/>
      </c>
      <c r="AH99" s="6">
        <f t="array" ref="AH99">IFERROR((R99-AVERAGEIF($G$2:$G$462,G99,$R$2:$R$462))/_xlfn.STDEV.P(IF($G$2:$G$462=G99,$R$2:$R$462)),0)</f>
        <v/>
      </c>
      <c r="AI99" s="6">
        <f>IFERROR((AC99+AD99+AE99+AF99+AG99+AH99)/6,0)</f>
        <v/>
      </c>
    </row>
    <row r="100">
      <c r="A100" s="2">
        <f>IF(BD_Carga!A101&lt;&gt;"",BD_Carga!A101,"")</f>
        <v/>
      </c>
      <c r="B100">
        <f>IF(A100&lt;&gt;"",YEAR(A100),"")</f>
        <v/>
      </c>
      <c r="C100">
        <f>IF(A100&lt;&gt;"",MONTH(A100),"")</f>
        <v/>
      </c>
      <c r="D100">
        <f>IF(A100&lt;&gt;"",_xlfn.ISOWEEKNUM(A100),"")</f>
        <v/>
      </c>
      <c r="E100">
        <f>IF(A100&lt;&gt;"",TEXT(A100,"dddd"),"")</f>
        <v/>
      </c>
      <c r="F100">
        <f>IF(BD_Carga!C101&lt;&gt;"",BD_Carga!C101,"")</f>
        <v/>
      </c>
      <c r="G100">
        <f>IF(BD_Carga!D101&lt;&gt;"",BD_Carga!D101,"")</f>
        <v/>
      </c>
      <c r="H100">
        <f>IF(BD_Carga!Q101&lt;&gt;"",BD_Carga!Q101,"")</f>
        <v/>
      </c>
      <c r="I100">
        <f>IF(BD_Carga!R101&lt;&gt;"",BD_Carga!R101,"")</f>
        <v/>
      </c>
      <c r="J100">
        <f>IF(BD_Carga!S101&lt;&gt;"",BD_Carga!S101,"")</f>
        <v/>
      </c>
      <c r="K100" s="4">
        <f>IF(BD_Carga!E101&lt;&gt;"",BD_Carga!E101,0)</f>
        <v/>
      </c>
      <c r="L100" s="4">
        <f>IF(BD_Carga!F101&lt;&gt;"",BD_Carga!F101,0)</f>
        <v/>
      </c>
      <c r="M100" s="4">
        <f>IF(BD_Carga!G101&lt;&gt;"",BD_Carga!G101,0)</f>
        <v/>
      </c>
      <c r="N100" s="4">
        <f>IF(BD_Carga!H101&lt;&gt;"",BD_Carga!H101,0)</f>
        <v/>
      </c>
      <c r="O100" s="4">
        <f>IF(BD_Carga!I101&lt;&gt;"",BD_Carga!I101,0)</f>
        <v/>
      </c>
      <c r="P100" s="4">
        <f>IF(BD_Carga!J101&lt;&gt;"",BD_Carga!J101,0)</f>
        <v/>
      </c>
      <c r="Q100" s="5">
        <f>IF(BD_Carga!K101&lt;&gt;"",BD_Carga!K101,0)</f>
        <v/>
      </c>
      <c r="R100" s="5">
        <f>IF(BD_Carga!L101&lt;&gt;"",BD_Carga!L101,0)</f>
        <v/>
      </c>
      <c r="S100">
        <f>IF(BD_Carga!N101&lt;&gt;"",BD_Carga!N101,0)</f>
        <v/>
      </c>
      <c r="T100">
        <f>IF(BD_Carga!O101&lt;&gt;"",BD_Carga!O101,0)</f>
        <v/>
      </c>
      <c r="U100">
        <f>IF(BD_Carga!P101&lt;&gt;"",BD_Carga!P101,0)</f>
        <v/>
      </c>
      <c r="V100">
        <f>IF(BD_Carga!U101&lt;&gt;"",BD_Carga!U101,0)</f>
        <v/>
      </c>
      <c r="W100">
        <f>IF(BD_Carga!T101&lt;&gt;"",BD_Carga!T101,0)</f>
        <v/>
      </c>
      <c r="X100">
        <f>IF(BD_Carga!W101&lt;&gt;"",BD_Carga!W101,0)</f>
        <v/>
      </c>
      <c r="Y100">
        <f>IF(BD_Carga!X101&lt;&gt;"",BD_Carga!X101,0)</f>
        <v/>
      </c>
      <c r="Z100">
        <f>IF(BD_Carga!Y101&lt;&gt;"",BD_Carga!Y101,0)</f>
        <v/>
      </c>
      <c r="AA100">
        <f>IF(BD_Carga!Z101&lt;&gt;"",BD_Carga!Z101,0)</f>
        <v/>
      </c>
      <c r="AB100">
        <f>IF(BD_Carga!AA101&lt;&gt;"",BD_Carga!AA101,0)</f>
        <v/>
      </c>
      <c r="AC100" s="6">
        <f t="array" ref="AC100">IFERROR((L100-AVERAGEIF($G$2:$G$462,G100,$L$2:$L$462))/_xlfn.STDEV.P(IF($G$2:$G$462=G100,$L$2:$L$462)),0)</f>
        <v/>
      </c>
      <c r="AD100" s="6">
        <f t="array" ref="AD100">IFERROR((M100-AVERAGEIF($G$2:$G$462,G100,$M$2:$M$462))/_xlfn.STDEV.P(IF($G$2:$G$462=G100,$M$2:$M$462)),0)</f>
        <v/>
      </c>
      <c r="AE100" s="6">
        <f t="array" ref="AE100">IFERROR((N100-AVERAGEIF($G$2:$G$462,G100,$N$2:$N$462))/_xlfn.STDEV.P(IF($G$2:$G$462=G100,$N$2:$N$462)),0)</f>
        <v/>
      </c>
      <c r="AF100" s="6">
        <f t="array" ref="AF100">IFERROR((O100-AVERAGEIF($G$2:$G$462,G100,$O$2:$O$462))/_xlfn.STDEV.P(IF($G$2:$G$462=G100,$O$2:$O$462)),0)</f>
        <v/>
      </c>
      <c r="AG100" s="6">
        <f t="array" ref="AG100">IFERROR((P100-AVERAGEIF($G$2:$G$462,G100,$P$2:$P$462))/_xlfn.STDEV.P(IF($G$2:$G$462=G100,$P$2:$P$462)),0)</f>
        <v/>
      </c>
      <c r="AH100" s="6">
        <f t="array" ref="AH100">IFERROR((R100-AVERAGEIF($G$2:$G$462,G100,$R$2:$R$462))/_xlfn.STDEV.P(IF($G$2:$G$462=G100,$R$2:$R$462)),0)</f>
        <v/>
      </c>
      <c r="AI100" s="6">
        <f>IFERROR((AC100+AD100+AE100+AF100+AG100+AH100)/6,0)</f>
        <v/>
      </c>
    </row>
    <row r="101">
      <c r="A101" s="2">
        <f>IF(BD_Carga!A102&lt;&gt;"",BD_Carga!A102,"")</f>
        <v/>
      </c>
      <c r="B101">
        <f>IF(A101&lt;&gt;"",YEAR(A101),"")</f>
        <v/>
      </c>
      <c r="C101">
        <f>IF(A101&lt;&gt;"",MONTH(A101),"")</f>
        <v/>
      </c>
      <c r="D101">
        <f>IF(A101&lt;&gt;"",_xlfn.ISOWEEKNUM(A101),"")</f>
        <v/>
      </c>
      <c r="E101">
        <f>IF(A101&lt;&gt;"",TEXT(A101,"dddd"),"")</f>
        <v/>
      </c>
      <c r="F101">
        <f>IF(BD_Carga!C102&lt;&gt;"",BD_Carga!C102,"")</f>
        <v/>
      </c>
      <c r="G101">
        <f>IF(BD_Carga!D102&lt;&gt;"",BD_Carga!D102,"")</f>
        <v/>
      </c>
      <c r="H101">
        <f>IF(BD_Carga!Q102&lt;&gt;"",BD_Carga!Q102,"")</f>
        <v/>
      </c>
      <c r="I101">
        <f>IF(BD_Carga!R102&lt;&gt;"",BD_Carga!R102,"")</f>
        <v/>
      </c>
      <c r="J101">
        <f>IF(BD_Carga!S102&lt;&gt;"",BD_Carga!S102,"")</f>
        <v/>
      </c>
      <c r="K101" s="4">
        <f>IF(BD_Carga!E102&lt;&gt;"",BD_Carga!E102,0)</f>
        <v/>
      </c>
      <c r="L101" s="4">
        <f>IF(BD_Carga!F102&lt;&gt;"",BD_Carga!F102,0)</f>
        <v/>
      </c>
      <c r="M101" s="4">
        <f>IF(BD_Carga!G102&lt;&gt;"",BD_Carga!G102,0)</f>
        <v/>
      </c>
      <c r="N101" s="4">
        <f>IF(BD_Carga!H102&lt;&gt;"",BD_Carga!H102,0)</f>
        <v/>
      </c>
      <c r="O101" s="4">
        <f>IF(BD_Carga!I102&lt;&gt;"",BD_Carga!I102,0)</f>
        <v/>
      </c>
      <c r="P101" s="4">
        <f>IF(BD_Carga!J102&lt;&gt;"",BD_Carga!J102,0)</f>
        <v/>
      </c>
      <c r="Q101" s="5">
        <f>IF(BD_Carga!K102&lt;&gt;"",BD_Carga!K102,0)</f>
        <v/>
      </c>
      <c r="R101" s="5">
        <f>IF(BD_Carga!L102&lt;&gt;"",BD_Carga!L102,0)</f>
        <v/>
      </c>
      <c r="S101">
        <f>IF(BD_Carga!N102&lt;&gt;"",BD_Carga!N102,0)</f>
        <v/>
      </c>
      <c r="T101">
        <f>IF(BD_Carga!O102&lt;&gt;"",BD_Carga!O102,0)</f>
        <v/>
      </c>
      <c r="U101">
        <f>IF(BD_Carga!P102&lt;&gt;"",BD_Carga!P102,0)</f>
        <v/>
      </c>
      <c r="V101">
        <f>IF(BD_Carga!U102&lt;&gt;"",BD_Carga!U102,0)</f>
        <v/>
      </c>
      <c r="W101">
        <f>IF(BD_Carga!T102&lt;&gt;"",BD_Carga!T102,0)</f>
        <v/>
      </c>
      <c r="X101">
        <f>IF(BD_Carga!W102&lt;&gt;"",BD_Carga!W102,0)</f>
        <v/>
      </c>
      <c r="Y101">
        <f>IF(BD_Carga!X102&lt;&gt;"",BD_Carga!X102,0)</f>
        <v/>
      </c>
      <c r="Z101">
        <f>IF(BD_Carga!Y102&lt;&gt;"",BD_Carga!Y102,0)</f>
        <v/>
      </c>
      <c r="AA101">
        <f>IF(BD_Carga!Z102&lt;&gt;"",BD_Carga!Z102,0)</f>
        <v/>
      </c>
      <c r="AB101">
        <f>IF(BD_Carga!AA102&lt;&gt;"",BD_Carga!AA102,0)</f>
        <v/>
      </c>
      <c r="AC101" s="6">
        <f t="array" ref="AC101">IFERROR((L101-AVERAGEIF($G$2:$G$462,G101,$L$2:$L$462))/_xlfn.STDEV.P(IF($G$2:$G$462=G101,$L$2:$L$462)),0)</f>
        <v/>
      </c>
      <c r="AD101" s="6">
        <f t="array" ref="AD101">IFERROR((M101-AVERAGEIF($G$2:$G$462,G101,$M$2:$M$462))/_xlfn.STDEV.P(IF($G$2:$G$462=G101,$M$2:$M$462)),0)</f>
        <v/>
      </c>
      <c r="AE101" s="6">
        <f t="array" ref="AE101">IFERROR((N101-AVERAGEIF($G$2:$G$462,G101,$N$2:$N$462))/_xlfn.STDEV.P(IF($G$2:$G$462=G101,$N$2:$N$462)),0)</f>
        <v/>
      </c>
      <c r="AF101" s="6">
        <f t="array" ref="AF101">IFERROR((O101-AVERAGEIF($G$2:$G$462,G101,$O$2:$O$462))/_xlfn.STDEV.P(IF($G$2:$G$462=G101,$O$2:$O$462)),0)</f>
        <v/>
      </c>
      <c r="AG101" s="6">
        <f t="array" ref="AG101">IFERROR((P101-AVERAGEIF($G$2:$G$462,G101,$P$2:$P$462))/_xlfn.STDEV.P(IF($G$2:$G$462=G101,$P$2:$P$462)),0)</f>
        <v/>
      </c>
      <c r="AH101" s="6">
        <f t="array" ref="AH101">IFERROR((R101-AVERAGEIF($G$2:$G$462,G101,$R$2:$R$462))/_xlfn.STDEV.P(IF($G$2:$G$462=G101,$R$2:$R$462)),0)</f>
        <v/>
      </c>
      <c r="AI101" s="6">
        <f>IFERROR((AC101+AD101+AE101+AF101+AG101+AH101)/6,0)</f>
        <v/>
      </c>
    </row>
    <row r="102">
      <c r="A102" s="2">
        <f>IF(BD_Carga!A103&lt;&gt;"",BD_Carga!A103,"")</f>
        <v/>
      </c>
      <c r="B102">
        <f>IF(A102&lt;&gt;"",YEAR(A102),"")</f>
        <v/>
      </c>
      <c r="C102">
        <f>IF(A102&lt;&gt;"",MONTH(A102),"")</f>
        <v/>
      </c>
      <c r="D102">
        <f>IF(A102&lt;&gt;"",_xlfn.ISOWEEKNUM(A102),"")</f>
        <v/>
      </c>
      <c r="E102">
        <f>IF(A102&lt;&gt;"",TEXT(A102,"dddd"),"")</f>
        <v/>
      </c>
      <c r="F102">
        <f>IF(BD_Carga!C103&lt;&gt;"",BD_Carga!C103,"")</f>
        <v/>
      </c>
      <c r="G102">
        <f>IF(BD_Carga!D103&lt;&gt;"",BD_Carga!D103,"")</f>
        <v/>
      </c>
      <c r="H102">
        <f>IF(BD_Carga!Q103&lt;&gt;"",BD_Carga!Q103,"")</f>
        <v/>
      </c>
      <c r="I102">
        <f>IF(BD_Carga!R103&lt;&gt;"",BD_Carga!R103,"")</f>
        <v/>
      </c>
      <c r="J102">
        <f>IF(BD_Carga!S103&lt;&gt;"",BD_Carga!S103,"")</f>
        <v/>
      </c>
      <c r="K102" s="4">
        <f>IF(BD_Carga!E103&lt;&gt;"",BD_Carga!E103,0)</f>
        <v/>
      </c>
      <c r="L102" s="4">
        <f>IF(BD_Carga!F103&lt;&gt;"",BD_Carga!F103,0)</f>
        <v/>
      </c>
      <c r="M102" s="4">
        <f>IF(BD_Carga!G103&lt;&gt;"",BD_Carga!G103,0)</f>
        <v/>
      </c>
      <c r="N102" s="4">
        <f>IF(BD_Carga!H103&lt;&gt;"",BD_Carga!H103,0)</f>
        <v/>
      </c>
      <c r="O102" s="4">
        <f>IF(BD_Carga!I103&lt;&gt;"",BD_Carga!I103,0)</f>
        <v/>
      </c>
      <c r="P102" s="4">
        <f>IF(BD_Carga!J103&lt;&gt;"",BD_Carga!J103,0)</f>
        <v/>
      </c>
      <c r="Q102" s="5">
        <f>IF(BD_Carga!K103&lt;&gt;"",BD_Carga!K103,0)</f>
        <v/>
      </c>
      <c r="R102" s="5">
        <f>IF(BD_Carga!L103&lt;&gt;"",BD_Carga!L103,0)</f>
        <v/>
      </c>
      <c r="S102">
        <f>IF(BD_Carga!N103&lt;&gt;"",BD_Carga!N103,0)</f>
        <v/>
      </c>
      <c r="T102">
        <f>IF(BD_Carga!O103&lt;&gt;"",BD_Carga!O103,0)</f>
        <v/>
      </c>
      <c r="U102">
        <f>IF(BD_Carga!P103&lt;&gt;"",BD_Carga!P103,0)</f>
        <v/>
      </c>
      <c r="V102">
        <f>IF(BD_Carga!U103&lt;&gt;"",BD_Carga!U103,0)</f>
        <v/>
      </c>
      <c r="W102">
        <f>IF(BD_Carga!T103&lt;&gt;"",BD_Carga!T103,0)</f>
        <v/>
      </c>
      <c r="X102">
        <f>IF(BD_Carga!W103&lt;&gt;"",BD_Carga!W103,0)</f>
        <v/>
      </c>
      <c r="Y102">
        <f>IF(BD_Carga!X103&lt;&gt;"",BD_Carga!X103,0)</f>
        <v/>
      </c>
      <c r="Z102">
        <f>IF(BD_Carga!Y103&lt;&gt;"",BD_Carga!Y103,0)</f>
        <v/>
      </c>
      <c r="AA102">
        <f>IF(BD_Carga!Z103&lt;&gt;"",BD_Carga!Z103,0)</f>
        <v/>
      </c>
      <c r="AB102">
        <f>IF(BD_Carga!AA103&lt;&gt;"",BD_Carga!AA103,0)</f>
        <v/>
      </c>
      <c r="AC102" s="6">
        <f t="array" ref="AC102">IFERROR((L102-AVERAGEIF($G$2:$G$462,G102,$L$2:$L$462))/_xlfn.STDEV.P(IF($G$2:$G$462=G102,$L$2:$L$462)),0)</f>
        <v/>
      </c>
      <c r="AD102" s="6">
        <f t="array" ref="AD102">IFERROR((M102-AVERAGEIF($G$2:$G$462,G102,$M$2:$M$462))/_xlfn.STDEV.P(IF($G$2:$G$462=G102,$M$2:$M$462)),0)</f>
        <v/>
      </c>
      <c r="AE102" s="6">
        <f t="array" ref="AE102">IFERROR((N102-AVERAGEIF($G$2:$G$462,G102,$N$2:$N$462))/_xlfn.STDEV.P(IF($G$2:$G$462=G102,$N$2:$N$462)),0)</f>
        <v/>
      </c>
      <c r="AF102" s="6">
        <f t="array" ref="AF102">IFERROR((O102-AVERAGEIF($G$2:$G$462,G102,$O$2:$O$462))/_xlfn.STDEV.P(IF($G$2:$G$462=G102,$O$2:$O$462)),0)</f>
        <v/>
      </c>
      <c r="AG102" s="6">
        <f t="array" ref="AG102">IFERROR((P102-AVERAGEIF($G$2:$G$462,G102,$P$2:$P$462))/_xlfn.STDEV.P(IF($G$2:$G$462=G102,$P$2:$P$462)),0)</f>
        <v/>
      </c>
      <c r="AH102" s="6">
        <f t="array" ref="AH102">IFERROR((R102-AVERAGEIF($G$2:$G$462,G102,$R$2:$R$462))/_xlfn.STDEV.P(IF($G$2:$G$462=G102,$R$2:$R$462)),0)</f>
        <v/>
      </c>
      <c r="AI102" s="6">
        <f>IFERROR((AC102+AD102+AE102+AF102+AG102+AH102)/6,0)</f>
        <v/>
      </c>
    </row>
    <row r="103">
      <c r="A103" s="2">
        <f>IF(BD_Carga!A104&lt;&gt;"",BD_Carga!A104,"")</f>
        <v/>
      </c>
      <c r="B103">
        <f>IF(A103&lt;&gt;"",YEAR(A103),"")</f>
        <v/>
      </c>
      <c r="C103">
        <f>IF(A103&lt;&gt;"",MONTH(A103),"")</f>
        <v/>
      </c>
      <c r="D103">
        <f>IF(A103&lt;&gt;"",_xlfn.ISOWEEKNUM(A103),"")</f>
        <v/>
      </c>
      <c r="E103">
        <f>IF(A103&lt;&gt;"",TEXT(A103,"dddd"),"")</f>
        <v/>
      </c>
      <c r="F103">
        <f>IF(BD_Carga!C104&lt;&gt;"",BD_Carga!C104,"")</f>
        <v/>
      </c>
      <c r="G103">
        <f>IF(BD_Carga!D104&lt;&gt;"",BD_Carga!D104,"")</f>
        <v/>
      </c>
      <c r="H103">
        <f>IF(BD_Carga!Q104&lt;&gt;"",BD_Carga!Q104,"")</f>
        <v/>
      </c>
      <c r="I103">
        <f>IF(BD_Carga!R104&lt;&gt;"",BD_Carga!R104,"")</f>
        <v/>
      </c>
      <c r="J103">
        <f>IF(BD_Carga!S104&lt;&gt;"",BD_Carga!S104,"")</f>
        <v/>
      </c>
      <c r="K103" s="4">
        <f>IF(BD_Carga!E104&lt;&gt;"",BD_Carga!E104,0)</f>
        <v/>
      </c>
      <c r="L103" s="4">
        <f>IF(BD_Carga!F104&lt;&gt;"",BD_Carga!F104,0)</f>
        <v/>
      </c>
      <c r="M103" s="4">
        <f>IF(BD_Carga!G104&lt;&gt;"",BD_Carga!G104,0)</f>
        <v/>
      </c>
      <c r="N103" s="4">
        <f>IF(BD_Carga!H104&lt;&gt;"",BD_Carga!H104,0)</f>
        <v/>
      </c>
      <c r="O103" s="4">
        <f>IF(BD_Carga!I104&lt;&gt;"",BD_Carga!I104,0)</f>
        <v/>
      </c>
      <c r="P103" s="4">
        <f>IF(BD_Carga!J104&lt;&gt;"",BD_Carga!J104,0)</f>
        <v/>
      </c>
      <c r="Q103" s="5">
        <f>IF(BD_Carga!K104&lt;&gt;"",BD_Carga!K104,0)</f>
        <v/>
      </c>
      <c r="R103" s="5">
        <f>IF(BD_Carga!L104&lt;&gt;"",BD_Carga!L104,0)</f>
        <v/>
      </c>
      <c r="S103">
        <f>IF(BD_Carga!N104&lt;&gt;"",BD_Carga!N104,0)</f>
        <v/>
      </c>
      <c r="T103">
        <f>IF(BD_Carga!O104&lt;&gt;"",BD_Carga!O104,0)</f>
        <v/>
      </c>
      <c r="U103">
        <f>IF(BD_Carga!P104&lt;&gt;"",BD_Carga!P104,0)</f>
        <v/>
      </c>
      <c r="V103">
        <f>IF(BD_Carga!U104&lt;&gt;"",BD_Carga!U104,0)</f>
        <v/>
      </c>
      <c r="W103">
        <f>IF(BD_Carga!T104&lt;&gt;"",BD_Carga!T104,0)</f>
        <v/>
      </c>
      <c r="X103">
        <f>IF(BD_Carga!W104&lt;&gt;"",BD_Carga!W104,0)</f>
        <v/>
      </c>
      <c r="Y103">
        <f>IF(BD_Carga!X104&lt;&gt;"",BD_Carga!X104,0)</f>
        <v/>
      </c>
      <c r="Z103">
        <f>IF(BD_Carga!Y104&lt;&gt;"",BD_Carga!Y104,0)</f>
        <v/>
      </c>
      <c r="AA103">
        <f>IF(BD_Carga!Z104&lt;&gt;"",BD_Carga!Z104,0)</f>
        <v/>
      </c>
      <c r="AB103">
        <f>IF(BD_Carga!AA104&lt;&gt;"",BD_Carga!AA104,0)</f>
        <v/>
      </c>
      <c r="AC103" s="6">
        <f t="array" ref="AC103">IFERROR((L103-AVERAGEIF($G$2:$G$462,G103,$L$2:$L$462))/_xlfn.STDEV.P(IF($G$2:$G$462=G103,$L$2:$L$462)),0)</f>
        <v/>
      </c>
      <c r="AD103" s="6">
        <f t="array" ref="AD103">IFERROR((M103-AVERAGEIF($G$2:$G$462,G103,$M$2:$M$462))/_xlfn.STDEV.P(IF($G$2:$G$462=G103,$M$2:$M$462)),0)</f>
        <v/>
      </c>
      <c r="AE103" s="6">
        <f t="array" ref="AE103">IFERROR((N103-AVERAGEIF($G$2:$G$462,G103,$N$2:$N$462))/_xlfn.STDEV.P(IF($G$2:$G$462=G103,$N$2:$N$462)),0)</f>
        <v/>
      </c>
      <c r="AF103" s="6">
        <f t="array" ref="AF103">IFERROR((O103-AVERAGEIF($G$2:$G$462,G103,$O$2:$O$462))/_xlfn.STDEV.P(IF($G$2:$G$462=G103,$O$2:$O$462)),0)</f>
        <v/>
      </c>
      <c r="AG103" s="6">
        <f t="array" ref="AG103">IFERROR((P103-AVERAGEIF($G$2:$G$462,G103,$P$2:$P$462))/_xlfn.STDEV.P(IF($G$2:$G$462=G103,$P$2:$P$462)),0)</f>
        <v/>
      </c>
      <c r="AH103" s="6">
        <f t="array" ref="AH103">IFERROR((R103-AVERAGEIF($G$2:$G$462,G103,$R$2:$R$462))/_xlfn.STDEV.P(IF($G$2:$G$462=G103,$R$2:$R$462)),0)</f>
        <v/>
      </c>
      <c r="AI103" s="6">
        <f>IFERROR((AC103+AD103+AE103+AF103+AG103+AH103)/6,0)</f>
        <v/>
      </c>
    </row>
    <row r="104">
      <c r="A104" s="2">
        <f>IF(BD_Carga!A105&lt;&gt;"",BD_Carga!A105,"")</f>
        <v/>
      </c>
      <c r="B104">
        <f>IF(A104&lt;&gt;"",YEAR(A104),"")</f>
        <v/>
      </c>
      <c r="C104">
        <f>IF(A104&lt;&gt;"",MONTH(A104),"")</f>
        <v/>
      </c>
      <c r="D104">
        <f>IF(A104&lt;&gt;"",_xlfn.ISOWEEKNUM(A104),"")</f>
        <v/>
      </c>
      <c r="E104">
        <f>IF(A104&lt;&gt;"",TEXT(A104,"dddd"),"")</f>
        <v/>
      </c>
      <c r="F104">
        <f>IF(BD_Carga!C105&lt;&gt;"",BD_Carga!C105,"")</f>
        <v/>
      </c>
      <c r="G104">
        <f>IF(BD_Carga!D105&lt;&gt;"",BD_Carga!D105,"")</f>
        <v/>
      </c>
      <c r="H104">
        <f>IF(BD_Carga!Q105&lt;&gt;"",BD_Carga!Q105,"")</f>
        <v/>
      </c>
      <c r="I104">
        <f>IF(BD_Carga!R105&lt;&gt;"",BD_Carga!R105,"")</f>
        <v/>
      </c>
      <c r="J104">
        <f>IF(BD_Carga!S105&lt;&gt;"",BD_Carga!S105,"")</f>
        <v/>
      </c>
      <c r="K104" s="4">
        <f>IF(BD_Carga!E105&lt;&gt;"",BD_Carga!E105,0)</f>
        <v/>
      </c>
      <c r="L104" s="4">
        <f>IF(BD_Carga!F105&lt;&gt;"",BD_Carga!F105,0)</f>
        <v/>
      </c>
      <c r="M104" s="4">
        <f>IF(BD_Carga!G105&lt;&gt;"",BD_Carga!G105,0)</f>
        <v/>
      </c>
      <c r="N104" s="4">
        <f>IF(BD_Carga!H105&lt;&gt;"",BD_Carga!H105,0)</f>
        <v/>
      </c>
      <c r="O104" s="4">
        <f>IF(BD_Carga!I105&lt;&gt;"",BD_Carga!I105,0)</f>
        <v/>
      </c>
      <c r="P104" s="4">
        <f>IF(BD_Carga!J105&lt;&gt;"",BD_Carga!J105,0)</f>
        <v/>
      </c>
      <c r="Q104" s="5">
        <f>IF(BD_Carga!K105&lt;&gt;"",BD_Carga!K105,0)</f>
        <v/>
      </c>
      <c r="R104" s="5">
        <f>IF(BD_Carga!L105&lt;&gt;"",BD_Carga!L105,0)</f>
        <v/>
      </c>
      <c r="S104">
        <f>IF(BD_Carga!N105&lt;&gt;"",BD_Carga!N105,0)</f>
        <v/>
      </c>
      <c r="T104">
        <f>IF(BD_Carga!O105&lt;&gt;"",BD_Carga!O105,0)</f>
        <v/>
      </c>
      <c r="U104">
        <f>IF(BD_Carga!P105&lt;&gt;"",BD_Carga!P105,0)</f>
        <v/>
      </c>
      <c r="V104">
        <f>IF(BD_Carga!U105&lt;&gt;"",BD_Carga!U105,0)</f>
        <v/>
      </c>
      <c r="W104">
        <f>IF(BD_Carga!T105&lt;&gt;"",BD_Carga!T105,0)</f>
        <v/>
      </c>
      <c r="X104">
        <f>IF(BD_Carga!W105&lt;&gt;"",BD_Carga!W105,0)</f>
        <v/>
      </c>
      <c r="Y104">
        <f>IF(BD_Carga!X105&lt;&gt;"",BD_Carga!X105,0)</f>
        <v/>
      </c>
      <c r="Z104">
        <f>IF(BD_Carga!Y105&lt;&gt;"",BD_Carga!Y105,0)</f>
        <v/>
      </c>
      <c r="AA104">
        <f>IF(BD_Carga!Z105&lt;&gt;"",BD_Carga!Z105,0)</f>
        <v/>
      </c>
      <c r="AB104">
        <f>IF(BD_Carga!AA105&lt;&gt;"",BD_Carga!AA105,0)</f>
        <v/>
      </c>
      <c r="AC104" s="6">
        <f t="array" ref="AC104">IFERROR((L104-AVERAGEIF($G$2:$G$462,G104,$L$2:$L$462))/_xlfn.STDEV.P(IF($G$2:$G$462=G104,$L$2:$L$462)),0)</f>
        <v/>
      </c>
      <c r="AD104" s="6">
        <f t="array" ref="AD104">IFERROR((M104-AVERAGEIF($G$2:$G$462,G104,$M$2:$M$462))/_xlfn.STDEV.P(IF($G$2:$G$462=G104,$M$2:$M$462)),0)</f>
        <v/>
      </c>
      <c r="AE104" s="6">
        <f t="array" ref="AE104">IFERROR((N104-AVERAGEIF($G$2:$G$462,G104,$N$2:$N$462))/_xlfn.STDEV.P(IF($G$2:$G$462=G104,$N$2:$N$462)),0)</f>
        <v/>
      </c>
      <c r="AF104" s="6">
        <f t="array" ref="AF104">IFERROR((O104-AVERAGEIF($G$2:$G$462,G104,$O$2:$O$462))/_xlfn.STDEV.P(IF($G$2:$G$462=G104,$O$2:$O$462)),0)</f>
        <v/>
      </c>
      <c r="AG104" s="6">
        <f t="array" ref="AG104">IFERROR((P104-AVERAGEIF($G$2:$G$462,G104,$P$2:$P$462))/_xlfn.STDEV.P(IF($G$2:$G$462=G104,$P$2:$P$462)),0)</f>
        <v/>
      </c>
      <c r="AH104" s="6">
        <f t="array" ref="AH104">IFERROR((R104-AVERAGEIF($G$2:$G$462,G104,$R$2:$R$462))/_xlfn.STDEV.P(IF($G$2:$G$462=G104,$R$2:$R$462)),0)</f>
        <v/>
      </c>
      <c r="AI104" s="6">
        <f>IFERROR((AC104+AD104+AE104+AF104+AG104+AH104)/6,0)</f>
        <v/>
      </c>
    </row>
    <row r="105">
      <c r="A105" s="2">
        <f>IF(BD_Carga!A106&lt;&gt;"",BD_Carga!A106,"")</f>
        <v/>
      </c>
      <c r="B105">
        <f>IF(A105&lt;&gt;"",YEAR(A105),"")</f>
        <v/>
      </c>
      <c r="C105">
        <f>IF(A105&lt;&gt;"",MONTH(A105),"")</f>
        <v/>
      </c>
      <c r="D105">
        <f>IF(A105&lt;&gt;"",_xlfn.ISOWEEKNUM(A105),"")</f>
        <v/>
      </c>
      <c r="E105">
        <f>IF(A105&lt;&gt;"",TEXT(A105,"dddd"),"")</f>
        <v/>
      </c>
      <c r="F105">
        <f>IF(BD_Carga!C106&lt;&gt;"",BD_Carga!C106,"")</f>
        <v/>
      </c>
      <c r="G105">
        <f>IF(BD_Carga!D106&lt;&gt;"",BD_Carga!D106,"")</f>
        <v/>
      </c>
      <c r="H105">
        <f>IF(BD_Carga!Q106&lt;&gt;"",BD_Carga!Q106,"")</f>
        <v/>
      </c>
      <c r="I105">
        <f>IF(BD_Carga!R106&lt;&gt;"",BD_Carga!R106,"")</f>
        <v/>
      </c>
      <c r="J105">
        <f>IF(BD_Carga!S106&lt;&gt;"",BD_Carga!S106,"")</f>
        <v/>
      </c>
      <c r="K105" s="4">
        <f>IF(BD_Carga!E106&lt;&gt;"",BD_Carga!E106,0)</f>
        <v/>
      </c>
      <c r="L105" s="4">
        <f>IF(BD_Carga!F106&lt;&gt;"",BD_Carga!F106,0)</f>
        <v/>
      </c>
      <c r="M105" s="4">
        <f>IF(BD_Carga!G106&lt;&gt;"",BD_Carga!G106,0)</f>
        <v/>
      </c>
      <c r="N105" s="4">
        <f>IF(BD_Carga!H106&lt;&gt;"",BD_Carga!H106,0)</f>
        <v/>
      </c>
      <c r="O105" s="4">
        <f>IF(BD_Carga!I106&lt;&gt;"",BD_Carga!I106,0)</f>
        <v/>
      </c>
      <c r="P105" s="4">
        <f>IF(BD_Carga!J106&lt;&gt;"",BD_Carga!J106,0)</f>
        <v/>
      </c>
      <c r="Q105" s="5">
        <f>IF(BD_Carga!K106&lt;&gt;"",BD_Carga!K106,0)</f>
        <v/>
      </c>
      <c r="R105" s="5">
        <f>IF(BD_Carga!L106&lt;&gt;"",BD_Carga!L106,0)</f>
        <v/>
      </c>
      <c r="S105">
        <f>IF(BD_Carga!N106&lt;&gt;"",BD_Carga!N106,0)</f>
        <v/>
      </c>
      <c r="T105">
        <f>IF(BD_Carga!O106&lt;&gt;"",BD_Carga!O106,0)</f>
        <v/>
      </c>
      <c r="U105">
        <f>IF(BD_Carga!P106&lt;&gt;"",BD_Carga!P106,0)</f>
        <v/>
      </c>
      <c r="V105">
        <f>IF(BD_Carga!U106&lt;&gt;"",BD_Carga!U106,0)</f>
        <v/>
      </c>
      <c r="W105">
        <f>IF(BD_Carga!T106&lt;&gt;"",BD_Carga!T106,0)</f>
        <v/>
      </c>
      <c r="X105">
        <f>IF(BD_Carga!W106&lt;&gt;"",BD_Carga!W106,0)</f>
        <v/>
      </c>
      <c r="Y105">
        <f>IF(BD_Carga!X106&lt;&gt;"",BD_Carga!X106,0)</f>
        <v/>
      </c>
      <c r="Z105">
        <f>IF(BD_Carga!Y106&lt;&gt;"",BD_Carga!Y106,0)</f>
        <v/>
      </c>
      <c r="AA105">
        <f>IF(BD_Carga!Z106&lt;&gt;"",BD_Carga!Z106,0)</f>
        <v/>
      </c>
      <c r="AB105">
        <f>IF(BD_Carga!AA106&lt;&gt;"",BD_Carga!AA106,0)</f>
        <v/>
      </c>
      <c r="AC105" s="6">
        <f t="array" ref="AC105">IFERROR((L105-AVERAGEIF($G$2:$G$462,G105,$L$2:$L$462))/_xlfn.STDEV.P(IF($G$2:$G$462=G105,$L$2:$L$462)),0)</f>
        <v/>
      </c>
      <c r="AD105" s="6">
        <f t="array" ref="AD105">IFERROR((M105-AVERAGEIF($G$2:$G$462,G105,$M$2:$M$462))/_xlfn.STDEV.P(IF($G$2:$G$462=G105,$M$2:$M$462)),0)</f>
        <v/>
      </c>
      <c r="AE105" s="6">
        <f t="array" ref="AE105">IFERROR((N105-AVERAGEIF($G$2:$G$462,G105,$N$2:$N$462))/_xlfn.STDEV.P(IF($G$2:$G$462=G105,$N$2:$N$462)),0)</f>
        <v/>
      </c>
      <c r="AF105" s="6">
        <f t="array" ref="AF105">IFERROR((O105-AVERAGEIF($G$2:$G$462,G105,$O$2:$O$462))/_xlfn.STDEV.P(IF($G$2:$G$462=G105,$O$2:$O$462)),0)</f>
        <v/>
      </c>
      <c r="AG105" s="6">
        <f t="array" ref="AG105">IFERROR((P105-AVERAGEIF($G$2:$G$462,G105,$P$2:$P$462))/_xlfn.STDEV.P(IF($G$2:$G$462=G105,$P$2:$P$462)),0)</f>
        <v/>
      </c>
      <c r="AH105" s="6">
        <f t="array" ref="AH105">IFERROR((R105-AVERAGEIF($G$2:$G$462,G105,$R$2:$R$462))/_xlfn.STDEV.P(IF($G$2:$G$462=G105,$R$2:$R$462)),0)</f>
        <v/>
      </c>
      <c r="AI105" s="6">
        <f>IFERROR((AC105+AD105+AE105+AF105+AG105+AH105)/6,0)</f>
        <v/>
      </c>
    </row>
    <row r="106">
      <c r="A106" s="2">
        <f>IF(BD_Carga!A107&lt;&gt;"",BD_Carga!A107,"")</f>
        <v/>
      </c>
      <c r="B106">
        <f>IF(A106&lt;&gt;"",YEAR(A106),"")</f>
        <v/>
      </c>
      <c r="C106">
        <f>IF(A106&lt;&gt;"",MONTH(A106),"")</f>
        <v/>
      </c>
      <c r="D106">
        <f>IF(A106&lt;&gt;"",_xlfn.ISOWEEKNUM(A106),"")</f>
        <v/>
      </c>
      <c r="E106">
        <f>IF(A106&lt;&gt;"",TEXT(A106,"dddd"),"")</f>
        <v/>
      </c>
      <c r="F106">
        <f>IF(BD_Carga!C107&lt;&gt;"",BD_Carga!C107,"")</f>
        <v/>
      </c>
      <c r="G106">
        <f>IF(BD_Carga!D107&lt;&gt;"",BD_Carga!D107,"")</f>
        <v/>
      </c>
      <c r="H106">
        <f>IF(BD_Carga!Q107&lt;&gt;"",BD_Carga!Q107,"")</f>
        <v/>
      </c>
      <c r="I106">
        <f>IF(BD_Carga!R107&lt;&gt;"",BD_Carga!R107,"")</f>
        <v/>
      </c>
      <c r="J106">
        <f>IF(BD_Carga!S107&lt;&gt;"",BD_Carga!S107,"")</f>
        <v/>
      </c>
      <c r="K106" s="4">
        <f>IF(BD_Carga!E107&lt;&gt;"",BD_Carga!E107,0)</f>
        <v/>
      </c>
      <c r="L106" s="4">
        <f>IF(BD_Carga!F107&lt;&gt;"",BD_Carga!F107,0)</f>
        <v/>
      </c>
      <c r="M106" s="4">
        <f>IF(BD_Carga!G107&lt;&gt;"",BD_Carga!G107,0)</f>
        <v/>
      </c>
      <c r="N106" s="4">
        <f>IF(BD_Carga!H107&lt;&gt;"",BD_Carga!H107,0)</f>
        <v/>
      </c>
      <c r="O106" s="4">
        <f>IF(BD_Carga!I107&lt;&gt;"",BD_Carga!I107,0)</f>
        <v/>
      </c>
      <c r="P106" s="4">
        <f>IF(BD_Carga!J107&lt;&gt;"",BD_Carga!J107,0)</f>
        <v/>
      </c>
      <c r="Q106" s="5">
        <f>IF(BD_Carga!K107&lt;&gt;"",BD_Carga!K107,0)</f>
        <v/>
      </c>
      <c r="R106" s="5">
        <f>IF(BD_Carga!L107&lt;&gt;"",BD_Carga!L107,0)</f>
        <v/>
      </c>
      <c r="S106">
        <f>IF(BD_Carga!N107&lt;&gt;"",BD_Carga!N107,0)</f>
        <v/>
      </c>
      <c r="T106">
        <f>IF(BD_Carga!O107&lt;&gt;"",BD_Carga!O107,0)</f>
        <v/>
      </c>
      <c r="U106">
        <f>IF(BD_Carga!P107&lt;&gt;"",BD_Carga!P107,0)</f>
        <v/>
      </c>
      <c r="V106">
        <f>IF(BD_Carga!U107&lt;&gt;"",BD_Carga!U107,0)</f>
        <v/>
      </c>
      <c r="W106">
        <f>IF(BD_Carga!T107&lt;&gt;"",BD_Carga!T107,0)</f>
        <v/>
      </c>
      <c r="X106">
        <f>IF(BD_Carga!W107&lt;&gt;"",BD_Carga!W107,0)</f>
        <v/>
      </c>
      <c r="Y106">
        <f>IF(BD_Carga!X107&lt;&gt;"",BD_Carga!X107,0)</f>
        <v/>
      </c>
      <c r="Z106">
        <f>IF(BD_Carga!Y107&lt;&gt;"",BD_Carga!Y107,0)</f>
        <v/>
      </c>
      <c r="AA106">
        <f>IF(BD_Carga!Z107&lt;&gt;"",BD_Carga!Z107,0)</f>
        <v/>
      </c>
      <c r="AB106">
        <f>IF(BD_Carga!AA107&lt;&gt;"",BD_Carga!AA107,0)</f>
        <v/>
      </c>
      <c r="AC106" s="6">
        <f t="array" ref="AC106">IFERROR((L106-AVERAGEIF($G$2:$G$462,G106,$L$2:$L$462))/_xlfn.STDEV.P(IF($G$2:$G$462=G106,$L$2:$L$462)),0)</f>
        <v/>
      </c>
      <c r="AD106" s="6">
        <f t="array" ref="AD106">IFERROR((M106-AVERAGEIF($G$2:$G$462,G106,$M$2:$M$462))/_xlfn.STDEV.P(IF($G$2:$G$462=G106,$M$2:$M$462)),0)</f>
        <v/>
      </c>
      <c r="AE106" s="6">
        <f t="array" ref="AE106">IFERROR((N106-AVERAGEIF($G$2:$G$462,G106,$N$2:$N$462))/_xlfn.STDEV.P(IF($G$2:$G$462=G106,$N$2:$N$462)),0)</f>
        <v/>
      </c>
      <c r="AF106" s="6">
        <f t="array" ref="AF106">IFERROR((O106-AVERAGEIF($G$2:$G$462,G106,$O$2:$O$462))/_xlfn.STDEV.P(IF($G$2:$G$462=G106,$O$2:$O$462)),0)</f>
        <v/>
      </c>
      <c r="AG106" s="6">
        <f t="array" ref="AG106">IFERROR((P106-AVERAGEIF($G$2:$G$462,G106,$P$2:$P$462))/_xlfn.STDEV.P(IF($G$2:$G$462=G106,$P$2:$P$462)),0)</f>
        <v/>
      </c>
      <c r="AH106" s="6">
        <f t="array" ref="AH106">IFERROR((R106-AVERAGEIF($G$2:$G$462,G106,$R$2:$R$462))/_xlfn.STDEV.P(IF($G$2:$G$462=G106,$R$2:$R$462)),0)</f>
        <v/>
      </c>
      <c r="AI106" s="6">
        <f>IFERROR((AC106+AD106+AE106+AF106+AG106+AH106)/6,0)</f>
        <v/>
      </c>
    </row>
    <row r="107">
      <c r="A107" s="2">
        <f>IF(BD_Carga!A108&lt;&gt;"",BD_Carga!A108,"")</f>
        <v/>
      </c>
      <c r="B107">
        <f>IF(A107&lt;&gt;"",YEAR(A107),"")</f>
        <v/>
      </c>
      <c r="C107">
        <f>IF(A107&lt;&gt;"",MONTH(A107),"")</f>
        <v/>
      </c>
      <c r="D107">
        <f>IF(A107&lt;&gt;"",_xlfn.ISOWEEKNUM(A107),"")</f>
        <v/>
      </c>
      <c r="E107">
        <f>IF(A107&lt;&gt;"",TEXT(A107,"dddd"),"")</f>
        <v/>
      </c>
      <c r="F107">
        <f>IF(BD_Carga!C108&lt;&gt;"",BD_Carga!C108,"")</f>
        <v/>
      </c>
      <c r="G107">
        <f>IF(BD_Carga!D108&lt;&gt;"",BD_Carga!D108,"")</f>
        <v/>
      </c>
      <c r="H107">
        <f>IF(BD_Carga!Q108&lt;&gt;"",BD_Carga!Q108,"")</f>
        <v/>
      </c>
      <c r="I107">
        <f>IF(BD_Carga!R108&lt;&gt;"",BD_Carga!R108,"")</f>
        <v/>
      </c>
      <c r="J107">
        <f>IF(BD_Carga!S108&lt;&gt;"",BD_Carga!S108,"")</f>
        <v/>
      </c>
      <c r="K107" s="4">
        <f>IF(BD_Carga!E108&lt;&gt;"",BD_Carga!E108,0)</f>
        <v/>
      </c>
      <c r="L107" s="4">
        <f>IF(BD_Carga!F108&lt;&gt;"",BD_Carga!F108,0)</f>
        <v/>
      </c>
      <c r="M107" s="4">
        <f>IF(BD_Carga!G108&lt;&gt;"",BD_Carga!G108,0)</f>
        <v/>
      </c>
      <c r="N107" s="4">
        <f>IF(BD_Carga!H108&lt;&gt;"",BD_Carga!H108,0)</f>
        <v/>
      </c>
      <c r="O107" s="4">
        <f>IF(BD_Carga!I108&lt;&gt;"",BD_Carga!I108,0)</f>
        <v/>
      </c>
      <c r="P107" s="4">
        <f>IF(BD_Carga!J108&lt;&gt;"",BD_Carga!J108,0)</f>
        <v/>
      </c>
      <c r="Q107" s="5">
        <f>IF(BD_Carga!K108&lt;&gt;"",BD_Carga!K108,0)</f>
        <v/>
      </c>
      <c r="R107" s="5">
        <f>IF(BD_Carga!L108&lt;&gt;"",BD_Carga!L108,0)</f>
        <v/>
      </c>
      <c r="S107">
        <f>IF(BD_Carga!N108&lt;&gt;"",BD_Carga!N108,0)</f>
        <v/>
      </c>
      <c r="T107">
        <f>IF(BD_Carga!O108&lt;&gt;"",BD_Carga!O108,0)</f>
        <v/>
      </c>
      <c r="U107">
        <f>IF(BD_Carga!P108&lt;&gt;"",BD_Carga!P108,0)</f>
        <v/>
      </c>
      <c r="V107">
        <f>IF(BD_Carga!U108&lt;&gt;"",BD_Carga!U108,0)</f>
        <v/>
      </c>
      <c r="W107">
        <f>IF(BD_Carga!T108&lt;&gt;"",BD_Carga!T108,0)</f>
        <v/>
      </c>
      <c r="X107">
        <f>IF(BD_Carga!W108&lt;&gt;"",BD_Carga!W108,0)</f>
        <v/>
      </c>
      <c r="Y107">
        <f>IF(BD_Carga!X108&lt;&gt;"",BD_Carga!X108,0)</f>
        <v/>
      </c>
      <c r="Z107">
        <f>IF(BD_Carga!Y108&lt;&gt;"",BD_Carga!Y108,0)</f>
        <v/>
      </c>
      <c r="AA107">
        <f>IF(BD_Carga!Z108&lt;&gt;"",BD_Carga!Z108,0)</f>
        <v/>
      </c>
      <c r="AB107">
        <f>IF(BD_Carga!AA108&lt;&gt;"",BD_Carga!AA108,0)</f>
        <v/>
      </c>
      <c r="AC107" s="6">
        <f t="array" ref="AC107">IFERROR((L107-AVERAGEIF($G$2:$G$462,G107,$L$2:$L$462))/_xlfn.STDEV.P(IF($G$2:$G$462=G107,$L$2:$L$462)),0)</f>
        <v/>
      </c>
      <c r="AD107" s="6">
        <f t="array" ref="AD107">IFERROR((M107-AVERAGEIF($G$2:$G$462,G107,$M$2:$M$462))/_xlfn.STDEV.P(IF($G$2:$G$462=G107,$M$2:$M$462)),0)</f>
        <v/>
      </c>
      <c r="AE107" s="6">
        <f t="array" ref="AE107">IFERROR((N107-AVERAGEIF($G$2:$G$462,G107,$N$2:$N$462))/_xlfn.STDEV.P(IF($G$2:$G$462=G107,$N$2:$N$462)),0)</f>
        <v/>
      </c>
      <c r="AF107" s="6">
        <f t="array" ref="AF107">IFERROR((O107-AVERAGEIF($G$2:$G$462,G107,$O$2:$O$462))/_xlfn.STDEV.P(IF($G$2:$G$462=G107,$O$2:$O$462)),0)</f>
        <v/>
      </c>
      <c r="AG107" s="6">
        <f t="array" ref="AG107">IFERROR((P107-AVERAGEIF($G$2:$G$462,G107,$P$2:$P$462))/_xlfn.STDEV.P(IF($G$2:$G$462=G107,$P$2:$P$462)),0)</f>
        <v/>
      </c>
      <c r="AH107" s="6">
        <f t="array" ref="AH107">IFERROR((R107-AVERAGEIF($G$2:$G$462,G107,$R$2:$R$462))/_xlfn.STDEV.P(IF($G$2:$G$462=G107,$R$2:$R$462)),0)</f>
        <v/>
      </c>
      <c r="AI107" s="6">
        <f>IFERROR((AC107+AD107+AE107+AF107+AG107+AH107)/6,0)</f>
        <v/>
      </c>
    </row>
    <row r="108">
      <c r="A108" s="2">
        <f>IF(BD_Carga!A109&lt;&gt;"",BD_Carga!A109,"")</f>
        <v/>
      </c>
      <c r="B108">
        <f>IF(A108&lt;&gt;"",YEAR(A108),"")</f>
        <v/>
      </c>
      <c r="C108">
        <f>IF(A108&lt;&gt;"",MONTH(A108),"")</f>
        <v/>
      </c>
      <c r="D108">
        <f>IF(A108&lt;&gt;"",_xlfn.ISOWEEKNUM(A108),"")</f>
        <v/>
      </c>
      <c r="E108">
        <f>IF(A108&lt;&gt;"",TEXT(A108,"dddd"),"")</f>
        <v/>
      </c>
      <c r="F108">
        <f>IF(BD_Carga!C109&lt;&gt;"",BD_Carga!C109,"")</f>
        <v/>
      </c>
      <c r="G108">
        <f>IF(BD_Carga!D109&lt;&gt;"",BD_Carga!D109,"")</f>
        <v/>
      </c>
      <c r="H108">
        <f>IF(BD_Carga!Q109&lt;&gt;"",BD_Carga!Q109,"")</f>
        <v/>
      </c>
      <c r="I108">
        <f>IF(BD_Carga!R109&lt;&gt;"",BD_Carga!R109,"")</f>
        <v/>
      </c>
      <c r="J108">
        <f>IF(BD_Carga!S109&lt;&gt;"",BD_Carga!S109,"")</f>
        <v/>
      </c>
      <c r="K108" s="4">
        <f>IF(BD_Carga!E109&lt;&gt;"",BD_Carga!E109,0)</f>
        <v/>
      </c>
      <c r="L108" s="4">
        <f>IF(BD_Carga!F109&lt;&gt;"",BD_Carga!F109,0)</f>
        <v/>
      </c>
      <c r="M108" s="4">
        <f>IF(BD_Carga!G109&lt;&gt;"",BD_Carga!G109,0)</f>
        <v/>
      </c>
      <c r="N108" s="4">
        <f>IF(BD_Carga!H109&lt;&gt;"",BD_Carga!H109,0)</f>
        <v/>
      </c>
      <c r="O108" s="4">
        <f>IF(BD_Carga!I109&lt;&gt;"",BD_Carga!I109,0)</f>
        <v/>
      </c>
      <c r="P108" s="4">
        <f>IF(BD_Carga!J109&lt;&gt;"",BD_Carga!J109,0)</f>
        <v/>
      </c>
      <c r="Q108" s="5">
        <f>IF(BD_Carga!K109&lt;&gt;"",BD_Carga!K109,0)</f>
        <v/>
      </c>
      <c r="R108" s="5">
        <f>IF(BD_Carga!L109&lt;&gt;"",BD_Carga!L109,0)</f>
        <v/>
      </c>
      <c r="S108">
        <f>IF(BD_Carga!N109&lt;&gt;"",BD_Carga!N109,0)</f>
        <v/>
      </c>
      <c r="T108">
        <f>IF(BD_Carga!O109&lt;&gt;"",BD_Carga!O109,0)</f>
        <v/>
      </c>
      <c r="U108">
        <f>IF(BD_Carga!P109&lt;&gt;"",BD_Carga!P109,0)</f>
        <v/>
      </c>
      <c r="V108">
        <f>IF(BD_Carga!U109&lt;&gt;"",BD_Carga!U109,0)</f>
        <v/>
      </c>
      <c r="W108">
        <f>IF(BD_Carga!T109&lt;&gt;"",BD_Carga!T109,0)</f>
        <v/>
      </c>
      <c r="X108">
        <f>IF(BD_Carga!W109&lt;&gt;"",BD_Carga!W109,0)</f>
        <v/>
      </c>
      <c r="Y108">
        <f>IF(BD_Carga!X109&lt;&gt;"",BD_Carga!X109,0)</f>
        <v/>
      </c>
      <c r="Z108">
        <f>IF(BD_Carga!Y109&lt;&gt;"",BD_Carga!Y109,0)</f>
        <v/>
      </c>
      <c r="AA108">
        <f>IF(BD_Carga!Z109&lt;&gt;"",BD_Carga!Z109,0)</f>
        <v/>
      </c>
      <c r="AB108">
        <f>IF(BD_Carga!AA109&lt;&gt;"",BD_Carga!AA109,0)</f>
        <v/>
      </c>
      <c r="AC108" s="6">
        <f t="array" ref="AC108">IFERROR((L108-AVERAGEIF($G$2:$G$462,G108,$L$2:$L$462))/_xlfn.STDEV.P(IF($G$2:$G$462=G108,$L$2:$L$462)),0)</f>
        <v/>
      </c>
      <c r="AD108" s="6">
        <f t="array" ref="AD108">IFERROR((M108-AVERAGEIF($G$2:$G$462,G108,$M$2:$M$462))/_xlfn.STDEV.P(IF($G$2:$G$462=G108,$M$2:$M$462)),0)</f>
        <v/>
      </c>
      <c r="AE108" s="6">
        <f t="array" ref="AE108">IFERROR((N108-AVERAGEIF($G$2:$G$462,G108,$N$2:$N$462))/_xlfn.STDEV.P(IF($G$2:$G$462=G108,$N$2:$N$462)),0)</f>
        <v/>
      </c>
      <c r="AF108" s="6">
        <f t="array" ref="AF108">IFERROR((O108-AVERAGEIF($G$2:$G$462,G108,$O$2:$O$462))/_xlfn.STDEV.P(IF($G$2:$G$462=G108,$O$2:$O$462)),0)</f>
        <v/>
      </c>
      <c r="AG108" s="6">
        <f t="array" ref="AG108">IFERROR((P108-AVERAGEIF($G$2:$G$462,G108,$P$2:$P$462))/_xlfn.STDEV.P(IF($G$2:$G$462=G108,$P$2:$P$462)),0)</f>
        <v/>
      </c>
      <c r="AH108" s="6">
        <f t="array" ref="AH108">IFERROR((R108-AVERAGEIF($G$2:$G$462,G108,$R$2:$R$462))/_xlfn.STDEV.P(IF($G$2:$G$462=G108,$R$2:$R$462)),0)</f>
        <v/>
      </c>
      <c r="AI108" s="6">
        <f>IFERROR((AC108+AD108+AE108+AF108+AG108+AH108)/6,0)</f>
        <v/>
      </c>
    </row>
    <row r="109">
      <c r="A109" s="2">
        <f>IF(BD_Carga!A110&lt;&gt;"",BD_Carga!A110,"")</f>
        <v/>
      </c>
      <c r="B109">
        <f>IF(A109&lt;&gt;"",YEAR(A109),"")</f>
        <v/>
      </c>
      <c r="C109">
        <f>IF(A109&lt;&gt;"",MONTH(A109),"")</f>
        <v/>
      </c>
      <c r="D109">
        <f>IF(A109&lt;&gt;"",_xlfn.ISOWEEKNUM(A109),"")</f>
        <v/>
      </c>
      <c r="E109">
        <f>IF(A109&lt;&gt;"",TEXT(A109,"dddd"),"")</f>
        <v/>
      </c>
      <c r="F109">
        <f>IF(BD_Carga!C110&lt;&gt;"",BD_Carga!C110,"")</f>
        <v/>
      </c>
      <c r="G109">
        <f>IF(BD_Carga!D110&lt;&gt;"",BD_Carga!D110,"")</f>
        <v/>
      </c>
      <c r="H109">
        <f>IF(BD_Carga!Q110&lt;&gt;"",BD_Carga!Q110,"")</f>
        <v/>
      </c>
      <c r="I109">
        <f>IF(BD_Carga!R110&lt;&gt;"",BD_Carga!R110,"")</f>
        <v/>
      </c>
      <c r="J109">
        <f>IF(BD_Carga!S110&lt;&gt;"",BD_Carga!S110,"")</f>
        <v/>
      </c>
      <c r="K109" s="4">
        <f>IF(BD_Carga!E110&lt;&gt;"",BD_Carga!E110,0)</f>
        <v/>
      </c>
      <c r="L109" s="4">
        <f>IF(BD_Carga!F110&lt;&gt;"",BD_Carga!F110,0)</f>
        <v/>
      </c>
      <c r="M109" s="4">
        <f>IF(BD_Carga!G110&lt;&gt;"",BD_Carga!G110,0)</f>
        <v/>
      </c>
      <c r="N109" s="4">
        <f>IF(BD_Carga!H110&lt;&gt;"",BD_Carga!H110,0)</f>
        <v/>
      </c>
      <c r="O109" s="4">
        <f>IF(BD_Carga!I110&lt;&gt;"",BD_Carga!I110,0)</f>
        <v/>
      </c>
      <c r="P109" s="4">
        <f>IF(BD_Carga!J110&lt;&gt;"",BD_Carga!J110,0)</f>
        <v/>
      </c>
      <c r="Q109" s="5">
        <f>IF(BD_Carga!K110&lt;&gt;"",BD_Carga!K110,0)</f>
        <v/>
      </c>
      <c r="R109" s="5">
        <f>IF(BD_Carga!L110&lt;&gt;"",BD_Carga!L110,0)</f>
        <v/>
      </c>
      <c r="S109">
        <f>IF(BD_Carga!N110&lt;&gt;"",BD_Carga!N110,0)</f>
        <v/>
      </c>
      <c r="T109">
        <f>IF(BD_Carga!O110&lt;&gt;"",BD_Carga!O110,0)</f>
        <v/>
      </c>
      <c r="U109">
        <f>IF(BD_Carga!P110&lt;&gt;"",BD_Carga!P110,0)</f>
        <v/>
      </c>
      <c r="V109">
        <f>IF(BD_Carga!U110&lt;&gt;"",BD_Carga!U110,0)</f>
        <v/>
      </c>
      <c r="W109">
        <f>IF(BD_Carga!T110&lt;&gt;"",BD_Carga!T110,0)</f>
        <v/>
      </c>
      <c r="X109">
        <f>IF(BD_Carga!W110&lt;&gt;"",BD_Carga!W110,0)</f>
        <v/>
      </c>
      <c r="Y109">
        <f>IF(BD_Carga!X110&lt;&gt;"",BD_Carga!X110,0)</f>
        <v/>
      </c>
      <c r="Z109">
        <f>IF(BD_Carga!Y110&lt;&gt;"",BD_Carga!Y110,0)</f>
        <v/>
      </c>
      <c r="AA109">
        <f>IF(BD_Carga!Z110&lt;&gt;"",BD_Carga!Z110,0)</f>
        <v/>
      </c>
      <c r="AB109">
        <f>IF(BD_Carga!AA110&lt;&gt;"",BD_Carga!AA110,0)</f>
        <v/>
      </c>
      <c r="AC109" s="6">
        <f t="array" ref="AC109">IFERROR((L109-AVERAGEIF($G$2:$G$462,G109,$L$2:$L$462))/_xlfn.STDEV.P(IF($G$2:$G$462=G109,$L$2:$L$462)),0)</f>
        <v/>
      </c>
      <c r="AD109" s="6">
        <f t="array" ref="AD109">IFERROR((M109-AVERAGEIF($G$2:$G$462,G109,$M$2:$M$462))/_xlfn.STDEV.P(IF($G$2:$G$462=G109,$M$2:$M$462)),0)</f>
        <v/>
      </c>
      <c r="AE109" s="6">
        <f t="array" ref="AE109">IFERROR((N109-AVERAGEIF($G$2:$G$462,G109,$N$2:$N$462))/_xlfn.STDEV.P(IF($G$2:$G$462=G109,$N$2:$N$462)),0)</f>
        <v/>
      </c>
      <c r="AF109" s="6">
        <f t="array" ref="AF109">IFERROR((O109-AVERAGEIF($G$2:$G$462,G109,$O$2:$O$462))/_xlfn.STDEV.P(IF($G$2:$G$462=G109,$O$2:$O$462)),0)</f>
        <v/>
      </c>
      <c r="AG109" s="6">
        <f t="array" ref="AG109">IFERROR((P109-AVERAGEIF($G$2:$G$462,G109,$P$2:$P$462))/_xlfn.STDEV.P(IF($G$2:$G$462=G109,$P$2:$P$462)),0)</f>
        <v/>
      </c>
      <c r="AH109" s="6">
        <f t="array" ref="AH109">IFERROR((R109-AVERAGEIF($G$2:$G$462,G109,$R$2:$R$462))/_xlfn.STDEV.P(IF($G$2:$G$462=G109,$R$2:$R$462)),0)</f>
        <v/>
      </c>
      <c r="AI109" s="6">
        <f>IFERROR((AC109+AD109+AE109+AF109+AG109+AH109)/6,0)</f>
        <v/>
      </c>
    </row>
    <row r="110">
      <c r="A110" s="2">
        <f>IF(BD_Carga!A111&lt;&gt;"",BD_Carga!A111,"")</f>
        <v/>
      </c>
      <c r="B110">
        <f>IF(A110&lt;&gt;"",YEAR(A110),"")</f>
        <v/>
      </c>
      <c r="C110">
        <f>IF(A110&lt;&gt;"",MONTH(A110),"")</f>
        <v/>
      </c>
      <c r="D110">
        <f>IF(A110&lt;&gt;"",_xlfn.ISOWEEKNUM(A110),"")</f>
        <v/>
      </c>
      <c r="E110">
        <f>IF(A110&lt;&gt;"",TEXT(A110,"dddd"),"")</f>
        <v/>
      </c>
      <c r="F110">
        <f>IF(BD_Carga!C111&lt;&gt;"",BD_Carga!C111,"")</f>
        <v/>
      </c>
      <c r="G110">
        <f>IF(BD_Carga!D111&lt;&gt;"",BD_Carga!D111,"")</f>
        <v/>
      </c>
      <c r="H110">
        <f>IF(BD_Carga!Q111&lt;&gt;"",BD_Carga!Q111,"")</f>
        <v/>
      </c>
      <c r="I110">
        <f>IF(BD_Carga!R111&lt;&gt;"",BD_Carga!R111,"")</f>
        <v/>
      </c>
      <c r="J110">
        <f>IF(BD_Carga!S111&lt;&gt;"",BD_Carga!S111,"")</f>
        <v/>
      </c>
      <c r="K110" s="4">
        <f>IF(BD_Carga!E111&lt;&gt;"",BD_Carga!E111,0)</f>
        <v/>
      </c>
      <c r="L110" s="4">
        <f>IF(BD_Carga!F111&lt;&gt;"",BD_Carga!F111,0)</f>
        <v/>
      </c>
      <c r="M110" s="4">
        <f>IF(BD_Carga!G111&lt;&gt;"",BD_Carga!G111,0)</f>
        <v/>
      </c>
      <c r="N110" s="4">
        <f>IF(BD_Carga!H111&lt;&gt;"",BD_Carga!H111,0)</f>
        <v/>
      </c>
      <c r="O110" s="4">
        <f>IF(BD_Carga!I111&lt;&gt;"",BD_Carga!I111,0)</f>
        <v/>
      </c>
      <c r="P110" s="4">
        <f>IF(BD_Carga!J111&lt;&gt;"",BD_Carga!J111,0)</f>
        <v/>
      </c>
      <c r="Q110" s="5">
        <f>IF(BD_Carga!K111&lt;&gt;"",BD_Carga!K111,0)</f>
        <v/>
      </c>
      <c r="R110" s="5">
        <f>IF(BD_Carga!L111&lt;&gt;"",BD_Carga!L111,0)</f>
        <v/>
      </c>
      <c r="S110">
        <f>IF(BD_Carga!N111&lt;&gt;"",BD_Carga!N111,0)</f>
        <v/>
      </c>
      <c r="T110">
        <f>IF(BD_Carga!O111&lt;&gt;"",BD_Carga!O111,0)</f>
        <v/>
      </c>
      <c r="U110">
        <f>IF(BD_Carga!P111&lt;&gt;"",BD_Carga!P111,0)</f>
        <v/>
      </c>
      <c r="V110">
        <f>IF(BD_Carga!U111&lt;&gt;"",BD_Carga!U111,0)</f>
        <v/>
      </c>
      <c r="W110">
        <f>IF(BD_Carga!T111&lt;&gt;"",BD_Carga!T111,0)</f>
        <v/>
      </c>
      <c r="X110">
        <f>IF(BD_Carga!W111&lt;&gt;"",BD_Carga!W111,0)</f>
        <v/>
      </c>
      <c r="Y110">
        <f>IF(BD_Carga!X111&lt;&gt;"",BD_Carga!X111,0)</f>
        <v/>
      </c>
      <c r="Z110">
        <f>IF(BD_Carga!Y111&lt;&gt;"",BD_Carga!Y111,0)</f>
        <v/>
      </c>
      <c r="AA110">
        <f>IF(BD_Carga!Z111&lt;&gt;"",BD_Carga!Z111,0)</f>
        <v/>
      </c>
      <c r="AB110">
        <f>IF(BD_Carga!AA111&lt;&gt;"",BD_Carga!AA111,0)</f>
        <v/>
      </c>
      <c r="AC110" s="6">
        <f t="array" ref="AC110">IFERROR((L110-AVERAGEIF($G$2:$G$462,G110,$L$2:$L$462))/_xlfn.STDEV.P(IF($G$2:$G$462=G110,$L$2:$L$462)),0)</f>
        <v/>
      </c>
      <c r="AD110" s="6">
        <f t="array" ref="AD110">IFERROR((M110-AVERAGEIF($G$2:$G$462,G110,$M$2:$M$462))/_xlfn.STDEV.P(IF($G$2:$G$462=G110,$M$2:$M$462)),0)</f>
        <v/>
      </c>
      <c r="AE110" s="6">
        <f t="array" ref="AE110">IFERROR((N110-AVERAGEIF($G$2:$G$462,G110,$N$2:$N$462))/_xlfn.STDEV.P(IF($G$2:$G$462=G110,$N$2:$N$462)),0)</f>
        <v/>
      </c>
      <c r="AF110" s="6">
        <f t="array" ref="AF110">IFERROR((O110-AVERAGEIF($G$2:$G$462,G110,$O$2:$O$462))/_xlfn.STDEV.P(IF($G$2:$G$462=G110,$O$2:$O$462)),0)</f>
        <v/>
      </c>
      <c r="AG110" s="6">
        <f t="array" ref="AG110">IFERROR((P110-AVERAGEIF($G$2:$G$462,G110,$P$2:$P$462))/_xlfn.STDEV.P(IF($G$2:$G$462=G110,$P$2:$P$462)),0)</f>
        <v/>
      </c>
      <c r="AH110" s="6">
        <f t="array" ref="AH110">IFERROR((R110-AVERAGEIF($G$2:$G$462,G110,$R$2:$R$462))/_xlfn.STDEV.P(IF($G$2:$G$462=G110,$R$2:$R$462)),0)</f>
        <v/>
      </c>
      <c r="AI110" s="6">
        <f>IFERROR((AC110+AD110+AE110+AF110+AG110+AH110)/6,0)</f>
        <v/>
      </c>
    </row>
    <row r="111">
      <c r="A111" s="2">
        <f>IF(BD_Carga!A112&lt;&gt;"",BD_Carga!A112,"")</f>
        <v/>
      </c>
      <c r="B111">
        <f>IF(A111&lt;&gt;"",YEAR(A111),"")</f>
        <v/>
      </c>
      <c r="C111">
        <f>IF(A111&lt;&gt;"",MONTH(A111),"")</f>
        <v/>
      </c>
      <c r="D111">
        <f>IF(A111&lt;&gt;"",_xlfn.ISOWEEKNUM(A111),"")</f>
        <v/>
      </c>
      <c r="E111">
        <f>IF(A111&lt;&gt;"",TEXT(A111,"dddd"),"")</f>
        <v/>
      </c>
      <c r="F111">
        <f>IF(BD_Carga!C112&lt;&gt;"",BD_Carga!C112,"")</f>
        <v/>
      </c>
      <c r="G111">
        <f>IF(BD_Carga!D112&lt;&gt;"",BD_Carga!D112,"")</f>
        <v/>
      </c>
      <c r="H111">
        <f>IF(BD_Carga!Q112&lt;&gt;"",BD_Carga!Q112,"")</f>
        <v/>
      </c>
      <c r="I111">
        <f>IF(BD_Carga!R112&lt;&gt;"",BD_Carga!R112,"")</f>
        <v/>
      </c>
      <c r="J111">
        <f>IF(BD_Carga!S112&lt;&gt;"",BD_Carga!S112,"")</f>
        <v/>
      </c>
      <c r="K111" s="4">
        <f>IF(BD_Carga!E112&lt;&gt;"",BD_Carga!E112,0)</f>
        <v/>
      </c>
      <c r="L111" s="4">
        <f>IF(BD_Carga!F112&lt;&gt;"",BD_Carga!F112,0)</f>
        <v/>
      </c>
      <c r="M111" s="4">
        <f>IF(BD_Carga!G112&lt;&gt;"",BD_Carga!G112,0)</f>
        <v/>
      </c>
      <c r="N111" s="4">
        <f>IF(BD_Carga!H112&lt;&gt;"",BD_Carga!H112,0)</f>
        <v/>
      </c>
      <c r="O111" s="4">
        <f>IF(BD_Carga!I112&lt;&gt;"",BD_Carga!I112,0)</f>
        <v/>
      </c>
      <c r="P111" s="4">
        <f>IF(BD_Carga!J112&lt;&gt;"",BD_Carga!J112,0)</f>
        <v/>
      </c>
      <c r="Q111" s="5">
        <f>IF(BD_Carga!K112&lt;&gt;"",BD_Carga!K112,0)</f>
        <v/>
      </c>
      <c r="R111" s="5">
        <f>IF(BD_Carga!L112&lt;&gt;"",BD_Carga!L112,0)</f>
        <v/>
      </c>
      <c r="S111">
        <f>IF(BD_Carga!N112&lt;&gt;"",BD_Carga!N112,0)</f>
        <v/>
      </c>
      <c r="T111">
        <f>IF(BD_Carga!O112&lt;&gt;"",BD_Carga!O112,0)</f>
        <v/>
      </c>
      <c r="U111">
        <f>IF(BD_Carga!P112&lt;&gt;"",BD_Carga!P112,0)</f>
        <v/>
      </c>
      <c r="V111">
        <f>IF(BD_Carga!U112&lt;&gt;"",BD_Carga!U112,0)</f>
        <v/>
      </c>
      <c r="W111">
        <f>IF(BD_Carga!T112&lt;&gt;"",BD_Carga!T112,0)</f>
        <v/>
      </c>
      <c r="X111">
        <f>IF(BD_Carga!W112&lt;&gt;"",BD_Carga!W112,0)</f>
        <v/>
      </c>
      <c r="Y111">
        <f>IF(BD_Carga!X112&lt;&gt;"",BD_Carga!X112,0)</f>
        <v/>
      </c>
      <c r="Z111">
        <f>IF(BD_Carga!Y112&lt;&gt;"",BD_Carga!Y112,0)</f>
        <v/>
      </c>
      <c r="AA111">
        <f>IF(BD_Carga!Z112&lt;&gt;"",BD_Carga!Z112,0)</f>
        <v/>
      </c>
      <c r="AB111">
        <f>IF(BD_Carga!AA112&lt;&gt;"",BD_Carga!AA112,0)</f>
        <v/>
      </c>
      <c r="AC111" s="6">
        <f t="array" ref="AC111">IFERROR((L111-AVERAGEIF($G$2:$G$462,G111,$L$2:$L$462))/_xlfn.STDEV.P(IF($G$2:$G$462=G111,$L$2:$L$462)),0)</f>
        <v/>
      </c>
      <c r="AD111" s="6">
        <f t="array" ref="AD111">IFERROR((M111-AVERAGEIF($G$2:$G$462,G111,$M$2:$M$462))/_xlfn.STDEV.P(IF($G$2:$G$462=G111,$M$2:$M$462)),0)</f>
        <v/>
      </c>
      <c r="AE111" s="6">
        <f t="array" ref="AE111">IFERROR((N111-AVERAGEIF($G$2:$G$462,G111,$N$2:$N$462))/_xlfn.STDEV.P(IF($G$2:$G$462=G111,$N$2:$N$462)),0)</f>
        <v/>
      </c>
      <c r="AF111" s="6">
        <f t="array" ref="AF111">IFERROR((O111-AVERAGEIF($G$2:$G$462,G111,$O$2:$O$462))/_xlfn.STDEV.P(IF($G$2:$G$462=G111,$O$2:$O$462)),0)</f>
        <v/>
      </c>
      <c r="AG111" s="6">
        <f t="array" ref="AG111">IFERROR((P111-AVERAGEIF($G$2:$G$462,G111,$P$2:$P$462))/_xlfn.STDEV.P(IF($G$2:$G$462=G111,$P$2:$P$462)),0)</f>
        <v/>
      </c>
      <c r="AH111" s="6">
        <f t="array" ref="AH111">IFERROR((R111-AVERAGEIF($G$2:$G$462,G111,$R$2:$R$462))/_xlfn.STDEV.P(IF($G$2:$G$462=G111,$R$2:$R$462)),0)</f>
        <v/>
      </c>
      <c r="AI111" s="6">
        <f>IFERROR((AC111+AD111+AE111+AF111+AG111+AH111)/6,0)</f>
        <v/>
      </c>
    </row>
    <row r="112">
      <c r="A112" s="2">
        <f>IF(BD_Carga!A113&lt;&gt;"",BD_Carga!A113,"")</f>
        <v/>
      </c>
      <c r="B112">
        <f>IF(A112&lt;&gt;"",YEAR(A112),"")</f>
        <v/>
      </c>
      <c r="C112">
        <f>IF(A112&lt;&gt;"",MONTH(A112),"")</f>
        <v/>
      </c>
      <c r="D112">
        <f>IF(A112&lt;&gt;"",_xlfn.ISOWEEKNUM(A112),"")</f>
        <v/>
      </c>
      <c r="E112">
        <f>IF(A112&lt;&gt;"",TEXT(A112,"dddd"),"")</f>
        <v/>
      </c>
      <c r="F112">
        <f>IF(BD_Carga!C113&lt;&gt;"",BD_Carga!C113,"")</f>
        <v/>
      </c>
      <c r="G112">
        <f>IF(BD_Carga!D113&lt;&gt;"",BD_Carga!D113,"")</f>
        <v/>
      </c>
      <c r="H112">
        <f>IF(BD_Carga!Q113&lt;&gt;"",BD_Carga!Q113,"")</f>
        <v/>
      </c>
      <c r="I112">
        <f>IF(BD_Carga!R113&lt;&gt;"",BD_Carga!R113,"")</f>
        <v/>
      </c>
      <c r="J112">
        <f>IF(BD_Carga!S113&lt;&gt;"",BD_Carga!S113,"")</f>
        <v/>
      </c>
      <c r="K112" s="4">
        <f>IF(BD_Carga!E113&lt;&gt;"",BD_Carga!E113,0)</f>
        <v/>
      </c>
      <c r="L112" s="4">
        <f>IF(BD_Carga!F113&lt;&gt;"",BD_Carga!F113,0)</f>
        <v/>
      </c>
      <c r="M112" s="4">
        <f>IF(BD_Carga!G113&lt;&gt;"",BD_Carga!G113,0)</f>
        <v/>
      </c>
      <c r="N112" s="4">
        <f>IF(BD_Carga!H113&lt;&gt;"",BD_Carga!H113,0)</f>
        <v/>
      </c>
      <c r="O112" s="4">
        <f>IF(BD_Carga!I113&lt;&gt;"",BD_Carga!I113,0)</f>
        <v/>
      </c>
      <c r="P112" s="4">
        <f>IF(BD_Carga!J113&lt;&gt;"",BD_Carga!J113,0)</f>
        <v/>
      </c>
      <c r="Q112" s="5">
        <f>IF(BD_Carga!K113&lt;&gt;"",BD_Carga!K113,0)</f>
        <v/>
      </c>
      <c r="R112" s="5">
        <f>IF(BD_Carga!L113&lt;&gt;"",BD_Carga!L113,0)</f>
        <v/>
      </c>
      <c r="S112">
        <f>IF(BD_Carga!N113&lt;&gt;"",BD_Carga!N113,0)</f>
        <v/>
      </c>
      <c r="T112">
        <f>IF(BD_Carga!O113&lt;&gt;"",BD_Carga!O113,0)</f>
        <v/>
      </c>
      <c r="U112">
        <f>IF(BD_Carga!P113&lt;&gt;"",BD_Carga!P113,0)</f>
        <v/>
      </c>
      <c r="V112">
        <f>IF(BD_Carga!U113&lt;&gt;"",BD_Carga!U113,0)</f>
        <v/>
      </c>
      <c r="W112">
        <f>IF(BD_Carga!T113&lt;&gt;"",BD_Carga!T113,0)</f>
        <v/>
      </c>
      <c r="X112">
        <f>IF(BD_Carga!W113&lt;&gt;"",BD_Carga!W113,0)</f>
        <v/>
      </c>
      <c r="Y112">
        <f>IF(BD_Carga!X113&lt;&gt;"",BD_Carga!X113,0)</f>
        <v/>
      </c>
      <c r="Z112">
        <f>IF(BD_Carga!Y113&lt;&gt;"",BD_Carga!Y113,0)</f>
        <v/>
      </c>
      <c r="AA112">
        <f>IF(BD_Carga!Z113&lt;&gt;"",BD_Carga!Z113,0)</f>
        <v/>
      </c>
      <c r="AB112">
        <f>IF(BD_Carga!AA113&lt;&gt;"",BD_Carga!AA113,0)</f>
        <v/>
      </c>
      <c r="AC112" s="6">
        <f t="array" ref="AC112">IFERROR((L112-AVERAGEIF($G$2:$G$462,G112,$L$2:$L$462))/_xlfn.STDEV.P(IF($G$2:$G$462=G112,$L$2:$L$462)),0)</f>
        <v/>
      </c>
      <c r="AD112" s="6">
        <f t="array" ref="AD112">IFERROR((M112-AVERAGEIF($G$2:$G$462,G112,$M$2:$M$462))/_xlfn.STDEV.P(IF($G$2:$G$462=G112,$M$2:$M$462)),0)</f>
        <v/>
      </c>
      <c r="AE112" s="6">
        <f t="array" ref="AE112">IFERROR((N112-AVERAGEIF($G$2:$G$462,G112,$N$2:$N$462))/_xlfn.STDEV.P(IF($G$2:$G$462=G112,$N$2:$N$462)),0)</f>
        <v/>
      </c>
      <c r="AF112" s="6">
        <f t="array" ref="AF112">IFERROR((O112-AVERAGEIF($G$2:$G$462,G112,$O$2:$O$462))/_xlfn.STDEV.P(IF($G$2:$G$462=G112,$O$2:$O$462)),0)</f>
        <v/>
      </c>
      <c r="AG112" s="6">
        <f t="array" ref="AG112">IFERROR((P112-AVERAGEIF($G$2:$G$462,G112,$P$2:$P$462))/_xlfn.STDEV.P(IF($G$2:$G$462=G112,$P$2:$P$462)),0)</f>
        <v/>
      </c>
      <c r="AH112" s="6">
        <f t="array" ref="AH112">IFERROR((R112-AVERAGEIF($G$2:$G$462,G112,$R$2:$R$462))/_xlfn.STDEV.P(IF($G$2:$G$462=G112,$R$2:$R$462)),0)</f>
        <v/>
      </c>
      <c r="AI112" s="6">
        <f>IFERROR((AC112+AD112+AE112+AF112+AG112+AH112)/6,0)</f>
        <v/>
      </c>
    </row>
    <row r="113">
      <c r="A113" s="2">
        <f>IF(BD_Carga!A114&lt;&gt;"",BD_Carga!A114,"")</f>
        <v/>
      </c>
      <c r="B113">
        <f>IF(A113&lt;&gt;"",YEAR(A113),"")</f>
        <v/>
      </c>
      <c r="C113">
        <f>IF(A113&lt;&gt;"",MONTH(A113),"")</f>
        <v/>
      </c>
      <c r="D113">
        <f>IF(A113&lt;&gt;"",_xlfn.ISOWEEKNUM(A113),"")</f>
        <v/>
      </c>
      <c r="E113">
        <f>IF(A113&lt;&gt;"",TEXT(A113,"dddd"),"")</f>
        <v/>
      </c>
      <c r="F113">
        <f>IF(BD_Carga!C114&lt;&gt;"",BD_Carga!C114,"")</f>
        <v/>
      </c>
      <c r="G113">
        <f>IF(BD_Carga!D114&lt;&gt;"",BD_Carga!D114,"")</f>
        <v/>
      </c>
      <c r="H113">
        <f>IF(BD_Carga!Q114&lt;&gt;"",BD_Carga!Q114,"")</f>
        <v/>
      </c>
      <c r="I113">
        <f>IF(BD_Carga!R114&lt;&gt;"",BD_Carga!R114,"")</f>
        <v/>
      </c>
      <c r="J113">
        <f>IF(BD_Carga!S114&lt;&gt;"",BD_Carga!S114,"")</f>
        <v/>
      </c>
      <c r="K113" s="4">
        <f>IF(BD_Carga!E114&lt;&gt;"",BD_Carga!E114,0)</f>
        <v/>
      </c>
      <c r="L113" s="4">
        <f>IF(BD_Carga!F114&lt;&gt;"",BD_Carga!F114,0)</f>
        <v/>
      </c>
      <c r="M113" s="4">
        <f>IF(BD_Carga!G114&lt;&gt;"",BD_Carga!G114,0)</f>
        <v/>
      </c>
      <c r="N113" s="4">
        <f>IF(BD_Carga!H114&lt;&gt;"",BD_Carga!H114,0)</f>
        <v/>
      </c>
      <c r="O113" s="4">
        <f>IF(BD_Carga!I114&lt;&gt;"",BD_Carga!I114,0)</f>
        <v/>
      </c>
      <c r="P113" s="4">
        <f>IF(BD_Carga!J114&lt;&gt;"",BD_Carga!J114,0)</f>
        <v/>
      </c>
      <c r="Q113" s="5">
        <f>IF(BD_Carga!K114&lt;&gt;"",BD_Carga!K114,0)</f>
        <v/>
      </c>
      <c r="R113" s="5">
        <f>IF(BD_Carga!L114&lt;&gt;"",BD_Carga!L114,0)</f>
        <v/>
      </c>
      <c r="S113">
        <f>IF(BD_Carga!N114&lt;&gt;"",BD_Carga!N114,0)</f>
        <v/>
      </c>
      <c r="T113">
        <f>IF(BD_Carga!O114&lt;&gt;"",BD_Carga!O114,0)</f>
        <v/>
      </c>
      <c r="U113">
        <f>IF(BD_Carga!P114&lt;&gt;"",BD_Carga!P114,0)</f>
        <v/>
      </c>
      <c r="V113">
        <f>IF(BD_Carga!U114&lt;&gt;"",BD_Carga!U114,0)</f>
        <v/>
      </c>
      <c r="W113">
        <f>IF(BD_Carga!T114&lt;&gt;"",BD_Carga!T114,0)</f>
        <v/>
      </c>
      <c r="X113">
        <f>IF(BD_Carga!W114&lt;&gt;"",BD_Carga!W114,0)</f>
        <v/>
      </c>
      <c r="Y113">
        <f>IF(BD_Carga!X114&lt;&gt;"",BD_Carga!X114,0)</f>
        <v/>
      </c>
      <c r="Z113">
        <f>IF(BD_Carga!Y114&lt;&gt;"",BD_Carga!Y114,0)</f>
        <v/>
      </c>
      <c r="AA113">
        <f>IF(BD_Carga!Z114&lt;&gt;"",BD_Carga!Z114,0)</f>
        <v/>
      </c>
      <c r="AB113">
        <f>IF(BD_Carga!AA114&lt;&gt;"",BD_Carga!AA114,0)</f>
        <v/>
      </c>
      <c r="AC113" s="6">
        <f t="array" ref="AC113">IFERROR((L113-AVERAGEIF($G$2:$G$462,G113,$L$2:$L$462))/_xlfn.STDEV.P(IF($G$2:$G$462=G113,$L$2:$L$462)),0)</f>
        <v/>
      </c>
      <c r="AD113" s="6">
        <f t="array" ref="AD113">IFERROR((M113-AVERAGEIF($G$2:$G$462,G113,$M$2:$M$462))/_xlfn.STDEV.P(IF($G$2:$G$462=G113,$M$2:$M$462)),0)</f>
        <v/>
      </c>
      <c r="AE113" s="6">
        <f t="array" ref="AE113">IFERROR((N113-AVERAGEIF($G$2:$G$462,G113,$N$2:$N$462))/_xlfn.STDEV.P(IF($G$2:$G$462=G113,$N$2:$N$462)),0)</f>
        <v/>
      </c>
      <c r="AF113" s="6">
        <f t="array" ref="AF113">IFERROR((O113-AVERAGEIF($G$2:$G$462,G113,$O$2:$O$462))/_xlfn.STDEV.P(IF($G$2:$G$462=G113,$O$2:$O$462)),0)</f>
        <v/>
      </c>
      <c r="AG113" s="6">
        <f t="array" ref="AG113">IFERROR((P113-AVERAGEIF($G$2:$G$462,G113,$P$2:$P$462))/_xlfn.STDEV.P(IF($G$2:$G$462=G113,$P$2:$P$462)),0)</f>
        <v/>
      </c>
      <c r="AH113" s="6">
        <f t="array" ref="AH113">IFERROR((R113-AVERAGEIF($G$2:$G$462,G113,$R$2:$R$462))/_xlfn.STDEV.P(IF($G$2:$G$462=G113,$R$2:$R$462)),0)</f>
        <v/>
      </c>
      <c r="AI113" s="6">
        <f>IFERROR((AC113+AD113+AE113+AF113+AG113+AH113)/6,0)</f>
        <v/>
      </c>
    </row>
    <row r="114">
      <c r="A114" s="2">
        <f>IF(BD_Carga!A115&lt;&gt;"",BD_Carga!A115,"")</f>
        <v/>
      </c>
      <c r="B114">
        <f>IF(A114&lt;&gt;"",YEAR(A114),"")</f>
        <v/>
      </c>
      <c r="C114">
        <f>IF(A114&lt;&gt;"",MONTH(A114),"")</f>
        <v/>
      </c>
      <c r="D114">
        <f>IF(A114&lt;&gt;"",_xlfn.ISOWEEKNUM(A114),"")</f>
        <v/>
      </c>
      <c r="E114">
        <f>IF(A114&lt;&gt;"",TEXT(A114,"dddd"),"")</f>
        <v/>
      </c>
      <c r="F114">
        <f>IF(BD_Carga!C115&lt;&gt;"",BD_Carga!C115,"")</f>
        <v/>
      </c>
      <c r="G114">
        <f>IF(BD_Carga!D115&lt;&gt;"",BD_Carga!D115,"")</f>
        <v/>
      </c>
      <c r="H114">
        <f>IF(BD_Carga!Q115&lt;&gt;"",BD_Carga!Q115,"")</f>
        <v/>
      </c>
      <c r="I114">
        <f>IF(BD_Carga!R115&lt;&gt;"",BD_Carga!R115,"")</f>
        <v/>
      </c>
      <c r="J114">
        <f>IF(BD_Carga!S115&lt;&gt;"",BD_Carga!S115,"")</f>
        <v/>
      </c>
      <c r="K114" s="4">
        <f>IF(BD_Carga!E115&lt;&gt;"",BD_Carga!E115,0)</f>
        <v/>
      </c>
      <c r="L114" s="4">
        <f>IF(BD_Carga!F115&lt;&gt;"",BD_Carga!F115,0)</f>
        <v/>
      </c>
      <c r="M114" s="4">
        <f>IF(BD_Carga!G115&lt;&gt;"",BD_Carga!G115,0)</f>
        <v/>
      </c>
      <c r="N114" s="4">
        <f>IF(BD_Carga!H115&lt;&gt;"",BD_Carga!H115,0)</f>
        <v/>
      </c>
      <c r="O114" s="4">
        <f>IF(BD_Carga!I115&lt;&gt;"",BD_Carga!I115,0)</f>
        <v/>
      </c>
      <c r="P114" s="4">
        <f>IF(BD_Carga!J115&lt;&gt;"",BD_Carga!J115,0)</f>
        <v/>
      </c>
      <c r="Q114" s="5">
        <f>IF(BD_Carga!K115&lt;&gt;"",BD_Carga!K115,0)</f>
        <v/>
      </c>
      <c r="R114" s="5">
        <f>IF(BD_Carga!L115&lt;&gt;"",BD_Carga!L115,0)</f>
        <v/>
      </c>
      <c r="S114">
        <f>IF(BD_Carga!N115&lt;&gt;"",BD_Carga!N115,0)</f>
        <v/>
      </c>
      <c r="T114">
        <f>IF(BD_Carga!O115&lt;&gt;"",BD_Carga!O115,0)</f>
        <v/>
      </c>
      <c r="U114">
        <f>IF(BD_Carga!P115&lt;&gt;"",BD_Carga!P115,0)</f>
        <v/>
      </c>
      <c r="V114">
        <f>IF(BD_Carga!U115&lt;&gt;"",BD_Carga!U115,0)</f>
        <v/>
      </c>
      <c r="W114">
        <f>IF(BD_Carga!T115&lt;&gt;"",BD_Carga!T115,0)</f>
        <v/>
      </c>
      <c r="X114">
        <f>IF(BD_Carga!W115&lt;&gt;"",BD_Carga!W115,0)</f>
        <v/>
      </c>
      <c r="Y114">
        <f>IF(BD_Carga!X115&lt;&gt;"",BD_Carga!X115,0)</f>
        <v/>
      </c>
      <c r="Z114">
        <f>IF(BD_Carga!Y115&lt;&gt;"",BD_Carga!Y115,0)</f>
        <v/>
      </c>
      <c r="AA114">
        <f>IF(BD_Carga!Z115&lt;&gt;"",BD_Carga!Z115,0)</f>
        <v/>
      </c>
      <c r="AB114">
        <f>IF(BD_Carga!AA115&lt;&gt;"",BD_Carga!AA115,0)</f>
        <v/>
      </c>
      <c r="AC114" s="6">
        <f t="array" ref="AC114">IFERROR((L114-AVERAGEIF($G$2:$G$462,G114,$L$2:$L$462))/_xlfn.STDEV.P(IF($G$2:$G$462=G114,$L$2:$L$462)),0)</f>
        <v/>
      </c>
      <c r="AD114" s="6">
        <f t="array" ref="AD114">IFERROR((M114-AVERAGEIF($G$2:$G$462,G114,$M$2:$M$462))/_xlfn.STDEV.P(IF($G$2:$G$462=G114,$M$2:$M$462)),0)</f>
        <v/>
      </c>
      <c r="AE114" s="6">
        <f t="array" ref="AE114">IFERROR((N114-AVERAGEIF($G$2:$G$462,G114,$N$2:$N$462))/_xlfn.STDEV.P(IF($G$2:$G$462=G114,$N$2:$N$462)),0)</f>
        <v/>
      </c>
      <c r="AF114" s="6">
        <f t="array" ref="AF114">IFERROR((O114-AVERAGEIF($G$2:$G$462,G114,$O$2:$O$462))/_xlfn.STDEV.P(IF($G$2:$G$462=G114,$O$2:$O$462)),0)</f>
        <v/>
      </c>
      <c r="AG114" s="6">
        <f t="array" ref="AG114">IFERROR((P114-AVERAGEIF($G$2:$G$462,G114,$P$2:$P$462))/_xlfn.STDEV.P(IF($G$2:$G$462=G114,$P$2:$P$462)),0)</f>
        <v/>
      </c>
      <c r="AH114" s="6">
        <f t="array" ref="AH114">IFERROR((R114-AVERAGEIF($G$2:$G$462,G114,$R$2:$R$462))/_xlfn.STDEV.P(IF($G$2:$G$462=G114,$R$2:$R$462)),0)</f>
        <v/>
      </c>
      <c r="AI114" s="6">
        <f>IFERROR((AC114+AD114+AE114+AF114+AG114+AH114)/6,0)</f>
        <v/>
      </c>
    </row>
    <row r="115">
      <c r="A115" s="2">
        <f>IF(BD_Carga!A116&lt;&gt;"",BD_Carga!A116,"")</f>
        <v/>
      </c>
      <c r="B115">
        <f>IF(A115&lt;&gt;"",YEAR(A115),"")</f>
        <v/>
      </c>
      <c r="C115">
        <f>IF(A115&lt;&gt;"",MONTH(A115),"")</f>
        <v/>
      </c>
      <c r="D115">
        <f>IF(A115&lt;&gt;"",_xlfn.ISOWEEKNUM(A115),"")</f>
        <v/>
      </c>
      <c r="E115">
        <f>IF(A115&lt;&gt;"",TEXT(A115,"dddd"),"")</f>
        <v/>
      </c>
      <c r="F115">
        <f>IF(BD_Carga!C116&lt;&gt;"",BD_Carga!C116,"")</f>
        <v/>
      </c>
      <c r="G115">
        <f>IF(BD_Carga!D116&lt;&gt;"",BD_Carga!D116,"")</f>
        <v/>
      </c>
      <c r="H115">
        <f>IF(BD_Carga!Q116&lt;&gt;"",BD_Carga!Q116,"")</f>
        <v/>
      </c>
      <c r="I115">
        <f>IF(BD_Carga!R116&lt;&gt;"",BD_Carga!R116,"")</f>
        <v/>
      </c>
      <c r="J115">
        <f>IF(BD_Carga!S116&lt;&gt;"",BD_Carga!S116,"")</f>
        <v/>
      </c>
      <c r="K115" s="4">
        <f>IF(BD_Carga!E116&lt;&gt;"",BD_Carga!E116,0)</f>
        <v/>
      </c>
      <c r="L115" s="4">
        <f>IF(BD_Carga!F116&lt;&gt;"",BD_Carga!F116,0)</f>
        <v/>
      </c>
      <c r="M115" s="4">
        <f>IF(BD_Carga!G116&lt;&gt;"",BD_Carga!G116,0)</f>
        <v/>
      </c>
      <c r="N115" s="4">
        <f>IF(BD_Carga!H116&lt;&gt;"",BD_Carga!H116,0)</f>
        <v/>
      </c>
      <c r="O115" s="4">
        <f>IF(BD_Carga!I116&lt;&gt;"",BD_Carga!I116,0)</f>
        <v/>
      </c>
      <c r="P115" s="4">
        <f>IF(BD_Carga!J116&lt;&gt;"",BD_Carga!J116,0)</f>
        <v/>
      </c>
      <c r="Q115" s="5">
        <f>IF(BD_Carga!K116&lt;&gt;"",BD_Carga!K116,0)</f>
        <v/>
      </c>
      <c r="R115" s="5">
        <f>IF(BD_Carga!L116&lt;&gt;"",BD_Carga!L116,0)</f>
        <v/>
      </c>
      <c r="S115">
        <f>IF(BD_Carga!N116&lt;&gt;"",BD_Carga!N116,0)</f>
        <v/>
      </c>
      <c r="T115">
        <f>IF(BD_Carga!O116&lt;&gt;"",BD_Carga!O116,0)</f>
        <v/>
      </c>
      <c r="U115">
        <f>IF(BD_Carga!P116&lt;&gt;"",BD_Carga!P116,0)</f>
        <v/>
      </c>
      <c r="V115">
        <f>IF(BD_Carga!U116&lt;&gt;"",BD_Carga!U116,0)</f>
        <v/>
      </c>
      <c r="W115">
        <f>IF(BD_Carga!T116&lt;&gt;"",BD_Carga!T116,0)</f>
        <v/>
      </c>
      <c r="X115">
        <f>IF(BD_Carga!W116&lt;&gt;"",BD_Carga!W116,0)</f>
        <v/>
      </c>
      <c r="Y115">
        <f>IF(BD_Carga!X116&lt;&gt;"",BD_Carga!X116,0)</f>
        <v/>
      </c>
      <c r="Z115">
        <f>IF(BD_Carga!Y116&lt;&gt;"",BD_Carga!Y116,0)</f>
        <v/>
      </c>
      <c r="AA115">
        <f>IF(BD_Carga!Z116&lt;&gt;"",BD_Carga!Z116,0)</f>
        <v/>
      </c>
      <c r="AB115">
        <f>IF(BD_Carga!AA116&lt;&gt;"",BD_Carga!AA116,0)</f>
        <v/>
      </c>
      <c r="AC115" s="6">
        <f t="array" ref="AC115">IFERROR((L115-AVERAGEIF($G$2:$G$462,G115,$L$2:$L$462))/_xlfn.STDEV.P(IF($G$2:$G$462=G115,$L$2:$L$462)),0)</f>
        <v/>
      </c>
      <c r="AD115" s="6">
        <f t="array" ref="AD115">IFERROR((M115-AVERAGEIF($G$2:$G$462,G115,$M$2:$M$462))/_xlfn.STDEV.P(IF($G$2:$G$462=G115,$M$2:$M$462)),0)</f>
        <v/>
      </c>
      <c r="AE115" s="6">
        <f t="array" ref="AE115">IFERROR((N115-AVERAGEIF($G$2:$G$462,G115,$N$2:$N$462))/_xlfn.STDEV.P(IF($G$2:$G$462=G115,$N$2:$N$462)),0)</f>
        <v/>
      </c>
      <c r="AF115" s="6">
        <f t="array" ref="AF115">IFERROR((O115-AVERAGEIF($G$2:$G$462,G115,$O$2:$O$462))/_xlfn.STDEV.P(IF($G$2:$G$462=G115,$O$2:$O$462)),0)</f>
        <v/>
      </c>
      <c r="AG115" s="6">
        <f t="array" ref="AG115">IFERROR((P115-AVERAGEIF($G$2:$G$462,G115,$P$2:$P$462))/_xlfn.STDEV.P(IF($G$2:$G$462=G115,$P$2:$P$462)),0)</f>
        <v/>
      </c>
      <c r="AH115" s="6">
        <f t="array" ref="AH115">IFERROR((R115-AVERAGEIF($G$2:$G$462,G115,$R$2:$R$462))/_xlfn.STDEV.P(IF($G$2:$G$462=G115,$R$2:$R$462)),0)</f>
        <v/>
      </c>
      <c r="AI115" s="6">
        <f>IFERROR((AC115+AD115+AE115+AF115+AG115+AH115)/6,0)</f>
        <v/>
      </c>
    </row>
    <row r="116">
      <c r="A116" s="2">
        <f>IF(BD_Carga!A117&lt;&gt;"",BD_Carga!A117,"")</f>
        <v/>
      </c>
      <c r="B116">
        <f>IF(A116&lt;&gt;"",YEAR(A116),"")</f>
        <v/>
      </c>
      <c r="C116">
        <f>IF(A116&lt;&gt;"",MONTH(A116),"")</f>
        <v/>
      </c>
      <c r="D116">
        <f>IF(A116&lt;&gt;"",_xlfn.ISOWEEKNUM(A116),"")</f>
        <v/>
      </c>
      <c r="E116">
        <f>IF(A116&lt;&gt;"",TEXT(A116,"dddd"),"")</f>
        <v/>
      </c>
      <c r="F116">
        <f>IF(BD_Carga!C117&lt;&gt;"",BD_Carga!C117,"")</f>
        <v/>
      </c>
      <c r="G116">
        <f>IF(BD_Carga!D117&lt;&gt;"",BD_Carga!D117,"")</f>
        <v/>
      </c>
      <c r="H116">
        <f>IF(BD_Carga!Q117&lt;&gt;"",BD_Carga!Q117,"")</f>
        <v/>
      </c>
      <c r="I116">
        <f>IF(BD_Carga!R117&lt;&gt;"",BD_Carga!R117,"")</f>
        <v/>
      </c>
      <c r="J116">
        <f>IF(BD_Carga!S117&lt;&gt;"",BD_Carga!S117,"")</f>
        <v/>
      </c>
      <c r="K116" s="4">
        <f>IF(BD_Carga!E117&lt;&gt;"",BD_Carga!E117,0)</f>
        <v/>
      </c>
      <c r="L116" s="4">
        <f>IF(BD_Carga!F117&lt;&gt;"",BD_Carga!F117,0)</f>
        <v/>
      </c>
      <c r="M116" s="4">
        <f>IF(BD_Carga!G117&lt;&gt;"",BD_Carga!G117,0)</f>
        <v/>
      </c>
      <c r="N116" s="4">
        <f>IF(BD_Carga!H117&lt;&gt;"",BD_Carga!H117,0)</f>
        <v/>
      </c>
      <c r="O116" s="4">
        <f>IF(BD_Carga!I117&lt;&gt;"",BD_Carga!I117,0)</f>
        <v/>
      </c>
      <c r="P116" s="4">
        <f>IF(BD_Carga!J117&lt;&gt;"",BD_Carga!J117,0)</f>
        <v/>
      </c>
      <c r="Q116" s="5">
        <f>IF(BD_Carga!K117&lt;&gt;"",BD_Carga!K117,0)</f>
        <v/>
      </c>
      <c r="R116" s="5">
        <f>IF(BD_Carga!L117&lt;&gt;"",BD_Carga!L117,0)</f>
        <v/>
      </c>
      <c r="S116">
        <f>IF(BD_Carga!N117&lt;&gt;"",BD_Carga!N117,0)</f>
        <v/>
      </c>
      <c r="T116">
        <f>IF(BD_Carga!O117&lt;&gt;"",BD_Carga!O117,0)</f>
        <v/>
      </c>
      <c r="U116">
        <f>IF(BD_Carga!P117&lt;&gt;"",BD_Carga!P117,0)</f>
        <v/>
      </c>
      <c r="V116">
        <f>IF(BD_Carga!U117&lt;&gt;"",BD_Carga!U117,0)</f>
        <v/>
      </c>
      <c r="W116">
        <f>IF(BD_Carga!T117&lt;&gt;"",BD_Carga!T117,0)</f>
        <v/>
      </c>
      <c r="X116">
        <f>IF(BD_Carga!W117&lt;&gt;"",BD_Carga!W117,0)</f>
        <v/>
      </c>
      <c r="Y116">
        <f>IF(BD_Carga!X117&lt;&gt;"",BD_Carga!X117,0)</f>
        <v/>
      </c>
      <c r="Z116">
        <f>IF(BD_Carga!Y117&lt;&gt;"",BD_Carga!Y117,0)</f>
        <v/>
      </c>
      <c r="AA116">
        <f>IF(BD_Carga!Z117&lt;&gt;"",BD_Carga!Z117,0)</f>
        <v/>
      </c>
      <c r="AB116">
        <f>IF(BD_Carga!AA117&lt;&gt;"",BD_Carga!AA117,0)</f>
        <v/>
      </c>
      <c r="AC116" s="6">
        <f t="array" ref="AC116">IFERROR((L116-AVERAGEIF($G$2:$G$462,G116,$L$2:$L$462))/_xlfn.STDEV.P(IF($G$2:$G$462=G116,$L$2:$L$462)),0)</f>
        <v/>
      </c>
      <c r="AD116" s="6">
        <f t="array" ref="AD116">IFERROR((M116-AVERAGEIF($G$2:$G$462,G116,$M$2:$M$462))/_xlfn.STDEV.P(IF($G$2:$G$462=G116,$M$2:$M$462)),0)</f>
        <v/>
      </c>
      <c r="AE116" s="6">
        <f t="array" ref="AE116">IFERROR((N116-AVERAGEIF($G$2:$G$462,G116,$N$2:$N$462))/_xlfn.STDEV.P(IF($G$2:$G$462=G116,$N$2:$N$462)),0)</f>
        <v/>
      </c>
      <c r="AF116" s="6">
        <f t="array" ref="AF116">IFERROR((O116-AVERAGEIF($G$2:$G$462,G116,$O$2:$O$462))/_xlfn.STDEV.P(IF($G$2:$G$462=G116,$O$2:$O$462)),0)</f>
        <v/>
      </c>
      <c r="AG116" s="6">
        <f t="array" ref="AG116">IFERROR((P116-AVERAGEIF($G$2:$G$462,G116,$P$2:$P$462))/_xlfn.STDEV.P(IF($G$2:$G$462=G116,$P$2:$P$462)),0)</f>
        <v/>
      </c>
      <c r="AH116" s="6">
        <f t="array" ref="AH116">IFERROR((R116-AVERAGEIF($G$2:$G$462,G116,$R$2:$R$462))/_xlfn.STDEV.P(IF($G$2:$G$462=G116,$R$2:$R$462)),0)</f>
        <v/>
      </c>
      <c r="AI116" s="6">
        <f>IFERROR((AC116+AD116+AE116+AF116+AG116+AH116)/6,0)</f>
        <v/>
      </c>
    </row>
    <row r="117">
      <c r="A117" s="2">
        <f>IF(BD_Carga!A118&lt;&gt;"",BD_Carga!A118,"")</f>
        <v/>
      </c>
      <c r="B117">
        <f>IF(A117&lt;&gt;"",YEAR(A117),"")</f>
        <v/>
      </c>
      <c r="C117">
        <f>IF(A117&lt;&gt;"",MONTH(A117),"")</f>
        <v/>
      </c>
      <c r="D117">
        <f>IF(A117&lt;&gt;"",_xlfn.ISOWEEKNUM(A117),"")</f>
        <v/>
      </c>
      <c r="E117">
        <f>IF(A117&lt;&gt;"",TEXT(A117,"dddd"),"")</f>
        <v/>
      </c>
      <c r="F117">
        <f>IF(BD_Carga!C118&lt;&gt;"",BD_Carga!C118,"")</f>
        <v/>
      </c>
      <c r="G117">
        <f>IF(BD_Carga!D118&lt;&gt;"",BD_Carga!D118,"")</f>
        <v/>
      </c>
      <c r="H117">
        <f>IF(BD_Carga!Q118&lt;&gt;"",BD_Carga!Q118,"")</f>
        <v/>
      </c>
      <c r="I117">
        <f>IF(BD_Carga!R118&lt;&gt;"",BD_Carga!R118,"")</f>
        <v/>
      </c>
      <c r="J117">
        <f>IF(BD_Carga!S118&lt;&gt;"",BD_Carga!S118,"")</f>
        <v/>
      </c>
      <c r="K117" s="4">
        <f>IF(BD_Carga!E118&lt;&gt;"",BD_Carga!E118,0)</f>
        <v/>
      </c>
      <c r="L117" s="4">
        <f>IF(BD_Carga!F118&lt;&gt;"",BD_Carga!F118,0)</f>
        <v/>
      </c>
      <c r="M117" s="4">
        <f>IF(BD_Carga!G118&lt;&gt;"",BD_Carga!G118,0)</f>
        <v/>
      </c>
      <c r="N117" s="4">
        <f>IF(BD_Carga!H118&lt;&gt;"",BD_Carga!H118,0)</f>
        <v/>
      </c>
      <c r="O117" s="4">
        <f>IF(BD_Carga!I118&lt;&gt;"",BD_Carga!I118,0)</f>
        <v/>
      </c>
      <c r="P117" s="4">
        <f>IF(BD_Carga!J118&lt;&gt;"",BD_Carga!J118,0)</f>
        <v/>
      </c>
      <c r="Q117" s="5">
        <f>IF(BD_Carga!K118&lt;&gt;"",BD_Carga!K118,0)</f>
        <v/>
      </c>
      <c r="R117" s="5">
        <f>IF(BD_Carga!L118&lt;&gt;"",BD_Carga!L118,0)</f>
        <v/>
      </c>
      <c r="S117">
        <f>IF(BD_Carga!N118&lt;&gt;"",BD_Carga!N118,0)</f>
        <v/>
      </c>
      <c r="T117">
        <f>IF(BD_Carga!O118&lt;&gt;"",BD_Carga!O118,0)</f>
        <v/>
      </c>
      <c r="U117">
        <f>IF(BD_Carga!P118&lt;&gt;"",BD_Carga!P118,0)</f>
        <v/>
      </c>
      <c r="V117">
        <f>IF(BD_Carga!U118&lt;&gt;"",BD_Carga!U118,0)</f>
        <v/>
      </c>
      <c r="W117">
        <f>IF(BD_Carga!T118&lt;&gt;"",BD_Carga!T118,0)</f>
        <v/>
      </c>
      <c r="X117">
        <f>IF(BD_Carga!W118&lt;&gt;"",BD_Carga!W118,0)</f>
        <v/>
      </c>
      <c r="Y117">
        <f>IF(BD_Carga!X118&lt;&gt;"",BD_Carga!X118,0)</f>
        <v/>
      </c>
      <c r="Z117">
        <f>IF(BD_Carga!Y118&lt;&gt;"",BD_Carga!Y118,0)</f>
        <v/>
      </c>
      <c r="AA117">
        <f>IF(BD_Carga!Z118&lt;&gt;"",BD_Carga!Z118,0)</f>
        <v/>
      </c>
      <c r="AB117">
        <f>IF(BD_Carga!AA118&lt;&gt;"",BD_Carga!AA118,0)</f>
        <v/>
      </c>
      <c r="AC117" s="6">
        <f t="array" ref="AC117">IFERROR((L117-AVERAGEIF($G$2:$G$462,G117,$L$2:$L$462))/_xlfn.STDEV.P(IF($G$2:$G$462=G117,$L$2:$L$462)),0)</f>
        <v/>
      </c>
      <c r="AD117" s="6">
        <f t="array" ref="AD117">IFERROR((M117-AVERAGEIF($G$2:$G$462,G117,$M$2:$M$462))/_xlfn.STDEV.P(IF($G$2:$G$462=G117,$M$2:$M$462)),0)</f>
        <v/>
      </c>
      <c r="AE117" s="6">
        <f t="array" ref="AE117">IFERROR((N117-AVERAGEIF($G$2:$G$462,G117,$N$2:$N$462))/_xlfn.STDEV.P(IF($G$2:$G$462=G117,$N$2:$N$462)),0)</f>
        <v/>
      </c>
      <c r="AF117" s="6">
        <f t="array" ref="AF117">IFERROR((O117-AVERAGEIF($G$2:$G$462,G117,$O$2:$O$462))/_xlfn.STDEV.P(IF($G$2:$G$462=G117,$O$2:$O$462)),0)</f>
        <v/>
      </c>
      <c r="AG117" s="6">
        <f t="array" ref="AG117">IFERROR((P117-AVERAGEIF($G$2:$G$462,G117,$P$2:$P$462))/_xlfn.STDEV.P(IF($G$2:$G$462=G117,$P$2:$P$462)),0)</f>
        <v/>
      </c>
      <c r="AH117" s="6">
        <f t="array" ref="AH117">IFERROR((R117-AVERAGEIF($G$2:$G$462,G117,$R$2:$R$462))/_xlfn.STDEV.P(IF($G$2:$G$462=G117,$R$2:$R$462)),0)</f>
        <v/>
      </c>
      <c r="AI117" s="6">
        <f>IFERROR((AC117+AD117+AE117+AF117+AG117+AH117)/6,0)</f>
        <v/>
      </c>
    </row>
    <row r="118">
      <c r="A118" s="2">
        <f>IF(BD_Carga!A119&lt;&gt;"",BD_Carga!A119,"")</f>
        <v/>
      </c>
      <c r="B118">
        <f>IF(A118&lt;&gt;"",YEAR(A118),"")</f>
        <v/>
      </c>
      <c r="C118">
        <f>IF(A118&lt;&gt;"",MONTH(A118),"")</f>
        <v/>
      </c>
      <c r="D118">
        <f>IF(A118&lt;&gt;"",_xlfn.ISOWEEKNUM(A118),"")</f>
        <v/>
      </c>
      <c r="E118">
        <f>IF(A118&lt;&gt;"",TEXT(A118,"dddd"),"")</f>
        <v/>
      </c>
      <c r="F118">
        <f>IF(BD_Carga!C119&lt;&gt;"",BD_Carga!C119,"")</f>
        <v/>
      </c>
      <c r="G118">
        <f>IF(BD_Carga!D119&lt;&gt;"",BD_Carga!D119,"")</f>
        <v/>
      </c>
      <c r="H118">
        <f>IF(BD_Carga!Q119&lt;&gt;"",BD_Carga!Q119,"")</f>
        <v/>
      </c>
      <c r="I118">
        <f>IF(BD_Carga!R119&lt;&gt;"",BD_Carga!R119,"")</f>
        <v/>
      </c>
      <c r="J118">
        <f>IF(BD_Carga!S119&lt;&gt;"",BD_Carga!S119,"")</f>
        <v/>
      </c>
      <c r="K118" s="4">
        <f>IF(BD_Carga!E119&lt;&gt;"",BD_Carga!E119,0)</f>
        <v/>
      </c>
      <c r="L118" s="4">
        <f>IF(BD_Carga!F119&lt;&gt;"",BD_Carga!F119,0)</f>
        <v/>
      </c>
      <c r="M118" s="4">
        <f>IF(BD_Carga!G119&lt;&gt;"",BD_Carga!G119,0)</f>
        <v/>
      </c>
      <c r="N118" s="4">
        <f>IF(BD_Carga!H119&lt;&gt;"",BD_Carga!H119,0)</f>
        <v/>
      </c>
      <c r="O118" s="4">
        <f>IF(BD_Carga!I119&lt;&gt;"",BD_Carga!I119,0)</f>
        <v/>
      </c>
      <c r="P118" s="4">
        <f>IF(BD_Carga!J119&lt;&gt;"",BD_Carga!J119,0)</f>
        <v/>
      </c>
      <c r="Q118" s="5">
        <f>IF(BD_Carga!K119&lt;&gt;"",BD_Carga!K119,0)</f>
        <v/>
      </c>
      <c r="R118" s="5">
        <f>IF(BD_Carga!L119&lt;&gt;"",BD_Carga!L119,0)</f>
        <v/>
      </c>
      <c r="S118">
        <f>IF(BD_Carga!N119&lt;&gt;"",BD_Carga!N119,0)</f>
        <v/>
      </c>
      <c r="T118">
        <f>IF(BD_Carga!O119&lt;&gt;"",BD_Carga!O119,0)</f>
        <v/>
      </c>
      <c r="U118">
        <f>IF(BD_Carga!P119&lt;&gt;"",BD_Carga!P119,0)</f>
        <v/>
      </c>
      <c r="V118">
        <f>IF(BD_Carga!U119&lt;&gt;"",BD_Carga!U119,0)</f>
        <v/>
      </c>
      <c r="W118">
        <f>IF(BD_Carga!T119&lt;&gt;"",BD_Carga!T119,0)</f>
        <v/>
      </c>
      <c r="X118">
        <f>IF(BD_Carga!W119&lt;&gt;"",BD_Carga!W119,0)</f>
        <v/>
      </c>
      <c r="Y118">
        <f>IF(BD_Carga!X119&lt;&gt;"",BD_Carga!X119,0)</f>
        <v/>
      </c>
      <c r="Z118">
        <f>IF(BD_Carga!Y119&lt;&gt;"",BD_Carga!Y119,0)</f>
        <v/>
      </c>
      <c r="AA118">
        <f>IF(BD_Carga!Z119&lt;&gt;"",BD_Carga!Z119,0)</f>
        <v/>
      </c>
      <c r="AB118">
        <f>IF(BD_Carga!AA119&lt;&gt;"",BD_Carga!AA119,0)</f>
        <v/>
      </c>
      <c r="AC118" s="6">
        <f t="array" ref="AC118">IFERROR((L118-AVERAGEIF($G$2:$G$462,G118,$L$2:$L$462))/_xlfn.STDEV.P(IF($G$2:$G$462=G118,$L$2:$L$462)),0)</f>
        <v/>
      </c>
      <c r="AD118" s="6">
        <f t="array" ref="AD118">IFERROR((M118-AVERAGEIF($G$2:$G$462,G118,$M$2:$M$462))/_xlfn.STDEV.P(IF($G$2:$G$462=G118,$M$2:$M$462)),0)</f>
        <v/>
      </c>
      <c r="AE118" s="6">
        <f t="array" ref="AE118">IFERROR((N118-AVERAGEIF($G$2:$G$462,G118,$N$2:$N$462))/_xlfn.STDEV.P(IF($G$2:$G$462=G118,$N$2:$N$462)),0)</f>
        <v/>
      </c>
      <c r="AF118" s="6">
        <f t="array" ref="AF118">IFERROR((O118-AVERAGEIF($G$2:$G$462,G118,$O$2:$O$462))/_xlfn.STDEV.P(IF($G$2:$G$462=G118,$O$2:$O$462)),0)</f>
        <v/>
      </c>
      <c r="AG118" s="6">
        <f t="array" ref="AG118">IFERROR((P118-AVERAGEIF($G$2:$G$462,G118,$P$2:$P$462))/_xlfn.STDEV.P(IF($G$2:$G$462=G118,$P$2:$P$462)),0)</f>
        <v/>
      </c>
      <c r="AH118" s="6">
        <f t="array" ref="AH118">IFERROR((R118-AVERAGEIF($G$2:$G$462,G118,$R$2:$R$462))/_xlfn.STDEV.P(IF($G$2:$G$462=G118,$R$2:$R$462)),0)</f>
        <v/>
      </c>
      <c r="AI118" s="6">
        <f>IFERROR((AC118+AD118+AE118+AF118+AG118+AH118)/6,0)</f>
        <v/>
      </c>
    </row>
    <row r="119">
      <c r="A119" s="2">
        <f>IF(BD_Carga!A120&lt;&gt;"",BD_Carga!A120,"")</f>
        <v/>
      </c>
      <c r="B119">
        <f>IF(A119&lt;&gt;"",YEAR(A119),"")</f>
        <v/>
      </c>
      <c r="C119">
        <f>IF(A119&lt;&gt;"",MONTH(A119),"")</f>
        <v/>
      </c>
      <c r="D119">
        <f>IF(A119&lt;&gt;"",_xlfn.ISOWEEKNUM(A119),"")</f>
        <v/>
      </c>
      <c r="E119">
        <f>IF(A119&lt;&gt;"",TEXT(A119,"dddd"),"")</f>
        <v/>
      </c>
      <c r="F119">
        <f>IF(BD_Carga!C120&lt;&gt;"",BD_Carga!C120,"")</f>
        <v/>
      </c>
      <c r="G119">
        <f>IF(BD_Carga!D120&lt;&gt;"",BD_Carga!D120,"")</f>
        <v/>
      </c>
      <c r="H119">
        <f>IF(BD_Carga!Q120&lt;&gt;"",BD_Carga!Q120,"")</f>
        <v/>
      </c>
      <c r="I119">
        <f>IF(BD_Carga!R120&lt;&gt;"",BD_Carga!R120,"")</f>
        <v/>
      </c>
      <c r="J119">
        <f>IF(BD_Carga!S120&lt;&gt;"",BD_Carga!S120,"")</f>
        <v/>
      </c>
      <c r="K119" s="4">
        <f>IF(BD_Carga!E120&lt;&gt;"",BD_Carga!E120,0)</f>
        <v/>
      </c>
      <c r="L119" s="4">
        <f>IF(BD_Carga!F120&lt;&gt;"",BD_Carga!F120,0)</f>
        <v/>
      </c>
      <c r="M119" s="4">
        <f>IF(BD_Carga!G120&lt;&gt;"",BD_Carga!G120,0)</f>
        <v/>
      </c>
      <c r="N119" s="4">
        <f>IF(BD_Carga!H120&lt;&gt;"",BD_Carga!H120,0)</f>
        <v/>
      </c>
      <c r="O119" s="4">
        <f>IF(BD_Carga!I120&lt;&gt;"",BD_Carga!I120,0)</f>
        <v/>
      </c>
      <c r="P119" s="4">
        <f>IF(BD_Carga!J120&lt;&gt;"",BD_Carga!J120,0)</f>
        <v/>
      </c>
      <c r="Q119" s="5">
        <f>IF(BD_Carga!K120&lt;&gt;"",BD_Carga!K120,0)</f>
        <v/>
      </c>
      <c r="R119" s="5">
        <f>IF(BD_Carga!L120&lt;&gt;"",BD_Carga!L120,0)</f>
        <v/>
      </c>
      <c r="S119">
        <f>IF(BD_Carga!N120&lt;&gt;"",BD_Carga!N120,0)</f>
        <v/>
      </c>
      <c r="T119">
        <f>IF(BD_Carga!O120&lt;&gt;"",BD_Carga!O120,0)</f>
        <v/>
      </c>
      <c r="U119">
        <f>IF(BD_Carga!P120&lt;&gt;"",BD_Carga!P120,0)</f>
        <v/>
      </c>
      <c r="V119">
        <f>IF(BD_Carga!U120&lt;&gt;"",BD_Carga!U120,0)</f>
        <v/>
      </c>
      <c r="W119">
        <f>IF(BD_Carga!T120&lt;&gt;"",BD_Carga!T120,0)</f>
        <v/>
      </c>
      <c r="X119">
        <f>IF(BD_Carga!W120&lt;&gt;"",BD_Carga!W120,0)</f>
        <v/>
      </c>
      <c r="Y119">
        <f>IF(BD_Carga!X120&lt;&gt;"",BD_Carga!X120,0)</f>
        <v/>
      </c>
      <c r="Z119">
        <f>IF(BD_Carga!Y120&lt;&gt;"",BD_Carga!Y120,0)</f>
        <v/>
      </c>
      <c r="AA119">
        <f>IF(BD_Carga!Z120&lt;&gt;"",BD_Carga!Z120,0)</f>
        <v/>
      </c>
      <c r="AB119">
        <f>IF(BD_Carga!AA120&lt;&gt;"",BD_Carga!AA120,0)</f>
        <v/>
      </c>
      <c r="AC119" s="6">
        <f t="array" ref="AC119">IFERROR((L119-AVERAGEIF($G$2:$G$462,G119,$L$2:$L$462))/_xlfn.STDEV.P(IF($G$2:$G$462=G119,$L$2:$L$462)),0)</f>
        <v/>
      </c>
      <c r="AD119" s="6">
        <f t="array" ref="AD119">IFERROR((M119-AVERAGEIF($G$2:$G$462,G119,$M$2:$M$462))/_xlfn.STDEV.P(IF($G$2:$G$462=G119,$M$2:$M$462)),0)</f>
        <v/>
      </c>
      <c r="AE119" s="6">
        <f t="array" ref="AE119">IFERROR((N119-AVERAGEIF($G$2:$G$462,G119,$N$2:$N$462))/_xlfn.STDEV.P(IF($G$2:$G$462=G119,$N$2:$N$462)),0)</f>
        <v/>
      </c>
      <c r="AF119" s="6">
        <f t="array" ref="AF119">IFERROR((O119-AVERAGEIF($G$2:$G$462,G119,$O$2:$O$462))/_xlfn.STDEV.P(IF($G$2:$G$462=G119,$O$2:$O$462)),0)</f>
        <v/>
      </c>
      <c r="AG119" s="6">
        <f t="array" ref="AG119">IFERROR((P119-AVERAGEIF($G$2:$G$462,G119,$P$2:$P$462))/_xlfn.STDEV.P(IF($G$2:$G$462=G119,$P$2:$P$462)),0)</f>
        <v/>
      </c>
      <c r="AH119" s="6">
        <f t="array" ref="AH119">IFERROR((R119-AVERAGEIF($G$2:$G$462,G119,$R$2:$R$462))/_xlfn.STDEV.P(IF($G$2:$G$462=G119,$R$2:$R$462)),0)</f>
        <v/>
      </c>
      <c r="AI119" s="6">
        <f>IFERROR((AC119+AD119+AE119+AF119+AG119+AH119)/6,0)</f>
        <v/>
      </c>
    </row>
    <row r="120">
      <c r="A120" s="2">
        <f>IF(BD_Carga!A121&lt;&gt;"",BD_Carga!A121,"")</f>
        <v/>
      </c>
      <c r="B120">
        <f>IF(A120&lt;&gt;"",YEAR(A120),"")</f>
        <v/>
      </c>
      <c r="C120">
        <f>IF(A120&lt;&gt;"",MONTH(A120),"")</f>
        <v/>
      </c>
      <c r="D120">
        <f>IF(A120&lt;&gt;"",_xlfn.ISOWEEKNUM(A120),"")</f>
        <v/>
      </c>
      <c r="E120">
        <f>IF(A120&lt;&gt;"",TEXT(A120,"dddd"),"")</f>
        <v/>
      </c>
      <c r="F120">
        <f>IF(BD_Carga!C121&lt;&gt;"",BD_Carga!C121,"")</f>
        <v/>
      </c>
      <c r="G120">
        <f>IF(BD_Carga!D121&lt;&gt;"",BD_Carga!D121,"")</f>
        <v/>
      </c>
      <c r="H120">
        <f>IF(BD_Carga!Q121&lt;&gt;"",BD_Carga!Q121,"")</f>
        <v/>
      </c>
      <c r="I120">
        <f>IF(BD_Carga!R121&lt;&gt;"",BD_Carga!R121,"")</f>
        <v/>
      </c>
      <c r="J120">
        <f>IF(BD_Carga!S121&lt;&gt;"",BD_Carga!S121,"")</f>
        <v/>
      </c>
      <c r="K120" s="4">
        <f>IF(BD_Carga!E121&lt;&gt;"",BD_Carga!E121,0)</f>
        <v/>
      </c>
      <c r="L120" s="4">
        <f>IF(BD_Carga!F121&lt;&gt;"",BD_Carga!F121,0)</f>
        <v/>
      </c>
      <c r="M120" s="4">
        <f>IF(BD_Carga!G121&lt;&gt;"",BD_Carga!G121,0)</f>
        <v/>
      </c>
      <c r="N120" s="4">
        <f>IF(BD_Carga!H121&lt;&gt;"",BD_Carga!H121,0)</f>
        <v/>
      </c>
      <c r="O120" s="4">
        <f>IF(BD_Carga!I121&lt;&gt;"",BD_Carga!I121,0)</f>
        <v/>
      </c>
      <c r="P120" s="4">
        <f>IF(BD_Carga!J121&lt;&gt;"",BD_Carga!J121,0)</f>
        <v/>
      </c>
      <c r="Q120" s="5">
        <f>IF(BD_Carga!K121&lt;&gt;"",BD_Carga!K121,0)</f>
        <v/>
      </c>
      <c r="R120" s="5">
        <f>IF(BD_Carga!L121&lt;&gt;"",BD_Carga!L121,0)</f>
        <v/>
      </c>
      <c r="S120">
        <f>IF(BD_Carga!N121&lt;&gt;"",BD_Carga!N121,0)</f>
        <v/>
      </c>
      <c r="T120">
        <f>IF(BD_Carga!O121&lt;&gt;"",BD_Carga!O121,0)</f>
        <v/>
      </c>
      <c r="U120">
        <f>IF(BD_Carga!P121&lt;&gt;"",BD_Carga!P121,0)</f>
        <v/>
      </c>
      <c r="V120">
        <f>IF(BD_Carga!U121&lt;&gt;"",BD_Carga!U121,0)</f>
        <v/>
      </c>
      <c r="W120">
        <f>IF(BD_Carga!T121&lt;&gt;"",BD_Carga!T121,0)</f>
        <v/>
      </c>
      <c r="X120">
        <f>IF(BD_Carga!W121&lt;&gt;"",BD_Carga!W121,0)</f>
        <v/>
      </c>
      <c r="Y120">
        <f>IF(BD_Carga!X121&lt;&gt;"",BD_Carga!X121,0)</f>
        <v/>
      </c>
      <c r="Z120">
        <f>IF(BD_Carga!Y121&lt;&gt;"",BD_Carga!Y121,0)</f>
        <v/>
      </c>
      <c r="AA120">
        <f>IF(BD_Carga!Z121&lt;&gt;"",BD_Carga!Z121,0)</f>
        <v/>
      </c>
      <c r="AB120">
        <f>IF(BD_Carga!AA121&lt;&gt;"",BD_Carga!AA121,0)</f>
        <v/>
      </c>
      <c r="AC120" s="6">
        <f t="array" ref="AC120">IFERROR((L120-AVERAGEIF($G$2:$G$462,G120,$L$2:$L$462))/_xlfn.STDEV.P(IF($G$2:$G$462=G120,$L$2:$L$462)),0)</f>
        <v/>
      </c>
      <c r="AD120" s="6">
        <f t="array" ref="AD120">IFERROR((M120-AVERAGEIF($G$2:$G$462,G120,$M$2:$M$462))/_xlfn.STDEV.P(IF($G$2:$G$462=G120,$M$2:$M$462)),0)</f>
        <v/>
      </c>
      <c r="AE120" s="6">
        <f t="array" ref="AE120">IFERROR((N120-AVERAGEIF($G$2:$G$462,G120,$N$2:$N$462))/_xlfn.STDEV.P(IF($G$2:$G$462=G120,$N$2:$N$462)),0)</f>
        <v/>
      </c>
      <c r="AF120" s="6">
        <f t="array" ref="AF120">IFERROR((O120-AVERAGEIF($G$2:$G$462,G120,$O$2:$O$462))/_xlfn.STDEV.P(IF($G$2:$G$462=G120,$O$2:$O$462)),0)</f>
        <v/>
      </c>
      <c r="AG120" s="6">
        <f t="array" ref="AG120">IFERROR((P120-AVERAGEIF($G$2:$G$462,G120,$P$2:$P$462))/_xlfn.STDEV.P(IF($G$2:$G$462=G120,$P$2:$P$462)),0)</f>
        <v/>
      </c>
      <c r="AH120" s="6">
        <f t="array" ref="AH120">IFERROR((R120-AVERAGEIF($G$2:$G$462,G120,$R$2:$R$462))/_xlfn.STDEV.P(IF($G$2:$G$462=G120,$R$2:$R$462)),0)</f>
        <v/>
      </c>
      <c r="AI120" s="6">
        <f>IFERROR((AC120+AD120+AE120+AF120+AG120+AH120)/6,0)</f>
        <v/>
      </c>
    </row>
    <row r="121">
      <c r="A121" s="2">
        <f>IF(BD_Carga!A122&lt;&gt;"",BD_Carga!A122,"")</f>
        <v/>
      </c>
      <c r="B121">
        <f>IF(A121&lt;&gt;"",YEAR(A121),"")</f>
        <v/>
      </c>
      <c r="C121">
        <f>IF(A121&lt;&gt;"",MONTH(A121),"")</f>
        <v/>
      </c>
      <c r="D121">
        <f>IF(A121&lt;&gt;"",_xlfn.ISOWEEKNUM(A121),"")</f>
        <v/>
      </c>
      <c r="E121">
        <f>IF(A121&lt;&gt;"",TEXT(A121,"dddd"),"")</f>
        <v/>
      </c>
      <c r="F121">
        <f>IF(BD_Carga!C122&lt;&gt;"",BD_Carga!C122,"")</f>
        <v/>
      </c>
      <c r="G121">
        <f>IF(BD_Carga!D122&lt;&gt;"",BD_Carga!D122,"")</f>
        <v/>
      </c>
      <c r="H121">
        <f>IF(BD_Carga!Q122&lt;&gt;"",BD_Carga!Q122,"")</f>
        <v/>
      </c>
      <c r="I121">
        <f>IF(BD_Carga!R122&lt;&gt;"",BD_Carga!R122,"")</f>
        <v/>
      </c>
      <c r="J121">
        <f>IF(BD_Carga!S122&lt;&gt;"",BD_Carga!S122,"")</f>
        <v/>
      </c>
      <c r="K121" s="4">
        <f>IF(BD_Carga!E122&lt;&gt;"",BD_Carga!E122,0)</f>
        <v/>
      </c>
      <c r="L121" s="4">
        <f>IF(BD_Carga!F122&lt;&gt;"",BD_Carga!F122,0)</f>
        <v/>
      </c>
      <c r="M121" s="4">
        <f>IF(BD_Carga!G122&lt;&gt;"",BD_Carga!G122,0)</f>
        <v/>
      </c>
      <c r="N121" s="4">
        <f>IF(BD_Carga!H122&lt;&gt;"",BD_Carga!H122,0)</f>
        <v/>
      </c>
      <c r="O121" s="4">
        <f>IF(BD_Carga!I122&lt;&gt;"",BD_Carga!I122,0)</f>
        <v/>
      </c>
      <c r="P121" s="4">
        <f>IF(BD_Carga!J122&lt;&gt;"",BD_Carga!J122,0)</f>
        <v/>
      </c>
      <c r="Q121" s="5">
        <f>IF(BD_Carga!K122&lt;&gt;"",BD_Carga!K122,0)</f>
        <v/>
      </c>
      <c r="R121" s="5">
        <f>IF(BD_Carga!L122&lt;&gt;"",BD_Carga!L122,0)</f>
        <v/>
      </c>
      <c r="S121">
        <f>IF(BD_Carga!N122&lt;&gt;"",BD_Carga!N122,0)</f>
        <v/>
      </c>
      <c r="T121">
        <f>IF(BD_Carga!O122&lt;&gt;"",BD_Carga!O122,0)</f>
        <v/>
      </c>
      <c r="U121">
        <f>IF(BD_Carga!P122&lt;&gt;"",BD_Carga!P122,0)</f>
        <v/>
      </c>
      <c r="V121">
        <f>IF(BD_Carga!U122&lt;&gt;"",BD_Carga!U122,0)</f>
        <v/>
      </c>
      <c r="W121">
        <f>IF(BD_Carga!T122&lt;&gt;"",BD_Carga!T122,0)</f>
        <v/>
      </c>
      <c r="X121">
        <f>IF(BD_Carga!W122&lt;&gt;"",BD_Carga!W122,0)</f>
        <v/>
      </c>
      <c r="Y121">
        <f>IF(BD_Carga!X122&lt;&gt;"",BD_Carga!X122,0)</f>
        <v/>
      </c>
      <c r="Z121">
        <f>IF(BD_Carga!Y122&lt;&gt;"",BD_Carga!Y122,0)</f>
        <v/>
      </c>
      <c r="AA121">
        <f>IF(BD_Carga!Z122&lt;&gt;"",BD_Carga!Z122,0)</f>
        <v/>
      </c>
      <c r="AB121">
        <f>IF(BD_Carga!AA122&lt;&gt;"",BD_Carga!AA122,0)</f>
        <v/>
      </c>
      <c r="AC121" s="6">
        <f t="array" ref="AC121">IFERROR((L121-AVERAGEIF($G$2:$G$462,G121,$L$2:$L$462))/_xlfn.STDEV.P(IF($G$2:$G$462=G121,$L$2:$L$462)),0)</f>
        <v/>
      </c>
      <c r="AD121" s="6">
        <f t="array" ref="AD121">IFERROR((M121-AVERAGEIF($G$2:$G$462,G121,$M$2:$M$462))/_xlfn.STDEV.P(IF($G$2:$G$462=G121,$M$2:$M$462)),0)</f>
        <v/>
      </c>
      <c r="AE121" s="6">
        <f t="array" ref="AE121">IFERROR((N121-AVERAGEIF($G$2:$G$462,G121,$N$2:$N$462))/_xlfn.STDEV.P(IF($G$2:$G$462=G121,$N$2:$N$462)),0)</f>
        <v/>
      </c>
      <c r="AF121" s="6">
        <f t="array" ref="AF121">IFERROR((O121-AVERAGEIF($G$2:$G$462,G121,$O$2:$O$462))/_xlfn.STDEV.P(IF($G$2:$G$462=G121,$O$2:$O$462)),0)</f>
        <v/>
      </c>
      <c r="AG121" s="6">
        <f t="array" ref="AG121">IFERROR((P121-AVERAGEIF($G$2:$G$462,G121,$P$2:$P$462))/_xlfn.STDEV.P(IF($G$2:$G$462=G121,$P$2:$P$462)),0)</f>
        <v/>
      </c>
      <c r="AH121" s="6">
        <f t="array" ref="AH121">IFERROR((R121-AVERAGEIF($G$2:$G$462,G121,$R$2:$R$462))/_xlfn.STDEV.P(IF($G$2:$G$462=G121,$R$2:$R$462)),0)</f>
        <v/>
      </c>
      <c r="AI121" s="6">
        <f>IFERROR((AC121+AD121+AE121+AF121+AG121+AH121)/6,0)</f>
        <v/>
      </c>
    </row>
    <row r="122">
      <c r="A122" s="2">
        <f>IF(BD_Carga!A123&lt;&gt;"",BD_Carga!A123,"")</f>
        <v/>
      </c>
      <c r="B122">
        <f>IF(A122&lt;&gt;"",YEAR(A122),"")</f>
        <v/>
      </c>
      <c r="C122">
        <f>IF(A122&lt;&gt;"",MONTH(A122),"")</f>
        <v/>
      </c>
      <c r="D122">
        <f>IF(A122&lt;&gt;"",_xlfn.ISOWEEKNUM(A122),"")</f>
        <v/>
      </c>
      <c r="E122">
        <f>IF(A122&lt;&gt;"",TEXT(A122,"dddd"),"")</f>
        <v/>
      </c>
      <c r="F122">
        <f>IF(BD_Carga!C123&lt;&gt;"",BD_Carga!C123,"")</f>
        <v/>
      </c>
      <c r="G122">
        <f>IF(BD_Carga!D123&lt;&gt;"",BD_Carga!D123,"")</f>
        <v/>
      </c>
      <c r="H122">
        <f>IF(BD_Carga!Q123&lt;&gt;"",BD_Carga!Q123,"")</f>
        <v/>
      </c>
      <c r="I122">
        <f>IF(BD_Carga!R123&lt;&gt;"",BD_Carga!R123,"")</f>
        <v/>
      </c>
      <c r="J122">
        <f>IF(BD_Carga!S123&lt;&gt;"",BD_Carga!S123,"")</f>
        <v/>
      </c>
      <c r="K122" s="4">
        <f>IF(BD_Carga!E123&lt;&gt;"",BD_Carga!E123,0)</f>
        <v/>
      </c>
      <c r="L122" s="4">
        <f>IF(BD_Carga!F123&lt;&gt;"",BD_Carga!F123,0)</f>
        <v/>
      </c>
      <c r="M122" s="4">
        <f>IF(BD_Carga!G123&lt;&gt;"",BD_Carga!G123,0)</f>
        <v/>
      </c>
      <c r="N122" s="4">
        <f>IF(BD_Carga!H123&lt;&gt;"",BD_Carga!H123,0)</f>
        <v/>
      </c>
      <c r="O122" s="4">
        <f>IF(BD_Carga!I123&lt;&gt;"",BD_Carga!I123,0)</f>
        <v/>
      </c>
      <c r="P122" s="4">
        <f>IF(BD_Carga!J123&lt;&gt;"",BD_Carga!J123,0)</f>
        <v/>
      </c>
      <c r="Q122" s="5">
        <f>IF(BD_Carga!K123&lt;&gt;"",BD_Carga!K123,0)</f>
        <v/>
      </c>
      <c r="R122" s="5">
        <f>IF(BD_Carga!L123&lt;&gt;"",BD_Carga!L123,0)</f>
        <v/>
      </c>
      <c r="S122">
        <f>IF(BD_Carga!N123&lt;&gt;"",BD_Carga!N123,0)</f>
        <v/>
      </c>
      <c r="T122">
        <f>IF(BD_Carga!O123&lt;&gt;"",BD_Carga!O123,0)</f>
        <v/>
      </c>
      <c r="U122">
        <f>IF(BD_Carga!P123&lt;&gt;"",BD_Carga!P123,0)</f>
        <v/>
      </c>
      <c r="V122">
        <f>IF(BD_Carga!U123&lt;&gt;"",BD_Carga!U123,0)</f>
        <v/>
      </c>
      <c r="W122">
        <f>IF(BD_Carga!T123&lt;&gt;"",BD_Carga!T123,0)</f>
        <v/>
      </c>
      <c r="X122">
        <f>IF(BD_Carga!W123&lt;&gt;"",BD_Carga!W123,0)</f>
        <v/>
      </c>
      <c r="Y122">
        <f>IF(BD_Carga!X123&lt;&gt;"",BD_Carga!X123,0)</f>
        <v/>
      </c>
      <c r="Z122">
        <f>IF(BD_Carga!Y123&lt;&gt;"",BD_Carga!Y123,0)</f>
        <v/>
      </c>
      <c r="AA122">
        <f>IF(BD_Carga!Z123&lt;&gt;"",BD_Carga!Z123,0)</f>
        <v/>
      </c>
      <c r="AB122">
        <f>IF(BD_Carga!AA123&lt;&gt;"",BD_Carga!AA123,0)</f>
        <v/>
      </c>
      <c r="AC122" s="6">
        <f t="array" ref="AC122">IFERROR((L122-AVERAGEIF($G$2:$G$462,G122,$L$2:$L$462))/_xlfn.STDEV.P(IF($G$2:$G$462=G122,$L$2:$L$462)),0)</f>
        <v/>
      </c>
      <c r="AD122" s="6">
        <f t="array" ref="AD122">IFERROR((M122-AVERAGEIF($G$2:$G$462,G122,$M$2:$M$462))/_xlfn.STDEV.P(IF($G$2:$G$462=G122,$M$2:$M$462)),0)</f>
        <v/>
      </c>
      <c r="AE122" s="6">
        <f t="array" ref="AE122">IFERROR((N122-AVERAGEIF($G$2:$G$462,G122,$N$2:$N$462))/_xlfn.STDEV.P(IF($G$2:$G$462=G122,$N$2:$N$462)),0)</f>
        <v/>
      </c>
      <c r="AF122" s="6">
        <f t="array" ref="AF122">IFERROR((O122-AVERAGEIF($G$2:$G$462,G122,$O$2:$O$462))/_xlfn.STDEV.P(IF($G$2:$G$462=G122,$O$2:$O$462)),0)</f>
        <v/>
      </c>
      <c r="AG122" s="6">
        <f t="array" ref="AG122">IFERROR((P122-AVERAGEIF($G$2:$G$462,G122,$P$2:$P$462))/_xlfn.STDEV.P(IF($G$2:$G$462=G122,$P$2:$P$462)),0)</f>
        <v/>
      </c>
      <c r="AH122" s="6">
        <f t="array" ref="AH122">IFERROR((R122-AVERAGEIF($G$2:$G$462,G122,$R$2:$R$462))/_xlfn.STDEV.P(IF($G$2:$G$462=G122,$R$2:$R$462)),0)</f>
        <v/>
      </c>
      <c r="AI122" s="6">
        <f>IFERROR((AC122+AD122+AE122+AF122+AG122+AH122)/6,0)</f>
        <v/>
      </c>
    </row>
    <row r="123">
      <c r="A123" s="2">
        <f>IF(BD_Carga!A124&lt;&gt;"",BD_Carga!A124,"")</f>
        <v/>
      </c>
      <c r="B123">
        <f>IF(A123&lt;&gt;"",YEAR(A123),"")</f>
        <v/>
      </c>
      <c r="C123">
        <f>IF(A123&lt;&gt;"",MONTH(A123),"")</f>
        <v/>
      </c>
      <c r="D123">
        <f>IF(A123&lt;&gt;"",_xlfn.ISOWEEKNUM(A123),"")</f>
        <v/>
      </c>
      <c r="E123">
        <f>IF(A123&lt;&gt;"",TEXT(A123,"dddd"),"")</f>
        <v/>
      </c>
      <c r="F123">
        <f>IF(BD_Carga!C124&lt;&gt;"",BD_Carga!C124,"")</f>
        <v/>
      </c>
      <c r="G123">
        <f>IF(BD_Carga!D124&lt;&gt;"",BD_Carga!D124,"")</f>
        <v/>
      </c>
      <c r="H123">
        <f>IF(BD_Carga!Q124&lt;&gt;"",BD_Carga!Q124,"")</f>
        <v/>
      </c>
      <c r="I123">
        <f>IF(BD_Carga!R124&lt;&gt;"",BD_Carga!R124,"")</f>
        <v/>
      </c>
      <c r="J123">
        <f>IF(BD_Carga!S124&lt;&gt;"",BD_Carga!S124,"")</f>
        <v/>
      </c>
      <c r="K123" s="4">
        <f>IF(BD_Carga!E124&lt;&gt;"",BD_Carga!E124,0)</f>
        <v/>
      </c>
      <c r="L123" s="4">
        <f>IF(BD_Carga!F124&lt;&gt;"",BD_Carga!F124,0)</f>
        <v/>
      </c>
      <c r="M123" s="4">
        <f>IF(BD_Carga!G124&lt;&gt;"",BD_Carga!G124,0)</f>
        <v/>
      </c>
      <c r="N123" s="4">
        <f>IF(BD_Carga!H124&lt;&gt;"",BD_Carga!H124,0)</f>
        <v/>
      </c>
      <c r="O123" s="4">
        <f>IF(BD_Carga!I124&lt;&gt;"",BD_Carga!I124,0)</f>
        <v/>
      </c>
      <c r="P123" s="4">
        <f>IF(BD_Carga!J124&lt;&gt;"",BD_Carga!J124,0)</f>
        <v/>
      </c>
      <c r="Q123" s="5">
        <f>IF(BD_Carga!K124&lt;&gt;"",BD_Carga!K124,0)</f>
        <v/>
      </c>
      <c r="R123" s="5">
        <f>IF(BD_Carga!L124&lt;&gt;"",BD_Carga!L124,0)</f>
        <v/>
      </c>
      <c r="S123">
        <f>IF(BD_Carga!N124&lt;&gt;"",BD_Carga!N124,0)</f>
        <v/>
      </c>
      <c r="T123">
        <f>IF(BD_Carga!O124&lt;&gt;"",BD_Carga!O124,0)</f>
        <v/>
      </c>
      <c r="U123">
        <f>IF(BD_Carga!P124&lt;&gt;"",BD_Carga!P124,0)</f>
        <v/>
      </c>
      <c r="V123">
        <f>IF(BD_Carga!U124&lt;&gt;"",BD_Carga!U124,0)</f>
        <v/>
      </c>
      <c r="W123">
        <f>IF(BD_Carga!T124&lt;&gt;"",BD_Carga!T124,0)</f>
        <v/>
      </c>
      <c r="X123">
        <f>IF(BD_Carga!W124&lt;&gt;"",BD_Carga!W124,0)</f>
        <v/>
      </c>
      <c r="Y123">
        <f>IF(BD_Carga!X124&lt;&gt;"",BD_Carga!X124,0)</f>
        <v/>
      </c>
      <c r="Z123">
        <f>IF(BD_Carga!Y124&lt;&gt;"",BD_Carga!Y124,0)</f>
        <v/>
      </c>
      <c r="AA123">
        <f>IF(BD_Carga!Z124&lt;&gt;"",BD_Carga!Z124,0)</f>
        <v/>
      </c>
      <c r="AB123">
        <f>IF(BD_Carga!AA124&lt;&gt;"",BD_Carga!AA124,0)</f>
        <v/>
      </c>
      <c r="AC123" s="6">
        <f t="array" ref="AC123">IFERROR((L123-AVERAGEIF($G$2:$G$462,G123,$L$2:$L$462))/_xlfn.STDEV.P(IF($G$2:$G$462=G123,$L$2:$L$462)),0)</f>
        <v/>
      </c>
      <c r="AD123" s="6">
        <f t="array" ref="AD123">IFERROR((M123-AVERAGEIF($G$2:$G$462,G123,$M$2:$M$462))/_xlfn.STDEV.P(IF($G$2:$G$462=G123,$M$2:$M$462)),0)</f>
        <v/>
      </c>
      <c r="AE123" s="6">
        <f t="array" ref="AE123">IFERROR((N123-AVERAGEIF($G$2:$G$462,G123,$N$2:$N$462))/_xlfn.STDEV.P(IF($G$2:$G$462=G123,$N$2:$N$462)),0)</f>
        <v/>
      </c>
      <c r="AF123" s="6">
        <f t="array" ref="AF123">IFERROR((O123-AVERAGEIF($G$2:$G$462,G123,$O$2:$O$462))/_xlfn.STDEV.P(IF($G$2:$G$462=G123,$O$2:$O$462)),0)</f>
        <v/>
      </c>
      <c r="AG123" s="6">
        <f t="array" ref="AG123">IFERROR((P123-AVERAGEIF($G$2:$G$462,G123,$P$2:$P$462))/_xlfn.STDEV.P(IF($G$2:$G$462=G123,$P$2:$P$462)),0)</f>
        <v/>
      </c>
      <c r="AH123" s="6">
        <f t="array" ref="AH123">IFERROR((R123-AVERAGEIF($G$2:$G$462,G123,$R$2:$R$462))/_xlfn.STDEV.P(IF($G$2:$G$462=G123,$R$2:$R$462)),0)</f>
        <v/>
      </c>
      <c r="AI123" s="6">
        <f>IFERROR((AC123+AD123+AE123+AF123+AG123+AH123)/6,0)</f>
        <v/>
      </c>
    </row>
    <row r="124">
      <c r="A124" s="2">
        <f>IF(BD_Carga!A125&lt;&gt;"",BD_Carga!A125,"")</f>
        <v/>
      </c>
      <c r="B124">
        <f>IF(A124&lt;&gt;"",YEAR(A124),"")</f>
        <v/>
      </c>
      <c r="C124">
        <f>IF(A124&lt;&gt;"",MONTH(A124),"")</f>
        <v/>
      </c>
      <c r="D124">
        <f>IF(A124&lt;&gt;"",_xlfn.ISOWEEKNUM(A124),"")</f>
        <v/>
      </c>
      <c r="E124">
        <f>IF(A124&lt;&gt;"",TEXT(A124,"dddd"),"")</f>
        <v/>
      </c>
      <c r="F124">
        <f>IF(BD_Carga!C125&lt;&gt;"",BD_Carga!C125,"")</f>
        <v/>
      </c>
      <c r="G124">
        <f>IF(BD_Carga!D125&lt;&gt;"",BD_Carga!D125,"")</f>
        <v/>
      </c>
      <c r="H124">
        <f>IF(BD_Carga!Q125&lt;&gt;"",BD_Carga!Q125,"")</f>
        <v/>
      </c>
      <c r="I124">
        <f>IF(BD_Carga!R125&lt;&gt;"",BD_Carga!R125,"")</f>
        <v/>
      </c>
      <c r="J124">
        <f>IF(BD_Carga!S125&lt;&gt;"",BD_Carga!S125,"")</f>
        <v/>
      </c>
      <c r="K124" s="4">
        <f>IF(BD_Carga!E125&lt;&gt;"",BD_Carga!E125,0)</f>
        <v/>
      </c>
      <c r="L124" s="4">
        <f>IF(BD_Carga!F125&lt;&gt;"",BD_Carga!F125,0)</f>
        <v/>
      </c>
      <c r="M124" s="4">
        <f>IF(BD_Carga!G125&lt;&gt;"",BD_Carga!G125,0)</f>
        <v/>
      </c>
      <c r="N124" s="4">
        <f>IF(BD_Carga!H125&lt;&gt;"",BD_Carga!H125,0)</f>
        <v/>
      </c>
      <c r="O124" s="4">
        <f>IF(BD_Carga!I125&lt;&gt;"",BD_Carga!I125,0)</f>
        <v/>
      </c>
      <c r="P124" s="4">
        <f>IF(BD_Carga!J125&lt;&gt;"",BD_Carga!J125,0)</f>
        <v/>
      </c>
      <c r="Q124" s="5">
        <f>IF(BD_Carga!K125&lt;&gt;"",BD_Carga!K125,0)</f>
        <v/>
      </c>
      <c r="R124" s="5">
        <f>IF(BD_Carga!L125&lt;&gt;"",BD_Carga!L125,0)</f>
        <v/>
      </c>
      <c r="S124">
        <f>IF(BD_Carga!N125&lt;&gt;"",BD_Carga!N125,0)</f>
        <v/>
      </c>
      <c r="T124">
        <f>IF(BD_Carga!O125&lt;&gt;"",BD_Carga!O125,0)</f>
        <v/>
      </c>
      <c r="U124">
        <f>IF(BD_Carga!P125&lt;&gt;"",BD_Carga!P125,0)</f>
        <v/>
      </c>
      <c r="V124">
        <f>IF(BD_Carga!U125&lt;&gt;"",BD_Carga!U125,0)</f>
        <v/>
      </c>
      <c r="W124">
        <f>IF(BD_Carga!T125&lt;&gt;"",BD_Carga!T125,0)</f>
        <v/>
      </c>
      <c r="X124">
        <f>IF(BD_Carga!W125&lt;&gt;"",BD_Carga!W125,0)</f>
        <v/>
      </c>
      <c r="Y124">
        <f>IF(BD_Carga!X125&lt;&gt;"",BD_Carga!X125,0)</f>
        <v/>
      </c>
      <c r="Z124">
        <f>IF(BD_Carga!Y125&lt;&gt;"",BD_Carga!Y125,0)</f>
        <v/>
      </c>
      <c r="AA124">
        <f>IF(BD_Carga!Z125&lt;&gt;"",BD_Carga!Z125,0)</f>
        <v/>
      </c>
      <c r="AB124">
        <f>IF(BD_Carga!AA125&lt;&gt;"",BD_Carga!AA125,0)</f>
        <v/>
      </c>
      <c r="AC124" s="6">
        <f t="array" ref="AC124">IFERROR((L124-AVERAGEIF($G$2:$G$462,G124,$L$2:$L$462))/_xlfn.STDEV.P(IF($G$2:$G$462=G124,$L$2:$L$462)),0)</f>
        <v/>
      </c>
      <c r="AD124" s="6">
        <f t="array" ref="AD124">IFERROR((M124-AVERAGEIF($G$2:$G$462,G124,$M$2:$M$462))/_xlfn.STDEV.P(IF($G$2:$G$462=G124,$M$2:$M$462)),0)</f>
        <v/>
      </c>
      <c r="AE124" s="6">
        <f t="array" ref="AE124">IFERROR((N124-AVERAGEIF($G$2:$G$462,G124,$N$2:$N$462))/_xlfn.STDEV.P(IF($G$2:$G$462=G124,$N$2:$N$462)),0)</f>
        <v/>
      </c>
      <c r="AF124" s="6">
        <f t="array" ref="AF124">IFERROR((O124-AVERAGEIF($G$2:$G$462,G124,$O$2:$O$462))/_xlfn.STDEV.P(IF($G$2:$G$462=G124,$O$2:$O$462)),0)</f>
        <v/>
      </c>
      <c r="AG124" s="6">
        <f t="array" ref="AG124">IFERROR((P124-AVERAGEIF($G$2:$G$462,G124,$P$2:$P$462))/_xlfn.STDEV.P(IF($G$2:$G$462=G124,$P$2:$P$462)),0)</f>
        <v/>
      </c>
      <c r="AH124" s="6">
        <f t="array" ref="AH124">IFERROR((R124-AVERAGEIF($G$2:$G$462,G124,$R$2:$R$462))/_xlfn.STDEV.P(IF($G$2:$G$462=G124,$R$2:$R$462)),0)</f>
        <v/>
      </c>
      <c r="AI124" s="6">
        <f>IFERROR((AC124+AD124+AE124+AF124+AG124+AH124)/6,0)</f>
        <v/>
      </c>
    </row>
    <row r="125">
      <c r="A125" s="2">
        <f>IF(BD_Carga!A126&lt;&gt;"",BD_Carga!A126,"")</f>
        <v/>
      </c>
      <c r="B125">
        <f>IF(A125&lt;&gt;"",YEAR(A125),"")</f>
        <v/>
      </c>
      <c r="C125">
        <f>IF(A125&lt;&gt;"",MONTH(A125),"")</f>
        <v/>
      </c>
      <c r="D125">
        <f>IF(A125&lt;&gt;"",_xlfn.ISOWEEKNUM(A125),"")</f>
        <v/>
      </c>
      <c r="E125">
        <f>IF(A125&lt;&gt;"",TEXT(A125,"dddd"),"")</f>
        <v/>
      </c>
      <c r="F125">
        <f>IF(BD_Carga!C126&lt;&gt;"",BD_Carga!C126,"")</f>
        <v/>
      </c>
      <c r="G125">
        <f>IF(BD_Carga!D126&lt;&gt;"",BD_Carga!D126,"")</f>
        <v/>
      </c>
      <c r="H125">
        <f>IF(BD_Carga!Q126&lt;&gt;"",BD_Carga!Q126,"")</f>
        <v/>
      </c>
      <c r="I125">
        <f>IF(BD_Carga!R126&lt;&gt;"",BD_Carga!R126,"")</f>
        <v/>
      </c>
      <c r="J125">
        <f>IF(BD_Carga!S126&lt;&gt;"",BD_Carga!S126,"")</f>
        <v/>
      </c>
      <c r="K125" s="4">
        <f>IF(BD_Carga!E126&lt;&gt;"",BD_Carga!E126,0)</f>
        <v/>
      </c>
      <c r="L125" s="4">
        <f>IF(BD_Carga!F126&lt;&gt;"",BD_Carga!F126,0)</f>
        <v/>
      </c>
      <c r="M125" s="4">
        <f>IF(BD_Carga!G126&lt;&gt;"",BD_Carga!G126,0)</f>
        <v/>
      </c>
      <c r="N125" s="4">
        <f>IF(BD_Carga!H126&lt;&gt;"",BD_Carga!H126,0)</f>
        <v/>
      </c>
      <c r="O125" s="4">
        <f>IF(BD_Carga!I126&lt;&gt;"",BD_Carga!I126,0)</f>
        <v/>
      </c>
      <c r="P125" s="4">
        <f>IF(BD_Carga!J126&lt;&gt;"",BD_Carga!J126,0)</f>
        <v/>
      </c>
      <c r="Q125" s="5">
        <f>IF(BD_Carga!K126&lt;&gt;"",BD_Carga!K126,0)</f>
        <v/>
      </c>
      <c r="R125" s="5">
        <f>IF(BD_Carga!L126&lt;&gt;"",BD_Carga!L126,0)</f>
        <v/>
      </c>
      <c r="S125">
        <f>IF(BD_Carga!N126&lt;&gt;"",BD_Carga!N126,0)</f>
        <v/>
      </c>
      <c r="T125">
        <f>IF(BD_Carga!O126&lt;&gt;"",BD_Carga!O126,0)</f>
        <v/>
      </c>
      <c r="U125">
        <f>IF(BD_Carga!P126&lt;&gt;"",BD_Carga!P126,0)</f>
        <v/>
      </c>
      <c r="V125">
        <f>IF(BD_Carga!U126&lt;&gt;"",BD_Carga!U126,0)</f>
        <v/>
      </c>
      <c r="W125">
        <f>IF(BD_Carga!T126&lt;&gt;"",BD_Carga!T126,0)</f>
        <v/>
      </c>
      <c r="X125">
        <f>IF(BD_Carga!W126&lt;&gt;"",BD_Carga!W126,0)</f>
        <v/>
      </c>
      <c r="Y125">
        <f>IF(BD_Carga!X126&lt;&gt;"",BD_Carga!X126,0)</f>
        <v/>
      </c>
      <c r="Z125">
        <f>IF(BD_Carga!Y126&lt;&gt;"",BD_Carga!Y126,0)</f>
        <v/>
      </c>
      <c r="AA125">
        <f>IF(BD_Carga!Z126&lt;&gt;"",BD_Carga!Z126,0)</f>
        <v/>
      </c>
      <c r="AB125">
        <f>IF(BD_Carga!AA126&lt;&gt;"",BD_Carga!AA126,0)</f>
        <v/>
      </c>
      <c r="AC125" s="6">
        <f t="array" ref="AC125">IFERROR((L125-AVERAGEIF($G$2:$G$462,G125,$L$2:$L$462))/_xlfn.STDEV.P(IF($G$2:$G$462=G125,$L$2:$L$462)),0)</f>
        <v/>
      </c>
      <c r="AD125" s="6">
        <f t="array" ref="AD125">IFERROR((M125-AVERAGEIF($G$2:$G$462,G125,$M$2:$M$462))/_xlfn.STDEV.P(IF($G$2:$G$462=G125,$M$2:$M$462)),0)</f>
        <v/>
      </c>
      <c r="AE125" s="6">
        <f t="array" ref="AE125">IFERROR((N125-AVERAGEIF($G$2:$G$462,G125,$N$2:$N$462))/_xlfn.STDEV.P(IF($G$2:$G$462=G125,$N$2:$N$462)),0)</f>
        <v/>
      </c>
      <c r="AF125" s="6">
        <f t="array" ref="AF125">IFERROR((O125-AVERAGEIF($G$2:$G$462,G125,$O$2:$O$462))/_xlfn.STDEV.P(IF($G$2:$G$462=G125,$O$2:$O$462)),0)</f>
        <v/>
      </c>
      <c r="AG125" s="6">
        <f t="array" ref="AG125">IFERROR((P125-AVERAGEIF($G$2:$G$462,G125,$P$2:$P$462))/_xlfn.STDEV.P(IF($G$2:$G$462=G125,$P$2:$P$462)),0)</f>
        <v/>
      </c>
      <c r="AH125" s="6">
        <f t="array" ref="AH125">IFERROR((R125-AVERAGEIF($G$2:$G$462,G125,$R$2:$R$462))/_xlfn.STDEV.P(IF($G$2:$G$462=G125,$R$2:$R$462)),0)</f>
        <v/>
      </c>
      <c r="AI125" s="6">
        <f>IFERROR((AC125+AD125+AE125+AF125+AG125+AH125)/6,0)</f>
        <v/>
      </c>
    </row>
    <row r="126">
      <c r="A126" s="2">
        <f>IF(BD_Carga!A127&lt;&gt;"",BD_Carga!A127,"")</f>
        <v/>
      </c>
      <c r="B126">
        <f>IF(A126&lt;&gt;"",YEAR(A126),"")</f>
        <v/>
      </c>
      <c r="C126">
        <f>IF(A126&lt;&gt;"",MONTH(A126),"")</f>
        <v/>
      </c>
      <c r="D126">
        <f>IF(A126&lt;&gt;"",_xlfn.ISOWEEKNUM(A126),"")</f>
        <v/>
      </c>
      <c r="E126">
        <f>IF(A126&lt;&gt;"",TEXT(A126,"dddd"),"")</f>
        <v/>
      </c>
      <c r="F126">
        <f>IF(BD_Carga!C127&lt;&gt;"",BD_Carga!C127,"")</f>
        <v/>
      </c>
      <c r="G126">
        <f>IF(BD_Carga!D127&lt;&gt;"",BD_Carga!D127,"")</f>
        <v/>
      </c>
      <c r="H126">
        <f>IF(BD_Carga!Q127&lt;&gt;"",BD_Carga!Q127,"")</f>
        <v/>
      </c>
      <c r="I126">
        <f>IF(BD_Carga!R127&lt;&gt;"",BD_Carga!R127,"")</f>
        <v/>
      </c>
      <c r="J126">
        <f>IF(BD_Carga!S127&lt;&gt;"",BD_Carga!S127,"")</f>
        <v/>
      </c>
      <c r="K126" s="4">
        <f>IF(BD_Carga!E127&lt;&gt;"",BD_Carga!E127,0)</f>
        <v/>
      </c>
      <c r="L126" s="4">
        <f>IF(BD_Carga!F127&lt;&gt;"",BD_Carga!F127,0)</f>
        <v/>
      </c>
      <c r="M126" s="4">
        <f>IF(BD_Carga!G127&lt;&gt;"",BD_Carga!G127,0)</f>
        <v/>
      </c>
      <c r="N126" s="4">
        <f>IF(BD_Carga!H127&lt;&gt;"",BD_Carga!H127,0)</f>
        <v/>
      </c>
      <c r="O126" s="4">
        <f>IF(BD_Carga!I127&lt;&gt;"",BD_Carga!I127,0)</f>
        <v/>
      </c>
      <c r="P126" s="4">
        <f>IF(BD_Carga!J127&lt;&gt;"",BD_Carga!J127,0)</f>
        <v/>
      </c>
      <c r="Q126" s="5">
        <f>IF(BD_Carga!K127&lt;&gt;"",BD_Carga!K127,0)</f>
        <v/>
      </c>
      <c r="R126" s="5">
        <f>IF(BD_Carga!L127&lt;&gt;"",BD_Carga!L127,0)</f>
        <v/>
      </c>
      <c r="S126">
        <f>IF(BD_Carga!N127&lt;&gt;"",BD_Carga!N127,0)</f>
        <v/>
      </c>
      <c r="T126">
        <f>IF(BD_Carga!O127&lt;&gt;"",BD_Carga!O127,0)</f>
        <v/>
      </c>
      <c r="U126">
        <f>IF(BD_Carga!P127&lt;&gt;"",BD_Carga!P127,0)</f>
        <v/>
      </c>
      <c r="V126">
        <f>IF(BD_Carga!U127&lt;&gt;"",BD_Carga!U127,0)</f>
        <v/>
      </c>
      <c r="W126">
        <f>IF(BD_Carga!T127&lt;&gt;"",BD_Carga!T127,0)</f>
        <v/>
      </c>
      <c r="X126">
        <f>IF(BD_Carga!W127&lt;&gt;"",BD_Carga!W127,0)</f>
        <v/>
      </c>
      <c r="Y126">
        <f>IF(BD_Carga!X127&lt;&gt;"",BD_Carga!X127,0)</f>
        <v/>
      </c>
      <c r="Z126">
        <f>IF(BD_Carga!Y127&lt;&gt;"",BD_Carga!Y127,0)</f>
        <v/>
      </c>
      <c r="AA126">
        <f>IF(BD_Carga!Z127&lt;&gt;"",BD_Carga!Z127,0)</f>
        <v/>
      </c>
      <c r="AB126">
        <f>IF(BD_Carga!AA127&lt;&gt;"",BD_Carga!AA127,0)</f>
        <v/>
      </c>
      <c r="AC126" s="6">
        <f t="array" ref="AC126">IFERROR((L126-AVERAGEIF($G$2:$G$462,G126,$L$2:$L$462))/_xlfn.STDEV.P(IF($G$2:$G$462=G126,$L$2:$L$462)),0)</f>
        <v/>
      </c>
      <c r="AD126" s="6">
        <f t="array" ref="AD126">IFERROR((M126-AVERAGEIF($G$2:$G$462,G126,$M$2:$M$462))/_xlfn.STDEV.P(IF($G$2:$G$462=G126,$M$2:$M$462)),0)</f>
        <v/>
      </c>
      <c r="AE126" s="6">
        <f t="array" ref="AE126">IFERROR((N126-AVERAGEIF($G$2:$G$462,G126,$N$2:$N$462))/_xlfn.STDEV.P(IF($G$2:$G$462=G126,$N$2:$N$462)),0)</f>
        <v/>
      </c>
      <c r="AF126" s="6">
        <f t="array" ref="AF126">IFERROR((O126-AVERAGEIF($G$2:$G$462,G126,$O$2:$O$462))/_xlfn.STDEV.P(IF($G$2:$G$462=G126,$O$2:$O$462)),0)</f>
        <v/>
      </c>
      <c r="AG126" s="6">
        <f t="array" ref="AG126">IFERROR((P126-AVERAGEIF($G$2:$G$462,G126,$P$2:$P$462))/_xlfn.STDEV.P(IF($G$2:$G$462=G126,$P$2:$P$462)),0)</f>
        <v/>
      </c>
      <c r="AH126" s="6">
        <f t="array" ref="AH126">IFERROR((R126-AVERAGEIF($G$2:$G$462,G126,$R$2:$R$462))/_xlfn.STDEV.P(IF($G$2:$G$462=G126,$R$2:$R$462)),0)</f>
        <v/>
      </c>
      <c r="AI126" s="6">
        <f>IFERROR((AC126+AD126+AE126+AF126+AG126+AH126)/6,0)</f>
        <v/>
      </c>
    </row>
    <row r="127">
      <c r="A127" s="2">
        <f>IF(BD_Carga!A128&lt;&gt;"",BD_Carga!A128,"")</f>
        <v/>
      </c>
      <c r="B127">
        <f>IF(A127&lt;&gt;"",YEAR(A127),"")</f>
        <v/>
      </c>
      <c r="C127">
        <f>IF(A127&lt;&gt;"",MONTH(A127),"")</f>
        <v/>
      </c>
      <c r="D127">
        <f>IF(A127&lt;&gt;"",_xlfn.ISOWEEKNUM(A127),"")</f>
        <v/>
      </c>
      <c r="E127">
        <f>IF(A127&lt;&gt;"",TEXT(A127,"dddd"),"")</f>
        <v/>
      </c>
      <c r="F127">
        <f>IF(BD_Carga!C128&lt;&gt;"",BD_Carga!C128,"")</f>
        <v/>
      </c>
      <c r="G127">
        <f>IF(BD_Carga!D128&lt;&gt;"",BD_Carga!D128,"")</f>
        <v/>
      </c>
      <c r="H127">
        <f>IF(BD_Carga!Q128&lt;&gt;"",BD_Carga!Q128,"")</f>
        <v/>
      </c>
      <c r="I127">
        <f>IF(BD_Carga!R128&lt;&gt;"",BD_Carga!R128,"")</f>
        <v/>
      </c>
      <c r="J127">
        <f>IF(BD_Carga!S128&lt;&gt;"",BD_Carga!S128,"")</f>
        <v/>
      </c>
      <c r="K127" s="4">
        <f>IF(BD_Carga!E128&lt;&gt;"",BD_Carga!E128,0)</f>
        <v/>
      </c>
      <c r="L127" s="4">
        <f>IF(BD_Carga!F128&lt;&gt;"",BD_Carga!F128,0)</f>
        <v/>
      </c>
      <c r="M127" s="4">
        <f>IF(BD_Carga!G128&lt;&gt;"",BD_Carga!G128,0)</f>
        <v/>
      </c>
      <c r="N127" s="4">
        <f>IF(BD_Carga!H128&lt;&gt;"",BD_Carga!H128,0)</f>
        <v/>
      </c>
      <c r="O127" s="4">
        <f>IF(BD_Carga!I128&lt;&gt;"",BD_Carga!I128,0)</f>
        <v/>
      </c>
      <c r="P127" s="4">
        <f>IF(BD_Carga!J128&lt;&gt;"",BD_Carga!J128,0)</f>
        <v/>
      </c>
      <c r="Q127" s="5">
        <f>IF(BD_Carga!K128&lt;&gt;"",BD_Carga!K128,0)</f>
        <v/>
      </c>
      <c r="R127" s="5">
        <f>IF(BD_Carga!L128&lt;&gt;"",BD_Carga!L128,0)</f>
        <v/>
      </c>
      <c r="S127">
        <f>IF(BD_Carga!N128&lt;&gt;"",BD_Carga!N128,0)</f>
        <v/>
      </c>
      <c r="T127">
        <f>IF(BD_Carga!O128&lt;&gt;"",BD_Carga!O128,0)</f>
        <v/>
      </c>
      <c r="U127">
        <f>IF(BD_Carga!P128&lt;&gt;"",BD_Carga!P128,0)</f>
        <v/>
      </c>
      <c r="V127">
        <f>IF(BD_Carga!U128&lt;&gt;"",BD_Carga!U128,0)</f>
        <v/>
      </c>
      <c r="W127">
        <f>IF(BD_Carga!T128&lt;&gt;"",BD_Carga!T128,0)</f>
        <v/>
      </c>
      <c r="X127">
        <f>IF(BD_Carga!W128&lt;&gt;"",BD_Carga!W128,0)</f>
        <v/>
      </c>
      <c r="Y127">
        <f>IF(BD_Carga!X128&lt;&gt;"",BD_Carga!X128,0)</f>
        <v/>
      </c>
      <c r="Z127">
        <f>IF(BD_Carga!Y128&lt;&gt;"",BD_Carga!Y128,0)</f>
        <v/>
      </c>
      <c r="AA127">
        <f>IF(BD_Carga!Z128&lt;&gt;"",BD_Carga!Z128,0)</f>
        <v/>
      </c>
      <c r="AB127">
        <f>IF(BD_Carga!AA128&lt;&gt;"",BD_Carga!AA128,0)</f>
        <v/>
      </c>
      <c r="AC127" s="6">
        <f t="array" ref="AC127">IFERROR((L127-AVERAGEIF($G$2:$G$462,G127,$L$2:$L$462))/_xlfn.STDEV.P(IF($G$2:$G$462=G127,$L$2:$L$462)),0)</f>
        <v/>
      </c>
      <c r="AD127" s="6">
        <f t="array" ref="AD127">IFERROR((M127-AVERAGEIF($G$2:$G$462,G127,$M$2:$M$462))/_xlfn.STDEV.P(IF($G$2:$G$462=G127,$M$2:$M$462)),0)</f>
        <v/>
      </c>
      <c r="AE127" s="6">
        <f t="array" ref="AE127">IFERROR((N127-AVERAGEIF($G$2:$G$462,G127,$N$2:$N$462))/_xlfn.STDEV.P(IF($G$2:$G$462=G127,$N$2:$N$462)),0)</f>
        <v/>
      </c>
      <c r="AF127" s="6">
        <f t="array" ref="AF127">IFERROR((O127-AVERAGEIF($G$2:$G$462,G127,$O$2:$O$462))/_xlfn.STDEV.P(IF($G$2:$G$462=G127,$O$2:$O$462)),0)</f>
        <v/>
      </c>
      <c r="AG127" s="6">
        <f t="array" ref="AG127">IFERROR((P127-AVERAGEIF($G$2:$G$462,G127,$P$2:$P$462))/_xlfn.STDEV.P(IF($G$2:$G$462=G127,$P$2:$P$462)),0)</f>
        <v/>
      </c>
      <c r="AH127" s="6">
        <f t="array" ref="AH127">IFERROR((R127-AVERAGEIF($G$2:$G$462,G127,$R$2:$R$462))/_xlfn.STDEV.P(IF($G$2:$G$462=G127,$R$2:$R$462)),0)</f>
        <v/>
      </c>
      <c r="AI127" s="6">
        <f>IFERROR((AC127+AD127+AE127+AF127+AG127+AH127)/6,0)</f>
        <v/>
      </c>
    </row>
    <row r="128">
      <c r="A128" s="2">
        <f>IF(BD_Carga!A129&lt;&gt;"",BD_Carga!A129,"")</f>
        <v/>
      </c>
      <c r="B128">
        <f>IF(A128&lt;&gt;"",YEAR(A128),"")</f>
        <v/>
      </c>
      <c r="C128">
        <f>IF(A128&lt;&gt;"",MONTH(A128),"")</f>
        <v/>
      </c>
      <c r="D128">
        <f>IF(A128&lt;&gt;"",_xlfn.ISOWEEKNUM(A128),"")</f>
        <v/>
      </c>
      <c r="E128">
        <f>IF(A128&lt;&gt;"",TEXT(A128,"dddd"),"")</f>
        <v/>
      </c>
      <c r="F128">
        <f>IF(BD_Carga!C129&lt;&gt;"",BD_Carga!C129,"")</f>
        <v/>
      </c>
      <c r="G128">
        <f>IF(BD_Carga!D129&lt;&gt;"",BD_Carga!D129,"")</f>
        <v/>
      </c>
      <c r="H128">
        <f>IF(BD_Carga!Q129&lt;&gt;"",BD_Carga!Q129,"")</f>
        <v/>
      </c>
      <c r="I128">
        <f>IF(BD_Carga!R129&lt;&gt;"",BD_Carga!R129,"")</f>
        <v/>
      </c>
      <c r="J128">
        <f>IF(BD_Carga!S129&lt;&gt;"",BD_Carga!S129,"")</f>
        <v/>
      </c>
      <c r="K128" s="4">
        <f>IF(BD_Carga!E129&lt;&gt;"",BD_Carga!E129,0)</f>
        <v/>
      </c>
      <c r="L128" s="4">
        <f>IF(BD_Carga!F129&lt;&gt;"",BD_Carga!F129,0)</f>
        <v/>
      </c>
      <c r="M128" s="4">
        <f>IF(BD_Carga!G129&lt;&gt;"",BD_Carga!G129,0)</f>
        <v/>
      </c>
      <c r="N128" s="4">
        <f>IF(BD_Carga!H129&lt;&gt;"",BD_Carga!H129,0)</f>
        <v/>
      </c>
      <c r="O128" s="4">
        <f>IF(BD_Carga!I129&lt;&gt;"",BD_Carga!I129,0)</f>
        <v/>
      </c>
      <c r="P128" s="4">
        <f>IF(BD_Carga!J129&lt;&gt;"",BD_Carga!J129,0)</f>
        <v/>
      </c>
      <c r="Q128" s="5">
        <f>IF(BD_Carga!K129&lt;&gt;"",BD_Carga!K129,0)</f>
        <v/>
      </c>
      <c r="R128" s="5">
        <f>IF(BD_Carga!L129&lt;&gt;"",BD_Carga!L129,0)</f>
        <v/>
      </c>
      <c r="S128">
        <f>IF(BD_Carga!N129&lt;&gt;"",BD_Carga!N129,0)</f>
        <v/>
      </c>
      <c r="T128">
        <f>IF(BD_Carga!O129&lt;&gt;"",BD_Carga!O129,0)</f>
        <v/>
      </c>
      <c r="U128">
        <f>IF(BD_Carga!P129&lt;&gt;"",BD_Carga!P129,0)</f>
        <v/>
      </c>
      <c r="V128">
        <f>IF(BD_Carga!U129&lt;&gt;"",BD_Carga!U129,0)</f>
        <v/>
      </c>
      <c r="W128">
        <f>IF(BD_Carga!T129&lt;&gt;"",BD_Carga!T129,0)</f>
        <v/>
      </c>
      <c r="X128">
        <f>IF(BD_Carga!W129&lt;&gt;"",BD_Carga!W129,0)</f>
        <v/>
      </c>
      <c r="Y128">
        <f>IF(BD_Carga!X129&lt;&gt;"",BD_Carga!X129,0)</f>
        <v/>
      </c>
      <c r="Z128">
        <f>IF(BD_Carga!Y129&lt;&gt;"",BD_Carga!Y129,0)</f>
        <v/>
      </c>
      <c r="AA128">
        <f>IF(BD_Carga!Z129&lt;&gt;"",BD_Carga!Z129,0)</f>
        <v/>
      </c>
      <c r="AB128">
        <f>IF(BD_Carga!AA129&lt;&gt;"",BD_Carga!AA129,0)</f>
        <v/>
      </c>
      <c r="AC128" s="6">
        <f t="array" ref="AC128">IFERROR((L128-AVERAGEIF($G$2:$G$462,G128,$L$2:$L$462))/_xlfn.STDEV.P(IF($G$2:$G$462=G128,$L$2:$L$462)),0)</f>
        <v/>
      </c>
      <c r="AD128" s="6">
        <f t="array" ref="AD128">IFERROR((M128-AVERAGEIF($G$2:$G$462,G128,$M$2:$M$462))/_xlfn.STDEV.P(IF($G$2:$G$462=G128,$M$2:$M$462)),0)</f>
        <v/>
      </c>
      <c r="AE128" s="6">
        <f t="array" ref="AE128">IFERROR((N128-AVERAGEIF($G$2:$G$462,G128,$N$2:$N$462))/_xlfn.STDEV.P(IF($G$2:$G$462=G128,$N$2:$N$462)),0)</f>
        <v/>
      </c>
      <c r="AF128" s="6">
        <f t="array" ref="AF128">IFERROR((O128-AVERAGEIF($G$2:$G$462,G128,$O$2:$O$462))/_xlfn.STDEV.P(IF($G$2:$G$462=G128,$O$2:$O$462)),0)</f>
        <v/>
      </c>
      <c r="AG128" s="6">
        <f t="array" ref="AG128">IFERROR((P128-AVERAGEIF($G$2:$G$462,G128,$P$2:$P$462))/_xlfn.STDEV.P(IF($G$2:$G$462=G128,$P$2:$P$462)),0)</f>
        <v/>
      </c>
      <c r="AH128" s="6">
        <f t="array" ref="AH128">IFERROR((R128-AVERAGEIF($G$2:$G$462,G128,$R$2:$R$462))/_xlfn.STDEV.P(IF($G$2:$G$462=G128,$R$2:$R$462)),0)</f>
        <v/>
      </c>
      <c r="AI128" s="6">
        <f>IFERROR((AC128+AD128+AE128+AF128+AG128+AH128)/6,0)</f>
        <v/>
      </c>
    </row>
    <row r="129">
      <c r="A129" s="2">
        <f>IF(BD_Carga!A130&lt;&gt;"",BD_Carga!A130,"")</f>
        <v/>
      </c>
      <c r="B129">
        <f>IF(A129&lt;&gt;"",YEAR(A129),"")</f>
        <v/>
      </c>
      <c r="C129">
        <f>IF(A129&lt;&gt;"",MONTH(A129),"")</f>
        <v/>
      </c>
      <c r="D129">
        <f>IF(A129&lt;&gt;"",_xlfn.ISOWEEKNUM(A129),"")</f>
        <v/>
      </c>
      <c r="E129">
        <f>IF(A129&lt;&gt;"",TEXT(A129,"dddd"),"")</f>
        <v/>
      </c>
      <c r="F129">
        <f>IF(BD_Carga!C130&lt;&gt;"",BD_Carga!C130,"")</f>
        <v/>
      </c>
      <c r="G129">
        <f>IF(BD_Carga!D130&lt;&gt;"",BD_Carga!D130,"")</f>
        <v/>
      </c>
      <c r="H129">
        <f>IF(BD_Carga!Q130&lt;&gt;"",BD_Carga!Q130,"")</f>
        <v/>
      </c>
      <c r="I129">
        <f>IF(BD_Carga!R130&lt;&gt;"",BD_Carga!R130,"")</f>
        <v/>
      </c>
      <c r="J129">
        <f>IF(BD_Carga!S130&lt;&gt;"",BD_Carga!S130,"")</f>
        <v/>
      </c>
      <c r="K129" s="4">
        <f>IF(BD_Carga!E130&lt;&gt;"",BD_Carga!E130,0)</f>
        <v/>
      </c>
      <c r="L129" s="4">
        <f>IF(BD_Carga!F130&lt;&gt;"",BD_Carga!F130,0)</f>
        <v/>
      </c>
      <c r="M129" s="4">
        <f>IF(BD_Carga!G130&lt;&gt;"",BD_Carga!G130,0)</f>
        <v/>
      </c>
      <c r="N129" s="4">
        <f>IF(BD_Carga!H130&lt;&gt;"",BD_Carga!H130,0)</f>
        <v/>
      </c>
      <c r="O129" s="4">
        <f>IF(BD_Carga!I130&lt;&gt;"",BD_Carga!I130,0)</f>
        <v/>
      </c>
      <c r="P129" s="4">
        <f>IF(BD_Carga!J130&lt;&gt;"",BD_Carga!J130,0)</f>
        <v/>
      </c>
      <c r="Q129" s="5">
        <f>IF(BD_Carga!K130&lt;&gt;"",BD_Carga!K130,0)</f>
        <v/>
      </c>
      <c r="R129" s="5">
        <f>IF(BD_Carga!L130&lt;&gt;"",BD_Carga!L130,0)</f>
        <v/>
      </c>
      <c r="S129">
        <f>IF(BD_Carga!N130&lt;&gt;"",BD_Carga!N130,0)</f>
        <v/>
      </c>
      <c r="T129">
        <f>IF(BD_Carga!O130&lt;&gt;"",BD_Carga!O130,0)</f>
        <v/>
      </c>
      <c r="U129">
        <f>IF(BD_Carga!P130&lt;&gt;"",BD_Carga!P130,0)</f>
        <v/>
      </c>
      <c r="V129">
        <f>IF(BD_Carga!U130&lt;&gt;"",BD_Carga!U130,0)</f>
        <v/>
      </c>
      <c r="W129">
        <f>IF(BD_Carga!T130&lt;&gt;"",BD_Carga!T130,0)</f>
        <v/>
      </c>
      <c r="X129">
        <f>IF(BD_Carga!W130&lt;&gt;"",BD_Carga!W130,0)</f>
        <v/>
      </c>
      <c r="Y129">
        <f>IF(BD_Carga!X130&lt;&gt;"",BD_Carga!X130,0)</f>
        <v/>
      </c>
      <c r="Z129">
        <f>IF(BD_Carga!Y130&lt;&gt;"",BD_Carga!Y130,0)</f>
        <v/>
      </c>
      <c r="AA129">
        <f>IF(BD_Carga!Z130&lt;&gt;"",BD_Carga!Z130,0)</f>
        <v/>
      </c>
      <c r="AB129">
        <f>IF(BD_Carga!AA130&lt;&gt;"",BD_Carga!AA130,0)</f>
        <v/>
      </c>
      <c r="AC129" s="6">
        <f t="array" ref="AC129">IFERROR((L129-AVERAGEIF($G$2:$G$462,G129,$L$2:$L$462))/_xlfn.STDEV.P(IF($G$2:$G$462=G129,$L$2:$L$462)),0)</f>
        <v/>
      </c>
      <c r="AD129" s="6">
        <f t="array" ref="AD129">IFERROR((M129-AVERAGEIF($G$2:$G$462,G129,$M$2:$M$462))/_xlfn.STDEV.P(IF($G$2:$G$462=G129,$M$2:$M$462)),0)</f>
        <v/>
      </c>
      <c r="AE129" s="6">
        <f t="array" ref="AE129">IFERROR((N129-AVERAGEIF($G$2:$G$462,G129,$N$2:$N$462))/_xlfn.STDEV.P(IF($G$2:$G$462=G129,$N$2:$N$462)),0)</f>
        <v/>
      </c>
      <c r="AF129" s="6">
        <f t="array" ref="AF129">IFERROR((O129-AVERAGEIF($G$2:$G$462,G129,$O$2:$O$462))/_xlfn.STDEV.P(IF($G$2:$G$462=G129,$O$2:$O$462)),0)</f>
        <v/>
      </c>
      <c r="AG129" s="6">
        <f t="array" ref="AG129">IFERROR((P129-AVERAGEIF($G$2:$G$462,G129,$P$2:$P$462))/_xlfn.STDEV.P(IF($G$2:$G$462=G129,$P$2:$P$462)),0)</f>
        <v/>
      </c>
      <c r="AH129" s="6">
        <f t="array" ref="AH129">IFERROR((R129-AVERAGEIF($G$2:$G$462,G129,$R$2:$R$462))/_xlfn.STDEV.P(IF($G$2:$G$462=G129,$R$2:$R$462)),0)</f>
        <v/>
      </c>
      <c r="AI129" s="6">
        <f>IFERROR((AC129+AD129+AE129+AF129+AG129+AH129)/6,0)</f>
        <v/>
      </c>
    </row>
    <row r="130">
      <c r="A130" s="2">
        <f>IF(BD_Carga!A131&lt;&gt;"",BD_Carga!A131,"")</f>
        <v/>
      </c>
      <c r="B130">
        <f>IF(A130&lt;&gt;"",YEAR(A130),"")</f>
        <v/>
      </c>
      <c r="C130">
        <f>IF(A130&lt;&gt;"",MONTH(A130),"")</f>
        <v/>
      </c>
      <c r="D130">
        <f>IF(A130&lt;&gt;"",_xlfn.ISOWEEKNUM(A130),"")</f>
        <v/>
      </c>
      <c r="E130">
        <f>IF(A130&lt;&gt;"",TEXT(A130,"dddd"),"")</f>
        <v/>
      </c>
      <c r="F130">
        <f>IF(BD_Carga!C131&lt;&gt;"",BD_Carga!C131,"")</f>
        <v/>
      </c>
      <c r="G130">
        <f>IF(BD_Carga!D131&lt;&gt;"",BD_Carga!D131,"")</f>
        <v/>
      </c>
      <c r="H130">
        <f>IF(BD_Carga!Q131&lt;&gt;"",BD_Carga!Q131,"")</f>
        <v/>
      </c>
      <c r="I130">
        <f>IF(BD_Carga!R131&lt;&gt;"",BD_Carga!R131,"")</f>
        <v/>
      </c>
      <c r="J130">
        <f>IF(BD_Carga!S131&lt;&gt;"",BD_Carga!S131,"")</f>
        <v/>
      </c>
      <c r="K130" s="4">
        <f>IF(BD_Carga!E131&lt;&gt;"",BD_Carga!E131,0)</f>
        <v/>
      </c>
      <c r="L130" s="4">
        <f>IF(BD_Carga!F131&lt;&gt;"",BD_Carga!F131,0)</f>
        <v/>
      </c>
      <c r="M130" s="4">
        <f>IF(BD_Carga!G131&lt;&gt;"",BD_Carga!G131,0)</f>
        <v/>
      </c>
      <c r="N130" s="4">
        <f>IF(BD_Carga!H131&lt;&gt;"",BD_Carga!H131,0)</f>
        <v/>
      </c>
      <c r="O130" s="4">
        <f>IF(BD_Carga!I131&lt;&gt;"",BD_Carga!I131,0)</f>
        <v/>
      </c>
      <c r="P130" s="4">
        <f>IF(BD_Carga!J131&lt;&gt;"",BD_Carga!J131,0)</f>
        <v/>
      </c>
      <c r="Q130" s="5">
        <f>IF(BD_Carga!K131&lt;&gt;"",BD_Carga!K131,0)</f>
        <v/>
      </c>
      <c r="R130" s="5">
        <f>IF(BD_Carga!L131&lt;&gt;"",BD_Carga!L131,0)</f>
        <v/>
      </c>
      <c r="S130">
        <f>IF(BD_Carga!N131&lt;&gt;"",BD_Carga!N131,0)</f>
        <v/>
      </c>
      <c r="T130">
        <f>IF(BD_Carga!O131&lt;&gt;"",BD_Carga!O131,0)</f>
        <v/>
      </c>
      <c r="U130">
        <f>IF(BD_Carga!P131&lt;&gt;"",BD_Carga!P131,0)</f>
        <v/>
      </c>
      <c r="V130">
        <f>IF(BD_Carga!U131&lt;&gt;"",BD_Carga!U131,0)</f>
        <v/>
      </c>
      <c r="W130">
        <f>IF(BD_Carga!T131&lt;&gt;"",BD_Carga!T131,0)</f>
        <v/>
      </c>
      <c r="X130">
        <f>IF(BD_Carga!W131&lt;&gt;"",BD_Carga!W131,0)</f>
        <v/>
      </c>
      <c r="Y130">
        <f>IF(BD_Carga!X131&lt;&gt;"",BD_Carga!X131,0)</f>
        <v/>
      </c>
      <c r="Z130">
        <f>IF(BD_Carga!Y131&lt;&gt;"",BD_Carga!Y131,0)</f>
        <v/>
      </c>
      <c r="AA130">
        <f>IF(BD_Carga!Z131&lt;&gt;"",BD_Carga!Z131,0)</f>
        <v/>
      </c>
      <c r="AB130">
        <f>IF(BD_Carga!AA131&lt;&gt;"",BD_Carga!AA131,0)</f>
        <v/>
      </c>
      <c r="AC130" s="6">
        <f t="array" ref="AC130">IFERROR((L130-AVERAGEIF($G$2:$G$462,G130,$L$2:$L$462))/_xlfn.STDEV.P(IF($G$2:$G$462=G130,$L$2:$L$462)),0)</f>
        <v/>
      </c>
      <c r="AD130" s="6">
        <f t="array" ref="AD130">IFERROR((M130-AVERAGEIF($G$2:$G$462,G130,$M$2:$M$462))/_xlfn.STDEV.P(IF($G$2:$G$462=G130,$M$2:$M$462)),0)</f>
        <v/>
      </c>
      <c r="AE130" s="6">
        <f t="array" ref="AE130">IFERROR((N130-AVERAGEIF($G$2:$G$462,G130,$N$2:$N$462))/_xlfn.STDEV.P(IF($G$2:$G$462=G130,$N$2:$N$462)),0)</f>
        <v/>
      </c>
      <c r="AF130" s="6">
        <f t="array" ref="AF130">IFERROR((O130-AVERAGEIF($G$2:$G$462,G130,$O$2:$O$462))/_xlfn.STDEV.P(IF($G$2:$G$462=G130,$O$2:$O$462)),0)</f>
        <v/>
      </c>
      <c r="AG130" s="6">
        <f t="array" ref="AG130">IFERROR((P130-AVERAGEIF($G$2:$G$462,G130,$P$2:$P$462))/_xlfn.STDEV.P(IF($G$2:$G$462=G130,$P$2:$P$462)),0)</f>
        <v/>
      </c>
      <c r="AH130" s="6">
        <f t="array" ref="AH130">IFERROR((R130-AVERAGEIF($G$2:$G$462,G130,$R$2:$R$462))/_xlfn.STDEV.P(IF($G$2:$G$462=G130,$R$2:$R$462)),0)</f>
        <v/>
      </c>
      <c r="AI130" s="6">
        <f>IFERROR((AC130+AD130+AE130+AF130+AG130+AH130)/6,0)</f>
        <v/>
      </c>
    </row>
    <row r="131">
      <c r="A131" s="2">
        <f>IF(BD_Carga!A132&lt;&gt;"",BD_Carga!A132,"")</f>
        <v/>
      </c>
      <c r="B131">
        <f>IF(A131&lt;&gt;"",YEAR(A131),"")</f>
        <v/>
      </c>
      <c r="C131">
        <f>IF(A131&lt;&gt;"",MONTH(A131),"")</f>
        <v/>
      </c>
      <c r="D131">
        <f>IF(A131&lt;&gt;"",_xlfn.ISOWEEKNUM(A131),"")</f>
        <v/>
      </c>
      <c r="E131">
        <f>IF(A131&lt;&gt;"",TEXT(A131,"dddd"),"")</f>
        <v/>
      </c>
      <c r="F131">
        <f>IF(BD_Carga!C132&lt;&gt;"",BD_Carga!C132,"")</f>
        <v/>
      </c>
      <c r="G131">
        <f>IF(BD_Carga!D132&lt;&gt;"",BD_Carga!D132,"")</f>
        <v/>
      </c>
      <c r="H131">
        <f>IF(BD_Carga!Q132&lt;&gt;"",BD_Carga!Q132,"")</f>
        <v/>
      </c>
      <c r="I131">
        <f>IF(BD_Carga!R132&lt;&gt;"",BD_Carga!R132,"")</f>
        <v/>
      </c>
      <c r="J131">
        <f>IF(BD_Carga!S132&lt;&gt;"",BD_Carga!S132,"")</f>
        <v/>
      </c>
      <c r="K131" s="4">
        <f>IF(BD_Carga!E132&lt;&gt;"",BD_Carga!E132,0)</f>
        <v/>
      </c>
      <c r="L131" s="4">
        <f>IF(BD_Carga!F132&lt;&gt;"",BD_Carga!F132,0)</f>
        <v/>
      </c>
      <c r="M131" s="4">
        <f>IF(BD_Carga!G132&lt;&gt;"",BD_Carga!G132,0)</f>
        <v/>
      </c>
      <c r="N131" s="4">
        <f>IF(BD_Carga!H132&lt;&gt;"",BD_Carga!H132,0)</f>
        <v/>
      </c>
      <c r="O131" s="4">
        <f>IF(BD_Carga!I132&lt;&gt;"",BD_Carga!I132,0)</f>
        <v/>
      </c>
      <c r="P131" s="4">
        <f>IF(BD_Carga!J132&lt;&gt;"",BD_Carga!J132,0)</f>
        <v/>
      </c>
      <c r="Q131" s="5">
        <f>IF(BD_Carga!K132&lt;&gt;"",BD_Carga!K132,0)</f>
        <v/>
      </c>
      <c r="R131" s="5">
        <f>IF(BD_Carga!L132&lt;&gt;"",BD_Carga!L132,0)</f>
        <v/>
      </c>
      <c r="S131">
        <f>IF(BD_Carga!N132&lt;&gt;"",BD_Carga!N132,0)</f>
        <v/>
      </c>
      <c r="T131">
        <f>IF(BD_Carga!O132&lt;&gt;"",BD_Carga!O132,0)</f>
        <v/>
      </c>
      <c r="U131">
        <f>IF(BD_Carga!P132&lt;&gt;"",BD_Carga!P132,0)</f>
        <v/>
      </c>
      <c r="V131">
        <f>IF(BD_Carga!U132&lt;&gt;"",BD_Carga!U132,0)</f>
        <v/>
      </c>
      <c r="W131">
        <f>IF(BD_Carga!T132&lt;&gt;"",BD_Carga!T132,0)</f>
        <v/>
      </c>
      <c r="X131">
        <f>IF(BD_Carga!W132&lt;&gt;"",BD_Carga!W132,0)</f>
        <v/>
      </c>
      <c r="Y131">
        <f>IF(BD_Carga!X132&lt;&gt;"",BD_Carga!X132,0)</f>
        <v/>
      </c>
      <c r="Z131">
        <f>IF(BD_Carga!Y132&lt;&gt;"",BD_Carga!Y132,0)</f>
        <v/>
      </c>
      <c r="AA131">
        <f>IF(BD_Carga!Z132&lt;&gt;"",BD_Carga!Z132,0)</f>
        <v/>
      </c>
      <c r="AB131">
        <f>IF(BD_Carga!AA132&lt;&gt;"",BD_Carga!AA132,0)</f>
        <v/>
      </c>
      <c r="AC131" s="6">
        <f t="array" ref="AC131">IFERROR((L131-AVERAGEIF($G$2:$G$462,G131,$L$2:$L$462))/_xlfn.STDEV.P(IF($G$2:$G$462=G131,$L$2:$L$462)),0)</f>
        <v/>
      </c>
      <c r="AD131" s="6">
        <f t="array" ref="AD131">IFERROR((M131-AVERAGEIF($G$2:$G$462,G131,$M$2:$M$462))/_xlfn.STDEV.P(IF($G$2:$G$462=G131,$M$2:$M$462)),0)</f>
        <v/>
      </c>
      <c r="AE131" s="6">
        <f t="array" ref="AE131">IFERROR((N131-AVERAGEIF($G$2:$G$462,G131,$N$2:$N$462))/_xlfn.STDEV.P(IF($G$2:$G$462=G131,$N$2:$N$462)),0)</f>
        <v/>
      </c>
      <c r="AF131" s="6">
        <f t="array" ref="AF131">IFERROR((O131-AVERAGEIF($G$2:$G$462,G131,$O$2:$O$462))/_xlfn.STDEV.P(IF($G$2:$G$462=G131,$O$2:$O$462)),0)</f>
        <v/>
      </c>
      <c r="AG131" s="6">
        <f t="array" ref="AG131">IFERROR((P131-AVERAGEIF($G$2:$G$462,G131,$P$2:$P$462))/_xlfn.STDEV.P(IF($G$2:$G$462=G131,$P$2:$P$462)),0)</f>
        <v/>
      </c>
      <c r="AH131" s="6">
        <f t="array" ref="AH131">IFERROR((R131-AVERAGEIF($G$2:$G$462,G131,$R$2:$R$462))/_xlfn.STDEV.P(IF($G$2:$G$462=G131,$R$2:$R$462)),0)</f>
        <v/>
      </c>
      <c r="AI131" s="6">
        <f>IFERROR((AC131+AD131+AE131+AF131+AG131+AH131)/6,0)</f>
        <v/>
      </c>
    </row>
    <row r="132">
      <c r="A132" s="2">
        <f>IF(BD_Carga!A133&lt;&gt;"",BD_Carga!A133,"")</f>
        <v/>
      </c>
      <c r="B132">
        <f>IF(A132&lt;&gt;"",YEAR(A132),"")</f>
        <v/>
      </c>
      <c r="C132">
        <f>IF(A132&lt;&gt;"",MONTH(A132),"")</f>
        <v/>
      </c>
      <c r="D132">
        <f>IF(A132&lt;&gt;"",_xlfn.ISOWEEKNUM(A132),"")</f>
        <v/>
      </c>
      <c r="E132">
        <f>IF(A132&lt;&gt;"",TEXT(A132,"dddd"),"")</f>
        <v/>
      </c>
      <c r="F132">
        <f>IF(BD_Carga!C133&lt;&gt;"",BD_Carga!C133,"")</f>
        <v/>
      </c>
      <c r="G132">
        <f>IF(BD_Carga!D133&lt;&gt;"",BD_Carga!D133,"")</f>
        <v/>
      </c>
      <c r="H132">
        <f>IF(BD_Carga!Q133&lt;&gt;"",BD_Carga!Q133,"")</f>
        <v/>
      </c>
      <c r="I132">
        <f>IF(BD_Carga!R133&lt;&gt;"",BD_Carga!R133,"")</f>
        <v/>
      </c>
      <c r="J132">
        <f>IF(BD_Carga!S133&lt;&gt;"",BD_Carga!S133,"")</f>
        <v/>
      </c>
      <c r="K132" s="4">
        <f>IF(BD_Carga!E133&lt;&gt;"",BD_Carga!E133,0)</f>
        <v/>
      </c>
      <c r="L132" s="4">
        <f>IF(BD_Carga!F133&lt;&gt;"",BD_Carga!F133,0)</f>
        <v/>
      </c>
      <c r="M132" s="4">
        <f>IF(BD_Carga!G133&lt;&gt;"",BD_Carga!G133,0)</f>
        <v/>
      </c>
      <c r="N132" s="4">
        <f>IF(BD_Carga!H133&lt;&gt;"",BD_Carga!H133,0)</f>
        <v/>
      </c>
      <c r="O132" s="4">
        <f>IF(BD_Carga!I133&lt;&gt;"",BD_Carga!I133,0)</f>
        <v/>
      </c>
      <c r="P132" s="4">
        <f>IF(BD_Carga!J133&lt;&gt;"",BD_Carga!J133,0)</f>
        <v/>
      </c>
      <c r="Q132" s="5">
        <f>IF(BD_Carga!K133&lt;&gt;"",BD_Carga!K133,0)</f>
        <v/>
      </c>
      <c r="R132" s="5">
        <f>IF(BD_Carga!L133&lt;&gt;"",BD_Carga!L133,0)</f>
        <v/>
      </c>
      <c r="S132">
        <f>IF(BD_Carga!N133&lt;&gt;"",BD_Carga!N133,0)</f>
        <v/>
      </c>
      <c r="T132">
        <f>IF(BD_Carga!O133&lt;&gt;"",BD_Carga!O133,0)</f>
        <v/>
      </c>
      <c r="U132">
        <f>IF(BD_Carga!P133&lt;&gt;"",BD_Carga!P133,0)</f>
        <v/>
      </c>
      <c r="V132">
        <f>IF(BD_Carga!U133&lt;&gt;"",BD_Carga!U133,0)</f>
        <v/>
      </c>
      <c r="W132">
        <f>IF(BD_Carga!T133&lt;&gt;"",BD_Carga!T133,0)</f>
        <v/>
      </c>
      <c r="X132">
        <f>IF(BD_Carga!W133&lt;&gt;"",BD_Carga!W133,0)</f>
        <v/>
      </c>
      <c r="Y132">
        <f>IF(BD_Carga!X133&lt;&gt;"",BD_Carga!X133,0)</f>
        <v/>
      </c>
      <c r="Z132">
        <f>IF(BD_Carga!Y133&lt;&gt;"",BD_Carga!Y133,0)</f>
        <v/>
      </c>
      <c r="AA132">
        <f>IF(BD_Carga!Z133&lt;&gt;"",BD_Carga!Z133,0)</f>
        <v/>
      </c>
      <c r="AB132">
        <f>IF(BD_Carga!AA133&lt;&gt;"",BD_Carga!AA133,0)</f>
        <v/>
      </c>
      <c r="AC132" s="6">
        <f t="array" ref="AC132">IFERROR((L132-AVERAGEIF($G$2:$G$462,G132,$L$2:$L$462))/_xlfn.STDEV.P(IF($G$2:$G$462=G132,$L$2:$L$462)),0)</f>
        <v/>
      </c>
      <c r="AD132" s="6">
        <f t="array" ref="AD132">IFERROR((M132-AVERAGEIF($G$2:$G$462,G132,$M$2:$M$462))/_xlfn.STDEV.P(IF($G$2:$G$462=G132,$M$2:$M$462)),0)</f>
        <v/>
      </c>
      <c r="AE132" s="6">
        <f t="array" ref="AE132">IFERROR((N132-AVERAGEIF($G$2:$G$462,G132,$N$2:$N$462))/_xlfn.STDEV.P(IF($G$2:$G$462=G132,$N$2:$N$462)),0)</f>
        <v/>
      </c>
      <c r="AF132" s="6">
        <f t="array" ref="AF132">IFERROR((O132-AVERAGEIF($G$2:$G$462,G132,$O$2:$O$462))/_xlfn.STDEV.P(IF($G$2:$G$462=G132,$O$2:$O$462)),0)</f>
        <v/>
      </c>
      <c r="AG132" s="6">
        <f t="array" ref="AG132">IFERROR((P132-AVERAGEIF($G$2:$G$462,G132,$P$2:$P$462))/_xlfn.STDEV.P(IF($G$2:$G$462=G132,$P$2:$P$462)),0)</f>
        <v/>
      </c>
      <c r="AH132" s="6">
        <f t="array" ref="AH132">IFERROR((R132-AVERAGEIF($G$2:$G$462,G132,$R$2:$R$462))/_xlfn.STDEV.P(IF($G$2:$G$462=G132,$R$2:$R$462)),0)</f>
        <v/>
      </c>
      <c r="AI132" s="6">
        <f>IFERROR((AC132+AD132+AE132+AF132+AG132+AH132)/6,0)</f>
        <v/>
      </c>
    </row>
    <row r="133">
      <c r="A133" s="2">
        <f>IF(BD_Carga!A134&lt;&gt;"",BD_Carga!A134,"")</f>
        <v/>
      </c>
      <c r="B133">
        <f>IF(A133&lt;&gt;"",YEAR(A133),"")</f>
        <v/>
      </c>
      <c r="C133">
        <f>IF(A133&lt;&gt;"",MONTH(A133),"")</f>
        <v/>
      </c>
      <c r="D133">
        <f>IF(A133&lt;&gt;"",_xlfn.ISOWEEKNUM(A133),"")</f>
        <v/>
      </c>
      <c r="E133">
        <f>IF(A133&lt;&gt;"",TEXT(A133,"dddd"),"")</f>
        <v/>
      </c>
      <c r="F133">
        <f>IF(BD_Carga!C134&lt;&gt;"",BD_Carga!C134,"")</f>
        <v/>
      </c>
      <c r="G133">
        <f>IF(BD_Carga!D134&lt;&gt;"",BD_Carga!D134,"")</f>
        <v/>
      </c>
      <c r="H133">
        <f>IF(BD_Carga!Q134&lt;&gt;"",BD_Carga!Q134,"")</f>
        <v/>
      </c>
      <c r="I133">
        <f>IF(BD_Carga!R134&lt;&gt;"",BD_Carga!R134,"")</f>
        <v/>
      </c>
      <c r="J133">
        <f>IF(BD_Carga!S134&lt;&gt;"",BD_Carga!S134,"")</f>
        <v/>
      </c>
      <c r="K133" s="4">
        <f>IF(BD_Carga!E134&lt;&gt;"",BD_Carga!E134,0)</f>
        <v/>
      </c>
      <c r="L133" s="4">
        <f>IF(BD_Carga!F134&lt;&gt;"",BD_Carga!F134,0)</f>
        <v/>
      </c>
      <c r="M133" s="4">
        <f>IF(BD_Carga!G134&lt;&gt;"",BD_Carga!G134,0)</f>
        <v/>
      </c>
      <c r="N133" s="4">
        <f>IF(BD_Carga!H134&lt;&gt;"",BD_Carga!H134,0)</f>
        <v/>
      </c>
      <c r="O133" s="4">
        <f>IF(BD_Carga!I134&lt;&gt;"",BD_Carga!I134,0)</f>
        <v/>
      </c>
      <c r="P133" s="4">
        <f>IF(BD_Carga!J134&lt;&gt;"",BD_Carga!J134,0)</f>
        <v/>
      </c>
      <c r="Q133" s="5">
        <f>IF(BD_Carga!K134&lt;&gt;"",BD_Carga!K134,0)</f>
        <v/>
      </c>
      <c r="R133" s="5">
        <f>IF(BD_Carga!L134&lt;&gt;"",BD_Carga!L134,0)</f>
        <v/>
      </c>
      <c r="S133">
        <f>IF(BD_Carga!N134&lt;&gt;"",BD_Carga!N134,0)</f>
        <v/>
      </c>
      <c r="T133">
        <f>IF(BD_Carga!O134&lt;&gt;"",BD_Carga!O134,0)</f>
        <v/>
      </c>
      <c r="U133">
        <f>IF(BD_Carga!P134&lt;&gt;"",BD_Carga!P134,0)</f>
        <v/>
      </c>
      <c r="V133">
        <f>IF(BD_Carga!U134&lt;&gt;"",BD_Carga!U134,0)</f>
        <v/>
      </c>
      <c r="W133">
        <f>IF(BD_Carga!T134&lt;&gt;"",BD_Carga!T134,0)</f>
        <v/>
      </c>
      <c r="X133">
        <f>IF(BD_Carga!W134&lt;&gt;"",BD_Carga!W134,0)</f>
        <v/>
      </c>
      <c r="Y133">
        <f>IF(BD_Carga!X134&lt;&gt;"",BD_Carga!X134,0)</f>
        <v/>
      </c>
      <c r="Z133">
        <f>IF(BD_Carga!Y134&lt;&gt;"",BD_Carga!Y134,0)</f>
        <v/>
      </c>
      <c r="AA133">
        <f>IF(BD_Carga!Z134&lt;&gt;"",BD_Carga!Z134,0)</f>
        <v/>
      </c>
      <c r="AB133">
        <f>IF(BD_Carga!AA134&lt;&gt;"",BD_Carga!AA134,0)</f>
        <v/>
      </c>
      <c r="AC133" s="6">
        <f t="array" ref="AC133">IFERROR((L133-AVERAGEIF($G$2:$G$462,G133,$L$2:$L$462))/_xlfn.STDEV.P(IF($G$2:$G$462=G133,$L$2:$L$462)),0)</f>
        <v/>
      </c>
      <c r="AD133" s="6">
        <f t="array" ref="AD133">IFERROR((M133-AVERAGEIF($G$2:$G$462,G133,$M$2:$M$462))/_xlfn.STDEV.P(IF($G$2:$G$462=G133,$M$2:$M$462)),0)</f>
        <v/>
      </c>
      <c r="AE133" s="6">
        <f t="array" ref="AE133">IFERROR((N133-AVERAGEIF($G$2:$G$462,G133,$N$2:$N$462))/_xlfn.STDEV.P(IF($G$2:$G$462=G133,$N$2:$N$462)),0)</f>
        <v/>
      </c>
      <c r="AF133" s="6">
        <f t="array" ref="AF133">IFERROR((O133-AVERAGEIF($G$2:$G$462,G133,$O$2:$O$462))/_xlfn.STDEV.P(IF($G$2:$G$462=G133,$O$2:$O$462)),0)</f>
        <v/>
      </c>
      <c r="AG133" s="6">
        <f t="array" ref="AG133">IFERROR((P133-AVERAGEIF($G$2:$G$462,G133,$P$2:$P$462))/_xlfn.STDEV.P(IF($G$2:$G$462=G133,$P$2:$P$462)),0)</f>
        <v/>
      </c>
      <c r="AH133" s="6">
        <f t="array" ref="AH133">IFERROR((R133-AVERAGEIF($G$2:$G$462,G133,$R$2:$R$462))/_xlfn.STDEV.P(IF($G$2:$G$462=G133,$R$2:$R$462)),0)</f>
        <v/>
      </c>
      <c r="AI133" s="6">
        <f>IFERROR((AC133+AD133+AE133+AF133+AG133+AH133)/6,0)</f>
        <v/>
      </c>
    </row>
    <row r="134">
      <c r="A134" s="2">
        <f>IF(BD_Carga!A135&lt;&gt;"",BD_Carga!A135,"")</f>
        <v/>
      </c>
      <c r="B134">
        <f>IF(A134&lt;&gt;"",YEAR(A134),"")</f>
        <v/>
      </c>
      <c r="C134">
        <f>IF(A134&lt;&gt;"",MONTH(A134),"")</f>
        <v/>
      </c>
      <c r="D134">
        <f>IF(A134&lt;&gt;"",_xlfn.ISOWEEKNUM(A134),"")</f>
        <v/>
      </c>
      <c r="E134">
        <f>IF(A134&lt;&gt;"",TEXT(A134,"dddd"),"")</f>
        <v/>
      </c>
      <c r="F134">
        <f>IF(BD_Carga!C135&lt;&gt;"",BD_Carga!C135,"")</f>
        <v/>
      </c>
      <c r="G134">
        <f>IF(BD_Carga!D135&lt;&gt;"",BD_Carga!D135,"")</f>
        <v/>
      </c>
      <c r="H134">
        <f>IF(BD_Carga!Q135&lt;&gt;"",BD_Carga!Q135,"")</f>
        <v/>
      </c>
      <c r="I134">
        <f>IF(BD_Carga!R135&lt;&gt;"",BD_Carga!R135,"")</f>
        <v/>
      </c>
      <c r="J134">
        <f>IF(BD_Carga!S135&lt;&gt;"",BD_Carga!S135,"")</f>
        <v/>
      </c>
      <c r="K134" s="4">
        <f>IF(BD_Carga!E135&lt;&gt;"",BD_Carga!E135,0)</f>
        <v/>
      </c>
      <c r="L134" s="4">
        <f>IF(BD_Carga!F135&lt;&gt;"",BD_Carga!F135,0)</f>
        <v/>
      </c>
      <c r="M134" s="4">
        <f>IF(BD_Carga!G135&lt;&gt;"",BD_Carga!G135,0)</f>
        <v/>
      </c>
      <c r="N134" s="4">
        <f>IF(BD_Carga!H135&lt;&gt;"",BD_Carga!H135,0)</f>
        <v/>
      </c>
      <c r="O134" s="4">
        <f>IF(BD_Carga!I135&lt;&gt;"",BD_Carga!I135,0)</f>
        <v/>
      </c>
      <c r="P134" s="4">
        <f>IF(BD_Carga!J135&lt;&gt;"",BD_Carga!J135,0)</f>
        <v/>
      </c>
      <c r="Q134" s="5">
        <f>IF(BD_Carga!K135&lt;&gt;"",BD_Carga!K135,0)</f>
        <v/>
      </c>
      <c r="R134" s="5">
        <f>IF(BD_Carga!L135&lt;&gt;"",BD_Carga!L135,0)</f>
        <v/>
      </c>
      <c r="S134">
        <f>IF(BD_Carga!N135&lt;&gt;"",BD_Carga!N135,0)</f>
        <v/>
      </c>
      <c r="T134">
        <f>IF(BD_Carga!O135&lt;&gt;"",BD_Carga!O135,0)</f>
        <v/>
      </c>
      <c r="U134">
        <f>IF(BD_Carga!P135&lt;&gt;"",BD_Carga!P135,0)</f>
        <v/>
      </c>
      <c r="V134">
        <f>IF(BD_Carga!U135&lt;&gt;"",BD_Carga!U135,0)</f>
        <v/>
      </c>
      <c r="W134">
        <f>IF(BD_Carga!T135&lt;&gt;"",BD_Carga!T135,0)</f>
        <v/>
      </c>
      <c r="X134">
        <f>IF(BD_Carga!W135&lt;&gt;"",BD_Carga!W135,0)</f>
        <v/>
      </c>
      <c r="Y134">
        <f>IF(BD_Carga!X135&lt;&gt;"",BD_Carga!X135,0)</f>
        <v/>
      </c>
      <c r="Z134">
        <f>IF(BD_Carga!Y135&lt;&gt;"",BD_Carga!Y135,0)</f>
        <v/>
      </c>
      <c r="AA134">
        <f>IF(BD_Carga!Z135&lt;&gt;"",BD_Carga!Z135,0)</f>
        <v/>
      </c>
      <c r="AB134">
        <f>IF(BD_Carga!AA135&lt;&gt;"",BD_Carga!AA135,0)</f>
        <v/>
      </c>
      <c r="AC134" s="6">
        <f t="array" ref="AC134">IFERROR((L134-AVERAGEIF($G$2:$G$462,G134,$L$2:$L$462))/_xlfn.STDEV.P(IF($G$2:$G$462=G134,$L$2:$L$462)),0)</f>
        <v/>
      </c>
      <c r="AD134" s="6">
        <f t="array" ref="AD134">IFERROR((M134-AVERAGEIF($G$2:$G$462,G134,$M$2:$M$462))/_xlfn.STDEV.P(IF($G$2:$G$462=G134,$M$2:$M$462)),0)</f>
        <v/>
      </c>
      <c r="AE134" s="6">
        <f t="array" ref="AE134">IFERROR((N134-AVERAGEIF($G$2:$G$462,G134,$N$2:$N$462))/_xlfn.STDEV.P(IF($G$2:$G$462=G134,$N$2:$N$462)),0)</f>
        <v/>
      </c>
      <c r="AF134" s="6">
        <f t="array" ref="AF134">IFERROR((O134-AVERAGEIF($G$2:$G$462,G134,$O$2:$O$462))/_xlfn.STDEV.P(IF($G$2:$G$462=G134,$O$2:$O$462)),0)</f>
        <v/>
      </c>
      <c r="AG134" s="6">
        <f t="array" ref="AG134">IFERROR((P134-AVERAGEIF($G$2:$G$462,G134,$P$2:$P$462))/_xlfn.STDEV.P(IF($G$2:$G$462=G134,$P$2:$P$462)),0)</f>
        <v/>
      </c>
      <c r="AH134" s="6">
        <f t="array" ref="AH134">IFERROR((R134-AVERAGEIF($G$2:$G$462,G134,$R$2:$R$462))/_xlfn.STDEV.P(IF($G$2:$G$462=G134,$R$2:$R$462)),0)</f>
        <v/>
      </c>
      <c r="AI134" s="6">
        <f>IFERROR((AC134+AD134+AE134+AF134+AG134+AH134)/6,0)</f>
        <v/>
      </c>
    </row>
    <row r="135">
      <c r="A135" s="2">
        <f>IF(BD_Carga!A136&lt;&gt;"",BD_Carga!A136,"")</f>
        <v/>
      </c>
      <c r="B135">
        <f>IF(A135&lt;&gt;"",YEAR(A135),"")</f>
        <v/>
      </c>
      <c r="C135">
        <f>IF(A135&lt;&gt;"",MONTH(A135),"")</f>
        <v/>
      </c>
      <c r="D135">
        <f>IF(A135&lt;&gt;"",_xlfn.ISOWEEKNUM(A135),"")</f>
        <v/>
      </c>
      <c r="E135">
        <f>IF(A135&lt;&gt;"",TEXT(A135,"dddd"),"")</f>
        <v/>
      </c>
      <c r="F135">
        <f>IF(BD_Carga!C136&lt;&gt;"",BD_Carga!C136,"")</f>
        <v/>
      </c>
      <c r="G135">
        <f>IF(BD_Carga!D136&lt;&gt;"",BD_Carga!D136,"")</f>
        <v/>
      </c>
      <c r="H135">
        <f>IF(BD_Carga!Q136&lt;&gt;"",BD_Carga!Q136,"")</f>
        <v/>
      </c>
      <c r="I135">
        <f>IF(BD_Carga!R136&lt;&gt;"",BD_Carga!R136,"")</f>
        <v/>
      </c>
      <c r="J135">
        <f>IF(BD_Carga!S136&lt;&gt;"",BD_Carga!S136,"")</f>
        <v/>
      </c>
      <c r="K135" s="4">
        <f>IF(BD_Carga!E136&lt;&gt;"",BD_Carga!E136,0)</f>
        <v/>
      </c>
      <c r="L135" s="4">
        <f>IF(BD_Carga!F136&lt;&gt;"",BD_Carga!F136,0)</f>
        <v/>
      </c>
      <c r="M135" s="4">
        <f>IF(BD_Carga!G136&lt;&gt;"",BD_Carga!G136,0)</f>
        <v/>
      </c>
      <c r="N135" s="4">
        <f>IF(BD_Carga!H136&lt;&gt;"",BD_Carga!H136,0)</f>
        <v/>
      </c>
      <c r="O135" s="4">
        <f>IF(BD_Carga!I136&lt;&gt;"",BD_Carga!I136,0)</f>
        <v/>
      </c>
      <c r="P135" s="4">
        <f>IF(BD_Carga!J136&lt;&gt;"",BD_Carga!J136,0)</f>
        <v/>
      </c>
      <c r="Q135" s="5">
        <f>IF(BD_Carga!K136&lt;&gt;"",BD_Carga!K136,0)</f>
        <v/>
      </c>
      <c r="R135" s="5">
        <f>IF(BD_Carga!L136&lt;&gt;"",BD_Carga!L136,0)</f>
        <v/>
      </c>
      <c r="S135">
        <f>IF(BD_Carga!N136&lt;&gt;"",BD_Carga!N136,0)</f>
        <v/>
      </c>
      <c r="T135">
        <f>IF(BD_Carga!O136&lt;&gt;"",BD_Carga!O136,0)</f>
        <v/>
      </c>
      <c r="U135">
        <f>IF(BD_Carga!P136&lt;&gt;"",BD_Carga!P136,0)</f>
        <v/>
      </c>
      <c r="V135">
        <f>IF(BD_Carga!U136&lt;&gt;"",BD_Carga!U136,0)</f>
        <v/>
      </c>
      <c r="W135">
        <f>IF(BD_Carga!T136&lt;&gt;"",BD_Carga!T136,0)</f>
        <v/>
      </c>
      <c r="X135">
        <f>IF(BD_Carga!W136&lt;&gt;"",BD_Carga!W136,0)</f>
        <v/>
      </c>
      <c r="Y135">
        <f>IF(BD_Carga!X136&lt;&gt;"",BD_Carga!X136,0)</f>
        <v/>
      </c>
      <c r="Z135">
        <f>IF(BD_Carga!Y136&lt;&gt;"",BD_Carga!Y136,0)</f>
        <v/>
      </c>
      <c r="AA135">
        <f>IF(BD_Carga!Z136&lt;&gt;"",BD_Carga!Z136,0)</f>
        <v/>
      </c>
      <c r="AB135">
        <f>IF(BD_Carga!AA136&lt;&gt;"",BD_Carga!AA136,0)</f>
        <v/>
      </c>
      <c r="AC135" s="6">
        <f t="array" ref="AC135">IFERROR((L135-AVERAGEIF($G$2:$G$462,G135,$L$2:$L$462))/_xlfn.STDEV.P(IF($G$2:$G$462=G135,$L$2:$L$462)),0)</f>
        <v/>
      </c>
      <c r="AD135" s="6">
        <f t="array" ref="AD135">IFERROR((M135-AVERAGEIF($G$2:$G$462,G135,$M$2:$M$462))/_xlfn.STDEV.P(IF($G$2:$G$462=G135,$M$2:$M$462)),0)</f>
        <v/>
      </c>
      <c r="AE135" s="6">
        <f t="array" ref="AE135">IFERROR((N135-AVERAGEIF($G$2:$G$462,G135,$N$2:$N$462))/_xlfn.STDEV.P(IF($G$2:$G$462=G135,$N$2:$N$462)),0)</f>
        <v/>
      </c>
      <c r="AF135" s="6">
        <f t="array" ref="AF135">IFERROR((O135-AVERAGEIF($G$2:$G$462,G135,$O$2:$O$462))/_xlfn.STDEV.P(IF($G$2:$G$462=G135,$O$2:$O$462)),0)</f>
        <v/>
      </c>
      <c r="AG135" s="6">
        <f t="array" ref="AG135">IFERROR((P135-AVERAGEIF($G$2:$G$462,G135,$P$2:$P$462))/_xlfn.STDEV.P(IF($G$2:$G$462=G135,$P$2:$P$462)),0)</f>
        <v/>
      </c>
      <c r="AH135" s="6">
        <f t="array" ref="AH135">IFERROR((R135-AVERAGEIF($G$2:$G$462,G135,$R$2:$R$462))/_xlfn.STDEV.P(IF($G$2:$G$462=G135,$R$2:$R$462)),0)</f>
        <v/>
      </c>
      <c r="AI135" s="6">
        <f>IFERROR((AC135+AD135+AE135+AF135+AG135+AH135)/6,0)</f>
        <v/>
      </c>
    </row>
    <row r="136">
      <c r="A136" s="2">
        <f>IF(BD_Carga!A137&lt;&gt;"",BD_Carga!A137,"")</f>
        <v/>
      </c>
      <c r="B136">
        <f>IF(A136&lt;&gt;"",YEAR(A136),"")</f>
        <v/>
      </c>
      <c r="C136">
        <f>IF(A136&lt;&gt;"",MONTH(A136),"")</f>
        <v/>
      </c>
      <c r="D136">
        <f>IF(A136&lt;&gt;"",_xlfn.ISOWEEKNUM(A136),"")</f>
        <v/>
      </c>
      <c r="E136">
        <f>IF(A136&lt;&gt;"",TEXT(A136,"dddd"),"")</f>
        <v/>
      </c>
      <c r="F136">
        <f>IF(BD_Carga!C137&lt;&gt;"",BD_Carga!C137,"")</f>
        <v/>
      </c>
      <c r="G136">
        <f>IF(BD_Carga!D137&lt;&gt;"",BD_Carga!D137,"")</f>
        <v/>
      </c>
      <c r="H136">
        <f>IF(BD_Carga!Q137&lt;&gt;"",BD_Carga!Q137,"")</f>
        <v/>
      </c>
      <c r="I136">
        <f>IF(BD_Carga!R137&lt;&gt;"",BD_Carga!R137,"")</f>
        <v/>
      </c>
      <c r="J136">
        <f>IF(BD_Carga!S137&lt;&gt;"",BD_Carga!S137,"")</f>
        <v/>
      </c>
      <c r="K136" s="4">
        <f>IF(BD_Carga!E137&lt;&gt;"",BD_Carga!E137,0)</f>
        <v/>
      </c>
      <c r="L136" s="4">
        <f>IF(BD_Carga!F137&lt;&gt;"",BD_Carga!F137,0)</f>
        <v/>
      </c>
      <c r="M136" s="4">
        <f>IF(BD_Carga!G137&lt;&gt;"",BD_Carga!G137,0)</f>
        <v/>
      </c>
      <c r="N136" s="4">
        <f>IF(BD_Carga!H137&lt;&gt;"",BD_Carga!H137,0)</f>
        <v/>
      </c>
      <c r="O136" s="4">
        <f>IF(BD_Carga!I137&lt;&gt;"",BD_Carga!I137,0)</f>
        <v/>
      </c>
      <c r="P136" s="4">
        <f>IF(BD_Carga!J137&lt;&gt;"",BD_Carga!J137,0)</f>
        <v/>
      </c>
      <c r="Q136" s="5">
        <f>IF(BD_Carga!K137&lt;&gt;"",BD_Carga!K137,0)</f>
        <v/>
      </c>
      <c r="R136" s="5">
        <f>IF(BD_Carga!L137&lt;&gt;"",BD_Carga!L137,0)</f>
        <v/>
      </c>
      <c r="S136">
        <f>IF(BD_Carga!N137&lt;&gt;"",BD_Carga!N137,0)</f>
        <v/>
      </c>
      <c r="T136">
        <f>IF(BD_Carga!O137&lt;&gt;"",BD_Carga!O137,0)</f>
        <v/>
      </c>
      <c r="U136">
        <f>IF(BD_Carga!P137&lt;&gt;"",BD_Carga!P137,0)</f>
        <v/>
      </c>
      <c r="V136">
        <f>IF(BD_Carga!U137&lt;&gt;"",BD_Carga!U137,0)</f>
        <v/>
      </c>
      <c r="W136">
        <f>IF(BD_Carga!T137&lt;&gt;"",BD_Carga!T137,0)</f>
        <v/>
      </c>
      <c r="X136">
        <f>IF(BD_Carga!W137&lt;&gt;"",BD_Carga!W137,0)</f>
        <v/>
      </c>
      <c r="Y136">
        <f>IF(BD_Carga!X137&lt;&gt;"",BD_Carga!X137,0)</f>
        <v/>
      </c>
      <c r="Z136">
        <f>IF(BD_Carga!Y137&lt;&gt;"",BD_Carga!Y137,0)</f>
        <v/>
      </c>
      <c r="AA136">
        <f>IF(BD_Carga!Z137&lt;&gt;"",BD_Carga!Z137,0)</f>
        <v/>
      </c>
      <c r="AB136">
        <f>IF(BD_Carga!AA137&lt;&gt;"",BD_Carga!AA137,0)</f>
        <v/>
      </c>
      <c r="AC136" s="6">
        <f t="array" ref="AC136">IFERROR((L136-AVERAGEIF($G$2:$G$462,G136,$L$2:$L$462))/_xlfn.STDEV.P(IF($G$2:$G$462=G136,$L$2:$L$462)),0)</f>
        <v/>
      </c>
      <c r="AD136" s="6">
        <f t="array" ref="AD136">IFERROR((M136-AVERAGEIF($G$2:$G$462,G136,$M$2:$M$462))/_xlfn.STDEV.P(IF($G$2:$G$462=G136,$M$2:$M$462)),0)</f>
        <v/>
      </c>
      <c r="AE136" s="6">
        <f t="array" ref="AE136">IFERROR((N136-AVERAGEIF($G$2:$G$462,G136,$N$2:$N$462))/_xlfn.STDEV.P(IF($G$2:$G$462=G136,$N$2:$N$462)),0)</f>
        <v/>
      </c>
      <c r="AF136" s="6">
        <f t="array" ref="AF136">IFERROR((O136-AVERAGEIF($G$2:$G$462,G136,$O$2:$O$462))/_xlfn.STDEV.P(IF($G$2:$G$462=G136,$O$2:$O$462)),0)</f>
        <v/>
      </c>
      <c r="AG136" s="6">
        <f t="array" ref="AG136">IFERROR((P136-AVERAGEIF($G$2:$G$462,G136,$P$2:$P$462))/_xlfn.STDEV.P(IF($G$2:$G$462=G136,$P$2:$P$462)),0)</f>
        <v/>
      </c>
      <c r="AH136" s="6">
        <f t="array" ref="AH136">IFERROR((R136-AVERAGEIF($G$2:$G$462,G136,$R$2:$R$462))/_xlfn.STDEV.P(IF($G$2:$G$462=G136,$R$2:$R$462)),0)</f>
        <v/>
      </c>
      <c r="AI136" s="6">
        <f>IFERROR((AC136+AD136+AE136+AF136+AG136+AH136)/6,0)</f>
        <v/>
      </c>
    </row>
    <row r="137">
      <c r="A137" s="2">
        <f>IF(BD_Carga!A138&lt;&gt;"",BD_Carga!A138,"")</f>
        <v/>
      </c>
      <c r="B137">
        <f>IF(A137&lt;&gt;"",YEAR(A137),"")</f>
        <v/>
      </c>
      <c r="C137">
        <f>IF(A137&lt;&gt;"",MONTH(A137),"")</f>
        <v/>
      </c>
      <c r="D137">
        <f>IF(A137&lt;&gt;"",_xlfn.ISOWEEKNUM(A137),"")</f>
        <v/>
      </c>
      <c r="E137">
        <f>IF(A137&lt;&gt;"",TEXT(A137,"dddd"),"")</f>
        <v/>
      </c>
      <c r="F137">
        <f>IF(BD_Carga!C138&lt;&gt;"",BD_Carga!C138,"")</f>
        <v/>
      </c>
      <c r="G137">
        <f>IF(BD_Carga!D138&lt;&gt;"",BD_Carga!D138,"")</f>
        <v/>
      </c>
      <c r="H137">
        <f>IF(BD_Carga!Q138&lt;&gt;"",BD_Carga!Q138,"")</f>
        <v/>
      </c>
      <c r="I137">
        <f>IF(BD_Carga!R138&lt;&gt;"",BD_Carga!R138,"")</f>
        <v/>
      </c>
      <c r="J137">
        <f>IF(BD_Carga!S138&lt;&gt;"",BD_Carga!S138,"")</f>
        <v/>
      </c>
      <c r="K137" s="4">
        <f>IF(BD_Carga!E138&lt;&gt;"",BD_Carga!E138,0)</f>
        <v/>
      </c>
      <c r="L137" s="4">
        <f>IF(BD_Carga!F138&lt;&gt;"",BD_Carga!F138,0)</f>
        <v/>
      </c>
      <c r="M137" s="4">
        <f>IF(BD_Carga!G138&lt;&gt;"",BD_Carga!G138,0)</f>
        <v/>
      </c>
      <c r="N137" s="4">
        <f>IF(BD_Carga!H138&lt;&gt;"",BD_Carga!H138,0)</f>
        <v/>
      </c>
      <c r="O137" s="4">
        <f>IF(BD_Carga!I138&lt;&gt;"",BD_Carga!I138,0)</f>
        <v/>
      </c>
      <c r="P137" s="4">
        <f>IF(BD_Carga!J138&lt;&gt;"",BD_Carga!J138,0)</f>
        <v/>
      </c>
      <c r="Q137" s="5">
        <f>IF(BD_Carga!K138&lt;&gt;"",BD_Carga!K138,0)</f>
        <v/>
      </c>
      <c r="R137" s="5">
        <f>IF(BD_Carga!L138&lt;&gt;"",BD_Carga!L138,0)</f>
        <v/>
      </c>
      <c r="S137">
        <f>IF(BD_Carga!N138&lt;&gt;"",BD_Carga!N138,0)</f>
        <v/>
      </c>
      <c r="T137">
        <f>IF(BD_Carga!O138&lt;&gt;"",BD_Carga!O138,0)</f>
        <v/>
      </c>
      <c r="U137">
        <f>IF(BD_Carga!P138&lt;&gt;"",BD_Carga!P138,0)</f>
        <v/>
      </c>
      <c r="V137">
        <f>IF(BD_Carga!U138&lt;&gt;"",BD_Carga!U138,0)</f>
        <v/>
      </c>
      <c r="W137">
        <f>IF(BD_Carga!T138&lt;&gt;"",BD_Carga!T138,0)</f>
        <v/>
      </c>
      <c r="X137">
        <f>IF(BD_Carga!W138&lt;&gt;"",BD_Carga!W138,0)</f>
        <v/>
      </c>
      <c r="Y137">
        <f>IF(BD_Carga!X138&lt;&gt;"",BD_Carga!X138,0)</f>
        <v/>
      </c>
      <c r="Z137">
        <f>IF(BD_Carga!Y138&lt;&gt;"",BD_Carga!Y138,0)</f>
        <v/>
      </c>
      <c r="AA137">
        <f>IF(BD_Carga!Z138&lt;&gt;"",BD_Carga!Z138,0)</f>
        <v/>
      </c>
      <c r="AB137">
        <f>IF(BD_Carga!AA138&lt;&gt;"",BD_Carga!AA138,0)</f>
        <v/>
      </c>
      <c r="AC137" s="6">
        <f t="array" ref="AC137">IFERROR((L137-AVERAGEIF($G$2:$G$462,G137,$L$2:$L$462))/_xlfn.STDEV.P(IF($G$2:$G$462=G137,$L$2:$L$462)),0)</f>
        <v/>
      </c>
      <c r="AD137" s="6">
        <f t="array" ref="AD137">IFERROR((M137-AVERAGEIF($G$2:$G$462,G137,$M$2:$M$462))/_xlfn.STDEV.P(IF($G$2:$G$462=G137,$M$2:$M$462)),0)</f>
        <v/>
      </c>
      <c r="AE137" s="6">
        <f t="array" ref="AE137">IFERROR((N137-AVERAGEIF($G$2:$G$462,G137,$N$2:$N$462))/_xlfn.STDEV.P(IF($G$2:$G$462=G137,$N$2:$N$462)),0)</f>
        <v/>
      </c>
      <c r="AF137" s="6">
        <f t="array" ref="AF137">IFERROR((O137-AVERAGEIF($G$2:$G$462,G137,$O$2:$O$462))/_xlfn.STDEV.P(IF($G$2:$G$462=G137,$O$2:$O$462)),0)</f>
        <v/>
      </c>
      <c r="AG137" s="6">
        <f t="array" ref="AG137">IFERROR((P137-AVERAGEIF($G$2:$G$462,G137,$P$2:$P$462))/_xlfn.STDEV.P(IF($G$2:$G$462=G137,$P$2:$P$462)),0)</f>
        <v/>
      </c>
      <c r="AH137" s="6">
        <f t="array" ref="AH137">IFERROR((R137-AVERAGEIF($G$2:$G$462,G137,$R$2:$R$462))/_xlfn.STDEV.P(IF($G$2:$G$462=G137,$R$2:$R$462)),0)</f>
        <v/>
      </c>
      <c r="AI137" s="6">
        <f>IFERROR((AC137+AD137+AE137+AF137+AG137+AH137)/6,0)</f>
        <v/>
      </c>
    </row>
    <row r="138">
      <c r="A138" s="2">
        <f>IF(BD_Carga!A139&lt;&gt;"",BD_Carga!A139,"")</f>
        <v/>
      </c>
      <c r="B138">
        <f>IF(A138&lt;&gt;"",YEAR(A138),"")</f>
        <v/>
      </c>
      <c r="C138">
        <f>IF(A138&lt;&gt;"",MONTH(A138),"")</f>
        <v/>
      </c>
      <c r="D138">
        <f>IF(A138&lt;&gt;"",_xlfn.ISOWEEKNUM(A138),"")</f>
        <v/>
      </c>
      <c r="E138">
        <f>IF(A138&lt;&gt;"",TEXT(A138,"dddd"),"")</f>
        <v/>
      </c>
      <c r="F138">
        <f>IF(BD_Carga!C139&lt;&gt;"",BD_Carga!C139,"")</f>
        <v/>
      </c>
      <c r="G138">
        <f>IF(BD_Carga!D139&lt;&gt;"",BD_Carga!D139,"")</f>
        <v/>
      </c>
      <c r="H138">
        <f>IF(BD_Carga!Q139&lt;&gt;"",BD_Carga!Q139,"")</f>
        <v/>
      </c>
      <c r="I138">
        <f>IF(BD_Carga!R139&lt;&gt;"",BD_Carga!R139,"")</f>
        <v/>
      </c>
      <c r="J138">
        <f>IF(BD_Carga!S139&lt;&gt;"",BD_Carga!S139,"")</f>
        <v/>
      </c>
      <c r="K138" s="4">
        <f>IF(BD_Carga!E139&lt;&gt;"",BD_Carga!E139,0)</f>
        <v/>
      </c>
      <c r="L138" s="4">
        <f>IF(BD_Carga!F139&lt;&gt;"",BD_Carga!F139,0)</f>
        <v/>
      </c>
      <c r="M138" s="4">
        <f>IF(BD_Carga!G139&lt;&gt;"",BD_Carga!G139,0)</f>
        <v/>
      </c>
      <c r="N138" s="4">
        <f>IF(BD_Carga!H139&lt;&gt;"",BD_Carga!H139,0)</f>
        <v/>
      </c>
      <c r="O138" s="4">
        <f>IF(BD_Carga!I139&lt;&gt;"",BD_Carga!I139,0)</f>
        <v/>
      </c>
      <c r="P138" s="4">
        <f>IF(BD_Carga!J139&lt;&gt;"",BD_Carga!J139,0)</f>
        <v/>
      </c>
      <c r="Q138" s="5">
        <f>IF(BD_Carga!K139&lt;&gt;"",BD_Carga!K139,0)</f>
        <v/>
      </c>
      <c r="R138" s="5">
        <f>IF(BD_Carga!L139&lt;&gt;"",BD_Carga!L139,0)</f>
        <v/>
      </c>
      <c r="S138">
        <f>IF(BD_Carga!N139&lt;&gt;"",BD_Carga!N139,0)</f>
        <v/>
      </c>
      <c r="T138">
        <f>IF(BD_Carga!O139&lt;&gt;"",BD_Carga!O139,0)</f>
        <v/>
      </c>
      <c r="U138">
        <f>IF(BD_Carga!P139&lt;&gt;"",BD_Carga!P139,0)</f>
        <v/>
      </c>
      <c r="V138">
        <f>IF(BD_Carga!U139&lt;&gt;"",BD_Carga!U139,0)</f>
        <v/>
      </c>
      <c r="W138">
        <f>IF(BD_Carga!T139&lt;&gt;"",BD_Carga!T139,0)</f>
        <v/>
      </c>
      <c r="X138">
        <f>IF(BD_Carga!W139&lt;&gt;"",BD_Carga!W139,0)</f>
        <v/>
      </c>
      <c r="Y138">
        <f>IF(BD_Carga!X139&lt;&gt;"",BD_Carga!X139,0)</f>
        <v/>
      </c>
      <c r="Z138">
        <f>IF(BD_Carga!Y139&lt;&gt;"",BD_Carga!Y139,0)</f>
        <v/>
      </c>
      <c r="AA138">
        <f>IF(BD_Carga!Z139&lt;&gt;"",BD_Carga!Z139,0)</f>
        <v/>
      </c>
      <c r="AB138">
        <f>IF(BD_Carga!AA139&lt;&gt;"",BD_Carga!AA139,0)</f>
        <v/>
      </c>
      <c r="AC138" s="6">
        <f t="array" ref="AC138">IFERROR((L138-AVERAGEIF($G$2:$G$462,G138,$L$2:$L$462))/_xlfn.STDEV.P(IF($G$2:$G$462=G138,$L$2:$L$462)),0)</f>
        <v/>
      </c>
      <c r="AD138" s="6">
        <f t="array" ref="AD138">IFERROR((M138-AVERAGEIF($G$2:$G$462,G138,$M$2:$M$462))/_xlfn.STDEV.P(IF($G$2:$G$462=G138,$M$2:$M$462)),0)</f>
        <v/>
      </c>
      <c r="AE138" s="6">
        <f t="array" ref="AE138">IFERROR((N138-AVERAGEIF($G$2:$G$462,G138,$N$2:$N$462))/_xlfn.STDEV.P(IF($G$2:$G$462=G138,$N$2:$N$462)),0)</f>
        <v/>
      </c>
      <c r="AF138" s="6">
        <f t="array" ref="AF138">IFERROR((O138-AVERAGEIF($G$2:$G$462,G138,$O$2:$O$462))/_xlfn.STDEV.P(IF($G$2:$G$462=G138,$O$2:$O$462)),0)</f>
        <v/>
      </c>
      <c r="AG138" s="6">
        <f t="array" ref="AG138">IFERROR((P138-AVERAGEIF($G$2:$G$462,G138,$P$2:$P$462))/_xlfn.STDEV.P(IF($G$2:$G$462=G138,$P$2:$P$462)),0)</f>
        <v/>
      </c>
      <c r="AH138" s="6">
        <f t="array" ref="AH138">IFERROR((R138-AVERAGEIF($G$2:$G$462,G138,$R$2:$R$462))/_xlfn.STDEV.P(IF($G$2:$G$462=G138,$R$2:$R$462)),0)</f>
        <v/>
      </c>
      <c r="AI138" s="6">
        <f>IFERROR((AC138+AD138+AE138+AF138+AG138+AH138)/6,0)</f>
        <v/>
      </c>
    </row>
    <row r="139">
      <c r="A139" s="2">
        <f>IF(BD_Carga!A140&lt;&gt;"",BD_Carga!A140,"")</f>
        <v/>
      </c>
      <c r="B139">
        <f>IF(A139&lt;&gt;"",YEAR(A139),"")</f>
        <v/>
      </c>
      <c r="C139">
        <f>IF(A139&lt;&gt;"",MONTH(A139),"")</f>
        <v/>
      </c>
      <c r="D139">
        <f>IF(A139&lt;&gt;"",_xlfn.ISOWEEKNUM(A139),"")</f>
        <v/>
      </c>
      <c r="E139">
        <f>IF(A139&lt;&gt;"",TEXT(A139,"dddd"),"")</f>
        <v/>
      </c>
      <c r="F139">
        <f>IF(BD_Carga!C140&lt;&gt;"",BD_Carga!C140,"")</f>
        <v/>
      </c>
      <c r="G139">
        <f>IF(BD_Carga!D140&lt;&gt;"",BD_Carga!D140,"")</f>
        <v/>
      </c>
      <c r="H139">
        <f>IF(BD_Carga!Q140&lt;&gt;"",BD_Carga!Q140,"")</f>
        <v/>
      </c>
      <c r="I139">
        <f>IF(BD_Carga!R140&lt;&gt;"",BD_Carga!R140,"")</f>
        <v/>
      </c>
      <c r="J139">
        <f>IF(BD_Carga!S140&lt;&gt;"",BD_Carga!S140,"")</f>
        <v/>
      </c>
      <c r="K139" s="4">
        <f>IF(BD_Carga!E140&lt;&gt;"",BD_Carga!E140,0)</f>
        <v/>
      </c>
      <c r="L139" s="4">
        <f>IF(BD_Carga!F140&lt;&gt;"",BD_Carga!F140,0)</f>
        <v/>
      </c>
      <c r="M139" s="4">
        <f>IF(BD_Carga!G140&lt;&gt;"",BD_Carga!G140,0)</f>
        <v/>
      </c>
      <c r="N139" s="4">
        <f>IF(BD_Carga!H140&lt;&gt;"",BD_Carga!H140,0)</f>
        <v/>
      </c>
      <c r="O139" s="4">
        <f>IF(BD_Carga!I140&lt;&gt;"",BD_Carga!I140,0)</f>
        <v/>
      </c>
      <c r="P139" s="4">
        <f>IF(BD_Carga!J140&lt;&gt;"",BD_Carga!J140,0)</f>
        <v/>
      </c>
      <c r="Q139" s="5">
        <f>IF(BD_Carga!K140&lt;&gt;"",BD_Carga!K140,0)</f>
        <v/>
      </c>
      <c r="R139" s="5">
        <f>IF(BD_Carga!L140&lt;&gt;"",BD_Carga!L140,0)</f>
        <v/>
      </c>
      <c r="S139">
        <f>IF(BD_Carga!N140&lt;&gt;"",BD_Carga!N140,0)</f>
        <v/>
      </c>
      <c r="T139">
        <f>IF(BD_Carga!O140&lt;&gt;"",BD_Carga!O140,0)</f>
        <v/>
      </c>
      <c r="U139">
        <f>IF(BD_Carga!P140&lt;&gt;"",BD_Carga!P140,0)</f>
        <v/>
      </c>
      <c r="V139">
        <f>IF(BD_Carga!U140&lt;&gt;"",BD_Carga!U140,0)</f>
        <v/>
      </c>
      <c r="W139">
        <f>IF(BD_Carga!T140&lt;&gt;"",BD_Carga!T140,0)</f>
        <v/>
      </c>
      <c r="X139">
        <f>IF(BD_Carga!W140&lt;&gt;"",BD_Carga!W140,0)</f>
        <v/>
      </c>
      <c r="Y139">
        <f>IF(BD_Carga!X140&lt;&gt;"",BD_Carga!X140,0)</f>
        <v/>
      </c>
      <c r="Z139">
        <f>IF(BD_Carga!Y140&lt;&gt;"",BD_Carga!Y140,0)</f>
        <v/>
      </c>
      <c r="AA139">
        <f>IF(BD_Carga!Z140&lt;&gt;"",BD_Carga!Z140,0)</f>
        <v/>
      </c>
      <c r="AB139">
        <f>IF(BD_Carga!AA140&lt;&gt;"",BD_Carga!AA140,0)</f>
        <v/>
      </c>
      <c r="AC139" s="6">
        <f t="array" ref="AC139">IFERROR((L139-AVERAGEIF($G$2:$G$462,G139,$L$2:$L$462))/_xlfn.STDEV.P(IF($G$2:$G$462=G139,$L$2:$L$462)),0)</f>
        <v/>
      </c>
      <c r="AD139" s="6">
        <f t="array" ref="AD139">IFERROR((M139-AVERAGEIF($G$2:$G$462,G139,$M$2:$M$462))/_xlfn.STDEV.P(IF($G$2:$G$462=G139,$M$2:$M$462)),0)</f>
        <v/>
      </c>
      <c r="AE139" s="6">
        <f t="array" ref="AE139">IFERROR((N139-AVERAGEIF($G$2:$G$462,G139,$N$2:$N$462))/_xlfn.STDEV.P(IF($G$2:$G$462=G139,$N$2:$N$462)),0)</f>
        <v/>
      </c>
      <c r="AF139" s="6">
        <f t="array" ref="AF139">IFERROR((O139-AVERAGEIF($G$2:$G$462,G139,$O$2:$O$462))/_xlfn.STDEV.P(IF($G$2:$G$462=G139,$O$2:$O$462)),0)</f>
        <v/>
      </c>
      <c r="AG139" s="6">
        <f t="array" ref="AG139">IFERROR((P139-AVERAGEIF($G$2:$G$462,G139,$P$2:$P$462))/_xlfn.STDEV.P(IF($G$2:$G$462=G139,$P$2:$P$462)),0)</f>
        <v/>
      </c>
      <c r="AH139" s="6">
        <f t="array" ref="AH139">IFERROR((R139-AVERAGEIF($G$2:$G$462,G139,$R$2:$R$462))/_xlfn.STDEV.P(IF($G$2:$G$462=G139,$R$2:$R$462)),0)</f>
        <v/>
      </c>
      <c r="AI139" s="6">
        <f>IFERROR((AC139+AD139+AE139+AF139+AG139+AH139)/6,0)</f>
        <v/>
      </c>
    </row>
    <row r="140">
      <c r="A140" s="2">
        <f>IF(BD_Carga!A141&lt;&gt;"",BD_Carga!A141,"")</f>
        <v/>
      </c>
      <c r="B140">
        <f>IF(A140&lt;&gt;"",YEAR(A140),"")</f>
        <v/>
      </c>
      <c r="C140">
        <f>IF(A140&lt;&gt;"",MONTH(A140),"")</f>
        <v/>
      </c>
      <c r="D140">
        <f>IF(A140&lt;&gt;"",_xlfn.ISOWEEKNUM(A140),"")</f>
        <v/>
      </c>
      <c r="E140">
        <f>IF(A140&lt;&gt;"",TEXT(A140,"dddd"),"")</f>
        <v/>
      </c>
      <c r="F140">
        <f>IF(BD_Carga!C141&lt;&gt;"",BD_Carga!C141,"")</f>
        <v/>
      </c>
      <c r="G140">
        <f>IF(BD_Carga!D141&lt;&gt;"",BD_Carga!D141,"")</f>
        <v/>
      </c>
      <c r="H140">
        <f>IF(BD_Carga!Q141&lt;&gt;"",BD_Carga!Q141,"")</f>
        <v/>
      </c>
      <c r="I140">
        <f>IF(BD_Carga!R141&lt;&gt;"",BD_Carga!R141,"")</f>
        <v/>
      </c>
      <c r="J140">
        <f>IF(BD_Carga!S141&lt;&gt;"",BD_Carga!S141,"")</f>
        <v/>
      </c>
      <c r="K140" s="4">
        <f>IF(BD_Carga!E141&lt;&gt;"",BD_Carga!E141,0)</f>
        <v/>
      </c>
      <c r="L140" s="4">
        <f>IF(BD_Carga!F141&lt;&gt;"",BD_Carga!F141,0)</f>
        <v/>
      </c>
      <c r="M140" s="4">
        <f>IF(BD_Carga!G141&lt;&gt;"",BD_Carga!G141,0)</f>
        <v/>
      </c>
      <c r="N140" s="4">
        <f>IF(BD_Carga!H141&lt;&gt;"",BD_Carga!H141,0)</f>
        <v/>
      </c>
      <c r="O140" s="4">
        <f>IF(BD_Carga!I141&lt;&gt;"",BD_Carga!I141,0)</f>
        <v/>
      </c>
      <c r="P140" s="4">
        <f>IF(BD_Carga!J141&lt;&gt;"",BD_Carga!J141,0)</f>
        <v/>
      </c>
      <c r="Q140" s="5">
        <f>IF(BD_Carga!K141&lt;&gt;"",BD_Carga!K141,0)</f>
        <v/>
      </c>
      <c r="R140" s="5">
        <f>IF(BD_Carga!L141&lt;&gt;"",BD_Carga!L141,0)</f>
        <v/>
      </c>
      <c r="S140">
        <f>IF(BD_Carga!N141&lt;&gt;"",BD_Carga!N141,0)</f>
        <v/>
      </c>
      <c r="T140">
        <f>IF(BD_Carga!O141&lt;&gt;"",BD_Carga!O141,0)</f>
        <v/>
      </c>
      <c r="U140">
        <f>IF(BD_Carga!P141&lt;&gt;"",BD_Carga!P141,0)</f>
        <v/>
      </c>
      <c r="V140">
        <f>IF(BD_Carga!U141&lt;&gt;"",BD_Carga!U141,0)</f>
        <v/>
      </c>
      <c r="W140">
        <f>IF(BD_Carga!T141&lt;&gt;"",BD_Carga!T141,0)</f>
        <v/>
      </c>
      <c r="X140">
        <f>IF(BD_Carga!W141&lt;&gt;"",BD_Carga!W141,0)</f>
        <v/>
      </c>
      <c r="Y140">
        <f>IF(BD_Carga!X141&lt;&gt;"",BD_Carga!X141,0)</f>
        <v/>
      </c>
      <c r="Z140">
        <f>IF(BD_Carga!Y141&lt;&gt;"",BD_Carga!Y141,0)</f>
        <v/>
      </c>
      <c r="AA140">
        <f>IF(BD_Carga!Z141&lt;&gt;"",BD_Carga!Z141,0)</f>
        <v/>
      </c>
      <c r="AB140">
        <f>IF(BD_Carga!AA141&lt;&gt;"",BD_Carga!AA141,0)</f>
        <v/>
      </c>
      <c r="AC140" s="6">
        <f t="array" ref="AC140">IFERROR((L140-AVERAGEIF($G$2:$G$462,G140,$L$2:$L$462))/_xlfn.STDEV.P(IF($G$2:$G$462=G140,$L$2:$L$462)),0)</f>
        <v/>
      </c>
      <c r="AD140" s="6">
        <f t="array" ref="AD140">IFERROR((M140-AVERAGEIF($G$2:$G$462,G140,$M$2:$M$462))/_xlfn.STDEV.P(IF($G$2:$G$462=G140,$M$2:$M$462)),0)</f>
        <v/>
      </c>
      <c r="AE140" s="6">
        <f t="array" ref="AE140">IFERROR((N140-AVERAGEIF($G$2:$G$462,G140,$N$2:$N$462))/_xlfn.STDEV.P(IF($G$2:$G$462=G140,$N$2:$N$462)),0)</f>
        <v/>
      </c>
      <c r="AF140" s="6">
        <f t="array" ref="AF140">IFERROR((O140-AVERAGEIF($G$2:$G$462,G140,$O$2:$O$462))/_xlfn.STDEV.P(IF($G$2:$G$462=G140,$O$2:$O$462)),0)</f>
        <v/>
      </c>
      <c r="AG140" s="6">
        <f t="array" ref="AG140">IFERROR((P140-AVERAGEIF($G$2:$G$462,G140,$P$2:$P$462))/_xlfn.STDEV.P(IF($G$2:$G$462=G140,$P$2:$P$462)),0)</f>
        <v/>
      </c>
      <c r="AH140" s="6">
        <f t="array" ref="AH140">IFERROR((R140-AVERAGEIF($G$2:$G$462,G140,$R$2:$R$462))/_xlfn.STDEV.P(IF($G$2:$G$462=G140,$R$2:$R$462)),0)</f>
        <v/>
      </c>
      <c r="AI140" s="6">
        <f>IFERROR((AC140+AD140+AE140+AF140+AG140+AH140)/6,0)</f>
        <v/>
      </c>
    </row>
    <row r="141">
      <c r="A141" s="2">
        <f>IF(BD_Carga!A142&lt;&gt;"",BD_Carga!A142,"")</f>
        <v/>
      </c>
      <c r="B141">
        <f>IF(A141&lt;&gt;"",YEAR(A141),"")</f>
        <v/>
      </c>
      <c r="C141">
        <f>IF(A141&lt;&gt;"",MONTH(A141),"")</f>
        <v/>
      </c>
      <c r="D141">
        <f>IF(A141&lt;&gt;"",_xlfn.ISOWEEKNUM(A141),"")</f>
        <v/>
      </c>
      <c r="E141">
        <f>IF(A141&lt;&gt;"",TEXT(A141,"dddd"),"")</f>
        <v/>
      </c>
      <c r="F141">
        <f>IF(BD_Carga!C142&lt;&gt;"",BD_Carga!C142,"")</f>
        <v/>
      </c>
      <c r="G141">
        <f>IF(BD_Carga!D142&lt;&gt;"",BD_Carga!D142,"")</f>
        <v/>
      </c>
      <c r="H141">
        <f>IF(BD_Carga!Q142&lt;&gt;"",BD_Carga!Q142,"")</f>
        <v/>
      </c>
      <c r="I141">
        <f>IF(BD_Carga!R142&lt;&gt;"",BD_Carga!R142,"")</f>
        <v/>
      </c>
      <c r="J141">
        <f>IF(BD_Carga!S142&lt;&gt;"",BD_Carga!S142,"")</f>
        <v/>
      </c>
      <c r="K141" s="4">
        <f>IF(BD_Carga!E142&lt;&gt;"",BD_Carga!E142,0)</f>
        <v/>
      </c>
      <c r="L141" s="4">
        <f>IF(BD_Carga!F142&lt;&gt;"",BD_Carga!F142,0)</f>
        <v/>
      </c>
      <c r="M141" s="4">
        <f>IF(BD_Carga!G142&lt;&gt;"",BD_Carga!G142,0)</f>
        <v/>
      </c>
      <c r="N141" s="4">
        <f>IF(BD_Carga!H142&lt;&gt;"",BD_Carga!H142,0)</f>
        <v/>
      </c>
      <c r="O141" s="4">
        <f>IF(BD_Carga!I142&lt;&gt;"",BD_Carga!I142,0)</f>
        <v/>
      </c>
      <c r="P141" s="4">
        <f>IF(BD_Carga!J142&lt;&gt;"",BD_Carga!J142,0)</f>
        <v/>
      </c>
      <c r="Q141" s="5">
        <f>IF(BD_Carga!K142&lt;&gt;"",BD_Carga!K142,0)</f>
        <v/>
      </c>
      <c r="R141" s="5">
        <f>IF(BD_Carga!L142&lt;&gt;"",BD_Carga!L142,0)</f>
        <v/>
      </c>
      <c r="S141">
        <f>IF(BD_Carga!N142&lt;&gt;"",BD_Carga!N142,0)</f>
        <v/>
      </c>
      <c r="T141">
        <f>IF(BD_Carga!O142&lt;&gt;"",BD_Carga!O142,0)</f>
        <v/>
      </c>
      <c r="U141">
        <f>IF(BD_Carga!P142&lt;&gt;"",BD_Carga!P142,0)</f>
        <v/>
      </c>
      <c r="V141">
        <f>IF(BD_Carga!U142&lt;&gt;"",BD_Carga!U142,0)</f>
        <v/>
      </c>
      <c r="W141">
        <f>IF(BD_Carga!T142&lt;&gt;"",BD_Carga!T142,0)</f>
        <v/>
      </c>
      <c r="X141">
        <f>IF(BD_Carga!W142&lt;&gt;"",BD_Carga!W142,0)</f>
        <v/>
      </c>
      <c r="Y141">
        <f>IF(BD_Carga!X142&lt;&gt;"",BD_Carga!X142,0)</f>
        <v/>
      </c>
      <c r="Z141">
        <f>IF(BD_Carga!Y142&lt;&gt;"",BD_Carga!Y142,0)</f>
        <v/>
      </c>
      <c r="AA141">
        <f>IF(BD_Carga!Z142&lt;&gt;"",BD_Carga!Z142,0)</f>
        <v/>
      </c>
      <c r="AB141">
        <f>IF(BD_Carga!AA142&lt;&gt;"",BD_Carga!AA142,0)</f>
        <v/>
      </c>
      <c r="AC141" s="6">
        <f t="array" ref="AC141">IFERROR((L141-AVERAGEIF($G$2:$G$462,G141,$L$2:$L$462))/_xlfn.STDEV.P(IF($G$2:$G$462=G141,$L$2:$L$462)),0)</f>
        <v/>
      </c>
      <c r="AD141" s="6">
        <f t="array" ref="AD141">IFERROR((M141-AVERAGEIF($G$2:$G$462,G141,$M$2:$M$462))/_xlfn.STDEV.P(IF($G$2:$G$462=G141,$M$2:$M$462)),0)</f>
        <v/>
      </c>
      <c r="AE141" s="6">
        <f t="array" ref="AE141">IFERROR((N141-AVERAGEIF($G$2:$G$462,G141,$N$2:$N$462))/_xlfn.STDEV.P(IF($G$2:$G$462=G141,$N$2:$N$462)),0)</f>
        <v/>
      </c>
      <c r="AF141" s="6">
        <f t="array" ref="AF141">IFERROR((O141-AVERAGEIF($G$2:$G$462,G141,$O$2:$O$462))/_xlfn.STDEV.P(IF($G$2:$G$462=G141,$O$2:$O$462)),0)</f>
        <v/>
      </c>
      <c r="AG141" s="6">
        <f t="array" ref="AG141">IFERROR((P141-AVERAGEIF($G$2:$G$462,G141,$P$2:$P$462))/_xlfn.STDEV.P(IF($G$2:$G$462=G141,$P$2:$P$462)),0)</f>
        <v/>
      </c>
      <c r="AH141" s="6">
        <f t="array" ref="AH141">IFERROR((R141-AVERAGEIF($G$2:$G$462,G141,$R$2:$R$462))/_xlfn.STDEV.P(IF($G$2:$G$462=G141,$R$2:$R$462)),0)</f>
        <v/>
      </c>
      <c r="AI141" s="6">
        <f>IFERROR((AC141+AD141+AE141+AF141+AG141+AH141)/6,0)</f>
        <v/>
      </c>
    </row>
    <row r="142">
      <c r="A142" s="2">
        <f>IF(BD_Carga!A143&lt;&gt;"",BD_Carga!A143,"")</f>
        <v/>
      </c>
      <c r="B142">
        <f>IF(A142&lt;&gt;"",YEAR(A142),"")</f>
        <v/>
      </c>
      <c r="C142">
        <f>IF(A142&lt;&gt;"",MONTH(A142),"")</f>
        <v/>
      </c>
      <c r="D142">
        <f>IF(A142&lt;&gt;"",_xlfn.ISOWEEKNUM(A142),"")</f>
        <v/>
      </c>
      <c r="E142">
        <f>IF(A142&lt;&gt;"",TEXT(A142,"dddd"),"")</f>
        <v/>
      </c>
      <c r="F142">
        <f>IF(BD_Carga!C143&lt;&gt;"",BD_Carga!C143,"")</f>
        <v/>
      </c>
      <c r="G142">
        <f>IF(BD_Carga!D143&lt;&gt;"",BD_Carga!D143,"")</f>
        <v/>
      </c>
      <c r="H142">
        <f>IF(BD_Carga!Q143&lt;&gt;"",BD_Carga!Q143,"")</f>
        <v/>
      </c>
      <c r="I142">
        <f>IF(BD_Carga!R143&lt;&gt;"",BD_Carga!R143,"")</f>
        <v/>
      </c>
      <c r="J142">
        <f>IF(BD_Carga!S143&lt;&gt;"",BD_Carga!S143,"")</f>
        <v/>
      </c>
      <c r="K142" s="4">
        <f>IF(BD_Carga!E143&lt;&gt;"",BD_Carga!E143,0)</f>
        <v/>
      </c>
      <c r="L142" s="4">
        <f>IF(BD_Carga!F143&lt;&gt;"",BD_Carga!F143,0)</f>
        <v/>
      </c>
      <c r="M142" s="4">
        <f>IF(BD_Carga!G143&lt;&gt;"",BD_Carga!G143,0)</f>
        <v/>
      </c>
      <c r="N142" s="4">
        <f>IF(BD_Carga!H143&lt;&gt;"",BD_Carga!H143,0)</f>
        <v/>
      </c>
      <c r="O142" s="4">
        <f>IF(BD_Carga!I143&lt;&gt;"",BD_Carga!I143,0)</f>
        <v/>
      </c>
      <c r="P142" s="4">
        <f>IF(BD_Carga!J143&lt;&gt;"",BD_Carga!J143,0)</f>
        <v/>
      </c>
      <c r="Q142" s="5">
        <f>IF(BD_Carga!K143&lt;&gt;"",BD_Carga!K143,0)</f>
        <v/>
      </c>
      <c r="R142" s="5">
        <f>IF(BD_Carga!L143&lt;&gt;"",BD_Carga!L143,0)</f>
        <v/>
      </c>
      <c r="S142">
        <f>IF(BD_Carga!N143&lt;&gt;"",BD_Carga!N143,0)</f>
        <v/>
      </c>
      <c r="T142">
        <f>IF(BD_Carga!O143&lt;&gt;"",BD_Carga!O143,0)</f>
        <v/>
      </c>
      <c r="U142">
        <f>IF(BD_Carga!P143&lt;&gt;"",BD_Carga!P143,0)</f>
        <v/>
      </c>
      <c r="V142">
        <f>IF(BD_Carga!U143&lt;&gt;"",BD_Carga!U143,0)</f>
        <v/>
      </c>
      <c r="W142">
        <f>IF(BD_Carga!T143&lt;&gt;"",BD_Carga!T143,0)</f>
        <v/>
      </c>
      <c r="X142">
        <f>IF(BD_Carga!W143&lt;&gt;"",BD_Carga!W143,0)</f>
        <v/>
      </c>
      <c r="Y142">
        <f>IF(BD_Carga!X143&lt;&gt;"",BD_Carga!X143,0)</f>
        <v/>
      </c>
      <c r="Z142">
        <f>IF(BD_Carga!Y143&lt;&gt;"",BD_Carga!Y143,0)</f>
        <v/>
      </c>
      <c r="AA142">
        <f>IF(BD_Carga!Z143&lt;&gt;"",BD_Carga!Z143,0)</f>
        <v/>
      </c>
      <c r="AB142">
        <f>IF(BD_Carga!AA143&lt;&gt;"",BD_Carga!AA143,0)</f>
        <v/>
      </c>
      <c r="AC142" s="6">
        <f t="array" ref="AC142">IFERROR((L142-AVERAGEIF($G$2:$G$462,G142,$L$2:$L$462))/_xlfn.STDEV.P(IF($G$2:$G$462=G142,$L$2:$L$462)),0)</f>
        <v/>
      </c>
      <c r="AD142" s="6">
        <f t="array" ref="AD142">IFERROR((M142-AVERAGEIF($G$2:$G$462,G142,$M$2:$M$462))/_xlfn.STDEV.P(IF($G$2:$G$462=G142,$M$2:$M$462)),0)</f>
        <v/>
      </c>
      <c r="AE142" s="6">
        <f t="array" ref="AE142">IFERROR((N142-AVERAGEIF($G$2:$G$462,G142,$N$2:$N$462))/_xlfn.STDEV.P(IF($G$2:$G$462=G142,$N$2:$N$462)),0)</f>
        <v/>
      </c>
      <c r="AF142" s="6">
        <f t="array" ref="AF142">IFERROR((O142-AVERAGEIF($G$2:$G$462,G142,$O$2:$O$462))/_xlfn.STDEV.P(IF($G$2:$G$462=G142,$O$2:$O$462)),0)</f>
        <v/>
      </c>
      <c r="AG142" s="6">
        <f t="array" ref="AG142">IFERROR((P142-AVERAGEIF($G$2:$G$462,G142,$P$2:$P$462))/_xlfn.STDEV.P(IF($G$2:$G$462=G142,$P$2:$P$462)),0)</f>
        <v/>
      </c>
      <c r="AH142" s="6">
        <f t="array" ref="AH142">IFERROR((R142-AVERAGEIF($G$2:$G$462,G142,$R$2:$R$462))/_xlfn.STDEV.P(IF($G$2:$G$462=G142,$R$2:$R$462)),0)</f>
        <v/>
      </c>
      <c r="AI142" s="6">
        <f>IFERROR((AC142+AD142+AE142+AF142+AG142+AH142)/6,0)</f>
        <v/>
      </c>
    </row>
    <row r="143">
      <c r="A143" s="2">
        <f>IF(BD_Carga!A144&lt;&gt;"",BD_Carga!A144,"")</f>
        <v/>
      </c>
      <c r="B143">
        <f>IF(A143&lt;&gt;"",YEAR(A143),"")</f>
        <v/>
      </c>
      <c r="C143">
        <f>IF(A143&lt;&gt;"",MONTH(A143),"")</f>
        <v/>
      </c>
      <c r="D143">
        <f>IF(A143&lt;&gt;"",_xlfn.ISOWEEKNUM(A143),"")</f>
        <v/>
      </c>
      <c r="E143">
        <f>IF(A143&lt;&gt;"",TEXT(A143,"dddd"),"")</f>
        <v/>
      </c>
      <c r="F143">
        <f>IF(BD_Carga!C144&lt;&gt;"",BD_Carga!C144,"")</f>
        <v/>
      </c>
      <c r="G143">
        <f>IF(BD_Carga!D144&lt;&gt;"",BD_Carga!D144,"")</f>
        <v/>
      </c>
      <c r="H143">
        <f>IF(BD_Carga!Q144&lt;&gt;"",BD_Carga!Q144,"")</f>
        <v/>
      </c>
      <c r="I143">
        <f>IF(BD_Carga!R144&lt;&gt;"",BD_Carga!R144,"")</f>
        <v/>
      </c>
      <c r="J143">
        <f>IF(BD_Carga!S144&lt;&gt;"",BD_Carga!S144,"")</f>
        <v/>
      </c>
      <c r="K143" s="4">
        <f>IF(BD_Carga!E144&lt;&gt;"",BD_Carga!E144,0)</f>
        <v/>
      </c>
      <c r="L143" s="4">
        <f>IF(BD_Carga!F144&lt;&gt;"",BD_Carga!F144,0)</f>
        <v/>
      </c>
      <c r="M143" s="4">
        <f>IF(BD_Carga!G144&lt;&gt;"",BD_Carga!G144,0)</f>
        <v/>
      </c>
      <c r="N143" s="4">
        <f>IF(BD_Carga!H144&lt;&gt;"",BD_Carga!H144,0)</f>
        <v/>
      </c>
      <c r="O143" s="4">
        <f>IF(BD_Carga!I144&lt;&gt;"",BD_Carga!I144,0)</f>
        <v/>
      </c>
      <c r="P143" s="4">
        <f>IF(BD_Carga!J144&lt;&gt;"",BD_Carga!J144,0)</f>
        <v/>
      </c>
      <c r="Q143" s="5">
        <f>IF(BD_Carga!K144&lt;&gt;"",BD_Carga!K144,0)</f>
        <v/>
      </c>
      <c r="R143" s="5">
        <f>IF(BD_Carga!L144&lt;&gt;"",BD_Carga!L144,0)</f>
        <v/>
      </c>
      <c r="S143">
        <f>IF(BD_Carga!N144&lt;&gt;"",BD_Carga!N144,0)</f>
        <v/>
      </c>
      <c r="T143">
        <f>IF(BD_Carga!O144&lt;&gt;"",BD_Carga!O144,0)</f>
        <v/>
      </c>
      <c r="U143">
        <f>IF(BD_Carga!P144&lt;&gt;"",BD_Carga!P144,0)</f>
        <v/>
      </c>
      <c r="V143">
        <f>IF(BD_Carga!U144&lt;&gt;"",BD_Carga!U144,0)</f>
        <v/>
      </c>
      <c r="W143">
        <f>IF(BD_Carga!T144&lt;&gt;"",BD_Carga!T144,0)</f>
        <v/>
      </c>
      <c r="X143">
        <f>IF(BD_Carga!W144&lt;&gt;"",BD_Carga!W144,0)</f>
        <v/>
      </c>
      <c r="Y143">
        <f>IF(BD_Carga!X144&lt;&gt;"",BD_Carga!X144,0)</f>
        <v/>
      </c>
      <c r="Z143">
        <f>IF(BD_Carga!Y144&lt;&gt;"",BD_Carga!Y144,0)</f>
        <v/>
      </c>
      <c r="AA143">
        <f>IF(BD_Carga!Z144&lt;&gt;"",BD_Carga!Z144,0)</f>
        <v/>
      </c>
      <c r="AB143">
        <f>IF(BD_Carga!AA144&lt;&gt;"",BD_Carga!AA144,0)</f>
        <v/>
      </c>
      <c r="AC143" s="6">
        <f t="array" ref="AC143">IFERROR((L143-AVERAGEIF($G$2:$G$462,G143,$L$2:$L$462))/_xlfn.STDEV.P(IF($G$2:$G$462=G143,$L$2:$L$462)),0)</f>
        <v/>
      </c>
      <c r="AD143" s="6">
        <f t="array" ref="AD143">IFERROR((M143-AVERAGEIF($G$2:$G$462,G143,$M$2:$M$462))/_xlfn.STDEV.P(IF($G$2:$G$462=G143,$M$2:$M$462)),0)</f>
        <v/>
      </c>
      <c r="AE143" s="6">
        <f t="array" ref="AE143">IFERROR((N143-AVERAGEIF($G$2:$G$462,G143,$N$2:$N$462))/_xlfn.STDEV.P(IF($G$2:$G$462=G143,$N$2:$N$462)),0)</f>
        <v/>
      </c>
      <c r="AF143" s="6">
        <f t="array" ref="AF143">IFERROR((O143-AVERAGEIF($G$2:$G$462,G143,$O$2:$O$462))/_xlfn.STDEV.P(IF($G$2:$G$462=G143,$O$2:$O$462)),0)</f>
        <v/>
      </c>
      <c r="AG143" s="6">
        <f t="array" ref="AG143">IFERROR((P143-AVERAGEIF($G$2:$G$462,G143,$P$2:$P$462))/_xlfn.STDEV.P(IF($G$2:$G$462=G143,$P$2:$P$462)),0)</f>
        <v/>
      </c>
      <c r="AH143" s="6">
        <f t="array" ref="AH143">IFERROR((R143-AVERAGEIF($G$2:$G$462,G143,$R$2:$R$462))/_xlfn.STDEV.P(IF($G$2:$G$462=G143,$R$2:$R$462)),0)</f>
        <v/>
      </c>
      <c r="AI143" s="6">
        <f>IFERROR((AC143+AD143+AE143+AF143+AG143+AH143)/6,0)</f>
        <v/>
      </c>
    </row>
    <row r="144">
      <c r="A144" s="2">
        <f>IF(BD_Carga!A145&lt;&gt;"",BD_Carga!A145,"")</f>
        <v/>
      </c>
      <c r="B144">
        <f>IF(A144&lt;&gt;"",YEAR(A144),"")</f>
        <v/>
      </c>
      <c r="C144">
        <f>IF(A144&lt;&gt;"",MONTH(A144),"")</f>
        <v/>
      </c>
      <c r="D144">
        <f>IF(A144&lt;&gt;"",_xlfn.ISOWEEKNUM(A144),"")</f>
        <v/>
      </c>
      <c r="E144">
        <f>IF(A144&lt;&gt;"",TEXT(A144,"dddd"),"")</f>
        <v/>
      </c>
      <c r="F144">
        <f>IF(BD_Carga!C145&lt;&gt;"",BD_Carga!C145,"")</f>
        <v/>
      </c>
      <c r="G144">
        <f>IF(BD_Carga!D145&lt;&gt;"",BD_Carga!D145,"")</f>
        <v/>
      </c>
      <c r="H144">
        <f>IF(BD_Carga!Q145&lt;&gt;"",BD_Carga!Q145,"")</f>
        <v/>
      </c>
      <c r="I144">
        <f>IF(BD_Carga!R145&lt;&gt;"",BD_Carga!R145,"")</f>
        <v/>
      </c>
      <c r="J144">
        <f>IF(BD_Carga!S145&lt;&gt;"",BD_Carga!S145,"")</f>
        <v/>
      </c>
      <c r="K144" s="4">
        <f>IF(BD_Carga!E145&lt;&gt;"",BD_Carga!E145,0)</f>
        <v/>
      </c>
      <c r="L144" s="4">
        <f>IF(BD_Carga!F145&lt;&gt;"",BD_Carga!F145,0)</f>
        <v/>
      </c>
      <c r="M144" s="4">
        <f>IF(BD_Carga!G145&lt;&gt;"",BD_Carga!G145,0)</f>
        <v/>
      </c>
      <c r="N144" s="4">
        <f>IF(BD_Carga!H145&lt;&gt;"",BD_Carga!H145,0)</f>
        <v/>
      </c>
      <c r="O144" s="4">
        <f>IF(BD_Carga!I145&lt;&gt;"",BD_Carga!I145,0)</f>
        <v/>
      </c>
      <c r="P144" s="4">
        <f>IF(BD_Carga!J145&lt;&gt;"",BD_Carga!J145,0)</f>
        <v/>
      </c>
      <c r="Q144" s="5">
        <f>IF(BD_Carga!K145&lt;&gt;"",BD_Carga!K145,0)</f>
        <v/>
      </c>
      <c r="R144" s="5">
        <f>IF(BD_Carga!L145&lt;&gt;"",BD_Carga!L145,0)</f>
        <v/>
      </c>
      <c r="S144">
        <f>IF(BD_Carga!N145&lt;&gt;"",BD_Carga!N145,0)</f>
        <v/>
      </c>
      <c r="T144">
        <f>IF(BD_Carga!O145&lt;&gt;"",BD_Carga!O145,0)</f>
        <v/>
      </c>
      <c r="U144">
        <f>IF(BD_Carga!P145&lt;&gt;"",BD_Carga!P145,0)</f>
        <v/>
      </c>
      <c r="V144">
        <f>IF(BD_Carga!U145&lt;&gt;"",BD_Carga!U145,0)</f>
        <v/>
      </c>
      <c r="W144">
        <f>IF(BD_Carga!T145&lt;&gt;"",BD_Carga!T145,0)</f>
        <v/>
      </c>
      <c r="X144">
        <f>IF(BD_Carga!W145&lt;&gt;"",BD_Carga!W145,0)</f>
        <v/>
      </c>
      <c r="Y144">
        <f>IF(BD_Carga!X145&lt;&gt;"",BD_Carga!X145,0)</f>
        <v/>
      </c>
      <c r="Z144">
        <f>IF(BD_Carga!Y145&lt;&gt;"",BD_Carga!Y145,0)</f>
        <v/>
      </c>
      <c r="AA144">
        <f>IF(BD_Carga!Z145&lt;&gt;"",BD_Carga!Z145,0)</f>
        <v/>
      </c>
      <c r="AB144">
        <f>IF(BD_Carga!AA145&lt;&gt;"",BD_Carga!AA145,0)</f>
        <v/>
      </c>
      <c r="AC144" s="6">
        <f t="array" ref="AC144">IFERROR((L144-AVERAGEIF($G$2:$G$462,G144,$L$2:$L$462))/_xlfn.STDEV.P(IF($G$2:$G$462=G144,$L$2:$L$462)),0)</f>
        <v/>
      </c>
      <c r="AD144" s="6">
        <f t="array" ref="AD144">IFERROR((M144-AVERAGEIF($G$2:$G$462,G144,$M$2:$M$462))/_xlfn.STDEV.P(IF($G$2:$G$462=G144,$M$2:$M$462)),0)</f>
        <v/>
      </c>
      <c r="AE144" s="6">
        <f t="array" ref="AE144">IFERROR((N144-AVERAGEIF($G$2:$G$462,G144,$N$2:$N$462))/_xlfn.STDEV.P(IF($G$2:$G$462=G144,$N$2:$N$462)),0)</f>
        <v/>
      </c>
      <c r="AF144" s="6">
        <f t="array" ref="AF144">IFERROR((O144-AVERAGEIF($G$2:$G$462,G144,$O$2:$O$462))/_xlfn.STDEV.P(IF($G$2:$G$462=G144,$O$2:$O$462)),0)</f>
        <v/>
      </c>
      <c r="AG144" s="6">
        <f t="array" ref="AG144">IFERROR((P144-AVERAGEIF($G$2:$G$462,G144,$P$2:$P$462))/_xlfn.STDEV.P(IF($G$2:$G$462=G144,$P$2:$P$462)),0)</f>
        <v/>
      </c>
      <c r="AH144" s="6">
        <f t="array" ref="AH144">IFERROR((R144-AVERAGEIF($G$2:$G$462,G144,$R$2:$R$462))/_xlfn.STDEV.P(IF($G$2:$G$462=G144,$R$2:$R$462)),0)</f>
        <v/>
      </c>
      <c r="AI144" s="6">
        <f>IFERROR((AC144+AD144+AE144+AF144+AG144+AH144)/6,0)</f>
        <v/>
      </c>
    </row>
    <row r="145">
      <c r="A145" s="2">
        <f>IF(BD_Carga!A146&lt;&gt;"",BD_Carga!A146,"")</f>
        <v/>
      </c>
      <c r="B145">
        <f>IF(A145&lt;&gt;"",YEAR(A145),"")</f>
        <v/>
      </c>
      <c r="C145">
        <f>IF(A145&lt;&gt;"",MONTH(A145),"")</f>
        <v/>
      </c>
      <c r="D145">
        <f>IF(A145&lt;&gt;"",_xlfn.ISOWEEKNUM(A145),"")</f>
        <v/>
      </c>
      <c r="E145">
        <f>IF(A145&lt;&gt;"",TEXT(A145,"dddd"),"")</f>
        <v/>
      </c>
      <c r="F145">
        <f>IF(BD_Carga!C146&lt;&gt;"",BD_Carga!C146,"")</f>
        <v/>
      </c>
      <c r="G145">
        <f>IF(BD_Carga!D146&lt;&gt;"",BD_Carga!D146,"")</f>
        <v/>
      </c>
      <c r="H145">
        <f>IF(BD_Carga!Q146&lt;&gt;"",BD_Carga!Q146,"")</f>
        <v/>
      </c>
      <c r="I145">
        <f>IF(BD_Carga!R146&lt;&gt;"",BD_Carga!R146,"")</f>
        <v/>
      </c>
      <c r="J145">
        <f>IF(BD_Carga!S146&lt;&gt;"",BD_Carga!S146,"")</f>
        <v/>
      </c>
      <c r="K145" s="4">
        <f>IF(BD_Carga!E146&lt;&gt;"",BD_Carga!E146,0)</f>
        <v/>
      </c>
      <c r="L145" s="4">
        <f>IF(BD_Carga!F146&lt;&gt;"",BD_Carga!F146,0)</f>
        <v/>
      </c>
      <c r="M145" s="4">
        <f>IF(BD_Carga!G146&lt;&gt;"",BD_Carga!G146,0)</f>
        <v/>
      </c>
      <c r="N145" s="4">
        <f>IF(BD_Carga!H146&lt;&gt;"",BD_Carga!H146,0)</f>
        <v/>
      </c>
      <c r="O145" s="4">
        <f>IF(BD_Carga!I146&lt;&gt;"",BD_Carga!I146,0)</f>
        <v/>
      </c>
      <c r="P145" s="4">
        <f>IF(BD_Carga!J146&lt;&gt;"",BD_Carga!J146,0)</f>
        <v/>
      </c>
      <c r="Q145" s="5">
        <f>IF(BD_Carga!K146&lt;&gt;"",BD_Carga!K146,0)</f>
        <v/>
      </c>
      <c r="R145" s="5">
        <f>IF(BD_Carga!L146&lt;&gt;"",BD_Carga!L146,0)</f>
        <v/>
      </c>
      <c r="S145">
        <f>IF(BD_Carga!N146&lt;&gt;"",BD_Carga!N146,0)</f>
        <v/>
      </c>
      <c r="T145">
        <f>IF(BD_Carga!O146&lt;&gt;"",BD_Carga!O146,0)</f>
        <v/>
      </c>
      <c r="U145">
        <f>IF(BD_Carga!P146&lt;&gt;"",BD_Carga!P146,0)</f>
        <v/>
      </c>
      <c r="V145">
        <f>IF(BD_Carga!U146&lt;&gt;"",BD_Carga!U146,0)</f>
        <v/>
      </c>
      <c r="W145">
        <f>IF(BD_Carga!T146&lt;&gt;"",BD_Carga!T146,0)</f>
        <v/>
      </c>
      <c r="X145">
        <f>IF(BD_Carga!W146&lt;&gt;"",BD_Carga!W146,0)</f>
        <v/>
      </c>
      <c r="Y145">
        <f>IF(BD_Carga!X146&lt;&gt;"",BD_Carga!X146,0)</f>
        <v/>
      </c>
      <c r="Z145">
        <f>IF(BD_Carga!Y146&lt;&gt;"",BD_Carga!Y146,0)</f>
        <v/>
      </c>
      <c r="AA145">
        <f>IF(BD_Carga!Z146&lt;&gt;"",BD_Carga!Z146,0)</f>
        <v/>
      </c>
      <c r="AB145">
        <f>IF(BD_Carga!AA146&lt;&gt;"",BD_Carga!AA146,0)</f>
        <v/>
      </c>
      <c r="AC145" s="6">
        <f t="array" ref="AC145">IFERROR((L145-AVERAGEIF($G$2:$G$462,G145,$L$2:$L$462))/_xlfn.STDEV.P(IF($G$2:$G$462=G145,$L$2:$L$462)),0)</f>
        <v/>
      </c>
      <c r="AD145" s="6">
        <f t="array" ref="AD145">IFERROR((M145-AVERAGEIF($G$2:$G$462,G145,$M$2:$M$462))/_xlfn.STDEV.P(IF($G$2:$G$462=G145,$M$2:$M$462)),0)</f>
        <v/>
      </c>
      <c r="AE145" s="6">
        <f t="array" ref="AE145">IFERROR((N145-AVERAGEIF($G$2:$G$462,G145,$N$2:$N$462))/_xlfn.STDEV.P(IF($G$2:$G$462=G145,$N$2:$N$462)),0)</f>
        <v/>
      </c>
      <c r="AF145" s="6">
        <f t="array" ref="AF145">IFERROR((O145-AVERAGEIF($G$2:$G$462,G145,$O$2:$O$462))/_xlfn.STDEV.P(IF($G$2:$G$462=G145,$O$2:$O$462)),0)</f>
        <v/>
      </c>
      <c r="AG145" s="6">
        <f t="array" ref="AG145">IFERROR((P145-AVERAGEIF($G$2:$G$462,G145,$P$2:$P$462))/_xlfn.STDEV.P(IF($G$2:$G$462=G145,$P$2:$P$462)),0)</f>
        <v/>
      </c>
      <c r="AH145" s="6">
        <f t="array" ref="AH145">IFERROR((R145-AVERAGEIF($G$2:$G$462,G145,$R$2:$R$462))/_xlfn.STDEV.P(IF($G$2:$G$462=G145,$R$2:$R$462)),0)</f>
        <v/>
      </c>
      <c r="AI145" s="6">
        <f>IFERROR((AC145+AD145+AE145+AF145+AG145+AH145)/6,0)</f>
        <v/>
      </c>
    </row>
    <row r="146">
      <c r="A146" s="2">
        <f>IF(BD_Carga!A147&lt;&gt;"",BD_Carga!A147,"")</f>
        <v/>
      </c>
      <c r="B146">
        <f>IF(A146&lt;&gt;"",YEAR(A146),"")</f>
        <v/>
      </c>
      <c r="C146">
        <f>IF(A146&lt;&gt;"",MONTH(A146),"")</f>
        <v/>
      </c>
      <c r="D146">
        <f>IF(A146&lt;&gt;"",_xlfn.ISOWEEKNUM(A146),"")</f>
        <v/>
      </c>
      <c r="E146">
        <f>IF(A146&lt;&gt;"",TEXT(A146,"dddd"),"")</f>
        <v/>
      </c>
      <c r="F146">
        <f>IF(BD_Carga!C147&lt;&gt;"",BD_Carga!C147,"")</f>
        <v/>
      </c>
      <c r="G146">
        <f>IF(BD_Carga!D147&lt;&gt;"",BD_Carga!D147,"")</f>
        <v/>
      </c>
      <c r="H146">
        <f>IF(BD_Carga!Q147&lt;&gt;"",BD_Carga!Q147,"")</f>
        <v/>
      </c>
      <c r="I146">
        <f>IF(BD_Carga!R147&lt;&gt;"",BD_Carga!R147,"")</f>
        <v/>
      </c>
      <c r="J146">
        <f>IF(BD_Carga!S147&lt;&gt;"",BD_Carga!S147,"")</f>
        <v/>
      </c>
      <c r="K146" s="4">
        <f>IF(BD_Carga!E147&lt;&gt;"",BD_Carga!E147,0)</f>
        <v/>
      </c>
      <c r="L146" s="4">
        <f>IF(BD_Carga!F147&lt;&gt;"",BD_Carga!F147,0)</f>
        <v/>
      </c>
      <c r="M146" s="4">
        <f>IF(BD_Carga!G147&lt;&gt;"",BD_Carga!G147,0)</f>
        <v/>
      </c>
      <c r="N146" s="4">
        <f>IF(BD_Carga!H147&lt;&gt;"",BD_Carga!H147,0)</f>
        <v/>
      </c>
      <c r="O146" s="4">
        <f>IF(BD_Carga!I147&lt;&gt;"",BD_Carga!I147,0)</f>
        <v/>
      </c>
      <c r="P146" s="4">
        <f>IF(BD_Carga!J147&lt;&gt;"",BD_Carga!J147,0)</f>
        <v/>
      </c>
      <c r="Q146" s="5">
        <f>IF(BD_Carga!K147&lt;&gt;"",BD_Carga!K147,0)</f>
        <v/>
      </c>
      <c r="R146" s="5">
        <f>IF(BD_Carga!L147&lt;&gt;"",BD_Carga!L147,0)</f>
        <v/>
      </c>
      <c r="S146">
        <f>IF(BD_Carga!N147&lt;&gt;"",BD_Carga!N147,0)</f>
        <v/>
      </c>
      <c r="T146">
        <f>IF(BD_Carga!O147&lt;&gt;"",BD_Carga!O147,0)</f>
        <v/>
      </c>
      <c r="U146">
        <f>IF(BD_Carga!P147&lt;&gt;"",BD_Carga!P147,0)</f>
        <v/>
      </c>
      <c r="V146">
        <f>IF(BD_Carga!U147&lt;&gt;"",BD_Carga!U147,0)</f>
        <v/>
      </c>
      <c r="W146">
        <f>IF(BD_Carga!T147&lt;&gt;"",BD_Carga!T147,0)</f>
        <v/>
      </c>
      <c r="X146">
        <f>IF(BD_Carga!W147&lt;&gt;"",BD_Carga!W147,0)</f>
        <v/>
      </c>
      <c r="Y146">
        <f>IF(BD_Carga!X147&lt;&gt;"",BD_Carga!X147,0)</f>
        <v/>
      </c>
      <c r="Z146">
        <f>IF(BD_Carga!Y147&lt;&gt;"",BD_Carga!Y147,0)</f>
        <v/>
      </c>
      <c r="AA146">
        <f>IF(BD_Carga!Z147&lt;&gt;"",BD_Carga!Z147,0)</f>
        <v/>
      </c>
      <c r="AB146">
        <f>IF(BD_Carga!AA147&lt;&gt;"",BD_Carga!AA147,0)</f>
        <v/>
      </c>
      <c r="AC146" s="6">
        <f t="array" ref="AC146">IFERROR((L146-AVERAGEIF($G$2:$G$462,G146,$L$2:$L$462))/_xlfn.STDEV.P(IF($G$2:$G$462=G146,$L$2:$L$462)),0)</f>
        <v/>
      </c>
      <c r="AD146" s="6">
        <f t="array" ref="AD146">IFERROR((M146-AVERAGEIF($G$2:$G$462,G146,$M$2:$M$462))/_xlfn.STDEV.P(IF($G$2:$G$462=G146,$M$2:$M$462)),0)</f>
        <v/>
      </c>
      <c r="AE146" s="6">
        <f t="array" ref="AE146">IFERROR((N146-AVERAGEIF($G$2:$G$462,G146,$N$2:$N$462))/_xlfn.STDEV.P(IF($G$2:$G$462=G146,$N$2:$N$462)),0)</f>
        <v/>
      </c>
      <c r="AF146" s="6">
        <f t="array" ref="AF146">IFERROR((O146-AVERAGEIF($G$2:$G$462,G146,$O$2:$O$462))/_xlfn.STDEV.P(IF($G$2:$G$462=G146,$O$2:$O$462)),0)</f>
        <v/>
      </c>
      <c r="AG146" s="6">
        <f t="array" ref="AG146">IFERROR((P146-AVERAGEIF($G$2:$G$462,G146,$P$2:$P$462))/_xlfn.STDEV.P(IF($G$2:$G$462=G146,$P$2:$P$462)),0)</f>
        <v/>
      </c>
      <c r="AH146" s="6">
        <f t="array" ref="AH146">IFERROR((R146-AVERAGEIF($G$2:$G$462,G146,$R$2:$R$462))/_xlfn.STDEV.P(IF($G$2:$G$462=G146,$R$2:$R$462)),0)</f>
        <v/>
      </c>
      <c r="AI146" s="6">
        <f>IFERROR((AC146+AD146+AE146+AF146+AG146+AH146)/6,0)</f>
        <v/>
      </c>
    </row>
    <row r="147">
      <c r="A147" s="2">
        <f>IF(BD_Carga!A148&lt;&gt;"",BD_Carga!A148,"")</f>
        <v/>
      </c>
      <c r="B147">
        <f>IF(A147&lt;&gt;"",YEAR(A147),"")</f>
        <v/>
      </c>
      <c r="C147">
        <f>IF(A147&lt;&gt;"",MONTH(A147),"")</f>
        <v/>
      </c>
      <c r="D147">
        <f>IF(A147&lt;&gt;"",_xlfn.ISOWEEKNUM(A147),"")</f>
        <v/>
      </c>
      <c r="E147">
        <f>IF(A147&lt;&gt;"",TEXT(A147,"dddd"),"")</f>
        <v/>
      </c>
      <c r="F147">
        <f>IF(BD_Carga!C148&lt;&gt;"",BD_Carga!C148,"")</f>
        <v/>
      </c>
      <c r="G147">
        <f>IF(BD_Carga!D148&lt;&gt;"",BD_Carga!D148,"")</f>
        <v/>
      </c>
      <c r="H147">
        <f>IF(BD_Carga!Q148&lt;&gt;"",BD_Carga!Q148,"")</f>
        <v/>
      </c>
      <c r="I147">
        <f>IF(BD_Carga!R148&lt;&gt;"",BD_Carga!R148,"")</f>
        <v/>
      </c>
      <c r="J147">
        <f>IF(BD_Carga!S148&lt;&gt;"",BD_Carga!S148,"")</f>
        <v/>
      </c>
      <c r="K147" s="4">
        <f>IF(BD_Carga!E148&lt;&gt;"",BD_Carga!E148,0)</f>
        <v/>
      </c>
      <c r="L147" s="4">
        <f>IF(BD_Carga!F148&lt;&gt;"",BD_Carga!F148,0)</f>
        <v/>
      </c>
      <c r="M147" s="4">
        <f>IF(BD_Carga!G148&lt;&gt;"",BD_Carga!G148,0)</f>
        <v/>
      </c>
      <c r="N147" s="4">
        <f>IF(BD_Carga!H148&lt;&gt;"",BD_Carga!H148,0)</f>
        <v/>
      </c>
      <c r="O147" s="4">
        <f>IF(BD_Carga!I148&lt;&gt;"",BD_Carga!I148,0)</f>
        <v/>
      </c>
      <c r="P147" s="4">
        <f>IF(BD_Carga!J148&lt;&gt;"",BD_Carga!J148,0)</f>
        <v/>
      </c>
      <c r="Q147" s="5">
        <f>IF(BD_Carga!K148&lt;&gt;"",BD_Carga!K148,0)</f>
        <v/>
      </c>
      <c r="R147" s="5">
        <f>IF(BD_Carga!L148&lt;&gt;"",BD_Carga!L148,0)</f>
        <v/>
      </c>
      <c r="S147">
        <f>IF(BD_Carga!N148&lt;&gt;"",BD_Carga!N148,0)</f>
        <v/>
      </c>
      <c r="T147">
        <f>IF(BD_Carga!O148&lt;&gt;"",BD_Carga!O148,0)</f>
        <v/>
      </c>
      <c r="U147">
        <f>IF(BD_Carga!P148&lt;&gt;"",BD_Carga!P148,0)</f>
        <v/>
      </c>
      <c r="V147">
        <f>IF(BD_Carga!U148&lt;&gt;"",BD_Carga!U148,0)</f>
        <v/>
      </c>
      <c r="W147">
        <f>IF(BD_Carga!T148&lt;&gt;"",BD_Carga!T148,0)</f>
        <v/>
      </c>
      <c r="X147">
        <f>IF(BD_Carga!W148&lt;&gt;"",BD_Carga!W148,0)</f>
        <v/>
      </c>
      <c r="Y147">
        <f>IF(BD_Carga!X148&lt;&gt;"",BD_Carga!X148,0)</f>
        <v/>
      </c>
      <c r="Z147">
        <f>IF(BD_Carga!Y148&lt;&gt;"",BD_Carga!Y148,0)</f>
        <v/>
      </c>
      <c r="AA147">
        <f>IF(BD_Carga!Z148&lt;&gt;"",BD_Carga!Z148,0)</f>
        <v/>
      </c>
      <c r="AB147">
        <f>IF(BD_Carga!AA148&lt;&gt;"",BD_Carga!AA148,0)</f>
        <v/>
      </c>
      <c r="AC147" s="6">
        <f t="array" ref="AC147">IFERROR((L147-AVERAGEIF($G$2:$G$462,G147,$L$2:$L$462))/_xlfn.STDEV.P(IF($G$2:$G$462=G147,$L$2:$L$462)),0)</f>
        <v/>
      </c>
      <c r="AD147" s="6">
        <f t="array" ref="AD147">IFERROR((M147-AVERAGEIF($G$2:$G$462,G147,$M$2:$M$462))/_xlfn.STDEV.P(IF($G$2:$G$462=G147,$M$2:$M$462)),0)</f>
        <v/>
      </c>
      <c r="AE147" s="6">
        <f t="array" ref="AE147">IFERROR((N147-AVERAGEIF($G$2:$G$462,G147,$N$2:$N$462))/_xlfn.STDEV.P(IF($G$2:$G$462=G147,$N$2:$N$462)),0)</f>
        <v/>
      </c>
      <c r="AF147" s="6">
        <f t="array" ref="AF147">IFERROR((O147-AVERAGEIF($G$2:$G$462,G147,$O$2:$O$462))/_xlfn.STDEV.P(IF($G$2:$G$462=G147,$O$2:$O$462)),0)</f>
        <v/>
      </c>
      <c r="AG147" s="6">
        <f t="array" ref="AG147">IFERROR((P147-AVERAGEIF($G$2:$G$462,G147,$P$2:$P$462))/_xlfn.STDEV.P(IF($G$2:$G$462=G147,$P$2:$P$462)),0)</f>
        <v/>
      </c>
      <c r="AH147" s="6">
        <f t="array" ref="AH147">IFERROR((R147-AVERAGEIF($G$2:$G$462,G147,$R$2:$R$462))/_xlfn.STDEV.P(IF($G$2:$G$462=G147,$R$2:$R$462)),0)</f>
        <v/>
      </c>
      <c r="AI147" s="6">
        <f>IFERROR((AC147+AD147+AE147+AF147+AG147+AH147)/6,0)</f>
        <v/>
      </c>
    </row>
    <row r="148">
      <c r="A148" s="2">
        <f>IF(BD_Carga!A149&lt;&gt;"",BD_Carga!A149,"")</f>
        <v/>
      </c>
      <c r="B148">
        <f>IF(A148&lt;&gt;"",YEAR(A148),"")</f>
        <v/>
      </c>
      <c r="C148">
        <f>IF(A148&lt;&gt;"",MONTH(A148),"")</f>
        <v/>
      </c>
      <c r="D148">
        <f>IF(A148&lt;&gt;"",_xlfn.ISOWEEKNUM(A148),"")</f>
        <v/>
      </c>
      <c r="E148">
        <f>IF(A148&lt;&gt;"",TEXT(A148,"dddd"),"")</f>
        <v/>
      </c>
      <c r="F148">
        <f>IF(BD_Carga!C149&lt;&gt;"",BD_Carga!C149,"")</f>
        <v/>
      </c>
      <c r="G148">
        <f>IF(BD_Carga!D149&lt;&gt;"",BD_Carga!D149,"")</f>
        <v/>
      </c>
      <c r="H148">
        <f>IF(BD_Carga!Q149&lt;&gt;"",BD_Carga!Q149,"")</f>
        <v/>
      </c>
      <c r="I148">
        <f>IF(BD_Carga!R149&lt;&gt;"",BD_Carga!R149,"")</f>
        <v/>
      </c>
      <c r="J148">
        <f>IF(BD_Carga!S149&lt;&gt;"",BD_Carga!S149,"")</f>
        <v/>
      </c>
      <c r="K148" s="4">
        <f>IF(BD_Carga!E149&lt;&gt;"",BD_Carga!E149,0)</f>
        <v/>
      </c>
      <c r="L148" s="4">
        <f>IF(BD_Carga!F149&lt;&gt;"",BD_Carga!F149,0)</f>
        <v/>
      </c>
      <c r="M148" s="4">
        <f>IF(BD_Carga!G149&lt;&gt;"",BD_Carga!G149,0)</f>
        <v/>
      </c>
      <c r="N148" s="4">
        <f>IF(BD_Carga!H149&lt;&gt;"",BD_Carga!H149,0)</f>
        <v/>
      </c>
      <c r="O148" s="4">
        <f>IF(BD_Carga!I149&lt;&gt;"",BD_Carga!I149,0)</f>
        <v/>
      </c>
      <c r="P148" s="4">
        <f>IF(BD_Carga!J149&lt;&gt;"",BD_Carga!J149,0)</f>
        <v/>
      </c>
      <c r="Q148" s="5">
        <f>IF(BD_Carga!K149&lt;&gt;"",BD_Carga!K149,0)</f>
        <v/>
      </c>
      <c r="R148" s="5">
        <f>IF(BD_Carga!L149&lt;&gt;"",BD_Carga!L149,0)</f>
        <v/>
      </c>
      <c r="S148">
        <f>IF(BD_Carga!N149&lt;&gt;"",BD_Carga!N149,0)</f>
        <v/>
      </c>
      <c r="T148">
        <f>IF(BD_Carga!O149&lt;&gt;"",BD_Carga!O149,0)</f>
        <v/>
      </c>
      <c r="U148">
        <f>IF(BD_Carga!P149&lt;&gt;"",BD_Carga!P149,0)</f>
        <v/>
      </c>
      <c r="V148">
        <f>IF(BD_Carga!U149&lt;&gt;"",BD_Carga!U149,0)</f>
        <v/>
      </c>
      <c r="W148">
        <f>IF(BD_Carga!T149&lt;&gt;"",BD_Carga!T149,0)</f>
        <v/>
      </c>
      <c r="X148">
        <f>IF(BD_Carga!W149&lt;&gt;"",BD_Carga!W149,0)</f>
        <v/>
      </c>
      <c r="Y148">
        <f>IF(BD_Carga!X149&lt;&gt;"",BD_Carga!X149,0)</f>
        <v/>
      </c>
      <c r="Z148">
        <f>IF(BD_Carga!Y149&lt;&gt;"",BD_Carga!Y149,0)</f>
        <v/>
      </c>
      <c r="AA148">
        <f>IF(BD_Carga!Z149&lt;&gt;"",BD_Carga!Z149,0)</f>
        <v/>
      </c>
      <c r="AB148">
        <f>IF(BD_Carga!AA149&lt;&gt;"",BD_Carga!AA149,0)</f>
        <v/>
      </c>
      <c r="AC148" s="6">
        <f t="array" ref="AC148">IFERROR((L148-AVERAGEIF($G$2:$G$462,G148,$L$2:$L$462))/_xlfn.STDEV.P(IF($G$2:$G$462=G148,$L$2:$L$462)),0)</f>
        <v/>
      </c>
      <c r="AD148" s="6">
        <f t="array" ref="AD148">IFERROR((M148-AVERAGEIF($G$2:$G$462,G148,$M$2:$M$462))/_xlfn.STDEV.P(IF($G$2:$G$462=G148,$M$2:$M$462)),0)</f>
        <v/>
      </c>
      <c r="AE148" s="6">
        <f t="array" ref="AE148">IFERROR((N148-AVERAGEIF($G$2:$G$462,G148,$N$2:$N$462))/_xlfn.STDEV.P(IF($G$2:$G$462=G148,$N$2:$N$462)),0)</f>
        <v/>
      </c>
      <c r="AF148" s="6">
        <f t="array" ref="AF148">IFERROR((O148-AVERAGEIF($G$2:$G$462,G148,$O$2:$O$462))/_xlfn.STDEV.P(IF($G$2:$G$462=G148,$O$2:$O$462)),0)</f>
        <v/>
      </c>
      <c r="AG148" s="6">
        <f t="array" ref="AG148">IFERROR((P148-AVERAGEIF($G$2:$G$462,G148,$P$2:$P$462))/_xlfn.STDEV.P(IF($G$2:$G$462=G148,$P$2:$P$462)),0)</f>
        <v/>
      </c>
      <c r="AH148" s="6">
        <f t="array" ref="AH148">IFERROR((R148-AVERAGEIF($G$2:$G$462,G148,$R$2:$R$462))/_xlfn.STDEV.P(IF($G$2:$G$462=G148,$R$2:$R$462)),0)</f>
        <v/>
      </c>
      <c r="AI148" s="6">
        <f>IFERROR((AC148+AD148+AE148+AF148+AG148+AH148)/6,0)</f>
        <v/>
      </c>
    </row>
    <row r="149">
      <c r="A149" s="2">
        <f>IF(BD_Carga!A150&lt;&gt;"",BD_Carga!A150,"")</f>
        <v/>
      </c>
      <c r="B149">
        <f>IF(A149&lt;&gt;"",YEAR(A149),"")</f>
        <v/>
      </c>
      <c r="C149">
        <f>IF(A149&lt;&gt;"",MONTH(A149),"")</f>
        <v/>
      </c>
      <c r="D149">
        <f>IF(A149&lt;&gt;"",_xlfn.ISOWEEKNUM(A149),"")</f>
        <v/>
      </c>
      <c r="E149">
        <f>IF(A149&lt;&gt;"",TEXT(A149,"dddd"),"")</f>
        <v/>
      </c>
      <c r="F149">
        <f>IF(BD_Carga!C150&lt;&gt;"",BD_Carga!C150,"")</f>
        <v/>
      </c>
      <c r="G149">
        <f>IF(BD_Carga!D150&lt;&gt;"",BD_Carga!D150,"")</f>
        <v/>
      </c>
      <c r="H149">
        <f>IF(BD_Carga!Q150&lt;&gt;"",BD_Carga!Q150,"")</f>
        <v/>
      </c>
      <c r="I149">
        <f>IF(BD_Carga!R150&lt;&gt;"",BD_Carga!R150,"")</f>
        <v/>
      </c>
      <c r="J149">
        <f>IF(BD_Carga!S150&lt;&gt;"",BD_Carga!S150,"")</f>
        <v/>
      </c>
      <c r="K149" s="4">
        <f>IF(BD_Carga!E150&lt;&gt;"",BD_Carga!E150,0)</f>
        <v/>
      </c>
      <c r="L149" s="4">
        <f>IF(BD_Carga!F150&lt;&gt;"",BD_Carga!F150,0)</f>
        <v/>
      </c>
      <c r="M149" s="4">
        <f>IF(BD_Carga!G150&lt;&gt;"",BD_Carga!G150,0)</f>
        <v/>
      </c>
      <c r="N149" s="4">
        <f>IF(BD_Carga!H150&lt;&gt;"",BD_Carga!H150,0)</f>
        <v/>
      </c>
      <c r="O149" s="4">
        <f>IF(BD_Carga!I150&lt;&gt;"",BD_Carga!I150,0)</f>
        <v/>
      </c>
      <c r="P149" s="4">
        <f>IF(BD_Carga!J150&lt;&gt;"",BD_Carga!J150,0)</f>
        <v/>
      </c>
      <c r="Q149" s="5">
        <f>IF(BD_Carga!K150&lt;&gt;"",BD_Carga!K150,0)</f>
        <v/>
      </c>
      <c r="R149" s="5">
        <f>IF(BD_Carga!L150&lt;&gt;"",BD_Carga!L150,0)</f>
        <v/>
      </c>
      <c r="S149">
        <f>IF(BD_Carga!N150&lt;&gt;"",BD_Carga!N150,0)</f>
        <v/>
      </c>
      <c r="T149">
        <f>IF(BD_Carga!O150&lt;&gt;"",BD_Carga!O150,0)</f>
        <v/>
      </c>
      <c r="U149">
        <f>IF(BD_Carga!P150&lt;&gt;"",BD_Carga!P150,0)</f>
        <v/>
      </c>
      <c r="V149">
        <f>IF(BD_Carga!U150&lt;&gt;"",BD_Carga!U150,0)</f>
        <v/>
      </c>
      <c r="W149">
        <f>IF(BD_Carga!T150&lt;&gt;"",BD_Carga!T150,0)</f>
        <v/>
      </c>
      <c r="X149">
        <f>IF(BD_Carga!W150&lt;&gt;"",BD_Carga!W150,0)</f>
        <v/>
      </c>
      <c r="Y149">
        <f>IF(BD_Carga!X150&lt;&gt;"",BD_Carga!X150,0)</f>
        <v/>
      </c>
      <c r="Z149">
        <f>IF(BD_Carga!Y150&lt;&gt;"",BD_Carga!Y150,0)</f>
        <v/>
      </c>
      <c r="AA149">
        <f>IF(BD_Carga!Z150&lt;&gt;"",BD_Carga!Z150,0)</f>
        <v/>
      </c>
      <c r="AB149">
        <f>IF(BD_Carga!AA150&lt;&gt;"",BD_Carga!AA150,0)</f>
        <v/>
      </c>
      <c r="AC149" s="6">
        <f t="array" ref="AC149">IFERROR((L149-AVERAGEIF($G$2:$G$462,G149,$L$2:$L$462))/_xlfn.STDEV.P(IF($G$2:$G$462=G149,$L$2:$L$462)),0)</f>
        <v/>
      </c>
      <c r="AD149" s="6">
        <f t="array" ref="AD149">IFERROR((M149-AVERAGEIF($G$2:$G$462,G149,$M$2:$M$462))/_xlfn.STDEV.P(IF($G$2:$G$462=G149,$M$2:$M$462)),0)</f>
        <v/>
      </c>
      <c r="AE149" s="6">
        <f t="array" ref="AE149">IFERROR((N149-AVERAGEIF($G$2:$G$462,G149,$N$2:$N$462))/_xlfn.STDEV.P(IF($G$2:$G$462=G149,$N$2:$N$462)),0)</f>
        <v/>
      </c>
      <c r="AF149" s="6">
        <f t="array" ref="AF149">IFERROR((O149-AVERAGEIF($G$2:$G$462,G149,$O$2:$O$462))/_xlfn.STDEV.P(IF($G$2:$G$462=G149,$O$2:$O$462)),0)</f>
        <v/>
      </c>
      <c r="AG149" s="6">
        <f t="array" ref="AG149">IFERROR((P149-AVERAGEIF($G$2:$G$462,G149,$P$2:$P$462))/_xlfn.STDEV.P(IF($G$2:$G$462=G149,$P$2:$P$462)),0)</f>
        <v/>
      </c>
      <c r="AH149" s="6">
        <f t="array" ref="AH149">IFERROR((R149-AVERAGEIF($G$2:$G$462,G149,$R$2:$R$462))/_xlfn.STDEV.P(IF($G$2:$G$462=G149,$R$2:$R$462)),0)</f>
        <v/>
      </c>
      <c r="AI149" s="6">
        <f>IFERROR((AC149+AD149+AE149+AF149+AG149+AH149)/6,0)</f>
        <v/>
      </c>
    </row>
    <row r="150">
      <c r="A150" s="2">
        <f>IF(BD_Carga!A151&lt;&gt;"",BD_Carga!A151,"")</f>
        <v/>
      </c>
      <c r="B150">
        <f>IF(A150&lt;&gt;"",YEAR(A150),"")</f>
        <v/>
      </c>
      <c r="C150">
        <f>IF(A150&lt;&gt;"",MONTH(A150),"")</f>
        <v/>
      </c>
      <c r="D150">
        <f>IF(A150&lt;&gt;"",_xlfn.ISOWEEKNUM(A150),"")</f>
        <v/>
      </c>
      <c r="E150">
        <f>IF(A150&lt;&gt;"",TEXT(A150,"dddd"),"")</f>
        <v/>
      </c>
      <c r="F150">
        <f>IF(BD_Carga!C151&lt;&gt;"",BD_Carga!C151,"")</f>
        <v/>
      </c>
      <c r="G150">
        <f>IF(BD_Carga!D151&lt;&gt;"",BD_Carga!D151,"")</f>
        <v/>
      </c>
      <c r="H150">
        <f>IF(BD_Carga!Q151&lt;&gt;"",BD_Carga!Q151,"")</f>
        <v/>
      </c>
      <c r="I150">
        <f>IF(BD_Carga!R151&lt;&gt;"",BD_Carga!R151,"")</f>
        <v/>
      </c>
      <c r="J150">
        <f>IF(BD_Carga!S151&lt;&gt;"",BD_Carga!S151,"")</f>
        <v/>
      </c>
      <c r="K150" s="4">
        <f>IF(BD_Carga!E151&lt;&gt;"",BD_Carga!E151,0)</f>
        <v/>
      </c>
      <c r="L150" s="4">
        <f>IF(BD_Carga!F151&lt;&gt;"",BD_Carga!F151,0)</f>
        <v/>
      </c>
      <c r="M150" s="4">
        <f>IF(BD_Carga!G151&lt;&gt;"",BD_Carga!G151,0)</f>
        <v/>
      </c>
      <c r="N150" s="4">
        <f>IF(BD_Carga!H151&lt;&gt;"",BD_Carga!H151,0)</f>
        <v/>
      </c>
      <c r="O150" s="4">
        <f>IF(BD_Carga!I151&lt;&gt;"",BD_Carga!I151,0)</f>
        <v/>
      </c>
      <c r="P150" s="4">
        <f>IF(BD_Carga!J151&lt;&gt;"",BD_Carga!J151,0)</f>
        <v/>
      </c>
      <c r="Q150" s="5">
        <f>IF(BD_Carga!K151&lt;&gt;"",BD_Carga!K151,0)</f>
        <v/>
      </c>
      <c r="R150" s="5">
        <f>IF(BD_Carga!L151&lt;&gt;"",BD_Carga!L151,0)</f>
        <v/>
      </c>
      <c r="S150">
        <f>IF(BD_Carga!N151&lt;&gt;"",BD_Carga!N151,0)</f>
        <v/>
      </c>
      <c r="T150">
        <f>IF(BD_Carga!O151&lt;&gt;"",BD_Carga!O151,0)</f>
        <v/>
      </c>
      <c r="U150">
        <f>IF(BD_Carga!P151&lt;&gt;"",BD_Carga!P151,0)</f>
        <v/>
      </c>
      <c r="V150">
        <f>IF(BD_Carga!U151&lt;&gt;"",BD_Carga!U151,0)</f>
        <v/>
      </c>
      <c r="W150">
        <f>IF(BD_Carga!T151&lt;&gt;"",BD_Carga!T151,0)</f>
        <v/>
      </c>
      <c r="X150">
        <f>IF(BD_Carga!W151&lt;&gt;"",BD_Carga!W151,0)</f>
        <v/>
      </c>
      <c r="Y150">
        <f>IF(BD_Carga!X151&lt;&gt;"",BD_Carga!X151,0)</f>
        <v/>
      </c>
      <c r="Z150">
        <f>IF(BD_Carga!Y151&lt;&gt;"",BD_Carga!Y151,0)</f>
        <v/>
      </c>
      <c r="AA150">
        <f>IF(BD_Carga!Z151&lt;&gt;"",BD_Carga!Z151,0)</f>
        <v/>
      </c>
      <c r="AB150">
        <f>IF(BD_Carga!AA151&lt;&gt;"",BD_Carga!AA151,0)</f>
        <v/>
      </c>
      <c r="AC150" s="6">
        <f t="array" ref="AC150">IFERROR((L150-AVERAGEIF($G$2:$G$462,G150,$L$2:$L$462))/_xlfn.STDEV.P(IF($G$2:$G$462=G150,$L$2:$L$462)),0)</f>
        <v/>
      </c>
      <c r="AD150" s="6">
        <f t="array" ref="AD150">IFERROR((M150-AVERAGEIF($G$2:$G$462,G150,$M$2:$M$462))/_xlfn.STDEV.P(IF($G$2:$G$462=G150,$M$2:$M$462)),0)</f>
        <v/>
      </c>
      <c r="AE150" s="6">
        <f t="array" ref="AE150">IFERROR((N150-AVERAGEIF($G$2:$G$462,G150,$N$2:$N$462))/_xlfn.STDEV.P(IF($G$2:$G$462=G150,$N$2:$N$462)),0)</f>
        <v/>
      </c>
      <c r="AF150" s="6">
        <f t="array" ref="AF150">IFERROR((O150-AVERAGEIF($G$2:$G$462,G150,$O$2:$O$462))/_xlfn.STDEV.P(IF($G$2:$G$462=G150,$O$2:$O$462)),0)</f>
        <v/>
      </c>
      <c r="AG150" s="6">
        <f t="array" ref="AG150">IFERROR((P150-AVERAGEIF($G$2:$G$462,G150,$P$2:$P$462))/_xlfn.STDEV.P(IF($G$2:$G$462=G150,$P$2:$P$462)),0)</f>
        <v/>
      </c>
      <c r="AH150" s="6">
        <f t="array" ref="AH150">IFERROR((R150-AVERAGEIF($G$2:$G$462,G150,$R$2:$R$462))/_xlfn.STDEV.P(IF($G$2:$G$462=G150,$R$2:$R$462)),0)</f>
        <v/>
      </c>
      <c r="AI150" s="6">
        <f>IFERROR((AC150+AD150+AE150+AF150+AG150+AH150)/6,0)</f>
        <v/>
      </c>
    </row>
    <row r="151">
      <c r="A151" s="2">
        <f>IF(BD_Carga!A152&lt;&gt;"",BD_Carga!A152,"")</f>
        <v/>
      </c>
      <c r="B151">
        <f>IF(A151&lt;&gt;"",YEAR(A151),"")</f>
        <v/>
      </c>
      <c r="C151">
        <f>IF(A151&lt;&gt;"",MONTH(A151),"")</f>
        <v/>
      </c>
      <c r="D151">
        <f>IF(A151&lt;&gt;"",_xlfn.ISOWEEKNUM(A151),"")</f>
        <v/>
      </c>
      <c r="E151">
        <f>IF(A151&lt;&gt;"",TEXT(A151,"dddd"),"")</f>
        <v/>
      </c>
      <c r="F151">
        <f>IF(BD_Carga!C152&lt;&gt;"",BD_Carga!C152,"")</f>
        <v/>
      </c>
      <c r="G151">
        <f>IF(BD_Carga!D152&lt;&gt;"",BD_Carga!D152,"")</f>
        <v/>
      </c>
      <c r="H151">
        <f>IF(BD_Carga!Q152&lt;&gt;"",BD_Carga!Q152,"")</f>
        <v/>
      </c>
      <c r="I151">
        <f>IF(BD_Carga!R152&lt;&gt;"",BD_Carga!R152,"")</f>
        <v/>
      </c>
      <c r="J151">
        <f>IF(BD_Carga!S152&lt;&gt;"",BD_Carga!S152,"")</f>
        <v/>
      </c>
      <c r="K151" s="4">
        <f>IF(BD_Carga!E152&lt;&gt;"",BD_Carga!E152,0)</f>
        <v/>
      </c>
      <c r="L151" s="4">
        <f>IF(BD_Carga!F152&lt;&gt;"",BD_Carga!F152,0)</f>
        <v/>
      </c>
      <c r="M151" s="4">
        <f>IF(BD_Carga!G152&lt;&gt;"",BD_Carga!G152,0)</f>
        <v/>
      </c>
      <c r="N151" s="4">
        <f>IF(BD_Carga!H152&lt;&gt;"",BD_Carga!H152,0)</f>
        <v/>
      </c>
      <c r="O151" s="4">
        <f>IF(BD_Carga!I152&lt;&gt;"",BD_Carga!I152,0)</f>
        <v/>
      </c>
      <c r="P151" s="4">
        <f>IF(BD_Carga!J152&lt;&gt;"",BD_Carga!J152,0)</f>
        <v/>
      </c>
      <c r="Q151" s="5">
        <f>IF(BD_Carga!K152&lt;&gt;"",BD_Carga!K152,0)</f>
        <v/>
      </c>
      <c r="R151" s="5">
        <f>IF(BD_Carga!L152&lt;&gt;"",BD_Carga!L152,0)</f>
        <v/>
      </c>
      <c r="S151">
        <f>IF(BD_Carga!N152&lt;&gt;"",BD_Carga!N152,0)</f>
        <v/>
      </c>
      <c r="T151">
        <f>IF(BD_Carga!O152&lt;&gt;"",BD_Carga!O152,0)</f>
        <v/>
      </c>
      <c r="U151">
        <f>IF(BD_Carga!P152&lt;&gt;"",BD_Carga!P152,0)</f>
        <v/>
      </c>
      <c r="V151">
        <f>IF(BD_Carga!U152&lt;&gt;"",BD_Carga!U152,0)</f>
        <v/>
      </c>
      <c r="W151">
        <f>IF(BD_Carga!T152&lt;&gt;"",BD_Carga!T152,0)</f>
        <v/>
      </c>
      <c r="X151">
        <f>IF(BD_Carga!W152&lt;&gt;"",BD_Carga!W152,0)</f>
        <v/>
      </c>
      <c r="Y151">
        <f>IF(BD_Carga!X152&lt;&gt;"",BD_Carga!X152,0)</f>
        <v/>
      </c>
      <c r="Z151">
        <f>IF(BD_Carga!Y152&lt;&gt;"",BD_Carga!Y152,0)</f>
        <v/>
      </c>
      <c r="AA151">
        <f>IF(BD_Carga!Z152&lt;&gt;"",BD_Carga!Z152,0)</f>
        <v/>
      </c>
      <c r="AB151">
        <f>IF(BD_Carga!AA152&lt;&gt;"",BD_Carga!AA152,0)</f>
        <v/>
      </c>
      <c r="AC151" s="6">
        <f t="array" ref="AC151">IFERROR((L151-AVERAGEIF($G$2:$G$462,G151,$L$2:$L$462))/_xlfn.STDEV.P(IF($G$2:$G$462=G151,$L$2:$L$462)),0)</f>
        <v/>
      </c>
      <c r="AD151" s="6">
        <f t="array" ref="AD151">IFERROR((M151-AVERAGEIF($G$2:$G$462,G151,$M$2:$M$462))/_xlfn.STDEV.P(IF($G$2:$G$462=G151,$M$2:$M$462)),0)</f>
        <v/>
      </c>
      <c r="AE151" s="6">
        <f t="array" ref="AE151">IFERROR((N151-AVERAGEIF($G$2:$G$462,G151,$N$2:$N$462))/_xlfn.STDEV.P(IF($G$2:$G$462=G151,$N$2:$N$462)),0)</f>
        <v/>
      </c>
      <c r="AF151" s="6">
        <f t="array" ref="AF151">IFERROR((O151-AVERAGEIF($G$2:$G$462,G151,$O$2:$O$462))/_xlfn.STDEV.P(IF($G$2:$G$462=G151,$O$2:$O$462)),0)</f>
        <v/>
      </c>
      <c r="AG151" s="6">
        <f t="array" ref="AG151">IFERROR((P151-AVERAGEIF($G$2:$G$462,G151,$P$2:$P$462))/_xlfn.STDEV.P(IF($G$2:$G$462=G151,$P$2:$P$462)),0)</f>
        <v/>
      </c>
      <c r="AH151" s="6">
        <f t="array" ref="AH151">IFERROR((R151-AVERAGEIF($G$2:$G$462,G151,$R$2:$R$462))/_xlfn.STDEV.P(IF($G$2:$G$462=G151,$R$2:$R$462)),0)</f>
        <v/>
      </c>
      <c r="AI151" s="6">
        <f>IFERROR((AC151+AD151+AE151+AF151+AG151+AH151)/6,0)</f>
        <v/>
      </c>
    </row>
    <row r="152">
      <c r="A152" s="2">
        <f>IF(BD_Carga!A153&lt;&gt;"",BD_Carga!A153,"")</f>
        <v/>
      </c>
      <c r="B152">
        <f>IF(A152&lt;&gt;"",YEAR(A152),"")</f>
        <v/>
      </c>
      <c r="C152">
        <f>IF(A152&lt;&gt;"",MONTH(A152),"")</f>
        <v/>
      </c>
      <c r="D152">
        <f>IF(A152&lt;&gt;"",_xlfn.ISOWEEKNUM(A152),"")</f>
        <v/>
      </c>
      <c r="E152">
        <f>IF(A152&lt;&gt;"",TEXT(A152,"dddd"),"")</f>
        <v/>
      </c>
      <c r="F152">
        <f>IF(BD_Carga!C153&lt;&gt;"",BD_Carga!C153,"")</f>
        <v/>
      </c>
      <c r="G152">
        <f>IF(BD_Carga!D153&lt;&gt;"",BD_Carga!D153,"")</f>
        <v/>
      </c>
      <c r="H152">
        <f>IF(BD_Carga!Q153&lt;&gt;"",BD_Carga!Q153,"")</f>
        <v/>
      </c>
      <c r="I152">
        <f>IF(BD_Carga!R153&lt;&gt;"",BD_Carga!R153,"")</f>
        <v/>
      </c>
      <c r="J152">
        <f>IF(BD_Carga!S153&lt;&gt;"",BD_Carga!S153,"")</f>
        <v/>
      </c>
      <c r="K152" s="4">
        <f>IF(BD_Carga!E153&lt;&gt;"",BD_Carga!E153,0)</f>
        <v/>
      </c>
      <c r="L152" s="4">
        <f>IF(BD_Carga!F153&lt;&gt;"",BD_Carga!F153,0)</f>
        <v/>
      </c>
      <c r="M152" s="4">
        <f>IF(BD_Carga!G153&lt;&gt;"",BD_Carga!G153,0)</f>
        <v/>
      </c>
      <c r="N152" s="4">
        <f>IF(BD_Carga!H153&lt;&gt;"",BD_Carga!H153,0)</f>
        <v/>
      </c>
      <c r="O152" s="4">
        <f>IF(BD_Carga!I153&lt;&gt;"",BD_Carga!I153,0)</f>
        <v/>
      </c>
      <c r="P152" s="4">
        <f>IF(BD_Carga!J153&lt;&gt;"",BD_Carga!J153,0)</f>
        <v/>
      </c>
      <c r="Q152" s="5">
        <f>IF(BD_Carga!K153&lt;&gt;"",BD_Carga!K153,0)</f>
        <v/>
      </c>
      <c r="R152" s="5">
        <f>IF(BD_Carga!L153&lt;&gt;"",BD_Carga!L153,0)</f>
        <v/>
      </c>
      <c r="S152">
        <f>IF(BD_Carga!N153&lt;&gt;"",BD_Carga!N153,0)</f>
        <v/>
      </c>
      <c r="T152">
        <f>IF(BD_Carga!O153&lt;&gt;"",BD_Carga!O153,0)</f>
        <v/>
      </c>
      <c r="U152">
        <f>IF(BD_Carga!P153&lt;&gt;"",BD_Carga!P153,0)</f>
        <v/>
      </c>
      <c r="V152">
        <f>IF(BD_Carga!U153&lt;&gt;"",BD_Carga!U153,0)</f>
        <v/>
      </c>
      <c r="W152">
        <f>IF(BD_Carga!T153&lt;&gt;"",BD_Carga!T153,0)</f>
        <v/>
      </c>
      <c r="X152">
        <f>IF(BD_Carga!W153&lt;&gt;"",BD_Carga!W153,0)</f>
        <v/>
      </c>
      <c r="Y152">
        <f>IF(BD_Carga!X153&lt;&gt;"",BD_Carga!X153,0)</f>
        <v/>
      </c>
      <c r="Z152">
        <f>IF(BD_Carga!Y153&lt;&gt;"",BD_Carga!Y153,0)</f>
        <v/>
      </c>
      <c r="AA152">
        <f>IF(BD_Carga!Z153&lt;&gt;"",BD_Carga!Z153,0)</f>
        <v/>
      </c>
      <c r="AB152">
        <f>IF(BD_Carga!AA153&lt;&gt;"",BD_Carga!AA153,0)</f>
        <v/>
      </c>
      <c r="AC152" s="6">
        <f t="array" ref="AC152">IFERROR((L152-AVERAGEIF($G$2:$G$462,G152,$L$2:$L$462))/_xlfn.STDEV.P(IF($G$2:$G$462=G152,$L$2:$L$462)),0)</f>
        <v/>
      </c>
      <c r="AD152" s="6">
        <f t="array" ref="AD152">IFERROR((M152-AVERAGEIF($G$2:$G$462,G152,$M$2:$M$462))/_xlfn.STDEV.P(IF($G$2:$G$462=G152,$M$2:$M$462)),0)</f>
        <v/>
      </c>
      <c r="AE152" s="6">
        <f t="array" ref="AE152">IFERROR((N152-AVERAGEIF($G$2:$G$462,G152,$N$2:$N$462))/_xlfn.STDEV.P(IF($G$2:$G$462=G152,$N$2:$N$462)),0)</f>
        <v/>
      </c>
      <c r="AF152" s="6">
        <f t="array" ref="AF152">IFERROR((O152-AVERAGEIF($G$2:$G$462,G152,$O$2:$O$462))/_xlfn.STDEV.P(IF($G$2:$G$462=G152,$O$2:$O$462)),0)</f>
        <v/>
      </c>
      <c r="AG152" s="6">
        <f t="array" ref="AG152">IFERROR((P152-AVERAGEIF($G$2:$G$462,G152,$P$2:$P$462))/_xlfn.STDEV.P(IF($G$2:$G$462=G152,$P$2:$P$462)),0)</f>
        <v/>
      </c>
      <c r="AH152" s="6">
        <f t="array" ref="AH152">IFERROR((R152-AVERAGEIF($G$2:$G$462,G152,$R$2:$R$462))/_xlfn.STDEV.P(IF($G$2:$G$462=G152,$R$2:$R$462)),0)</f>
        <v/>
      </c>
      <c r="AI152" s="6">
        <f>IFERROR((AC152+AD152+AE152+AF152+AG152+AH152)/6,0)</f>
        <v/>
      </c>
    </row>
    <row r="153">
      <c r="A153" s="2">
        <f>IF(BD_Carga!A154&lt;&gt;"",BD_Carga!A154,"")</f>
        <v/>
      </c>
      <c r="B153">
        <f>IF(A153&lt;&gt;"",YEAR(A153),"")</f>
        <v/>
      </c>
      <c r="C153">
        <f>IF(A153&lt;&gt;"",MONTH(A153),"")</f>
        <v/>
      </c>
      <c r="D153">
        <f>IF(A153&lt;&gt;"",_xlfn.ISOWEEKNUM(A153),"")</f>
        <v/>
      </c>
      <c r="E153">
        <f>IF(A153&lt;&gt;"",TEXT(A153,"dddd"),"")</f>
        <v/>
      </c>
      <c r="F153">
        <f>IF(BD_Carga!C154&lt;&gt;"",BD_Carga!C154,"")</f>
        <v/>
      </c>
      <c r="G153">
        <f>IF(BD_Carga!D154&lt;&gt;"",BD_Carga!D154,"")</f>
        <v/>
      </c>
      <c r="H153">
        <f>IF(BD_Carga!Q154&lt;&gt;"",BD_Carga!Q154,"")</f>
        <v/>
      </c>
      <c r="I153">
        <f>IF(BD_Carga!R154&lt;&gt;"",BD_Carga!R154,"")</f>
        <v/>
      </c>
      <c r="J153">
        <f>IF(BD_Carga!S154&lt;&gt;"",BD_Carga!S154,"")</f>
        <v/>
      </c>
      <c r="K153" s="4">
        <f>IF(BD_Carga!E154&lt;&gt;"",BD_Carga!E154,0)</f>
        <v/>
      </c>
      <c r="L153" s="4">
        <f>IF(BD_Carga!F154&lt;&gt;"",BD_Carga!F154,0)</f>
        <v/>
      </c>
      <c r="M153" s="4">
        <f>IF(BD_Carga!G154&lt;&gt;"",BD_Carga!G154,0)</f>
        <v/>
      </c>
      <c r="N153" s="4">
        <f>IF(BD_Carga!H154&lt;&gt;"",BD_Carga!H154,0)</f>
        <v/>
      </c>
      <c r="O153" s="4">
        <f>IF(BD_Carga!I154&lt;&gt;"",BD_Carga!I154,0)</f>
        <v/>
      </c>
      <c r="P153" s="4">
        <f>IF(BD_Carga!J154&lt;&gt;"",BD_Carga!J154,0)</f>
        <v/>
      </c>
      <c r="Q153" s="5">
        <f>IF(BD_Carga!K154&lt;&gt;"",BD_Carga!K154,0)</f>
        <v/>
      </c>
      <c r="R153" s="5">
        <f>IF(BD_Carga!L154&lt;&gt;"",BD_Carga!L154,0)</f>
        <v/>
      </c>
      <c r="S153">
        <f>IF(BD_Carga!N154&lt;&gt;"",BD_Carga!N154,0)</f>
        <v/>
      </c>
      <c r="T153">
        <f>IF(BD_Carga!O154&lt;&gt;"",BD_Carga!O154,0)</f>
        <v/>
      </c>
      <c r="U153">
        <f>IF(BD_Carga!P154&lt;&gt;"",BD_Carga!P154,0)</f>
        <v/>
      </c>
      <c r="V153">
        <f>IF(BD_Carga!U154&lt;&gt;"",BD_Carga!U154,0)</f>
        <v/>
      </c>
      <c r="W153">
        <f>IF(BD_Carga!T154&lt;&gt;"",BD_Carga!T154,0)</f>
        <v/>
      </c>
      <c r="X153">
        <f>IF(BD_Carga!W154&lt;&gt;"",BD_Carga!W154,0)</f>
        <v/>
      </c>
      <c r="Y153">
        <f>IF(BD_Carga!X154&lt;&gt;"",BD_Carga!X154,0)</f>
        <v/>
      </c>
      <c r="Z153">
        <f>IF(BD_Carga!Y154&lt;&gt;"",BD_Carga!Y154,0)</f>
        <v/>
      </c>
      <c r="AA153">
        <f>IF(BD_Carga!Z154&lt;&gt;"",BD_Carga!Z154,0)</f>
        <v/>
      </c>
      <c r="AB153">
        <f>IF(BD_Carga!AA154&lt;&gt;"",BD_Carga!AA154,0)</f>
        <v/>
      </c>
      <c r="AC153" s="6">
        <f t="array" ref="AC153">IFERROR((L153-AVERAGEIF($G$2:$G$462,G153,$L$2:$L$462))/_xlfn.STDEV.P(IF($G$2:$G$462=G153,$L$2:$L$462)),0)</f>
        <v/>
      </c>
      <c r="AD153" s="6">
        <f t="array" ref="AD153">IFERROR((M153-AVERAGEIF($G$2:$G$462,G153,$M$2:$M$462))/_xlfn.STDEV.P(IF($G$2:$G$462=G153,$M$2:$M$462)),0)</f>
        <v/>
      </c>
      <c r="AE153" s="6">
        <f t="array" ref="AE153">IFERROR((N153-AVERAGEIF($G$2:$G$462,G153,$N$2:$N$462))/_xlfn.STDEV.P(IF($G$2:$G$462=G153,$N$2:$N$462)),0)</f>
        <v/>
      </c>
      <c r="AF153" s="6">
        <f t="array" ref="AF153">IFERROR((O153-AVERAGEIF($G$2:$G$462,G153,$O$2:$O$462))/_xlfn.STDEV.P(IF($G$2:$G$462=G153,$O$2:$O$462)),0)</f>
        <v/>
      </c>
      <c r="AG153" s="6">
        <f t="array" ref="AG153">IFERROR((P153-AVERAGEIF($G$2:$G$462,G153,$P$2:$P$462))/_xlfn.STDEV.P(IF($G$2:$G$462=G153,$P$2:$P$462)),0)</f>
        <v/>
      </c>
      <c r="AH153" s="6">
        <f t="array" ref="AH153">IFERROR((R153-AVERAGEIF($G$2:$G$462,G153,$R$2:$R$462))/_xlfn.STDEV.P(IF($G$2:$G$462=G153,$R$2:$R$462)),0)</f>
        <v/>
      </c>
      <c r="AI153" s="6">
        <f>IFERROR((AC153+AD153+AE153+AF153+AG153+AH153)/6,0)</f>
        <v/>
      </c>
    </row>
    <row r="154">
      <c r="A154" s="2">
        <f>IF(BD_Carga!A155&lt;&gt;"",BD_Carga!A155,"")</f>
        <v/>
      </c>
      <c r="B154">
        <f>IF(A154&lt;&gt;"",YEAR(A154),"")</f>
        <v/>
      </c>
      <c r="C154">
        <f>IF(A154&lt;&gt;"",MONTH(A154),"")</f>
        <v/>
      </c>
      <c r="D154">
        <f>IF(A154&lt;&gt;"",_xlfn.ISOWEEKNUM(A154),"")</f>
        <v/>
      </c>
      <c r="E154">
        <f>IF(A154&lt;&gt;"",TEXT(A154,"dddd"),"")</f>
        <v/>
      </c>
      <c r="F154">
        <f>IF(BD_Carga!C155&lt;&gt;"",BD_Carga!C155,"")</f>
        <v/>
      </c>
      <c r="G154">
        <f>IF(BD_Carga!D155&lt;&gt;"",BD_Carga!D155,"")</f>
        <v/>
      </c>
      <c r="H154">
        <f>IF(BD_Carga!Q155&lt;&gt;"",BD_Carga!Q155,"")</f>
        <v/>
      </c>
      <c r="I154">
        <f>IF(BD_Carga!R155&lt;&gt;"",BD_Carga!R155,"")</f>
        <v/>
      </c>
      <c r="J154">
        <f>IF(BD_Carga!S155&lt;&gt;"",BD_Carga!S155,"")</f>
        <v/>
      </c>
      <c r="K154" s="4">
        <f>IF(BD_Carga!E155&lt;&gt;"",BD_Carga!E155,0)</f>
        <v/>
      </c>
      <c r="L154" s="4">
        <f>IF(BD_Carga!F155&lt;&gt;"",BD_Carga!F155,0)</f>
        <v/>
      </c>
      <c r="M154" s="4">
        <f>IF(BD_Carga!G155&lt;&gt;"",BD_Carga!G155,0)</f>
        <v/>
      </c>
      <c r="N154" s="4">
        <f>IF(BD_Carga!H155&lt;&gt;"",BD_Carga!H155,0)</f>
        <v/>
      </c>
      <c r="O154" s="4">
        <f>IF(BD_Carga!I155&lt;&gt;"",BD_Carga!I155,0)</f>
        <v/>
      </c>
      <c r="P154" s="4">
        <f>IF(BD_Carga!J155&lt;&gt;"",BD_Carga!J155,0)</f>
        <v/>
      </c>
      <c r="Q154" s="5">
        <f>IF(BD_Carga!K155&lt;&gt;"",BD_Carga!K155,0)</f>
        <v/>
      </c>
      <c r="R154" s="5">
        <f>IF(BD_Carga!L155&lt;&gt;"",BD_Carga!L155,0)</f>
        <v/>
      </c>
      <c r="S154">
        <f>IF(BD_Carga!N155&lt;&gt;"",BD_Carga!N155,0)</f>
        <v/>
      </c>
      <c r="T154">
        <f>IF(BD_Carga!O155&lt;&gt;"",BD_Carga!O155,0)</f>
        <v/>
      </c>
      <c r="U154">
        <f>IF(BD_Carga!P155&lt;&gt;"",BD_Carga!P155,0)</f>
        <v/>
      </c>
      <c r="V154">
        <f>IF(BD_Carga!U155&lt;&gt;"",BD_Carga!U155,0)</f>
        <v/>
      </c>
      <c r="W154">
        <f>IF(BD_Carga!T155&lt;&gt;"",BD_Carga!T155,0)</f>
        <v/>
      </c>
      <c r="X154">
        <f>IF(BD_Carga!W155&lt;&gt;"",BD_Carga!W155,0)</f>
        <v/>
      </c>
      <c r="Y154">
        <f>IF(BD_Carga!X155&lt;&gt;"",BD_Carga!X155,0)</f>
        <v/>
      </c>
      <c r="Z154">
        <f>IF(BD_Carga!Y155&lt;&gt;"",BD_Carga!Y155,0)</f>
        <v/>
      </c>
      <c r="AA154">
        <f>IF(BD_Carga!Z155&lt;&gt;"",BD_Carga!Z155,0)</f>
        <v/>
      </c>
      <c r="AB154">
        <f>IF(BD_Carga!AA155&lt;&gt;"",BD_Carga!AA155,0)</f>
        <v/>
      </c>
      <c r="AC154" s="6">
        <f t="array" ref="AC154">IFERROR((L154-AVERAGEIF($G$2:$G$462,G154,$L$2:$L$462))/_xlfn.STDEV.P(IF($G$2:$G$462=G154,$L$2:$L$462)),0)</f>
        <v/>
      </c>
      <c r="AD154" s="6">
        <f t="array" ref="AD154">IFERROR((M154-AVERAGEIF($G$2:$G$462,G154,$M$2:$M$462))/_xlfn.STDEV.P(IF($G$2:$G$462=G154,$M$2:$M$462)),0)</f>
        <v/>
      </c>
      <c r="AE154" s="6">
        <f t="array" ref="AE154">IFERROR((N154-AVERAGEIF($G$2:$G$462,G154,$N$2:$N$462))/_xlfn.STDEV.P(IF($G$2:$G$462=G154,$N$2:$N$462)),0)</f>
        <v/>
      </c>
      <c r="AF154" s="6">
        <f t="array" ref="AF154">IFERROR((O154-AVERAGEIF($G$2:$G$462,G154,$O$2:$O$462))/_xlfn.STDEV.P(IF($G$2:$G$462=G154,$O$2:$O$462)),0)</f>
        <v/>
      </c>
      <c r="AG154" s="6">
        <f t="array" ref="AG154">IFERROR((P154-AVERAGEIF($G$2:$G$462,G154,$P$2:$P$462))/_xlfn.STDEV.P(IF($G$2:$G$462=G154,$P$2:$P$462)),0)</f>
        <v/>
      </c>
      <c r="AH154" s="6">
        <f t="array" ref="AH154">IFERROR((R154-AVERAGEIF($G$2:$G$462,G154,$R$2:$R$462))/_xlfn.STDEV.P(IF($G$2:$G$462=G154,$R$2:$R$462)),0)</f>
        <v/>
      </c>
      <c r="AI154" s="6">
        <f>IFERROR((AC154+AD154+AE154+AF154+AG154+AH154)/6,0)</f>
        <v/>
      </c>
    </row>
    <row r="155">
      <c r="A155" s="2">
        <f>IF(BD_Carga!A156&lt;&gt;"",BD_Carga!A156,"")</f>
        <v/>
      </c>
      <c r="B155">
        <f>IF(A155&lt;&gt;"",YEAR(A155),"")</f>
        <v/>
      </c>
      <c r="C155">
        <f>IF(A155&lt;&gt;"",MONTH(A155),"")</f>
        <v/>
      </c>
      <c r="D155">
        <f>IF(A155&lt;&gt;"",_xlfn.ISOWEEKNUM(A155),"")</f>
        <v/>
      </c>
      <c r="E155">
        <f>IF(A155&lt;&gt;"",TEXT(A155,"dddd"),"")</f>
        <v/>
      </c>
      <c r="F155">
        <f>IF(BD_Carga!C156&lt;&gt;"",BD_Carga!C156,"")</f>
        <v/>
      </c>
      <c r="G155">
        <f>IF(BD_Carga!D156&lt;&gt;"",BD_Carga!D156,"")</f>
        <v/>
      </c>
      <c r="H155">
        <f>IF(BD_Carga!Q156&lt;&gt;"",BD_Carga!Q156,"")</f>
        <v/>
      </c>
      <c r="I155">
        <f>IF(BD_Carga!R156&lt;&gt;"",BD_Carga!R156,"")</f>
        <v/>
      </c>
      <c r="J155">
        <f>IF(BD_Carga!S156&lt;&gt;"",BD_Carga!S156,"")</f>
        <v/>
      </c>
      <c r="K155" s="4">
        <f>IF(BD_Carga!E156&lt;&gt;"",BD_Carga!E156,0)</f>
        <v/>
      </c>
      <c r="L155" s="4">
        <f>IF(BD_Carga!F156&lt;&gt;"",BD_Carga!F156,0)</f>
        <v/>
      </c>
      <c r="M155" s="4">
        <f>IF(BD_Carga!G156&lt;&gt;"",BD_Carga!G156,0)</f>
        <v/>
      </c>
      <c r="N155" s="4">
        <f>IF(BD_Carga!H156&lt;&gt;"",BD_Carga!H156,0)</f>
        <v/>
      </c>
      <c r="O155" s="4">
        <f>IF(BD_Carga!I156&lt;&gt;"",BD_Carga!I156,0)</f>
        <v/>
      </c>
      <c r="P155" s="4">
        <f>IF(BD_Carga!J156&lt;&gt;"",BD_Carga!J156,0)</f>
        <v/>
      </c>
      <c r="Q155" s="5">
        <f>IF(BD_Carga!K156&lt;&gt;"",BD_Carga!K156,0)</f>
        <v/>
      </c>
      <c r="R155" s="5">
        <f>IF(BD_Carga!L156&lt;&gt;"",BD_Carga!L156,0)</f>
        <v/>
      </c>
      <c r="S155">
        <f>IF(BD_Carga!N156&lt;&gt;"",BD_Carga!N156,0)</f>
        <v/>
      </c>
      <c r="T155">
        <f>IF(BD_Carga!O156&lt;&gt;"",BD_Carga!O156,0)</f>
        <v/>
      </c>
      <c r="U155">
        <f>IF(BD_Carga!P156&lt;&gt;"",BD_Carga!P156,0)</f>
        <v/>
      </c>
      <c r="V155">
        <f>IF(BD_Carga!U156&lt;&gt;"",BD_Carga!U156,0)</f>
        <v/>
      </c>
      <c r="W155">
        <f>IF(BD_Carga!T156&lt;&gt;"",BD_Carga!T156,0)</f>
        <v/>
      </c>
      <c r="X155">
        <f>IF(BD_Carga!W156&lt;&gt;"",BD_Carga!W156,0)</f>
        <v/>
      </c>
      <c r="Y155">
        <f>IF(BD_Carga!X156&lt;&gt;"",BD_Carga!X156,0)</f>
        <v/>
      </c>
      <c r="Z155">
        <f>IF(BD_Carga!Y156&lt;&gt;"",BD_Carga!Y156,0)</f>
        <v/>
      </c>
      <c r="AA155">
        <f>IF(BD_Carga!Z156&lt;&gt;"",BD_Carga!Z156,0)</f>
        <v/>
      </c>
      <c r="AB155">
        <f>IF(BD_Carga!AA156&lt;&gt;"",BD_Carga!AA156,0)</f>
        <v/>
      </c>
      <c r="AC155" s="6">
        <f t="array" ref="AC155">IFERROR((L155-AVERAGEIF($G$2:$G$462,G155,$L$2:$L$462))/_xlfn.STDEV.P(IF($G$2:$G$462=G155,$L$2:$L$462)),0)</f>
        <v/>
      </c>
      <c r="AD155" s="6">
        <f t="array" ref="AD155">IFERROR((M155-AVERAGEIF($G$2:$G$462,G155,$M$2:$M$462))/_xlfn.STDEV.P(IF($G$2:$G$462=G155,$M$2:$M$462)),0)</f>
        <v/>
      </c>
      <c r="AE155" s="6">
        <f t="array" ref="AE155">IFERROR((N155-AVERAGEIF($G$2:$G$462,G155,$N$2:$N$462))/_xlfn.STDEV.P(IF($G$2:$G$462=G155,$N$2:$N$462)),0)</f>
        <v/>
      </c>
      <c r="AF155" s="6">
        <f t="array" ref="AF155">IFERROR((O155-AVERAGEIF($G$2:$G$462,G155,$O$2:$O$462))/_xlfn.STDEV.P(IF($G$2:$G$462=G155,$O$2:$O$462)),0)</f>
        <v/>
      </c>
      <c r="AG155" s="6">
        <f t="array" ref="AG155">IFERROR((P155-AVERAGEIF($G$2:$G$462,G155,$P$2:$P$462))/_xlfn.STDEV.P(IF($G$2:$G$462=G155,$P$2:$P$462)),0)</f>
        <v/>
      </c>
      <c r="AH155" s="6">
        <f t="array" ref="AH155">IFERROR((R155-AVERAGEIF($G$2:$G$462,G155,$R$2:$R$462))/_xlfn.STDEV.P(IF($G$2:$G$462=G155,$R$2:$R$462)),0)</f>
        <v/>
      </c>
      <c r="AI155" s="6">
        <f>IFERROR((AC155+AD155+AE155+AF155+AG155+AH155)/6,0)</f>
        <v/>
      </c>
    </row>
    <row r="156">
      <c r="A156" s="2">
        <f>IF(BD_Carga!A157&lt;&gt;"",BD_Carga!A157,"")</f>
        <v/>
      </c>
      <c r="B156">
        <f>IF(A156&lt;&gt;"",YEAR(A156),"")</f>
        <v/>
      </c>
      <c r="C156">
        <f>IF(A156&lt;&gt;"",MONTH(A156),"")</f>
        <v/>
      </c>
      <c r="D156">
        <f>IF(A156&lt;&gt;"",_xlfn.ISOWEEKNUM(A156),"")</f>
        <v/>
      </c>
      <c r="E156">
        <f>IF(A156&lt;&gt;"",TEXT(A156,"dddd"),"")</f>
        <v/>
      </c>
      <c r="F156">
        <f>IF(BD_Carga!C157&lt;&gt;"",BD_Carga!C157,"")</f>
        <v/>
      </c>
      <c r="G156">
        <f>IF(BD_Carga!D157&lt;&gt;"",BD_Carga!D157,"")</f>
        <v/>
      </c>
      <c r="H156">
        <f>IF(BD_Carga!Q157&lt;&gt;"",BD_Carga!Q157,"")</f>
        <v/>
      </c>
      <c r="I156">
        <f>IF(BD_Carga!R157&lt;&gt;"",BD_Carga!R157,"")</f>
        <v/>
      </c>
      <c r="J156">
        <f>IF(BD_Carga!S157&lt;&gt;"",BD_Carga!S157,"")</f>
        <v/>
      </c>
      <c r="K156" s="4">
        <f>IF(BD_Carga!E157&lt;&gt;"",BD_Carga!E157,0)</f>
        <v/>
      </c>
      <c r="L156" s="4">
        <f>IF(BD_Carga!F157&lt;&gt;"",BD_Carga!F157,0)</f>
        <v/>
      </c>
      <c r="M156" s="4">
        <f>IF(BD_Carga!G157&lt;&gt;"",BD_Carga!G157,0)</f>
        <v/>
      </c>
      <c r="N156" s="4">
        <f>IF(BD_Carga!H157&lt;&gt;"",BD_Carga!H157,0)</f>
        <v/>
      </c>
      <c r="O156" s="4">
        <f>IF(BD_Carga!I157&lt;&gt;"",BD_Carga!I157,0)</f>
        <v/>
      </c>
      <c r="P156" s="4">
        <f>IF(BD_Carga!J157&lt;&gt;"",BD_Carga!J157,0)</f>
        <v/>
      </c>
      <c r="Q156" s="5">
        <f>IF(BD_Carga!K157&lt;&gt;"",BD_Carga!K157,0)</f>
        <v/>
      </c>
      <c r="R156" s="5">
        <f>IF(BD_Carga!L157&lt;&gt;"",BD_Carga!L157,0)</f>
        <v/>
      </c>
      <c r="S156">
        <f>IF(BD_Carga!N157&lt;&gt;"",BD_Carga!N157,0)</f>
        <v/>
      </c>
      <c r="T156">
        <f>IF(BD_Carga!O157&lt;&gt;"",BD_Carga!O157,0)</f>
        <v/>
      </c>
      <c r="U156">
        <f>IF(BD_Carga!P157&lt;&gt;"",BD_Carga!P157,0)</f>
        <v/>
      </c>
      <c r="V156">
        <f>IF(BD_Carga!U157&lt;&gt;"",BD_Carga!U157,0)</f>
        <v/>
      </c>
      <c r="W156">
        <f>IF(BD_Carga!T157&lt;&gt;"",BD_Carga!T157,0)</f>
        <v/>
      </c>
      <c r="X156">
        <f>IF(BD_Carga!W157&lt;&gt;"",BD_Carga!W157,0)</f>
        <v/>
      </c>
      <c r="Y156">
        <f>IF(BD_Carga!X157&lt;&gt;"",BD_Carga!X157,0)</f>
        <v/>
      </c>
      <c r="Z156">
        <f>IF(BD_Carga!Y157&lt;&gt;"",BD_Carga!Y157,0)</f>
        <v/>
      </c>
      <c r="AA156">
        <f>IF(BD_Carga!Z157&lt;&gt;"",BD_Carga!Z157,0)</f>
        <v/>
      </c>
      <c r="AB156">
        <f>IF(BD_Carga!AA157&lt;&gt;"",BD_Carga!AA157,0)</f>
        <v/>
      </c>
      <c r="AC156" s="6">
        <f t="array" ref="AC156">IFERROR((L156-AVERAGEIF($G$2:$G$462,G156,$L$2:$L$462))/_xlfn.STDEV.P(IF($G$2:$G$462=G156,$L$2:$L$462)),0)</f>
        <v/>
      </c>
      <c r="AD156" s="6">
        <f t="array" ref="AD156">IFERROR((M156-AVERAGEIF($G$2:$G$462,G156,$M$2:$M$462))/_xlfn.STDEV.P(IF($G$2:$G$462=G156,$M$2:$M$462)),0)</f>
        <v/>
      </c>
      <c r="AE156" s="6">
        <f t="array" ref="AE156">IFERROR((N156-AVERAGEIF($G$2:$G$462,G156,$N$2:$N$462))/_xlfn.STDEV.P(IF($G$2:$G$462=G156,$N$2:$N$462)),0)</f>
        <v/>
      </c>
      <c r="AF156" s="6">
        <f t="array" ref="AF156">IFERROR((O156-AVERAGEIF($G$2:$G$462,G156,$O$2:$O$462))/_xlfn.STDEV.P(IF($G$2:$G$462=G156,$O$2:$O$462)),0)</f>
        <v/>
      </c>
      <c r="AG156" s="6">
        <f t="array" ref="AG156">IFERROR((P156-AVERAGEIF($G$2:$G$462,G156,$P$2:$P$462))/_xlfn.STDEV.P(IF($G$2:$G$462=G156,$P$2:$P$462)),0)</f>
        <v/>
      </c>
      <c r="AH156" s="6">
        <f t="array" ref="AH156">IFERROR((R156-AVERAGEIF($G$2:$G$462,G156,$R$2:$R$462))/_xlfn.STDEV.P(IF($G$2:$G$462=G156,$R$2:$R$462)),0)</f>
        <v/>
      </c>
      <c r="AI156" s="6">
        <f>IFERROR((AC156+AD156+AE156+AF156+AG156+AH156)/6,0)</f>
        <v/>
      </c>
    </row>
    <row r="157">
      <c r="A157" s="2">
        <f>IF(BD_Carga!A158&lt;&gt;"",BD_Carga!A158,"")</f>
        <v/>
      </c>
      <c r="B157">
        <f>IF(A157&lt;&gt;"",YEAR(A157),"")</f>
        <v/>
      </c>
      <c r="C157">
        <f>IF(A157&lt;&gt;"",MONTH(A157),"")</f>
        <v/>
      </c>
      <c r="D157">
        <f>IF(A157&lt;&gt;"",_xlfn.ISOWEEKNUM(A157),"")</f>
        <v/>
      </c>
      <c r="E157">
        <f>IF(A157&lt;&gt;"",TEXT(A157,"dddd"),"")</f>
        <v/>
      </c>
      <c r="F157">
        <f>IF(BD_Carga!C158&lt;&gt;"",BD_Carga!C158,"")</f>
        <v/>
      </c>
      <c r="G157">
        <f>IF(BD_Carga!D158&lt;&gt;"",BD_Carga!D158,"")</f>
        <v/>
      </c>
      <c r="H157">
        <f>IF(BD_Carga!Q158&lt;&gt;"",BD_Carga!Q158,"")</f>
        <v/>
      </c>
      <c r="I157">
        <f>IF(BD_Carga!R158&lt;&gt;"",BD_Carga!R158,"")</f>
        <v/>
      </c>
      <c r="J157">
        <f>IF(BD_Carga!S158&lt;&gt;"",BD_Carga!S158,"")</f>
        <v/>
      </c>
      <c r="K157" s="4">
        <f>IF(BD_Carga!E158&lt;&gt;"",BD_Carga!E158,0)</f>
        <v/>
      </c>
      <c r="L157" s="4">
        <f>IF(BD_Carga!F158&lt;&gt;"",BD_Carga!F158,0)</f>
        <v/>
      </c>
      <c r="M157" s="4">
        <f>IF(BD_Carga!G158&lt;&gt;"",BD_Carga!G158,0)</f>
        <v/>
      </c>
      <c r="N157" s="4">
        <f>IF(BD_Carga!H158&lt;&gt;"",BD_Carga!H158,0)</f>
        <v/>
      </c>
      <c r="O157" s="4">
        <f>IF(BD_Carga!I158&lt;&gt;"",BD_Carga!I158,0)</f>
        <v/>
      </c>
      <c r="P157" s="4">
        <f>IF(BD_Carga!J158&lt;&gt;"",BD_Carga!J158,0)</f>
        <v/>
      </c>
      <c r="Q157" s="5">
        <f>IF(BD_Carga!K158&lt;&gt;"",BD_Carga!K158,0)</f>
        <v/>
      </c>
      <c r="R157" s="5">
        <f>IF(BD_Carga!L158&lt;&gt;"",BD_Carga!L158,0)</f>
        <v/>
      </c>
      <c r="S157">
        <f>IF(BD_Carga!N158&lt;&gt;"",BD_Carga!N158,0)</f>
        <v/>
      </c>
      <c r="T157">
        <f>IF(BD_Carga!O158&lt;&gt;"",BD_Carga!O158,0)</f>
        <v/>
      </c>
      <c r="U157">
        <f>IF(BD_Carga!P158&lt;&gt;"",BD_Carga!P158,0)</f>
        <v/>
      </c>
      <c r="V157">
        <f>IF(BD_Carga!U158&lt;&gt;"",BD_Carga!U158,0)</f>
        <v/>
      </c>
      <c r="W157">
        <f>IF(BD_Carga!T158&lt;&gt;"",BD_Carga!T158,0)</f>
        <v/>
      </c>
      <c r="X157">
        <f>IF(BD_Carga!W158&lt;&gt;"",BD_Carga!W158,0)</f>
        <v/>
      </c>
      <c r="Y157">
        <f>IF(BD_Carga!X158&lt;&gt;"",BD_Carga!X158,0)</f>
        <v/>
      </c>
      <c r="Z157">
        <f>IF(BD_Carga!Y158&lt;&gt;"",BD_Carga!Y158,0)</f>
        <v/>
      </c>
      <c r="AA157">
        <f>IF(BD_Carga!Z158&lt;&gt;"",BD_Carga!Z158,0)</f>
        <v/>
      </c>
      <c r="AB157">
        <f>IF(BD_Carga!AA158&lt;&gt;"",BD_Carga!AA158,0)</f>
        <v/>
      </c>
      <c r="AC157" s="6">
        <f t="array" ref="AC157">IFERROR((L157-AVERAGEIF($G$2:$G$462,G157,$L$2:$L$462))/_xlfn.STDEV.P(IF($G$2:$G$462=G157,$L$2:$L$462)),0)</f>
        <v/>
      </c>
      <c r="AD157" s="6">
        <f t="array" ref="AD157">IFERROR((M157-AVERAGEIF($G$2:$G$462,G157,$M$2:$M$462))/_xlfn.STDEV.P(IF($G$2:$G$462=G157,$M$2:$M$462)),0)</f>
        <v/>
      </c>
      <c r="AE157" s="6">
        <f t="array" ref="AE157">IFERROR((N157-AVERAGEIF($G$2:$G$462,G157,$N$2:$N$462))/_xlfn.STDEV.P(IF($G$2:$G$462=G157,$N$2:$N$462)),0)</f>
        <v/>
      </c>
      <c r="AF157" s="6">
        <f t="array" ref="AF157">IFERROR((O157-AVERAGEIF($G$2:$G$462,G157,$O$2:$O$462))/_xlfn.STDEV.P(IF($G$2:$G$462=G157,$O$2:$O$462)),0)</f>
        <v/>
      </c>
      <c r="AG157" s="6">
        <f t="array" ref="AG157">IFERROR((P157-AVERAGEIF($G$2:$G$462,G157,$P$2:$P$462))/_xlfn.STDEV.P(IF($G$2:$G$462=G157,$P$2:$P$462)),0)</f>
        <v/>
      </c>
      <c r="AH157" s="6">
        <f t="array" ref="AH157">IFERROR((R157-AVERAGEIF($G$2:$G$462,G157,$R$2:$R$462))/_xlfn.STDEV.P(IF($G$2:$G$462=G157,$R$2:$R$462)),0)</f>
        <v/>
      </c>
      <c r="AI157" s="6">
        <f>IFERROR((AC157+AD157+AE157+AF157+AG157+AH157)/6,0)</f>
        <v/>
      </c>
    </row>
    <row r="158">
      <c r="A158" s="2">
        <f>IF(BD_Carga!A159&lt;&gt;"",BD_Carga!A159,"")</f>
        <v/>
      </c>
      <c r="B158">
        <f>IF(A158&lt;&gt;"",YEAR(A158),"")</f>
        <v/>
      </c>
      <c r="C158">
        <f>IF(A158&lt;&gt;"",MONTH(A158),"")</f>
        <v/>
      </c>
      <c r="D158">
        <f>IF(A158&lt;&gt;"",_xlfn.ISOWEEKNUM(A158),"")</f>
        <v/>
      </c>
      <c r="E158">
        <f>IF(A158&lt;&gt;"",TEXT(A158,"dddd"),"")</f>
        <v/>
      </c>
      <c r="F158">
        <f>IF(BD_Carga!C159&lt;&gt;"",BD_Carga!C159,"")</f>
        <v/>
      </c>
      <c r="G158">
        <f>IF(BD_Carga!D159&lt;&gt;"",BD_Carga!D159,"")</f>
        <v/>
      </c>
      <c r="H158">
        <f>IF(BD_Carga!Q159&lt;&gt;"",BD_Carga!Q159,"")</f>
        <v/>
      </c>
      <c r="I158">
        <f>IF(BD_Carga!R159&lt;&gt;"",BD_Carga!R159,"")</f>
        <v/>
      </c>
      <c r="J158">
        <f>IF(BD_Carga!S159&lt;&gt;"",BD_Carga!S159,"")</f>
        <v/>
      </c>
      <c r="K158" s="4">
        <f>IF(BD_Carga!E159&lt;&gt;"",BD_Carga!E159,0)</f>
        <v/>
      </c>
      <c r="L158" s="4">
        <f>IF(BD_Carga!F159&lt;&gt;"",BD_Carga!F159,0)</f>
        <v/>
      </c>
      <c r="M158" s="4">
        <f>IF(BD_Carga!G159&lt;&gt;"",BD_Carga!G159,0)</f>
        <v/>
      </c>
      <c r="N158" s="4">
        <f>IF(BD_Carga!H159&lt;&gt;"",BD_Carga!H159,0)</f>
        <v/>
      </c>
      <c r="O158" s="4">
        <f>IF(BD_Carga!I159&lt;&gt;"",BD_Carga!I159,0)</f>
        <v/>
      </c>
      <c r="P158" s="4">
        <f>IF(BD_Carga!J159&lt;&gt;"",BD_Carga!J159,0)</f>
        <v/>
      </c>
      <c r="Q158" s="5">
        <f>IF(BD_Carga!K159&lt;&gt;"",BD_Carga!K159,0)</f>
        <v/>
      </c>
      <c r="R158" s="5">
        <f>IF(BD_Carga!L159&lt;&gt;"",BD_Carga!L159,0)</f>
        <v/>
      </c>
      <c r="S158">
        <f>IF(BD_Carga!N159&lt;&gt;"",BD_Carga!N159,0)</f>
        <v/>
      </c>
      <c r="T158">
        <f>IF(BD_Carga!O159&lt;&gt;"",BD_Carga!O159,0)</f>
        <v/>
      </c>
      <c r="U158">
        <f>IF(BD_Carga!P159&lt;&gt;"",BD_Carga!P159,0)</f>
        <v/>
      </c>
      <c r="V158">
        <f>IF(BD_Carga!U159&lt;&gt;"",BD_Carga!U159,0)</f>
        <v/>
      </c>
      <c r="W158">
        <f>IF(BD_Carga!T159&lt;&gt;"",BD_Carga!T159,0)</f>
        <v/>
      </c>
      <c r="X158">
        <f>IF(BD_Carga!W159&lt;&gt;"",BD_Carga!W159,0)</f>
        <v/>
      </c>
      <c r="Y158">
        <f>IF(BD_Carga!X159&lt;&gt;"",BD_Carga!X159,0)</f>
        <v/>
      </c>
      <c r="Z158">
        <f>IF(BD_Carga!Y159&lt;&gt;"",BD_Carga!Y159,0)</f>
        <v/>
      </c>
      <c r="AA158">
        <f>IF(BD_Carga!Z159&lt;&gt;"",BD_Carga!Z159,0)</f>
        <v/>
      </c>
      <c r="AB158">
        <f>IF(BD_Carga!AA159&lt;&gt;"",BD_Carga!AA159,0)</f>
        <v/>
      </c>
      <c r="AC158" s="6">
        <f t="array" ref="AC158">IFERROR((L158-AVERAGEIF($G$2:$G$462,G158,$L$2:$L$462))/_xlfn.STDEV.P(IF($G$2:$G$462=G158,$L$2:$L$462)),0)</f>
        <v/>
      </c>
      <c r="AD158" s="6">
        <f t="array" ref="AD158">IFERROR((M158-AVERAGEIF($G$2:$G$462,G158,$M$2:$M$462))/_xlfn.STDEV.P(IF($G$2:$G$462=G158,$M$2:$M$462)),0)</f>
        <v/>
      </c>
      <c r="AE158" s="6">
        <f t="array" ref="AE158">IFERROR((N158-AVERAGEIF($G$2:$G$462,G158,$N$2:$N$462))/_xlfn.STDEV.P(IF($G$2:$G$462=G158,$N$2:$N$462)),0)</f>
        <v/>
      </c>
      <c r="AF158" s="6">
        <f t="array" ref="AF158">IFERROR((O158-AVERAGEIF($G$2:$G$462,G158,$O$2:$O$462))/_xlfn.STDEV.P(IF($G$2:$G$462=G158,$O$2:$O$462)),0)</f>
        <v/>
      </c>
      <c r="AG158" s="6">
        <f t="array" ref="AG158">IFERROR((P158-AVERAGEIF($G$2:$G$462,G158,$P$2:$P$462))/_xlfn.STDEV.P(IF($G$2:$G$462=G158,$P$2:$P$462)),0)</f>
        <v/>
      </c>
      <c r="AH158" s="6">
        <f t="array" ref="AH158">IFERROR((R158-AVERAGEIF($G$2:$G$462,G158,$R$2:$R$462))/_xlfn.STDEV.P(IF($G$2:$G$462=G158,$R$2:$R$462)),0)</f>
        <v/>
      </c>
      <c r="AI158" s="6">
        <f>IFERROR((AC158+AD158+AE158+AF158+AG158+AH158)/6,0)</f>
        <v/>
      </c>
    </row>
    <row r="159">
      <c r="A159" s="2">
        <f>IF(BD_Carga!A160&lt;&gt;"",BD_Carga!A160,"")</f>
        <v/>
      </c>
      <c r="B159">
        <f>IF(A159&lt;&gt;"",YEAR(A159),"")</f>
        <v/>
      </c>
      <c r="C159">
        <f>IF(A159&lt;&gt;"",MONTH(A159),"")</f>
        <v/>
      </c>
      <c r="D159">
        <f>IF(A159&lt;&gt;"",_xlfn.ISOWEEKNUM(A159),"")</f>
        <v/>
      </c>
      <c r="E159">
        <f>IF(A159&lt;&gt;"",TEXT(A159,"dddd"),"")</f>
        <v/>
      </c>
      <c r="F159">
        <f>IF(BD_Carga!C160&lt;&gt;"",BD_Carga!C160,"")</f>
        <v/>
      </c>
      <c r="G159">
        <f>IF(BD_Carga!D160&lt;&gt;"",BD_Carga!D160,"")</f>
        <v/>
      </c>
      <c r="H159">
        <f>IF(BD_Carga!Q160&lt;&gt;"",BD_Carga!Q160,"")</f>
        <v/>
      </c>
      <c r="I159">
        <f>IF(BD_Carga!R160&lt;&gt;"",BD_Carga!R160,"")</f>
        <v/>
      </c>
      <c r="J159">
        <f>IF(BD_Carga!S160&lt;&gt;"",BD_Carga!S160,"")</f>
        <v/>
      </c>
      <c r="K159" s="4">
        <f>IF(BD_Carga!E160&lt;&gt;"",BD_Carga!E160,0)</f>
        <v/>
      </c>
      <c r="L159" s="4">
        <f>IF(BD_Carga!F160&lt;&gt;"",BD_Carga!F160,0)</f>
        <v/>
      </c>
      <c r="M159" s="4">
        <f>IF(BD_Carga!G160&lt;&gt;"",BD_Carga!G160,0)</f>
        <v/>
      </c>
      <c r="N159" s="4">
        <f>IF(BD_Carga!H160&lt;&gt;"",BD_Carga!H160,0)</f>
        <v/>
      </c>
      <c r="O159" s="4">
        <f>IF(BD_Carga!I160&lt;&gt;"",BD_Carga!I160,0)</f>
        <v/>
      </c>
      <c r="P159" s="4">
        <f>IF(BD_Carga!J160&lt;&gt;"",BD_Carga!J160,0)</f>
        <v/>
      </c>
      <c r="Q159" s="5">
        <f>IF(BD_Carga!K160&lt;&gt;"",BD_Carga!K160,0)</f>
        <v/>
      </c>
      <c r="R159" s="5">
        <f>IF(BD_Carga!L160&lt;&gt;"",BD_Carga!L160,0)</f>
        <v/>
      </c>
      <c r="S159">
        <f>IF(BD_Carga!N160&lt;&gt;"",BD_Carga!N160,0)</f>
        <v/>
      </c>
      <c r="T159">
        <f>IF(BD_Carga!O160&lt;&gt;"",BD_Carga!O160,0)</f>
        <v/>
      </c>
      <c r="U159">
        <f>IF(BD_Carga!P160&lt;&gt;"",BD_Carga!P160,0)</f>
        <v/>
      </c>
      <c r="V159">
        <f>IF(BD_Carga!U160&lt;&gt;"",BD_Carga!U160,0)</f>
        <v/>
      </c>
      <c r="W159">
        <f>IF(BD_Carga!T160&lt;&gt;"",BD_Carga!T160,0)</f>
        <v/>
      </c>
      <c r="X159">
        <f>IF(BD_Carga!W160&lt;&gt;"",BD_Carga!W160,0)</f>
        <v/>
      </c>
      <c r="Y159">
        <f>IF(BD_Carga!X160&lt;&gt;"",BD_Carga!X160,0)</f>
        <v/>
      </c>
      <c r="Z159">
        <f>IF(BD_Carga!Y160&lt;&gt;"",BD_Carga!Y160,0)</f>
        <v/>
      </c>
      <c r="AA159">
        <f>IF(BD_Carga!Z160&lt;&gt;"",BD_Carga!Z160,0)</f>
        <v/>
      </c>
      <c r="AB159">
        <f>IF(BD_Carga!AA160&lt;&gt;"",BD_Carga!AA160,0)</f>
        <v/>
      </c>
      <c r="AC159" s="6">
        <f t="array" ref="AC159">IFERROR((L159-AVERAGEIF($G$2:$G$462,G159,$L$2:$L$462))/_xlfn.STDEV.P(IF($G$2:$G$462=G159,$L$2:$L$462)),0)</f>
        <v/>
      </c>
      <c r="AD159" s="6">
        <f t="array" ref="AD159">IFERROR((M159-AVERAGEIF($G$2:$G$462,G159,$M$2:$M$462))/_xlfn.STDEV.P(IF($G$2:$G$462=G159,$M$2:$M$462)),0)</f>
        <v/>
      </c>
      <c r="AE159" s="6">
        <f t="array" ref="AE159">IFERROR((N159-AVERAGEIF($G$2:$G$462,G159,$N$2:$N$462))/_xlfn.STDEV.P(IF($G$2:$G$462=G159,$N$2:$N$462)),0)</f>
        <v/>
      </c>
      <c r="AF159" s="6">
        <f t="array" ref="AF159">IFERROR((O159-AVERAGEIF($G$2:$G$462,G159,$O$2:$O$462))/_xlfn.STDEV.P(IF($G$2:$G$462=G159,$O$2:$O$462)),0)</f>
        <v/>
      </c>
      <c r="AG159" s="6">
        <f t="array" ref="AG159">IFERROR((P159-AVERAGEIF($G$2:$G$462,G159,$P$2:$P$462))/_xlfn.STDEV.P(IF($G$2:$G$462=G159,$P$2:$P$462)),0)</f>
        <v/>
      </c>
      <c r="AH159" s="6">
        <f t="array" ref="AH159">IFERROR((R159-AVERAGEIF($G$2:$G$462,G159,$R$2:$R$462))/_xlfn.STDEV.P(IF($G$2:$G$462=G159,$R$2:$R$462)),0)</f>
        <v/>
      </c>
      <c r="AI159" s="6">
        <f>IFERROR((AC159+AD159+AE159+AF159+AG159+AH159)/6,0)</f>
        <v/>
      </c>
    </row>
    <row r="160">
      <c r="A160" s="2">
        <f>IF(BD_Carga!A161&lt;&gt;"",BD_Carga!A161,"")</f>
        <v/>
      </c>
      <c r="B160">
        <f>IF(A160&lt;&gt;"",YEAR(A160),"")</f>
        <v/>
      </c>
      <c r="C160">
        <f>IF(A160&lt;&gt;"",MONTH(A160),"")</f>
        <v/>
      </c>
      <c r="D160">
        <f>IF(A160&lt;&gt;"",_xlfn.ISOWEEKNUM(A160),"")</f>
        <v/>
      </c>
      <c r="E160">
        <f>IF(A160&lt;&gt;"",TEXT(A160,"dddd"),"")</f>
        <v/>
      </c>
      <c r="F160">
        <f>IF(BD_Carga!C161&lt;&gt;"",BD_Carga!C161,"")</f>
        <v/>
      </c>
      <c r="G160">
        <f>IF(BD_Carga!D161&lt;&gt;"",BD_Carga!D161,"")</f>
        <v/>
      </c>
      <c r="H160">
        <f>IF(BD_Carga!Q161&lt;&gt;"",BD_Carga!Q161,"")</f>
        <v/>
      </c>
      <c r="I160">
        <f>IF(BD_Carga!R161&lt;&gt;"",BD_Carga!R161,"")</f>
        <v/>
      </c>
      <c r="J160">
        <f>IF(BD_Carga!S161&lt;&gt;"",BD_Carga!S161,"")</f>
        <v/>
      </c>
      <c r="K160" s="4">
        <f>IF(BD_Carga!E161&lt;&gt;"",BD_Carga!E161,0)</f>
        <v/>
      </c>
      <c r="L160" s="4">
        <f>IF(BD_Carga!F161&lt;&gt;"",BD_Carga!F161,0)</f>
        <v/>
      </c>
      <c r="M160" s="4">
        <f>IF(BD_Carga!G161&lt;&gt;"",BD_Carga!G161,0)</f>
        <v/>
      </c>
      <c r="N160" s="4">
        <f>IF(BD_Carga!H161&lt;&gt;"",BD_Carga!H161,0)</f>
        <v/>
      </c>
      <c r="O160" s="4">
        <f>IF(BD_Carga!I161&lt;&gt;"",BD_Carga!I161,0)</f>
        <v/>
      </c>
      <c r="P160" s="4">
        <f>IF(BD_Carga!J161&lt;&gt;"",BD_Carga!J161,0)</f>
        <v/>
      </c>
      <c r="Q160" s="5">
        <f>IF(BD_Carga!K161&lt;&gt;"",BD_Carga!K161,0)</f>
        <v/>
      </c>
      <c r="R160" s="5">
        <f>IF(BD_Carga!L161&lt;&gt;"",BD_Carga!L161,0)</f>
        <v/>
      </c>
      <c r="S160">
        <f>IF(BD_Carga!N161&lt;&gt;"",BD_Carga!N161,0)</f>
        <v/>
      </c>
      <c r="T160">
        <f>IF(BD_Carga!O161&lt;&gt;"",BD_Carga!O161,0)</f>
        <v/>
      </c>
      <c r="U160">
        <f>IF(BD_Carga!P161&lt;&gt;"",BD_Carga!P161,0)</f>
        <v/>
      </c>
      <c r="V160">
        <f>IF(BD_Carga!U161&lt;&gt;"",BD_Carga!U161,0)</f>
        <v/>
      </c>
      <c r="W160">
        <f>IF(BD_Carga!T161&lt;&gt;"",BD_Carga!T161,0)</f>
        <v/>
      </c>
      <c r="X160">
        <f>IF(BD_Carga!W161&lt;&gt;"",BD_Carga!W161,0)</f>
        <v/>
      </c>
      <c r="Y160">
        <f>IF(BD_Carga!X161&lt;&gt;"",BD_Carga!X161,0)</f>
        <v/>
      </c>
      <c r="Z160">
        <f>IF(BD_Carga!Y161&lt;&gt;"",BD_Carga!Y161,0)</f>
        <v/>
      </c>
      <c r="AA160">
        <f>IF(BD_Carga!Z161&lt;&gt;"",BD_Carga!Z161,0)</f>
        <v/>
      </c>
      <c r="AB160">
        <f>IF(BD_Carga!AA161&lt;&gt;"",BD_Carga!AA161,0)</f>
        <v/>
      </c>
      <c r="AC160" s="6">
        <f t="array" ref="AC160">IFERROR((L160-AVERAGEIF($G$2:$G$462,G160,$L$2:$L$462))/_xlfn.STDEV.P(IF($G$2:$G$462=G160,$L$2:$L$462)),0)</f>
        <v/>
      </c>
      <c r="AD160" s="6">
        <f t="array" ref="AD160">IFERROR((M160-AVERAGEIF($G$2:$G$462,G160,$M$2:$M$462))/_xlfn.STDEV.P(IF($G$2:$G$462=G160,$M$2:$M$462)),0)</f>
        <v/>
      </c>
      <c r="AE160" s="6">
        <f t="array" ref="AE160">IFERROR((N160-AVERAGEIF($G$2:$G$462,G160,$N$2:$N$462))/_xlfn.STDEV.P(IF($G$2:$G$462=G160,$N$2:$N$462)),0)</f>
        <v/>
      </c>
      <c r="AF160" s="6">
        <f t="array" ref="AF160">IFERROR((O160-AVERAGEIF($G$2:$G$462,G160,$O$2:$O$462))/_xlfn.STDEV.P(IF($G$2:$G$462=G160,$O$2:$O$462)),0)</f>
        <v/>
      </c>
      <c r="AG160" s="6">
        <f t="array" ref="AG160">IFERROR((P160-AVERAGEIF($G$2:$G$462,G160,$P$2:$P$462))/_xlfn.STDEV.P(IF($G$2:$G$462=G160,$P$2:$P$462)),0)</f>
        <v/>
      </c>
      <c r="AH160" s="6">
        <f t="array" ref="AH160">IFERROR((R160-AVERAGEIF($G$2:$G$462,G160,$R$2:$R$462))/_xlfn.STDEV.P(IF($G$2:$G$462=G160,$R$2:$R$462)),0)</f>
        <v/>
      </c>
      <c r="AI160" s="6">
        <f>IFERROR((AC160+AD160+AE160+AF160+AG160+AH160)/6,0)</f>
        <v/>
      </c>
    </row>
    <row r="161">
      <c r="A161" s="2">
        <f>IF(BD_Carga!A162&lt;&gt;"",BD_Carga!A162,"")</f>
        <v/>
      </c>
      <c r="B161">
        <f>IF(A161&lt;&gt;"",YEAR(A161),"")</f>
        <v/>
      </c>
      <c r="C161">
        <f>IF(A161&lt;&gt;"",MONTH(A161),"")</f>
        <v/>
      </c>
      <c r="D161">
        <f>IF(A161&lt;&gt;"",_xlfn.ISOWEEKNUM(A161),"")</f>
        <v/>
      </c>
      <c r="E161">
        <f>IF(A161&lt;&gt;"",TEXT(A161,"dddd"),"")</f>
        <v/>
      </c>
      <c r="F161">
        <f>IF(BD_Carga!C162&lt;&gt;"",BD_Carga!C162,"")</f>
        <v/>
      </c>
      <c r="G161">
        <f>IF(BD_Carga!D162&lt;&gt;"",BD_Carga!D162,"")</f>
        <v/>
      </c>
      <c r="H161">
        <f>IF(BD_Carga!Q162&lt;&gt;"",BD_Carga!Q162,"")</f>
        <v/>
      </c>
      <c r="I161">
        <f>IF(BD_Carga!R162&lt;&gt;"",BD_Carga!R162,"")</f>
        <v/>
      </c>
      <c r="J161">
        <f>IF(BD_Carga!S162&lt;&gt;"",BD_Carga!S162,"")</f>
        <v/>
      </c>
      <c r="K161" s="4">
        <f>IF(BD_Carga!E162&lt;&gt;"",BD_Carga!E162,0)</f>
        <v/>
      </c>
      <c r="L161" s="4">
        <f>IF(BD_Carga!F162&lt;&gt;"",BD_Carga!F162,0)</f>
        <v/>
      </c>
      <c r="M161" s="4">
        <f>IF(BD_Carga!G162&lt;&gt;"",BD_Carga!G162,0)</f>
        <v/>
      </c>
      <c r="N161" s="4">
        <f>IF(BD_Carga!H162&lt;&gt;"",BD_Carga!H162,0)</f>
        <v/>
      </c>
      <c r="O161" s="4">
        <f>IF(BD_Carga!I162&lt;&gt;"",BD_Carga!I162,0)</f>
        <v/>
      </c>
      <c r="P161" s="4">
        <f>IF(BD_Carga!J162&lt;&gt;"",BD_Carga!J162,0)</f>
        <v/>
      </c>
      <c r="Q161" s="5">
        <f>IF(BD_Carga!K162&lt;&gt;"",BD_Carga!K162,0)</f>
        <v/>
      </c>
      <c r="R161" s="5">
        <f>IF(BD_Carga!L162&lt;&gt;"",BD_Carga!L162,0)</f>
        <v/>
      </c>
      <c r="S161">
        <f>IF(BD_Carga!N162&lt;&gt;"",BD_Carga!N162,0)</f>
        <v/>
      </c>
      <c r="T161">
        <f>IF(BD_Carga!O162&lt;&gt;"",BD_Carga!O162,0)</f>
        <v/>
      </c>
      <c r="U161">
        <f>IF(BD_Carga!P162&lt;&gt;"",BD_Carga!P162,0)</f>
        <v/>
      </c>
      <c r="V161">
        <f>IF(BD_Carga!U162&lt;&gt;"",BD_Carga!U162,0)</f>
        <v/>
      </c>
      <c r="W161">
        <f>IF(BD_Carga!T162&lt;&gt;"",BD_Carga!T162,0)</f>
        <v/>
      </c>
      <c r="X161">
        <f>IF(BD_Carga!W162&lt;&gt;"",BD_Carga!W162,0)</f>
        <v/>
      </c>
      <c r="Y161">
        <f>IF(BD_Carga!X162&lt;&gt;"",BD_Carga!X162,0)</f>
        <v/>
      </c>
      <c r="Z161">
        <f>IF(BD_Carga!Y162&lt;&gt;"",BD_Carga!Y162,0)</f>
        <v/>
      </c>
      <c r="AA161">
        <f>IF(BD_Carga!Z162&lt;&gt;"",BD_Carga!Z162,0)</f>
        <v/>
      </c>
      <c r="AB161">
        <f>IF(BD_Carga!AA162&lt;&gt;"",BD_Carga!AA162,0)</f>
        <v/>
      </c>
      <c r="AC161" s="6">
        <f t="array" ref="AC161">IFERROR((L161-AVERAGEIF($G$2:$G$462,G161,$L$2:$L$462))/_xlfn.STDEV.P(IF($G$2:$G$462=G161,$L$2:$L$462)),0)</f>
        <v/>
      </c>
      <c r="AD161" s="6">
        <f t="array" ref="AD161">IFERROR((M161-AVERAGEIF($G$2:$G$462,G161,$M$2:$M$462))/_xlfn.STDEV.P(IF($G$2:$G$462=G161,$M$2:$M$462)),0)</f>
        <v/>
      </c>
      <c r="AE161" s="6">
        <f t="array" ref="AE161">IFERROR((N161-AVERAGEIF($G$2:$G$462,G161,$N$2:$N$462))/_xlfn.STDEV.P(IF($G$2:$G$462=G161,$N$2:$N$462)),0)</f>
        <v/>
      </c>
      <c r="AF161" s="6">
        <f t="array" ref="AF161">IFERROR((O161-AVERAGEIF($G$2:$G$462,G161,$O$2:$O$462))/_xlfn.STDEV.P(IF($G$2:$G$462=G161,$O$2:$O$462)),0)</f>
        <v/>
      </c>
      <c r="AG161" s="6">
        <f t="array" ref="AG161">IFERROR((P161-AVERAGEIF($G$2:$G$462,G161,$P$2:$P$462))/_xlfn.STDEV.P(IF($G$2:$G$462=G161,$P$2:$P$462)),0)</f>
        <v/>
      </c>
      <c r="AH161" s="6">
        <f t="array" ref="AH161">IFERROR((R161-AVERAGEIF($G$2:$G$462,G161,$R$2:$R$462))/_xlfn.STDEV.P(IF($G$2:$G$462=G161,$R$2:$R$462)),0)</f>
        <v/>
      </c>
      <c r="AI161" s="6">
        <f>IFERROR((AC161+AD161+AE161+AF161+AG161+AH161)/6,0)</f>
        <v/>
      </c>
    </row>
    <row r="162">
      <c r="A162" s="2">
        <f>IF(BD_Carga!A163&lt;&gt;"",BD_Carga!A163,"")</f>
        <v/>
      </c>
      <c r="B162">
        <f>IF(A162&lt;&gt;"",YEAR(A162),"")</f>
        <v/>
      </c>
      <c r="C162">
        <f>IF(A162&lt;&gt;"",MONTH(A162),"")</f>
        <v/>
      </c>
      <c r="D162">
        <f>IF(A162&lt;&gt;"",_xlfn.ISOWEEKNUM(A162),"")</f>
        <v/>
      </c>
      <c r="E162">
        <f>IF(A162&lt;&gt;"",TEXT(A162,"dddd"),"")</f>
        <v/>
      </c>
      <c r="F162">
        <f>IF(BD_Carga!C163&lt;&gt;"",BD_Carga!C163,"")</f>
        <v/>
      </c>
      <c r="G162">
        <f>IF(BD_Carga!D163&lt;&gt;"",BD_Carga!D163,"")</f>
        <v/>
      </c>
      <c r="H162">
        <f>IF(BD_Carga!Q163&lt;&gt;"",BD_Carga!Q163,"")</f>
        <v/>
      </c>
      <c r="I162">
        <f>IF(BD_Carga!R163&lt;&gt;"",BD_Carga!R163,"")</f>
        <v/>
      </c>
      <c r="J162">
        <f>IF(BD_Carga!S163&lt;&gt;"",BD_Carga!S163,"")</f>
        <v/>
      </c>
      <c r="K162" s="4">
        <f>IF(BD_Carga!E163&lt;&gt;"",BD_Carga!E163,0)</f>
        <v/>
      </c>
      <c r="L162" s="4">
        <f>IF(BD_Carga!F163&lt;&gt;"",BD_Carga!F163,0)</f>
        <v/>
      </c>
      <c r="M162" s="4">
        <f>IF(BD_Carga!G163&lt;&gt;"",BD_Carga!G163,0)</f>
        <v/>
      </c>
      <c r="N162" s="4">
        <f>IF(BD_Carga!H163&lt;&gt;"",BD_Carga!H163,0)</f>
        <v/>
      </c>
      <c r="O162" s="4">
        <f>IF(BD_Carga!I163&lt;&gt;"",BD_Carga!I163,0)</f>
        <v/>
      </c>
      <c r="P162" s="4">
        <f>IF(BD_Carga!J163&lt;&gt;"",BD_Carga!J163,0)</f>
        <v/>
      </c>
      <c r="Q162" s="5">
        <f>IF(BD_Carga!K163&lt;&gt;"",BD_Carga!K163,0)</f>
        <v/>
      </c>
      <c r="R162" s="5">
        <f>IF(BD_Carga!L163&lt;&gt;"",BD_Carga!L163,0)</f>
        <v/>
      </c>
      <c r="S162">
        <f>IF(BD_Carga!N163&lt;&gt;"",BD_Carga!N163,0)</f>
        <v/>
      </c>
      <c r="T162">
        <f>IF(BD_Carga!O163&lt;&gt;"",BD_Carga!O163,0)</f>
        <v/>
      </c>
      <c r="U162">
        <f>IF(BD_Carga!P163&lt;&gt;"",BD_Carga!P163,0)</f>
        <v/>
      </c>
      <c r="V162">
        <f>IF(BD_Carga!U163&lt;&gt;"",BD_Carga!U163,0)</f>
        <v/>
      </c>
      <c r="W162">
        <f>IF(BD_Carga!T163&lt;&gt;"",BD_Carga!T163,0)</f>
        <v/>
      </c>
      <c r="X162">
        <f>IF(BD_Carga!W163&lt;&gt;"",BD_Carga!W163,0)</f>
        <v/>
      </c>
      <c r="Y162">
        <f>IF(BD_Carga!X163&lt;&gt;"",BD_Carga!X163,0)</f>
        <v/>
      </c>
      <c r="Z162">
        <f>IF(BD_Carga!Y163&lt;&gt;"",BD_Carga!Y163,0)</f>
        <v/>
      </c>
      <c r="AA162">
        <f>IF(BD_Carga!Z163&lt;&gt;"",BD_Carga!Z163,0)</f>
        <v/>
      </c>
      <c r="AB162">
        <f>IF(BD_Carga!AA163&lt;&gt;"",BD_Carga!AA163,0)</f>
        <v/>
      </c>
      <c r="AC162" s="6">
        <f t="array" ref="AC162">IFERROR((L162-AVERAGEIF($G$2:$G$462,G162,$L$2:$L$462))/_xlfn.STDEV.P(IF($G$2:$G$462=G162,$L$2:$L$462)),0)</f>
        <v/>
      </c>
      <c r="AD162" s="6">
        <f t="array" ref="AD162">IFERROR((M162-AVERAGEIF($G$2:$G$462,G162,$M$2:$M$462))/_xlfn.STDEV.P(IF($G$2:$G$462=G162,$M$2:$M$462)),0)</f>
        <v/>
      </c>
      <c r="AE162" s="6">
        <f t="array" ref="AE162">IFERROR((N162-AVERAGEIF($G$2:$G$462,G162,$N$2:$N$462))/_xlfn.STDEV.P(IF($G$2:$G$462=G162,$N$2:$N$462)),0)</f>
        <v/>
      </c>
      <c r="AF162" s="6">
        <f t="array" ref="AF162">IFERROR((O162-AVERAGEIF($G$2:$G$462,G162,$O$2:$O$462))/_xlfn.STDEV.P(IF($G$2:$G$462=G162,$O$2:$O$462)),0)</f>
        <v/>
      </c>
      <c r="AG162" s="6">
        <f t="array" ref="AG162">IFERROR((P162-AVERAGEIF($G$2:$G$462,G162,$P$2:$P$462))/_xlfn.STDEV.P(IF($G$2:$G$462=G162,$P$2:$P$462)),0)</f>
        <v/>
      </c>
      <c r="AH162" s="6">
        <f t="array" ref="AH162">IFERROR((R162-AVERAGEIF($G$2:$G$462,G162,$R$2:$R$462))/_xlfn.STDEV.P(IF($G$2:$G$462=G162,$R$2:$R$462)),0)</f>
        <v/>
      </c>
      <c r="AI162" s="6">
        <f>IFERROR((AC162+AD162+AE162+AF162+AG162+AH162)/6,0)</f>
        <v/>
      </c>
    </row>
    <row r="163">
      <c r="A163" s="2">
        <f>IF(BD_Carga!A164&lt;&gt;"",BD_Carga!A164,"")</f>
        <v/>
      </c>
      <c r="B163">
        <f>IF(A163&lt;&gt;"",YEAR(A163),"")</f>
        <v/>
      </c>
      <c r="C163">
        <f>IF(A163&lt;&gt;"",MONTH(A163),"")</f>
        <v/>
      </c>
      <c r="D163">
        <f>IF(A163&lt;&gt;"",_xlfn.ISOWEEKNUM(A163),"")</f>
        <v/>
      </c>
      <c r="E163">
        <f>IF(A163&lt;&gt;"",TEXT(A163,"dddd"),"")</f>
        <v/>
      </c>
      <c r="F163">
        <f>IF(BD_Carga!C164&lt;&gt;"",BD_Carga!C164,"")</f>
        <v/>
      </c>
      <c r="G163">
        <f>IF(BD_Carga!D164&lt;&gt;"",BD_Carga!D164,"")</f>
        <v/>
      </c>
      <c r="H163">
        <f>IF(BD_Carga!Q164&lt;&gt;"",BD_Carga!Q164,"")</f>
        <v/>
      </c>
      <c r="I163">
        <f>IF(BD_Carga!R164&lt;&gt;"",BD_Carga!R164,"")</f>
        <v/>
      </c>
      <c r="J163">
        <f>IF(BD_Carga!S164&lt;&gt;"",BD_Carga!S164,"")</f>
        <v/>
      </c>
      <c r="K163" s="4">
        <f>IF(BD_Carga!E164&lt;&gt;"",BD_Carga!E164,0)</f>
        <v/>
      </c>
      <c r="L163" s="4">
        <f>IF(BD_Carga!F164&lt;&gt;"",BD_Carga!F164,0)</f>
        <v/>
      </c>
      <c r="M163" s="4">
        <f>IF(BD_Carga!G164&lt;&gt;"",BD_Carga!G164,0)</f>
        <v/>
      </c>
      <c r="N163" s="4">
        <f>IF(BD_Carga!H164&lt;&gt;"",BD_Carga!H164,0)</f>
        <v/>
      </c>
      <c r="O163" s="4">
        <f>IF(BD_Carga!I164&lt;&gt;"",BD_Carga!I164,0)</f>
        <v/>
      </c>
      <c r="P163" s="4">
        <f>IF(BD_Carga!J164&lt;&gt;"",BD_Carga!J164,0)</f>
        <v/>
      </c>
      <c r="Q163" s="5">
        <f>IF(BD_Carga!K164&lt;&gt;"",BD_Carga!K164,0)</f>
        <v/>
      </c>
      <c r="R163" s="5">
        <f>IF(BD_Carga!L164&lt;&gt;"",BD_Carga!L164,0)</f>
        <v/>
      </c>
      <c r="S163">
        <f>IF(BD_Carga!N164&lt;&gt;"",BD_Carga!N164,0)</f>
        <v/>
      </c>
      <c r="T163">
        <f>IF(BD_Carga!O164&lt;&gt;"",BD_Carga!O164,0)</f>
        <v/>
      </c>
      <c r="U163">
        <f>IF(BD_Carga!P164&lt;&gt;"",BD_Carga!P164,0)</f>
        <v/>
      </c>
      <c r="V163">
        <f>IF(BD_Carga!U164&lt;&gt;"",BD_Carga!U164,0)</f>
        <v/>
      </c>
      <c r="W163">
        <f>IF(BD_Carga!T164&lt;&gt;"",BD_Carga!T164,0)</f>
        <v/>
      </c>
      <c r="X163">
        <f>IF(BD_Carga!W164&lt;&gt;"",BD_Carga!W164,0)</f>
        <v/>
      </c>
      <c r="Y163">
        <f>IF(BD_Carga!X164&lt;&gt;"",BD_Carga!X164,0)</f>
        <v/>
      </c>
      <c r="Z163">
        <f>IF(BD_Carga!Y164&lt;&gt;"",BD_Carga!Y164,0)</f>
        <v/>
      </c>
      <c r="AA163">
        <f>IF(BD_Carga!Z164&lt;&gt;"",BD_Carga!Z164,0)</f>
        <v/>
      </c>
      <c r="AB163">
        <f>IF(BD_Carga!AA164&lt;&gt;"",BD_Carga!AA164,0)</f>
        <v/>
      </c>
      <c r="AC163" s="6">
        <f t="array" ref="AC163">IFERROR((L163-AVERAGEIF($G$2:$G$462,G163,$L$2:$L$462))/_xlfn.STDEV.P(IF($G$2:$G$462=G163,$L$2:$L$462)),0)</f>
        <v/>
      </c>
      <c r="AD163" s="6">
        <f t="array" ref="AD163">IFERROR((M163-AVERAGEIF($G$2:$G$462,G163,$M$2:$M$462))/_xlfn.STDEV.P(IF($G$2:$G$462=G163,$M$2:$M$462)),0)</f>
        <v/>
      </c>
      <c r="AE163" s="6">
        <f t="array" ref="AE163">IFERROR((N163-AVERAGEIF($G$2:$G$462,G163,$N$2:$N$462))/_xlfn.STDEV.P(IF($G$2:$G$462=G163,$N$2:$N$462)),0)</f>
        <v/>
      </c>
      <c r="AF163" s="6">
        <f t="array" ref="AF163">IFERROR((O163-AVERAGEIF($G$2:$G$462,G163,$O$2:$O$462))/_xlfn.STDEV.P(IF($G$2:$G$462=G163,$O$2:$O$462)),0)</f>
        <v/>
      </c>
      <c r="AG163" s="6">
        <f t="array" ref="AG163">IFERROR((P163-AVERAGEIF($G$2:$G$462,G163,$P$2:$P$462))/_xlfn.STDEV.P(IF($G$2:$G$462=G163,$P$2:$P$462)),0)</f>
        <v/>
      </c>
      <c r="AH163" s="6">
        <f t="array" ref="AH163">IFERROR((R163-AVERAGEIF($G$2:$G$462,G163,$R$2:$R$462))/_xlfn.STDEV.P(IF($G$2:$G$462=G163,$R$2:$R$462)),0)</f>
        <v/>
      </c>
      <c r="AI163" s="6">
        <f>IFERROR((AC163+AD163+AE163+AF163+AG163+AH163)/6,0)</f>
        <v/>
      </c>
    </row>
    <row r="164">
      <c r="A164" s="2">
        <f>IF(BD_Carga!A165&lt;&gt;"",BD_Carga!A165,"")</f>
        <v/>
      </c>
      <c r="B164">
        <f>IF(A164&lt;&gt;"",YEAR(A164),"")</f>
        <v/>
      </c>
      <c r="C164">
        <f>IF(A164&lt;&gt;"",MONTH(A164),"")</f>
        <v/>
      </c>
      <c r="D164">
        <f>IF(A164&lt;&gt;"",_xlfn.ISOWEEKNUM(A164),"")</f>
        <v/>
      </c>
      <c r="E164">
        <f>IF(A164&lt;&gt;"",TEXT(A164,"dddd"),"")</f>
        <v/>
      </c>
      <c r="F164">
        <f>IF(BD_Carga!C165&lt;&gt;"",BD_Carga!C165,"")</f>
        <v/>
      </c>
      <c r="G164">
        <f>IF(BD_Carga!D165&lt;&gt;"",BD_Carga!D165,"")</f>
        <v/>
      </c>
      <c r="H164">
        <f>IF(BD_Carga!Q165&lt;&gt;"",BD_Carga!Q165,"")</f>
        <v/>
      </c>
      <c r="I164">
        <f>IF(BD_Carga!R165&lt;&gt;"",BD_Carga!R165,"")</f>
        <v/>
      </c>
      <c r="J164">
        <f>IF(BD_Carga!S165&lt;&gt;"",BD_Carga!S165,"")</f>
        <v/>
      </c>
      <c r="K164" s="4">
        <f>IF(BD_Carga!E165&lt;&gt;"",BD_Carga!E165,0)</f>
        <v/>
      </c>
      <c r="L164" s="4">
        <f>IF(BD_Carga!F165&lt;&gt;"",BD_Carga!F165,0)</f>
        <v/>
      </c>
      <c r="M164" s="4">
        <f>IF(BD_Carga!G165&lt;&gt;"",BD_Carga!G165,0)</f>
        <v/>
      </c>
      <c r="N164" s="4">
        <f>IF(BD_Carga!H165&lt;&gt;"",BD_Carga!H165,0)</f>
        <v/>
      </c>
      <c r="O164" s="4">
        <f>IF(BD_Carga!I165&lt;&gt;"",BD_Carga!I165,0)</f>
        <v/>
      </c>
      <c r="P164" s="4">
        <f>IF(BD_Carga!J165&lt;&gt;"",BD_Carga!J165,0)</f>
        <v/>
      </c>
      <c r="Q164" s="5">
        <f>IF(BD_Carga!K165&lt;&gt;"",BD_Carga!K165,0)</f>
        <v/>
      </c>
      <c r="R164" s="5">
        <f>IF(BD_Carga!L165&lt;&gt;"",BD_Carga!L165,0)</f>
        <v/>
      </c>
      <c r="S164">
        <f>IF(BD_Carga!N165&lt;&gt;"",BD_Carga!N165,0)</f>
        <v/>
      </c>
      <c r="T164">
        <f>IF(BD_Carga!O165&lt;&gt;"",BD_Carga!O165,0)</f>
        <v/>
      </c>
      <c r="U164">
        <f>IF(BD_Carga!P165&lt;&gt;"",BD_Carga!P165,0)</f>
        <v/>
      </c>
      <c r="V164">
        <f>IF(BD_Carga!U165&lt;&gt;"",BD_Carga!U165,0)</f>
        <v/>
      </c>
      <c r="W164">
        <f>IF(BD_Carga!T165&lt;&gt;"",BD_Carga!T165,0)</f>
        <v/>
      </c>
      <c r="X164">
        <f>IF(BD_Carga!W165&lt;&gt;"",BD_Carga!W165,0)</f>
        <v/>
      </c>
      <c r="Y164">
        <f>IF(BD_Carga!X165&lt;&gt;"",BD_Carga!X165,0)</f>
        <v/>
      </c>
      <c r="Z164">
        <f>IF(BD_Carga!Y165&lt;&gt;"",BD_Carga!Y165,0)</f>
        <v/>
      </c>
      <c r="AA164">
        <f>IF(BD_Carga!Z165&lt;&gt;"",BD_Carga!Z165,0)</f>
        <v/>
      </c>
      <c r="AB164">
        <f>IF(BD_Carga!AA165&lt;&gt;"",BD_Carga!AA165,0)</f>
        <v/>
      </c>
      <c r="AC164" s="6">
        <f t="array" ref="AC164">IFERROR((L164-AVERAGEIF($G$2:$G$462,G164,$L$2:$L$462))/_xlfn.STDEV.P(IF($G$2:$G$462=G164,$L$2:$L$462)),0)</f>
        <v/>
      </c>
      <c r="AD164" s="6">
        <f t="array" ref="AD164">IFERROR((M164-AVERAGEIF($G$2:$G$462,G164,$M$2:$M$462))/_xlfn.STDEV.P(IF($G$2:$G$462=G164,$M$2:$M$462)),0)</f>
        <v/>
      </c>
      <c r="AE164" s="6">
        <f t="array" ref="AE164">IFERROR((N164-AVERAGEIF($G$2:$G$462,G164,$N$2:$N$462))/_xlfn.STDEV.P(IF($G$2:$G$462=G164,$N$2:$N$462)),0)</f>
        <v/>
      </c>
      <c r="AF164" s="6">
        <f t="array" ref="AF164">IFERROR((O164-AVERAGEIF($G$2:$G$462,G164,$O$2:$O$462))/_xlfn.STDEV.P(IF($G$2:$G$462=G164,$O$2:$O$462)),0)</f>
        <v/>
      </c>
      <c r="AG164" s="6">
        <f t="array" ref="AG164">IFERROR((P164-AVERAGEIF($G$2:$G$462,G164,$P$2:$P$462))/_xlfn.STDEV.P(IF($G$2:$G$462=G164,$P$2:$P$462)),0)</f>
        <v/>
      </c>
      <c r="AH164" s="6">
        <f t="array" ref="AH164">IFERROR((R164-AVERAGEIF($G$2:$G$462,G164,$R$2:$R$462))/_xlfn.STDEV.P(IF($G$2:$G$462=G164,$R$2:$R$462)),0)</f>
        <v/>
      </c>
      <c r="AI164" s="6">
        <f>IFERROR((AC164+AD164+AE164+AF164+AG164+AH164)/6,0)</f>
        <v/>
      </c>
    </row>
    <row r="165">
      <c r="A165" s="2">
        <f>IF(BD_Carga!A166&lt;&gt;"",BD_Carga!A166,"")</f>
        <v/>
      </c>
      <c r="B165">
        <f>IF(A165&lt;&gt;"",YEAR(A165),"")</f>
        <v/>
      </c>
      <c r="C165">
        <f>IF(A165&lt;&gt;"",MONTH(A165),"")</f>
        <v/>
      </c>
      <c r="D165">
        <f>IF(A165&lt;&gt;"",_xlfn.ISOWEEKNUM(A165),"")</f>
        <v/>
      </c>
      <c r="E165">
        <f>IF(A165&lt;&gt;"",TEXT(A165,"dddd"),"")</f>
        <v/>
      </c>
      <c r="F165">
        <f>IF(BD_Carga!C166&lt;&gt;"",BD_Carga!C166,"")</f>
        <v/>
      </c>
      <c r="G165">
        <f>IF(BD_Carga!D166&lt;&gt;"",BD_Carga!D166,"")</f>
        <v/>
      </c>
      <c r="H165">
        <f>IF(BD_Carga!Q166&lt;&gt;"",BD_Carga!Q166,"")</f>
        <v/>
      </c>
      <c r="I165">
        <f>IF(BD_Carga!R166&lt;&gt;"",BD_Carga!R166,"")</f>
        <v/>
      </c>
      <c r="J165">
        <f>IF(BD_Carga!S166&lt;&gt;"",BD_Carga!S166,"")</f>
        <v/>
      </c>
      <c r="K165" s="4">
        <f>IF(BD_Carga!E166&lt;&gt;"",BD_Carga!E166,0)</f>
        <v/>
      </c>
      <c r="L165" s="4">
        <f>IF(BD_Carga!F166&lt;&gt;"",BD_Carga!F166,0)</f>
        <v/>
      </c>
      <c r="M165" s="4">
        <f>IF(BD_Carga!G166&lt;&gt;"",BD_Carga!G166,0)</f>
        <v/>
      </c>
      <c r="N165" s="4">
        <f>IF(BD_Carga!H166&lt;&gt;"",BD_Carga!H166,0)</f>
        <v/>
      </c>
      <c r="O165" s="4">
        <f>IF(BD_Carga!I166&lt;&gt;"",BD_Carga!I166,0)</f>
        <v/>
      </c>
      <c r="P165" s="4">
        <f>IF(BD_Carga!J166&lt;&gt;"",BD_Carga!J166,0)</f>
        <v/>
      </c>
      <c r="Q165" s="5">
        <f>IF(BD_Carga!K166&lt;&gt;"",BD_Carga!K166,0)</f>
        <v/>
      </c>
      <c r="R165" s="5">
        <f>IF(BD_Carga!L166&lt;&gt;"",BD_Carga!L166,0)</f>
        <v/>
      </c>
      <c r="S165">
        <f>IF(BD_Carga!N166&lt;&gt;"",BD_Carga!N166,0)</f>
        <v/>
      </c>
      <c r="T165">
        <f>IF(BD_Carga!O166&lt;&gt;"",BD_Carga!O166,0)</f>
        <v/>
      </c>
      <c r="U165">
        <f>IF(BD_Carga!P166&lt;&gt;"",BD_Carga!P166,0)</f>
        <v/>
      </c>
      <c r="V165">
        <f>IF(BD_Carga!U166&lt;&gt;"",BD_Carga!U166,0)</f>
        <v/>
      </c>
      <c r="W165">
        <f>IF(BD_Carga!T166&lt;&gt;"",BD_Carga!T166,0)</f>
        <v/>
      </c>
      <c r="X165">
        <f>IF(BD_Carga!W166&lt;&gt;"",BD_Carga!W166,0)</f>
        <v/>
      </c>
      <c r="Y165">
        <f>IF(BD_Carga!X166&lt;&gt;"",BD_Carga!X166,0)</f>
        <v/>
      </c>
      <c r="Z165">
        <f>IF(BD_Carga!Y166&lt;&gt;"",BD_Carga!Y166,0)</f>
        <v/>
      </c>
      <c r="AA165">
        <f>IF(BD_Carga!Z166&lt;&gt;"",BD_Carga!Z166,0)</f>
        <v/>
      </c>
      <c r="AB165">
        <f>IF(BD_Carga!AA166&lt;&gt;"",BD_Carga!AA166,0)</f>
        <v/>
      </c>
      <c r="AC165" s="6">
        <f t="array" ref="AC165">IFERROR((L165-AVERAGEIF($G$2:$G$462,G165,$L$2:$L$462))/_xlfn.STDEV.P(IF($G$2:$G$462=G165,$L$2:$L$462)),0)</f>
        <v/>
      </c>
      <c r="AD165" s="6">
        <f t="array" ref="AD165">IFERROR((M165-AVERAGEIF($G$2:$G$462,G165,$M$2:$M$462))/_xlfn.STDEV.P(IF($G$2:$G$462=G165,$M$2:$M$462)),0)</f>
        <v/>
      </c>
      <c r="AE165" s="6">
        <f t="array" ref="AE165">IFERROR((N165-AVERAGEIF($G$2:$G$462,G165,$N$2:$N$462))/_xlfn.STDEV.P(IF($G$2:$G$462=G165,$N$2:$N$462)),0)</f>
        <v/>
      </c>
      <c r="AF165" s="6">
        <f t="array" ref="AF165">IFERROR((O165-AVERAGEIF($G$2:$G$462,G165,$O$2:$O$462))/_xlfn.STDEV.P(IF($G$2:$G$462=G165,$O$2:$O$462)),0)</f>
        <v/>
      </c>
      <c r="AG165" s="6">
        <f t="array" ref="AG165">IFERROR((P165-AVERAGEIF($G$2:$G$462,G165,$P$2:$P$462))/_xlfn.STDEV.P(IF($G$2:$G$462=G165,$P$2:$P$462)),0)</f>
        <v/>
      </c>
      <c r="AH165" s="6">
        <f t="array" ref="AH165">IFERROR((R165-AVERAGEIF($G$2:$G$462,G165,$R$2:$R$462))/_xlfn.STDEV.P(IF($G$2:$G$462=G165,$R$2:$R$462)),0)</f>
        <v/>
      </c>
      <c r="AI165" s="6">
        <f>IFERROR((AC165+AD165+AE165+AF165+AG165+AH165)/6,0)</f>
        <v/>
      </c>
    </row>
    <row r="166">
      <c r="A166" s="2">
        <f>IF(BD_Carga!A167&lt;&gt;"",BD_Carga!A167,"")</f>
        <v/>
      </c>
      <c r="B166">
        <f>IF(A166&lt;&gt;"",YEAR(A166),"")</f>
        <v/>
      </c>
      <c r="C166">
        <f>IF(A166&lt;&gt;"",MONTH(A166),"")</f>
        <v/>
      </c>
      <c r="D166">
        <f>IF(A166&lt;&gt;"",_xlfn.ISOWEEKNUM(A166),"")</f>
        <v/>
      </c>
      <c r="E166">
        <f>IF(A166&lt;&gt;"",TEXT(A166,"dddd"),"")</f>
        <v/>
      </c>
      <c r="F166">
        <f>IF(BD_Carga!C167&lt;&gt;"",BD_Carga!C167,"")</f>
        <v/>
      </c>
      <c r="G166">
        <f>IF(BD_Carga!D167&lt;&gt;"",BD_Carga!D167,"")</f>
        <v/>
      </c>
      <c r="H166">
        <f>IF(BD_Carga!Q167&lt;&gt;"",BD_Carga!Q167,"")</f>
        <v/>
      </c>
      <c r="I166">
        <f>IF(BD_Carga!R167&lt;&gt;"",BD_Carga!R167,"")</f>
        <v/>
      </c>
      <c r="J166">
        <f>IF(BD_Carga!S167&lt;&gt;"",BD_Carga!S167,"")</f>
        <v/>
      </c>
      <c r="K166" s="4">
        <f>IF(BD_Carga!E167&lt;&gt;"",BD_Carga!E167,0)</f>
        <v/>
      </c>
      <c r="L166" s="4">
        <f>IF(BD_Carga!F167&lt;&gt;"",BD_Carga!F167,0)</f>
        <v/>
      </c>
      <c r="M166" s="4">
        <f>IF(BD_Carga!G167&lt;&gt;"",BD_Carga!G167,0)</f>
        <v/>
      </c>
      <c r="N166" s="4">
        <f>IF(BD_Carga!H167&lt;&gt;"",BD_Carga!H167,0)</f>
        <v/>
      </c>
      <c r="O166" s="4">
        <f>IF(BD_Carga!I167&lt;&gt;"",BD_Carga!I167,0)</f>
        <v/>
      </c>
      <c r="P166" s="4">
        <f>IF(BD_Carga!J167&lt;&gt;"",BD_Carga!J167,0)</f>
        <v/>
      </c>
      <c r="Q166" s="5">
        <f>IF(BD_Carga!K167&lt;&gt;"",BD_Carga!K167,0)</f>
        <v/>
      </c>
      <c r="R166" s="5">
        <f>IF(BD_Carga!L167&lt;&gt;"",BD_Carga!L167,0)</f>
        <v/>
      </c>
      <c r="S166">
        <f>IF(BD_Carga!N167&lt;&gt;"",BD_Carga!N167,0)</f>
        <v/>
      </c>
      <c r="T166">
        <f>IF(BD_Carga!O167&lt;&gt;"",BD_Carga!O167,0)</f>
        <v/>
      </c>
      <c r="U166">
        <f>IF(BD_Carga!P167&lt;&gt;"",BD_Carga!P167,0)</f>
        <v/>
      </c>
      <c r="V166">
        <f>IF(BD_Carga!U167&lt;&gt;"",BD_Carga!U167,0)</f>
        <v/>
      </c>
      <c r="W166">
        <f>IF(BD_Carga!T167&lt;&gt;"",BD_Carga!T167,0)</f>
        <v/>
      </c>
      <c r="X166">
        <f>IF(BD_Carga!W167&lt;&gt;"",BD_Carga!W167,0)</f>
        <v/>
      </c>
      <c r="Y166">
        <f>IF(BD_Carga!X167&lt;&gt;"",BD_Carga!X167,0)</f>
        <v/>
      </c>
      <c r="Z166">
        <f>IF(BD_Carga!Y167&lt;&gt;"",BD_Carga!Y167,0)</f>
        <v/>
      </c>
      <c r="AA166">
        <f>IF(BD_Carga!Z167&lt;&gt;"",BD_Carga!Z167,0)</f>
        <v/>
      </c>
      <c r="AB166">
        <f>IF(BD_Carga!AA167&lt;&gt;"",BD_Carga!AA167,0)</f>
        <v/>
      </c>
      <c r="AC166" s="6">
        <f t="array" ref="AC166">IFERROR((L166-AVERAGEIF($G$2:$G$462,G166,$L$2:$L$462))/_xlfn.STDEV.P(IF($G$2:$G$462=G166,$L$2:$L$462)),0)</f>
        <v/>
      </c>
      <c r="AD166" s="6">
        <f t="array" ref="AD166">IFERROR((M166-AVERAGEIF($G$2:$G$462,G166,$M$2:$M$462))/_xlfn.STDEV.P(IF($G$2:$G$462=G166,$M$2:$M$462)),0)</f>
        <v/>
      </c>
      <c r="AE166" s="6">
        <f t="array" ref="AE166">IFERROR((N166-AVERAGEIF($G$2:$G$462,G166,$N$2:$N$462))/_xlfn.STDEV.P(IF($G$2:$G$462=G166,$N$2:$N$462)),0)</f>
        <v/>
      </c>
      <c r="AF166" s="6">
        <f t="array" ref="AF166">IFERROR((O166-AVERAGEIF($G$2:$G$462,G166,$O$2:$O$462))/_xlfn.STDEV.P(IF($G$2:$G$462=G166,$O$2:$O$462)),0)</f>
        <v/>
      </c>
      <c r="AG166" s="6">
        <f t="array" ref="AG166">IFERROR((P166-AVERAGEIF($G$2:$G$462,G166,$P$2:$P$462))/_xlfn.STDEV.P(IF($G$2:$G$462=G166,$P$2:$P$462)),0)</f>
        <v/>
      </c>
      <c r="AH166" s="6">
        <f t="array" ref="AH166">IFERROR((R166-AVERAGEIF($G$2:$G$462,G166,$R$2:$R$462))/_xlfn.STDEV.P(IF($G$2:$G$462=G166,$R$2:$R$462)),0)</f>
        <v/>
      </c>
      <c r="AI166" s="6">
        <f>IFERROR((AC166+AD166+AE166+AF166+AG166+AH166)/6,0)</f>
        <v/>
      </c>
    </row>
    <row r="167">
      <c r="A167" s="2">
        <f>IF(BD_Carga!A168&lt;&gt;"",BD_Carga!A168,"")</f>
        <v/>
      </c>
      <c r="B167">
        <f>IF(A167&lt;&gt;"",YEAR(A167),"")</f>
        <v/>
      </c>
      <c r="C167">
        <f>IF(A167&lt;&gt;"",MONTH(A167),"")</f>
        <v/>
      </c>
      <c r="D167">
        <f>IF(A167&lt;&gt;"",_xlfn.ISOWEEKNUM(A167),"")</f>
        <v/>
      </c>
      <c r="E167">
        <f>IF(A167&lt;&gt;"",TEXT(A167,"dddd"),"")</f>
        <v/>
      </c>
      <c r="F167">
        <f>IF(BD_Carga!C168&lt;&gt;"",BD_Carga!C168,"")</f>
        <v/>
      </c>
      <c r="G167">
        <f>IF(BD_Carga!D168&lt;&gt;"",BD_Carga!D168,"")</f>
        <v/>
      </c>
      <c r="H167">
        <f>IF(BD_Carga!Q168&lt;&gt;"",BD_Carga!Q168,"")</f>
        <v/>
      </c>
      <c r="I167">
        <f>IF(BD_Carga!R168&lt;&gt;"",BD_Carga!R168,"")</f>
        <v/>
      </c>
      <c r="J167">
        <f>IF(BD_Carga!S168&lt;&gt;"",BD_Carga!S168,"")</f>
        <v/>
      </c>
      <c r="K167" s="4">
        <f>IF(BD_Carga!E168&lt;&gt;"",BD_Carga!E168,0)</f>
        <v/>
      </c>
      <c r="L167" s="4">
        <f>IF(BD_Carga!F168&lt;&gt;"",BD_Carga!F168,0)</f>
        <v/>
      </c>
      <c r="M167" s="4">
        <f>IF(BD_Carga!G168&lt;&gt;"",BD_Carga!G168,0)</f>
        <v/>
      </c>
      <c r="N167" s="4">
        <f>IF(BD_Carga!H168&lt;&gt;"",BD_Carga!H168,0)</f>
        <v/>
      </c>
      <c r="O167" s="4">
        <f>IF(BD_Carga!I168&lt;&gt;"",BD_Carga!I168,0)</f>
        <v/>
      </c>
      <c r="P167" s="4">
        <f>IF(BD_Carga!J168&lt;&gt;"",BD_Carga!J168,0)</f>
        <v/>
      </c>
      <c r="Q167" s="5">
        <f>IF(BD_Carga!K168&lt;&gt;"",BD_Carga!K168,0)</f>
        <v/>
      </c>
      <c r="R167" s="5">
        <f>IF(BD_Carga!L168&lt;&gt;"",BD_Carga!L168,0)</f>
        <v/>
      </c>
      <c r="S167">
        <f>IF(BD_Carga!N168&lt;&gt;"",BD_Carga!N168,0)</f>
        <v/>
      </c>
      <c r="T167">
        <f>IF(BD_Carga!O168&lt;&gt;"",BD_Carga!O168,0)</f>
        <v/>
      </c>
      <c r="U167">
        <f>IF(BD_Carga!P168&lt;&gt;"",BD_Carga!P168,0)</f>
        <v/>
      </c>
      <c r="V167">
        <f>IF(BD_Carga!U168&lt;&gt;"",BD_Carga!U168,0)</f>
        <v/>
      </c>
      <c r="W167">
        <f>IF(BD_Carga!T168&lt;&gt;"",BD_Carga!T168,0)</f>
        <v/>
      </c>
      <c r="X167">
        <f>IF(BD_Carga!W168&lt;&gt;"",BD_Carga!W168,0)</f>
        <v/>
      </c>
      <c r="Y167">
        <f>IF(BD_Carga!X168&lt;&gt;"",BD_Carga!X168,0)</f>
        <v/>
      </c>
      <c r="Z167">
        <f>IF(BD_Carga!Y168&lt;&gt;"",BD_Carga!Y168,0)</f>
        <v/>
      </c>
      <c r="AA167">
        <f>IF(BD_Carga!Z168&lt;&gt;"",BD_Carga!Z168,0)</f>
        <v/>
      </c>
      <c r="AB167">
        <f>IF(BD_Carga!AA168&lt;&gt;"",BD_Carga!AA168,0)</f>
        <v/>
      </c>
      <c r="AC167" s="6">
        <f t="array" ref="AC167">IFERROR((L167-AVERAGEIF($G$2:$G$462,G167,$L$2:$L$462))/_xlfn.STDEV.P(IF($G$2:$G$462=G167,$L$2:$L$462)),0)</f>
        <v/>
      </c>
      <c r="AD167" s="6">
        <f t="array" ref="AD167">IFERROR((M167-AVERAGEIF($G$2:$G$462,G167,$M$2:$M$462))/_xlfn.STDEV.P(IF($G$2:$G$462=G167,$M$2:$M$462)),0)</f>
        <v/>
      </c>
      <c r="AE167" s="6">
        <f t="array" ref="AE167">IFERROR((N167-AVERAGEIF($G$2:$G$462,G167,$N$2:$N$462))/_xlfn.STDEV.P(IF($G$2:$G$462=G167,$N$2:$N$462)),0)</f>
        <v/>
      </c>
      <c r="AF167" s="6">
        <f t="array" ref="AF167">IFERROR((O167-AVERAGEIF($G$2:$G$462,G167,$O$2:$O$462))/_xlfn.STDEV.P(IF($G$2:$G$462=G167,$O$2:$O$462)),0)</f>
        <v/>
      </c>
      <c r="AG167" s="6">
        <f t="array" ref="AG167">IFERROR((P167-AVERAGEIF($G$2:$G$462,G167,$P$2:$P$462))/_xlfn.STDEV.P(IF($G$2:$G$462=G167,$P$2:$P$462)),0)</f>
        <v/>
      </c>
      <c r="AH167" s="6">
        <f t="array" ref="AH167">IFERROR((R167-AVERAGEIF($G$2:$G$462,G167,$R$2:$R$462))/_xlfn.STDEV.P(IF($G$2:$G$462=G167,$R$2:$R$462)),0)</f>
        <v/>
      </c>
      <c r="AI167" s="6">
        <f>IFERROR((AC167+AD167+AE167+AF167+AG167+AH167)/6,0)</f>
        <v/>
      </c>
    </row>
    <row r="168">
      <c r="A168" s="2">
        <f>IF(BD_Carga!A169&lt;&gt;"",BD_Carga!A169,"")</f>
        <v/>
      </c>
      <c r="B168">
        <f>IF(A168&lt;&gt;"",YEAR(A168),"")</f>
        <v/>
      </c>
      <c r="C168">
        <f>IF(A168&lt;&gt;"",MONTH(A168),"")</f>
        <v/>
      </c>
      <c r="D168">
        <f>IF(A168&lt;&gt;"",_xlfn.ISOWEEKNUM(A168),"")</f>
        <v/>
      </c>
      <c r="E168">
        <f>IF(A168&lt;&gt;"",TEXT(A168,"dddd"),"")</f>
        <v/>
      </c>
      <c r="F168">
        <f>IF(BD_Carga!C169&lt;&gt;"",BD_Carga!C169,"")</f>
        <v/>
      </c>
      <c r="G168">
        <f>IF(BD_Carga!D169&lt;&gt;"",BD_Carga!D169,"")</f>
        <v/>
      </c>
      <c r="H168">
        <f>IF(BD_Carga!Q169&lt;&gt;"",BD_Carga!Q169,"")</f>
        <v/>
      </c>
      <c r="I168">
        <f>IF(BD_Carga!R169&lt;&gt;"",BD_Carga!R169,"")</f>
        <v/>
      </c>
      <c r="J168">
        <f>IF(BD_Carga!S169&lt;&gt;"",BD_Carga!S169,"")</f>
        <v/>
      </c>
      <c r="K168" s="4">
        <f>IF(BD_Carga!E169&lt;&gt;"",BD_Carga!E169,0)</f>
        <v/>
      </c>
      <c r="L168" s="4">
        <f>IF(BD_Carga!F169&lt;&gt;"",BD_Carga!F169,0)</f>
        <v/>
      </c>
      <c r="M168" s="4">
        <f>IF(BD_Carga!G169&lt;&gt;"",BD_Carga!G169,0)</f>
        <v/>
      </c>
      <c r="N168" s="4">
        <f>IF(BD_Carga!H169&lt;&gt;"",BD_Carga!H169,0)</f>
        <v/>
      </c>
      <c r="O168" s="4">
        <f>IF(BD_Carga!I169&lt;&gt;"",BD_Carga!I169,0)</f>
        <v/>
      </c>
      <c r="P168" s="4">
        <f>IF(BD_Carga!J169&lt;&gt;"",BD_Carga!J169,0)</f>
        <v/>
      </c>
      <c r="Q168" s="5">
        <f>IF(BD_Carga!K169&lt;&gt;"",BD_Carga!K169,0)</f>
        <v/>
      </c>
      <c r="R168" s="5">
        <f>IF(BD_Carga!L169&lt;&gt;"",BD_Carga!L169,0)</f>
        <v/>
      </c>
      <c r="S168">
        <f>IF(BD_Carga!N169&lt;&gt;"",BD_Carga!N169,0)</f>
        <v/>
      </c>
      <c r="T168">
        <f>IF(BD_Carga!O169&lt;&gt;"",BD_Carga!O169,0)</f>
        <v/>
      </c>
      <c r="U168">
        <f>IF(BD_Carga!P169&lt;&gt;"",BD_Carga!P169,0)</f>
        <v/>
      </c>
      <c r="V168">
        <f>IF(BD_Carga!U169&lt;&gt;"",BD_Carga!U169,0)</f>
        <v/>
      </c>
      <c r="W168">
        <f>IF(BD_Carga!T169&lt;&gt;"",BD_Carga!T169,0)</f>
        <v/>
      </c>
      <c r="X168">
        <f>IF(BD_Carga!W169&lt;&gt;"",BD_Carga!W169,0)</f>
        <v/>
      </c>
      <c r="Y168">
        <f>IF(BD_Carga!X169&lt;&gt;"",BD_Carga!X169,0)</f>
        <v/>
      </c>
      <c r="Z168">
        <f>IF(BD_Carga!Y169&lt;&gt;"",BD_Carga!Y169,0)</f>
        <v/>
      </c>
      <c r="AA168">
        <f>IF(BD_Carga!Z169&lt;&gt;"",BD_Carga!Z169,0)</f>
        <v/>
      </c>
      <c r="AB168">
        <f>IF(BD_Carga!AA169&lt;&gt;"",BD_Carga!AA169,0)</f>
        <v/>
      </c>
      <c r="AC168" s="6">
        <f t="array" ref="AC168">IFERROR((L168-AVERAGEIF($G$2:$G$462,G168,$L$2:$L$462))/_xlfn.STDEV.P(IF($G$2:$G$462=G168,$L$2:$L$462)),0)</f>
        <v/>
      </c>
      <c r="AD168" s="6">
        <f t="array" ref="AD168">IFERROR((M168-AVERAGEIF($G$2:$G$462,G168,$M$2:$M$462))/_xlfn.STDEV.P(IF($G$2:$G$462=G168,$M$2:$M$462)),0)</f>
        <v/>
      </c>
      <c r="AE168" s="6">
        <f t="array" ref="AE168">IFERROR((N168-AVERAGEIF($G$2:$G$462,G168,$N$2:$N$462))/_xlfn.STDEV.P(IF($G$2:$G$462=G168,$N$2:$N$462)),0)</f>
        <v/>
      </c>
      <c r="AF168" s="6">
        <f t="array" ref="AF168">IFERROR((O168-AVERAGEIF($G$2:$G$462,G168,$O$2:$O$462))/_xlfn.STDEV.P(IF($G$2:$G$462=G168,$O$2:$O$462)),0)</f>
        <v/>
      </c>
      <c r="AG168" s="6">
        <f t="array" ref="AG168">IFERROR((P168-AVERAGEIF($G$2:$G$462,G168,$P$2:$P$462))/_xlfn.STDEV.P(IF($G$2:$G$462=G168,$P$2:$P$462)),0)</f>
        <v/>
      </c>
      <c r="AH168" s="6">
        <f t="array" ref="AH168">IFERROR((R168-AVERAGEIF($G$2:$G$462,G168,$R$2:$R$462))/_xlfn.STDEV.P(IF($G$2:$G$462=G168,$R$2:$R$462)),0)</f>
        <v/>
      </c>
      <c r="AI168" s="6">
        <f>IFERROR((AC168+AD168+AE168+AF168+AG168+AH168)/6,0)</f>
        <v/>
      </c>
    </row>
    <row r="169">
      <c r="A169" s="2">
        <f>IF(BD_Carga!A170&lt;&gt;"",BD_Carga!A170,"")</f>
        <v/>
      </c>
      <c r="B169">
        <f>IF(A169&lt;&gt;"",YEAR(A169),"")</f>
        <v/>
      </c>
      <c r="C169">
        <f>IF(A169&lt;&gt;"",MONTH(A169),"")</f>
        <v/>
      </c>
      <c r="D169">
        <f>IF(A169&lt;&gt;"",_xlfn.ISOWEEKNUM(A169),"")</f>
        <v/>
      </c>
      <c r="E169">
        <f>IF(A169&lt;&gt;"",TEXT(A169,"dddd"),"")</f>
        <v/>
      </c>
      <c r="F169">
        <f>IF(BD_Carga!C170&lt;&gt;"",BD_Carga!C170,"")</f>
        <v/>
      </c>
      <c r="G169">
        <f>IF(BD_Carga!D170&lt;&gt;"",BD_Carga!D170,"")</f>
        <v/>
      </c>
      <c r="H169">
        <f>IF(BD_Carga!Q170&lt;&gt;"",BD_Carga!Q170,"")</f>
        <v/>
      </c>
      <c r="I169">
        <f>IF(BD_Carga!R170&lt;&gt;"",BD_Carga!R170,"")</f>
        <v/>
      </c>
      <c r="J169">
        <f>IF(BD_Carga!S170&lt;&gt;"",BD_Carga!S170,"")</f>
        <v/>
      </c>
      <c r="K169" s="4">
        <f>IF(BD_Carga!E170&lt;&gt;"",BD_Carga!E170,0)</f>
        <v/>
      </c>
      <c r="L169" s="4">
        <f>IF(BD_Carga!F170&lt;&gt;"",BD_Carga!F170,0)</f>
        <v/>
      </c>
      <c r="M169" s="4">
        <f>IF(BD_Carga!G170&lt;&gt;"",BD_Carga!G170,0)</f>
        <v/>
      </c>
      <c r="N169" s="4">
        <f>IF(BD_Carga!H170&lt;&gt;"",BD_Carga!H170,0)</f>
        <v/>
      </c>
      <c r="O169" s="4">
        <f>IF(BD_Carga!I170&lt;&gt;"",BD_Carga!I170,0)</f>
        <v/>
      </c>
      <c r="P169" s="4">
        <f>IF(BD_Carga!J170&lt;&gt;"",BD_Carga!J170,0)</f>
        <v/>
      </c>
      <c r="Q169" s="5">
        <f>IF(BD_Carga!K170&lt;&gt;"",BD_Carga!K170,0)</f>
        <v/>
      </c>
      <c r="R169" s="5">
        <f>IF(BD_Carga!L170&lt;&gt;"",BD_Carga!L170,0)</f>
        <v/>
      </c>
      <c r="S169">
        <f>IF(BD_Carga!N170&lt;&gt;"",BD_Carga!N170,0)</f>
        <v/>
      </c>
      <c r="T169">
        <f>IF(BD_Carga!O170&lt;&gt;"",BD_Carga!O170,0)</f>
        <v/>
      </c>
      <c r="U169">
        <f>IF(BD_Carga!P170&lt;&gt;"",BD_Carga!P170,0)</f>
        <v/>
      </c>
      <c r="V169">
        <f>IF(BD_Carga!U170&lt;&gt;"",BD_Carga!U170,0)</f>
        <v/>
      </c>
      <c r="W169">
        <f>IF(BD_Carga!T170&lt;&gt;"",BD_Carga!T170,0)</f>
        <v/>
      </c>
      <c r="X169">
        <f>IF(BD_Carga!W170&lt;&gt;"",BD_Carga!W170,0)</f>
        <v/>
      </c>
      <c r="Y169">
        <f>IF(BD_Carga!X170&lt;&gt;"",BD_Carga!X170,0)</f>
        <v/>
      </c>
      <c r="Z169">
        <f>IF(BD_Carga!Y170&lt;&gt;"",BD_Carga!Y170,0)</f>
        <v/>
      </c>
      <c r="AA169">
        <f>IF(BD_Carga!Z170&lt;&gt;"",BD_Carga!Z170,0)</f>
        <v/>
      </c>
      <c r="AB169">
        <f>IF(BD_Carga!AA170&lt;&gt;"",BD_Carga!AA170,0)</f>
        <v/>
      </c>
      <c r="AC169" s="6">
        <f t="array" ref="AC169">IFERROR((L169-AVERAGEIF($G$2:$G$462,G169,$L$2:$L$462))/_xlfn.STDEV.P(IF($G$2:$G$462=G169,$L$2:$L$462)),0)</f>
        <v/>
      </c>
      <c r="AD169" s="6">
        <f t="array" ref="AD169">IFERROR((M169-AVERAGEIF($G$2:$G$462,G169,$M$2:$M$462))/_xlfn.STDEV.P(IF($G$2:$G$462=G169,$M$2:$M$462)),0)</f>
        <v/>
      </c>
      <c r="AE169" s="6">
        <f t="array" ref="AE169">IFERROR((N169-AVERAGEIF($G$2:$G$462,G169,$N$2:$N$462))/_xlfn.STDEV.P(IF($G$2:$G$462=G169,$N$2:$N$462)),0)</f>
        <v/>
      </c>
      <c r="AF169" s="6">
        <f t="array" ref="AF169">IFERROR((O169-AVERAGEIF($G$2:$G$462,G169,$O$2:$O$462))/_xlfn.STDEV.P(IF($G$2:$G$462=G169,$O$2:$O$462)),0)</f>
        <v/>
      </c>
      <c r="AG169" s="6">
        <f t="array" ref="AG169">IFERROR((P169-AVERAGEIF($G$2:$G$462,G169,$P$2:$P$462))/_xlfn.STDEV.P(IF($G$2:$G$462=G169,$P$2:$P$462)),0)</f>
        <v/>
      </c>
      <c r="AH169" s="6">
        <f t="array" ref="AH169">IFERROR((R169-AVERAGEIF($G$2:$G$462,G169,$R$2:$R$462))/_xlfn.STDEV.P(IF($G$2:$G$462=G169,$R$2:$R$462)),0)</f>
        <v/>
      </c>
      <c r="AI169" s="6">
        <f>IFERROR((AC169+AD169+AE169+AF169+AG169+AH169)/6,0)</f>
        <v/>
      </c>
    </row>
    <row r="170">
      <c r="A170" s="2">
        <f>IF(BD_Carga!A171&lt;&gt;"",BD_Carga!A171,"")</f>
        <v/>
      </c>
      <c r="B170">
        <f>IF(A170&lt;&gt;"",YEAR(A170),"")</f>
        <v/>
      </c>
      <c r="C170">
        <f>IF(A170&lt;&gt;"",MONTH(A170),"")</f>
        <v/>
      </c>
      <c r="D170">
        <f>IF(A170&lt;&gt;"",_xlfn.ISOWEEKNUM(A170),"")</f>
        <v/>
      </c>
      <c r="E170">
        <f>IF(A170&lt;&gt;"",TEXT(A170,"dddd"),"")</f>
        <v/>
      </c>
      <c r="F170">
        <f>IF(BD_Carga!C171&lt;&gt;"",BD_Carga!C171,"")</f>
        <v/>
      </c>
      <c r="G170">
        <f>IF(BD_Carga!D171&lt;&gt;"",BD_Carga!D171,"")</f>
        <v/>
      </c>
      <c r="H170">
        <f>IF(BD_Carga!Q171&lt;&gt;"",BD_Carga!Q171,"")</f>
        <v/>
      </c>
      <c r="I170">
        <f>IF(BD_Carga!R171&lt;&gt;"",BD_Carga!R171,"")</f>
        <v/>
      </c>
      <c r="J170">
        <f>IF(BD_Carga!S171&lt;&gt;"",BD_Carga!S171,"")</f>
        <v/>
      </c>
      <c r="K170" s="4">
        <f>IF(BD_Carga!E171&lt;&gt;"",BD_Carga!E171,0)</f>
        <v/>
      </c>
      <c r="L170" s="4">
        <f>IF(BD_Carga!F171&lt;&gt;"",BD_Carga!F171,0)</f>
        <v/>
      </c>
      <c r="M170" s="4">
        <f>IF(BD_Carga!G171&lt;&gt;"",BD_Carga!G171,0)</f>
        <v/>
      </c>
      <c r="N170" s="4">
        <f>IF(BD_Carga!H171&lt;&gt;"",BD_Carga!H171,0)</f>
        <v/>
      </c>
      <c r="O170" s="4">
        <f>IF(BD_Carga!I171&lt;&gt;"",BD_Carga!I171,0)</f>
        <v/>
      </c>
      <c r="P170" s="4">
        <f>IF(BD_Carga!J171&lt;&gt;"",BD_Carga!J171,0)</f>
        <v/>
      </c>
      <c r="Q170" s="5">
        <f>IF(BD_Carga!K171&lt;&gt;"",BD_Carga!K171,0)</f>
        <v/>
      </c>
      <c r="R170" s="5">
        <f>IF(BD_Carga!L171&lt;&gt;"",BD_Carga!L171,0)</f>
        <v/>
      </c>
      <c r="S170">
        <f>IF(BD_Carga!N171&lt;&gt;"",BD_Carga!N171,0)</f>
        <v/>
      </c>
      <c r="T170">
        <f>IF(BD_Carga!O171&lt;&gt;"",BD_Carga!O171,0)</f>
        <v/>
      </c>
      <c r="U170">
        <f>IF(BD_Carga!P171&lt;&gt;"",BD_Carga!P171,0)</f>
        <v/>
      </c>
      <c r="V170">
        <f>IF(BD_Carga!U171&lt;&gt;"",BD_Carga!U171,0)</f>
        <v/>
      </c>
      <c r="W170">
        <f>IF(BD_Carga!T171&lt;&gt;"",BD_Carga!T171,0)</f>
        <v/>
      </c>
      <c r="X170">
        <f>IF(BD_Carga!W171&lt;&gt;"",BD_Carga!W171,0)</f>
        <v/>
      </c>
      <c r="Y170">
        <f>IF(BD_Carga!X171&lt;&gt;"",BD_Carga!X171,0)</f>
        <v/>
      </c>
      <c r="Z170">
        <f>IF(BD_Carga!Y171&lt;&gt;"",BD_Carga!Y171,0)</f>
        <v/>
      </c>
      <c r="AA170">
        <f>IF(BD_Carga!Z171&lt;&gt;"",BD_Carga!Z171,0)</f>
        <v/>
      </c>
      <c r="AB170">
        <f>IF(BD_Carga!AA171&lt;&gt;"",BD_Carga!AA171,0)</f>
        <v/>
      </c>
      <c r="AC170" s="6">
        <f t="array" ref="AC170">IFERROR((L170-AVERAGEIF($G$2:$G$462,G170,$L$2:$L$462))/_xlfn.STDEV.P(IF($G$2:$G$462=G170,$L$2:$L$462)),0)</f>
        <v/>
      </c>
      <c r="AD170" s="6">
        <f t="array" ref="AD170">IFERROR((M170-AVERAGEIF($G$2:$G$462,G170,$M$2:$M$462))/_xlfn.STDEV.P(IF($G$2:$G$462=G170,$M$2:$M$462)),0)</f>
        <v/>
      </c>
      <c r="AE170" s="6">
        <f t="array" ref="AE170">IFERROR((N170-AVERAGEIF($G$2:$G$462,G170,$N$2:$N$462))/_xlfn.STDEV.P(IF($G$2:$G$462=G170,$N$2:$N$462)),0)</f>
        <v/>
      </c>
      <c r="AF170" s="6">
        <f t="array" ref="AF170">IFERROR((O170-AVERAGEIF($G$2:$G$462,G170,$O$2:$O$462))/_xlfn.STDEV.P(IF($G$2:$G$462=G170,$O$2:$O$462)),0)</f>
        <v/>
      </c>
      <c r="AG170" s="6">
        <f t="array" ref="AG170">IFERROR((P170-AVERAGEIF($G$2:$G$462,G170,$P$2:$P$462))/_xlfn.STDEV.P(IF($G$2:$G$462=G170,$P$2:$P$462)),0)</f>
        <v/>
      </c>
      <c r="AH170" s="6">
        <f t="array" ref="AH170">IFERROR((R170-AVERAGEIF($G$2:$G$462,G170,$R$2:$R$462))/_xlfn.STDEV.P(IF($G$2:$G$462=G170,$R$2:$R$462)),0)</f>
        <v/>
      </c>
      <c r="AI170" s="6">
        <f>IFERROR((AC170+AD170+AE170+AF170+AG170+AH170)/6,0)</f>
        <v/>
      </c>
    </row>
    <row r="171">
      <c r="A171" s="2">
        <f>IF(BD_Carga!A172&lt;&gt;"",BD_Carga!A172,"")</f>
        <v/>
      </c>
      <c r="B171">
        <f>IF(A171&lt;&gt;"",YEAR(A171),"")</f>
        <v/>
      </c>
      <c r="C171">
        <f>IF(A171&lt;&gt;"",MONTH(A171),"")</f>
        <v/>
      </c>
      <c r="D171">
        <f>IF(A171&lt;&gt;"",_xlfn.ISOWEEKNUM(A171),"")</f>
        <v/>
      </c>
      <c r="E171">
        <f>IF(A171&lt;&gt;"",TEXT(A171,"dddd"),"")</f>
        <v/>
      </c>
      <c r="F171">
        <f>IF(BD_Carga!C172&lt;&gt;"",BD_Carga!C172,"")</f>
        <v/>
      </c>
      <c r="G171">
        <f>IF(BD_Carga!D172&lt;&gt;"",BD_Carga!D172,"")</f>
        <v/>
      </c>
      <c r="H171">
        <f>IF(BD_Carga!Q172&lt;&gt;"",BD_Carga!Q172,"")</f>
        <v/>
      </c>
      <c r="I171">
        <f>IF(BD_Carga!R172&lt;&gt;"",BD_Carga!R172,"")</f>
        <v/>
      </c>
      <c r="J171">
        <f>IF(BD_Carga!S172&lt;&gt;"",BD_Carga!S172,"")</f>
        <v/>
      </c>
      <c r="K171" s="4">
        <f>IF(BD_Carga!E172&lt;&gt;"",BD_Carga!E172,0)</f>
        <v/>
      </c>
      <c r="L171" s="4">
        <f>IF(BD_Carga!F172&lt;&gt;"",BD_Carga!F172,0)</f>
        <v/>
      </c>
      <c r="M171" s="4">
        <f>IF(BD_Carga!G172&lt;&gt;"",BD_Carga!G172,0)</f>
        <v/>
      </c>
      <c r="N171" s="4">
        <f>IF(BD_Carga!H172&lt;&gt;"",BD_Carga!H172,0)</f>
        <v/>
      </c>
      <c r="O171" s="4">
        <f>IF(BD_Carga!I172&lt;&gt;"",BD_Carga!I172,0)</f>
        <v/>
      </c>
      <c r="P171" s="4">
        <f>IF(BD_Carga!J172&lt;&gt;"",BD_Carga!J172,0)</f>
        <v/>
      </c>
      <c r="Q171" s="5">
        <f>IF(BD_Carga!K172&lt;&gt;"",BD_Carga!K172,0)</f>
        <v/>
      </c>
      <c r="R171" s="5">
        <f>IF(BD_Carga!L172&lt;&gt;"",BD_Carga!L172,0)</f>
        <v/>
      </c>
      <c r="S171">
        <f>IF(BD_Carga!N172&lt;&gt;"",BD_Carga!N172,0)</f>
        <v/>
      </c>
      <c r="T171">
        <f>IF(BD_Carga!O172&lt;&gt;"",BD_Carga!O172,0)</f>
        <v/>
      </c>
      <c r="U171">
        <f>IF(BD_Carga!P172&lt;&gt;"",BD_Carga!P172,0)</f>
        <v/>
      </c>
      <c r="V171">
        <f>IF(BD_Carga!U172&lt;&gt;"",BD_Carga!U172,0)</f>
        <v/>
      </c>
      <c r="W171">
        <f>IF(BD_Carga!T172&lt;&gt;"",BD_Carga!T172,0)</f>
        <v/>
      </c>
      <c r="X171">
        <f>IF(BD_Carga!W172&lt;&gt;"",BD_Carga!W172,0)</f>
        <v/>
      </c>
      <c r="Y171">
        <f>IF(BD_Carga!X172&lt;&gt;"",BD_Carga!X172,0)</f>
        <v/>
      </c>
      <c r="Z171">
        <f>IF(BD_Carga!Y172&lt;&gt;"",BD_Carga!Y172,0)</f>
        <v/>
      </c>
      <c r="AA171">
        <f>IF(BD_Carga!Z172&lt;&gt;"",BD_Carga!Z172,0)</f>
        <v/>
      </c>
      <c r="AB171">
        <f>IF(BD_Carga!AA172&lt;&gt;"",BD_Carga!AA172,0)</f>
        <v/>
      </c>
      <c r="AC171" s="6">
        <f t="array" ref="AC171">IFERROR((L171-AVERAGEIF($G$2:$G$462,G171,$L$2:$L$462))/_xlfn.STDEV.P(IF($G$2:$G$462=G171,$L$2:$L$462)),0)</f>
        <v/>
      </c>
      <c r="AD171" s="6">
        <f t="array" ref="AD171">IFERROR((M171-AVERAGEIF($G$2:$G$462,G171,$M$2:$M$462))/_xlfn.STDEV.P(IF($G$2:$G$462=G171,$M$2:$M$462)),0)</f>
        <v/>
      </c>
      <c r="AE171" s="6">
        <f t="array" ref="AE171">IFERROR((N171-AVERAGEIF($G$2:$G$462,G171,$N$2:$N$462))/_xlfn.STDEV.P(IF($G$2:$G$462=G171,$N$2:$N$462)),0)</f>
        <v/>
      </c>
      <c r="AF171" s="6">
        <f t="array" ref="AF171">IFERROR((O171-AVERAGEIF($G$2:$G$462,G171,$O$2:$O$462))/_xlfn.STDEV.P(IF($G$2:$G$462=G171,$O$2:$O$462)),0)</f>
        <v/>
      </c>
      <c r="AG171" s="6">
        <f t="array" ref="AG171">IFERROR((P171-AVERAGEIF($G$2:$G$462,G171,$P$2:$P$462))/_xlfn.STDEV.P(IF($G$2:$G$462=G171,$P$2:$P$462)),0)</f>
        <v/>
      </c>
      <c r="AH171" s="6">
        <f t="array" ref="AH171">IFERROR((R171-AVERAGEIF($G$2:$G$462,G171,$R$2:$R$462))/_xlfn.STDEV.P(IF($G$2:$G$462=G171,$R$2:$R$462)),0)</f>
        <v/>
      </c>
      <c r="AI171" s="6">
        <f>IFERROR((AC171+AD171+AE171+AF171+AG171+AH171)/6,0)</f>
        <v/>
      </c>
    </row>
    <row r="172">
      <c r="A172" s="2">
        <f>IF(BD_Carga!A173&lt;&gt;"",BD_Carga!A173,"")</f>
        <v/>
      </c>
      <c r="B172">
        <f>IF(A172&lt;&gt;"",YEAR(A172),"")</f>
        <v/>
      </c>
      <c r="C172">
        <f>IF(A172&lt;&gt;"",MONTH(A172),"")</f>
        <v/>
      </c>
      <c r="D172">
        <f>IF(A172&lt;&gt;"",_xlfn.ISOWEEKNUM(A172),"")</f>
        <v/>
      </c>
      <c r="E172">
        <f>IF(A172&lt;&gt;"",TEXT(A172,"dddd"),"")</f>
        <v/>
      </c>
      <c r="F172">
        <f>IF(BD_Carga!C173&lt;&gt;"",BD_Carga!C173,"")</f>
        <v/>
      </c>
      <c r="G172">
        <f>IF(BD_Carga!D173&lt;&gt;"",BD_Carga!D173,"")</f>
        <v/>
      </c>
      <c r="H172">
        <f>IF(BD_Carga!Q173&lt;&gt;"",BD_Carga!Q173,"")</f>
        <v/>
      </c>
      <c r="I172">
        <f>IF(BD_Carga!R173&lt;&gt;"",BD_Carga!R173,"")</f>
        <v/>
      </c>
      <c r="J172">
        <f>IF(BD_Carga!S173&lt;&gt;"",BD_Carga!S173,"")</f>
        <v/>
      </c>
      <c r="K172" s="4">
        <f>IF(BD_Carga!E173&lt;&gt;"",BD_Carga!E173,0)</f>
        <v/>
      </c>
      <c r="L172" s="4">
        <f>IF(BD_Carga!F173&lt;&gt;"",BD_Carga!F173,0)</f>
        <v/>
      </c>
      <c r="M172" s="4">
        <f>IF(BD_Carga!G173&lt;&gt;"",BD_Carga!G173,0)</f>
        <v/>
      </c>
      <c r="N172" s="4">
        <f>IF(BD_Carga!H173&lt;&gt;"",BD_Carga!H173,0)</f>
        <v/>
      </c>
      <c r="O172" s="4">
        <f>IF(BD_Carga!I173&lt;&gt;"",BD_Carga!I173,0)</f>
        <v/>
      </c>
      <c r="P172" s="4">
        <f>IF(BD_Carga!J173&lt;&gt;"",BD_Carga!J173,0)</f>
        <v/>
      </c>
      <c r="Q172" s="5">
        <f>IF(BD_Carga!K173&lt;&gt;"",BD_Carga!K173,0)</f>
        <v/>
      </c>
      <c r="R172" s="5">
        <f>IF(BD_Carga!L173&lt;&gt;"",BD_Carga!L173,0)</f>
        <v/>
      </c>
      <c r="S172">
        <f>IF(BD_Carga!N173&lt;&gt;"",BD_Carga!N173,0)</f>
        <v/>
      </c>
      <c r="T172">
        <f>IF(BD_Carga!O173&lt;&gt;"",BD_Carga!O173,0)</f>
        <v/>
      </c>
      <c r="U172">
        <f>IF(BD_Carga!P173&lt;&gt;"",BD_Carga!P173,0)</f>
        <v/>
      </c>
      <c r="V172">
        <f>IF(BD_Carga!U173&lt;&gt;"",BD_Carga!U173,0)</f>
        <v/>
      </c>
      <c r="W172">
        <f>IF(BD_Carga!T173&lt;&gt;"",BD_Carga!T173,0)</f>
        <v/>
      </c>
      <c r="X172">
        <f>IF(BD_Carga!W173&lt;&gt;"",BD_Carga!W173,0)</f>
        <v/>
      </c>
      <c r="Y172">
        <f>IF(BD_Carga!X173&lt;&gt;"",BD_Carga!X173,0)</f>
        <v/>
      </c>
      <c r="Z172">
        <f>IF(BD_Carga!Y173&lt;&gt;"",BD_Carga!Y173,0)</f>
        <v/>
      </c>
      <c r="AA172">
        <f>IF(BD_Carga!Z173&lt;&gt;"",BD_Carga!Z173,0)</f>
        <v/>
      </c>
      <c r="AB172">
        <f>IF(BD_Carga!AA173&lt;&gt;"",BD_Carga!AA173,0)</f>
        <v/>
      </c>
      <c r="AC172" s="6">
        <f t="array" ref="AC172">IFERROR((L172-AVERAGEIF($G$2:$G$462,G172,$L$2:$L$462))/_xlfn.STDEV.P(IF($G$2:$G$462=G172,$L$2:$L$462)),0)</f>
        <v/>
      </c>
      <c r="AD172" s="6">
        <f t="array" ref="AD172">IFERROR((M172-AVERAGEIF($G$2:$G$462,G172,$M$2:$M$462))/_xlfn.STDEV.P(IF($G$2:$G$462=G172,$M$2:$M$462)),0)</f>
        <v/>
      </c>
      <c r="AE172" s="6">
        <f t="array" ref="AE172">IFERROR((N172-AVERAGEIF($G$2:$G$462,G172,$N$2:$N$462))/_xlfn.STDEV.P(IF($G$2:$G$462=G172,$N$2:$N$462)),0)</f>
        <v/>
      </c>
      <c r="AF172" s="6">
        <f t="array" ref="AF172">IFERROR((O172-AVERAGEIF($G$2:$G$462,G172,$O$2:$O$462))/_xlfn.STDEV.P(IF($G$2:$G$462=G172,$O$2:$O$462)),0)</f>
        <v/>
      </c>
      <c r="AG172" s="6">
        <f t="array" ref="AG172">IFERROR((P172-AVERAGEIF($G$2:$G$462,G172,$P$2:$P$462))/_xlfn.STDEV.P(IF($G$2:$G$462=G172,$P$2:$P$462)),0)</f>
        <v/>
      </c>
      <c r="AH172" s="6">
        <f t="array" ref="AH172">IFERROR((R172-AVERAGEIF($G$2:$G$462,G172,$R$2:$R$462))/_xlfn.STDEV.P(IF($G$2:$G$462=G172,$R$2:$R$462)),0)</f>
        <v/>
      </c>
      <c r="AI172" s="6">
        <f>IFERROR((AC172+AD172+AE172+AF172+AG172+AH172)/6,0)</f>
        <v/>
      </c>
    </row>
    <row r="173">
      <c r="A173" s="2">
        <f>IF(BD_Carga!A174&lt;&gt;"",BD_Carga!A174,"")</f>
        <v/>
      </c>
      <c r="B173">
        <f>IF(A173&lt;&gt;"",YEAR(A173),"")</f>
        <v/>
      </c>
      <c r="C173">
        <f>IF(A173&lt;&gt;"",MONTH(A173),"")</f>
        <v/>
      </c>
      <c r="D173">
        <f>IF(A173&lt;&gt;"",_xlfn.ISOWEEKNUM(A173),"")</f>
        <v/>
      </c>
      <c r="E173">
        <f>IF(A173&lt;&gt;"",TEXT(A173,"dddd"),"")</f>
        <v/>
      </c>
      <c r="F173">
        <f>IF(BD_Carga!C174&lt;&gt;"",BD_Carga!C174,"")</f>
        <v/>
      </c>
      <c r="G173">
        <f>IF(BD_Carga!D174&lt;&gt;"",BD_Carga!D174,"")</f>
        <v/>
      </c>
      <c r="H173">
        <f>IF(BD_Carga!Q174&lt;&gt;"",BD_Carga!Q174,"")</f>
        <v/>
      </c>
      <c r="I173">
        <f>IF(BD_Carga!R174&lt;&gt;"",BD_Carga!R174,"")</f>
        <v/>
      </c>
      <c r="J173">
        <f>IF(BD_Carga!S174&lt;&gt;"",BD_Carga!S174,"")</f>
        <v/>
      </c>
      <c r="K173" s="4">
        <f>IF(BD_Carga!E174&lt;&gt;"",BD_Carga!E174,0)</f>
        <v/>
      </c>
      <c r="L173" s="4">
        <f>IF(BD_Carga!F174&lt;&gt;"",BD_Carga!F174,0)</f>
        <v/>
      </c>
      <c r="M173" s="4">
        <f>IF(BD_Carga!G174&lt;&gt;"",BD_Carga!G174,0)</f>
        <v/>
      </c>
      <c r="N173" s="4">
        <f>IF(BD_Carga!H174&lt;&gt;"",BD_Carga!H174,0)</f>
        <v/>
      </c>
      <c r="O173" s="4">
        <f>IF(BD_Carga!I174&lt;&gt;"",BD_Carga!I174,0)</f>
        <v/>
      </c>
      <c r="P173" s="4">
        <f>IF(BD_Carga!J174&lt;&gt;"",BD_Carga!J174,0)</f>
        <v/>
      </c>
      <c r="Q173" s="5">
        <f>IF(BD_Carga!K174&lt;&gt;"",BD_Carga!K174,0)</f>
        <v/>
      </c>
      <c r="R173" s="5">
        <f>IF(BD_Carga!L174&lt;&gt;"",BD_Carga!L174,0)</f>
        <v/>
      </c>
      <c r="S173">
        <f>IF(BD_Carga!N174&lt;&gt;"",BD_Carga!N174,0)</f>
        <v/>
      </c>
      <c r="T173">
        <f>IF(BD_Carga!O174&lt;&gt;"",BD_Carga!O174,0)</f>
        <v/>
      </c>
      <c r="U173">
        <f>IF(BD_Carga!P174&lt;&gt;"",BD_Carga!P174,0)</f>
        <v/>
      </c>
      <c r="V173">
        <f>IF(BD_Carga!U174&lt;&gt;"",BD_Carga!U174,0)</f>
        <v/>
      </c>
      <c r="W173">
        <f>IF(BD_Carga!T174&lt;&gt;"",BD_Carga!T174,0)</f>
        <v/>
      </c>
      <c r="X173">
        <f>IF(BD_Carga!W174&lt;&gt;"",BD_Carga!W174,0)</f>
        <v/>
      </c>
      <c r="Y173">
        <f>IF(BD_Carga!X174&lt;&gt;"",BD_Carga!X174,0)</f>
        <v/>
      </c>
      <c r="Z173">
        <f>IF(BD_Carga!Y174&lt;&gt;"",BD_Carga!Y174,0)</f>
        <v/>
      </c>
      <c r="AA173">
        <f>IF(BD_Carga!Z174&lt;&gt;"",BD_Carga!Z174,0)</f>
        <v/>
      </c>
      <c r="AB173">
        <f>IF(BD_Carga!AA174&lt;&gt;"",BD_Carga!AA174,0)</f>
        <v/>
      </c>
      <c r="AC173" s="6">
        <f t="array" ref="AC173">IFERROR((L173-AVERAGEIF($G$2:$G$462,G173,$L$2:$L$462))/_xlfn.STDEV.P(IF($G$2:$G$462=G173,$L$2:$L$462)),0)</f>
        <v/>
      </c>
      <c r="AD173" s="6">
        <f t="array" ref="AD173">IFERROR((M173-AVERAGEIF($G$2:$G$462,G173,$M$2:$M$462))/_xlfn.STDEV.P(IF($G$2:$G$462=G173,$M$2:$M$462)),0)</f>
        <v/>
      </c>
      <c r="AE173" s="6">
        <f t="array" ref="AE173">IFERROR((N173-AVERAGEIF($G$2:$G$462,G173,$N$2:$N$462))/_xlfn.STDEV.P(IF($G$2:$G$462=G173,$N$2:$N$462)),0)</f>
        <v/>
      </c>
      <c r="AF173" s="6">
        <f t="array" ref="AF173">IFERROR((O173-AVERAGEIF($G$2:$G$462,G173,$O$2:$O$462))/_xlfn.STDEV.P(IF($G$2:$G$462=G173,$O$2:$O$462)),0)</f>
        <v/>
      </c>
      <c r="AG173" s="6">
        <f t="array" ref="AG173">IFERROR((P173-AVERAGEIF($G$2:$G$462,G173,$P$2:$P$462))/_xlfn.STDEV.P(IF($G$2:$G$462=G173,$P$2:$P$462)),0)</f>
        <v/>
      </c>
      <c r="AH173" s="6">
        <f t="array" ref="AH173">IFERROR((R173-AVERAGEIF($G$2:$G$462,G173,$R$2:$R$462))/_xlfn.STDEV.P(IF($G$2:$G$462=G173,$R$2:$R$462)),0)</f>
        <v/>
      </c>
      <c r="AI173" s="6">
        <f>IFERROR((AC173+AD173+AE173+AF173+AG173+AH173)/6,0)</f>
        <v/>
      </c>
    </row>
    <row r="174">
      <c r="A174" s="2">
        <f>IF(BD_Carga!A175&lt;&gt;"",BD_Carga!A175,"")</f>
        <v/>
      </c>
      <c r="B174">
        <f>IF(A174&lt;&gt;"",YEAR(A174),"")</f>
        <v/>
      </c>
      <c r="C174">
        <f>IF(A174&lt;&gt;"",MONTH(A174),"")</f>
        <v/>
      </c>
      <c r="D174">
        <f>IF(A174&lt;&gt;"",_xlfn.ISOWEEKNUM(A174),"")</f>
        <v/>
      </c>
      <c r="E174">
        <f>IF(A174&lt;&gt;"",TEXT(A174,"dddd"),"")</f>
        <v/>
      </c>
      <c r="F174">
        <f>IF(BD_Carga!C175&lt;&gt;"",BD_Carga!C175,"")</f>
        <v/>
      </c>
      <c r="G174">
        <f>IF(BD_Carga!D175&lt;&gt;"",BD_Carga!D175,"")</f>
        <v/>
      </c>
      <c r="H174">
        <f>IF(BD_Carga!Q175&lt;&gt;"",BD_Carga!Q175,"")</f>
        <v/>
      </c>
      <c r="I174">
        <f>IF(BD_Carga!R175&lt;&gt;"",BD_Carga!R175,"")</f>
        <v/>
      </c>
      <c r="J174">
        <f>IF(BD_Carga!S175&lt;&gt;"",BD_Carga!S175,"")</f>
        <v/>
      </c>
      <c r="K174" s="4">
        <f>IF(BD_Carga!E175&lt;&gt;"",BD_Carga!E175,0)</f>
        <v/>
      </c>
      <c r="L174" s="4">
        <f>IF(BD_Carga!F175&lt;&gt;"",BD_Carga!F175,0)</f>
        <v/>
      </c>
      <c r="M174" s="4">
        <f>IF(BD_Carga!G175&lt;&gt;"",BD_Carga!G175,0)</f>
        <v/>
      </c>
      <c r="N174" s="4">
        <f>IF(BD_Carga!H175&lt;&gt;"",BD_Carga!H175,0)</f>
        <v/>
      </c>
      <c r="O174" s="4">
        <f>IF(BD_Carga!I175&lt;&gt;"",BD_Carga!I175,0)</f>
        <v/>
      </c>
      <c r="P174" s="4">
        <f>IF(BD_Carga!J175&lt;&gt;"",BD_Carga!J175,0)</f>
        <v/>
      </c>
      <c r="Q174" s="5">
        <f>IF(BD_Carga!K175&lt;&gt;"",BD_Carga!K175,0)</f>
        <v/>
      </c>
      <c r="R174" s="5">
        <f>IF(BD_Carga!L175&lt;&gt;"",BD_Carga!L175,0)</f>
        <v/>
      </c>
      <c r="S174">
        <f>IF(BD_Carga!N175&lt;&gt;"",BD_Carga!N175,0)</f>
        <v/>
      </c>
      <c r="T174">
        <f>IF(BD_Carga!O175&lt;&gt;"",BD_Carga!O175,0)</f>
        <v/>
      </c>
      <c r="U174">
        <f>IF(BD_Carga!P175&lt;&gt;"",BD_Carga!P175,0)</f>
        <v/>
      </c>
      <c r="V174">
        <f>IF(BD_Carga!U175&lt;&gt;"",BD_Carga!U175,0)</f>
        <v/>
      </c>
      <c r="W174">
        <f>IF(BD_Carga!T175&lt;&gt;"",BD_Carga!T175,0)</f>
        <v/>
      </c>
      <c r="X174">
        <f>IF(BD_Carga!W175&lt;&gt;"",BD_Carga!W175,0)</f>
        <v/>
      </c>
      <c r="Y174">
        <f>IF(BD_Carga!X175&lt;&gt;"",BD_Carga!X175,0)</f>
        <v/>
      </c>
      <c r="Z174">
        <f>IF(BD_Carga!Y175&lt;&gt;"",BD_Carga!Y175,0)</f>
        <v/>
      </c>
      <c r="AA174">
        <f>IF(BD_Carga!Z175&lt;&gt;"",BD_Carga!Z175,0)</f>
        <v/>
      </c>
      <c r="AB174">
        <f>IF(BD_Carga!AA175&lt;&gt;"",BD_Carga!AA175,0)</f>
        <v/>
      </c>
      <c r="AC174" s="6">
        <f t="array" ref="AC174">IFERROR((L174-AVERAGEIF($G$2:$G$462,G174,$L$2:$L$462))/_xlfn.STDEV.P(IF($G$2:$G$462=G174,$L$2:$L$462)),0)</f>
        <v/>
      </c>
      <c r="AD174" s="6">
        <f t="array" ref="AD174">IFERROR((M174-AVERAGEIF($G$2:$G$462,G174,$M$2:$M$462))/_xlfn.STDEV.P(IF($G$2:$G$462=G174,$M$2:$M$462)),0)</f>
        <v/>
      </c>
      <c r="AE174" s="6">
        <f t="array" ref="AE174">IFERROR((N174-AVERAGEIF($G$2:$G$462,G174,$N$2:$N$462))/_xlfn.STDEV.P(IF($G$2:$G$462=G174,$N$2:$N$462)),0)</f>
        <v/>
      </c>
      <c r="AF174" s="6">
        <f t="array" ref="AF174">IFERROR((O174-AVERAGEIF($G$2:$G$462,G174,$O$2:$O$462))/_xlfn.STDEV.P(IF($G$2:$G$462=G174,$O$2:$O$462)),0)</f>
        <v/>
      </c>
      <c r="AG174" s="6">
        <f t="array" ref="AG174">IFERROR((P174-AVERAGEIF($G$2:$G$462,G174,$P$2:$P$462))/_xlfn.STDEV.P(IF($G$2:$G$462=G174,$P$2:$P$462)),0)</f>
        <v/>
      </c>
      <c r="AH174" s="6">
        <f t="array" ref="AH174">IFERROR((R174-AVERAGEIF($G$2:$G$462,G174,$R$2:$R$462))/_xlfn.STDEV.P(IF($G$2:$G$462=G174,$R$2:$R$462)),0)</f>
        <v/>
      </c>
      <c r="AI174" s="6">
        <f>IFERROR((AC174+AD174+AE174+AF174+AG174+AH174)/6,0)</f>
        <v/>
      </c>
    </row>
    <row r="175">
      <c r="A175" s="2">
        <f>IF(BD_Carga!A176&lt;&gt;"",BD_Carga!A176,"")</f>
        <v/>
      </c>
      <c r="B175">
        <f>IF(A175&lt;&gt;"",YEAR(A175),"")</f>
        <v/>
      </c>
      <c r="C175">
        <f>IF(A175&lt;&gt;"",MONTH(A175),"")</f>
        <v/>
      </c>
      <c r="D175">
        <f>IF(A175&lt;&gt;"",_xlfn.ISOWEEKNUM(A175),"")</f>
        <v/>
      </c>
      <c r="E175">
        <f>IF(A175&lt;&gt;"",TEXT(A175,"dddd"),"")</f>
        <v/>
      </c>
      <c r="F175">
        <f>IF(BD_Carga!C176&lt;&gt;"",BD_Carga!C176,"")</f>
        <v/>
      </c>
      <c r="G175">
        <f>IF(BD_Carga!D176&lt;&gt;"",BD_Carga!D176,"")</f>
        <v/>
      </c>
      <c r="H175">
        <f>IF(BD_Carga!Q176&lt;&gt;"",BD_Carga!Q176,"")</f>
        <v/>
      </c>
      <c r="I175">
        <f>IF(BD_Carga!R176&lt;&gt;"",BD_Carga!R176,"")</f>
        <v/>
      </c>
      <c r="J175">
        <f>IF(BD_Carga!S176&lt;&gt;"",BD_Carga!S176,"")</f>
        <v/>
      </c>
      <c r="K175" s="4">
        <f>IF(BD_Carga!E176&lt;&gt;"",BD_Carga!E176,0)</f>
        <v/>
      </c>
      <c r="L175" s="4">
        <f>IF(BD_Carga!F176&lt;&gt;"",BD_Carga!F176,0)</f>
        <v/>
      </c>
      <c r="M175" s="4">
        <f>IF(BD_Carga!G176&lt;&gt;"",BD_Carga!G176,0)</f>
        <v/>
      </c>
      <c r="N175" s="4">
        <f>IF(BD_Carga!H176&lt;&gt;"",BD_Carga!H176,0)</f>
        <v/>
      </c>
      <c r="O175" s="4">
        <f>IF(BD_Carga!I176&lt;&gt;"",BD_Carga!I176,0)</f>
        <v/>
      </c>
      <c r="P175" s="4">
        <f>IF(BD_Carga!J176&lt;&gt;"",BD_Carga!J176,0)</f>
        <v/>
      </c>
      <c r="Q175" s="5">
        <f>IF(BD_Carga!K176&lt;&gt;"",BD_Carga!K176,0)</f>
        <v/>
      </c>
      <c r="R175" s="5">
        <f>IF(BD_Carga!L176&lt;&gt;"",BD_Carga!L176,0)</f>
        <v/>
      </c>
      <c r="S175">
        <f>IF(BD_Carga!N176&lt;&gt;"",BD_Carga!N176,0)</f>
        <v/>
      </c>
      <c r="T175">
        <f>IF(BD_Carga!O176&lt;&gt;"",BD_Carga!O176,0)</f>
        <v/>
      </c>
      <c r="U175">
        <f>IF(BD_Carga!P176&lt;&gt;"",BD_Carga!P176,0)</f>
        <v/>
      </c>
      <c r="V175">
        <f>IF(BD_Carga!U176&lt;&gt;"",BD_Carga!U176,0)</f>
        <v/>
      </c>
      <c r="W175">
        <f>IF(BD_Carga!T176&lt;&gt;"",BD_Carga!T176,0)</f>
        <v/>
      </c>
      <c r="X175">
        <f>IF(BD_Carga!W176&lt;&gt;"",BD_Carga!W176,0)</f>
        <v/>
      </c>
      <c r="Y175">
        <f>IF(BD_Carga!X176&lt;&gt;"",BD_Carga!X176,0)</f>
        <v/>
      </c>
      <c r="Z175">
        <f>IF(BD_Carga!Y176&lt;&gt;"",BD_Carga!Y176,0)</f>
        <v/>
      </c>
      <c r="AA175">
        <f>IF(BD_Carga!Z176&lt;&gt;"",BD_Carga!Z176,0)</f>
        <v/>
      </c>
      <c r="AB175">
        <f>IF(BD_Carga!AA176&lt;&gt;"",BD_Carga!AA176,0)</f>
        <v/>
      </c>
      <c r="AC175" s="6">
        <f t="array" ref="AC175">IFERROR((L175-AVERAGEIF($G$2:$G$462,G175,$L$2:$L$462))/_xlfn.STDEV.P(IF($G$2:$G$462=G175,$L$2:$L$462)),0)</f>
        <v/>
      </c>
      <c r="AD175" s="6">
        <f t="array" ref="AD175">IFERROR((M175-AVERAGEIF($G$2:$G$462,G175,$M$2:$M$462))/_xlfn.STDEV.P(IF($G$2:$G$462=G175,$M$2:$M$462)),0)</f>
        <v/>
      </c>
      <c r="AE175" s="6">
        <f t="array" ref="AE175">IFERROR((N175-AVERAGEIF($G$2:$G$462,G175,$N$2:$N$462))/_xlfn.STDEV.P(IF($G$2:$G$462=G175,$N$2:$N$462)),0)</f>
        <v/>
      </c>
      <c r="AF175" s="6">
        <f t="array" ref="AF175">IFERROR((O175-AVERAGEIF($G$2:$G$462,G175,$O$2:$O$462))/_xlfn.STDEV.P(IF($G$2:$G$462=G175,$O$2:$O$462)),0)</f>
        <v/>
      </c>
      <c r="AG175" s="6">
        <f t="array" ref="AG175">IFERROR((P175-AVERAGEIF($G$2:$G$462,G175,$P$2:$P$462))/_xlfn.STDEV.P(IF($G$2:$G$462=G175,$P$2:$P$462)),0)</f>
        <v/>
      </c>
      <c r="AH175" s="6">
        <f t="array" ref="AH175">IFERROR((R175-AVERAGEIF($G$2:$G$462,G175,$R$2:$R$462))/_xlfn.STDEV.P(IF($G$2:$G$462=G175,$R$2:$R$462)),0)</f>
        <v/>
      </c>
      <c r="AI175" s="6">
        <f>IFERROR((AC175+AD175+AE175+AF175+AG175+AH175)/6,0)</f>
        <v/>
      </c>
    </row>
    <row r="176">
      <c r="A176" s="2">
        <f>IF(BD_Carga!A177&lt;&gt;"",BD_Carga!A177,"")</f>
        <v/>
      </c>
      <c r="B176">
        <f>IF(A176&lt;&gt;"",YEAR(A176),"")</f>
        <v/>
      </c>
      <c r="C176">
        <f>IF(A176&lt;&gt;"",MONTH(A176),"")</f>
        <v/>
      </c>
      <c r="D176">
        <f>IF(A176&lt;&gt;"",_xlfn.ISOWEEKNUM(A176),"")</f>
        <v/>
      </c>
      <c r="E176">
        <f>IF(A176&lt;&gt;"",TEXT(A176,"dddd"),"")</f>
        <v/>
      </c>
      <c r="F176">
        <f>IF(BD_Carga!C177&lt;&gt;"",BD_Carga!C177,"")</f>
        <v/>
      </c>
      <c r="G176">
        <f>IF(BD_Carga!D177&lt;&gt;"",BD_Carga!D177,"")</f>
        <v/>
      </c>
      <c r="H176">
        <f>IF(BD_Carga!Q177&lt;&gt;"",BD_Carga!Q177,"")</f>
        <v/>
      </c>
      <c r="I176">
        <f>IF(BD_Carga!R177&lt;&gt;"",BD_Carga!R177,"")</f>
        <v/>
      </c>
      <c r="J176">
        <f>IF(BD_Carga!S177&lt;&gt;"",BD_Carga!S177,"")</f>
        <v/>
      </c>
      <c r="K176" s="4">
        <f>IF(BD_Carga!E177&lt;&gt;"",BD_Carga!E177,0)</f>
        <v/>
      </c>
      <c r="L176" s="4">
        <f>IF(BD_Carga!F177&lt;&gt;"",BD_Carga!F177,0)</f>
        <v/>
      </c>
      <c r="M176" s="4">
        <f>IF(BD_Carga!G177&lt;&gt;"",BD_Carga!G177,0)</f>
        <v/>
      </c>
      <c r="N176" s="4">
        <f>IF(BD_Carga!H177&lt;&gt;"",BD_Carga!H177,0)</f>
        <v/>
      </c>
      <c r="O176" s="4">
        <f>IF(BD_Carga!I177&lt;&gt;"",BD_Carga!I177,0)</f>
        <v/>
      </c>
      <c r="P176" s="4">
        <f>IF(BD_Carga!J177&lt;&gt;"",BD_Carga!J177,0)</f>
        <v/>
      </c>
      <c r="Q176" s="5">
        <f>IF(BD_Carga!K177&lt;&gt;"",BD_Carga!K177,0)</f>
        <v/>
      </c>
      <c r="R176" s="5">
        <f>IF(BD_Carga!L177&lt;&gt;"",BD_Carga!L177,0)</f>
        <v/>
      </c>
      <c r="S176">
        <f>IF(BD_Carga!N177&lt;&gt;"",BD_Carga!N177,0)</f>
        <v/>
      </c>
      <c r="T176">
        <f>IF(BD_Carga!O177&lt;&gt;"",BD_Carga!O177,0)</f>
        <v/>
      </c>
      <c r="U176">
        <f>IF(BD_Carga!P177&lt;&gt;"",BD_Carga!P177,0)</f>
        <v/>
      </c>
      <c r="V176">
        <f>IF(BD_Carga!U177&lt;&gt;"",BD_Carga!U177,0)</f>
        <v/>
      </c>
      <c r="W176">
        <f>IF(BD_Carga!T177&lt;&gt;"",BD_Carga!T177,0)</f>
        <v/>
      </c>
      <c r="X176">
        <f>IF(BD_Carga!W177&lt;&gt;"",BD_Carga!W177,0)</f>
        <v/>
      </c>
      <c r="Y176">
        <f>IF(BD_Carga!X177&lt;&gt;"",BD_Carga!X177,0)</f>
        <v/>
      </c>
      <c r="Z176">
        <f>IF(BD_Carga!Y177&lt;&gt;"",BD_Carga!Y177,0)</f>
        <v/>
      </c>
      <c r="AA176">
        <f>IF(BD_Carga!Z177&lt;&gt;"",BD_Carga!Z177,0)</f>
        <v/>
      </c>
      <c r="AB176">
        <f>IF(BD_Carga!AA177&lt;&gt;"",BD_Carga!AA177,0)</f>
        <v/>
      </c>
      <c r="AC176" s="6">
        <f t="array" ref="AC176">IFERROR((L176-AVERAGEIF($G$2:$G$462,G176,$L$2:$L$462))/_xlfn.STDEV.P(IF($G$2:$G$462=G176,$L$2:$L$462)),0)</f>
        <v/>
      </c>
      <c r="AD176" s="6">
        <f t="array" ref="AD176">IFERROR((M176-AVERAGEIF($G$2:$G$462,G176,$M$2:$M$462))/_xlfn.STDEV.P(IF($G$2:$G$462=G176,$M$2:$M$462)),0)</f>
        <v/>
      </c>
      <c r="AE176" s="6">
        <f t="array" ref="AE176">IFERROR((N176-AVERAGEIF($G$2:$G$462,G176,$N$2:$N$462))/_xlfn.STDEV.P(IF($G$2:$G$462=G176,$N$2:$N$462)),0)</f>
        <v/>
      </c>
      <c r="AF176" s="6">
        <f t="array" ref="AF176">IFERROR((O176-AVERAGEIF($G$2:$G$462,G176,$O$2:$O$462))/_xlfn.STDEV.P(IF($G$2:$G$462=G176,$O$2:$O$462)),0)</f>
        <v/>
      </c>
      <c r="AG176" s="6">
        <f t="array" ref="AG176">IFERROR((P176-AVERAGEIF($G$2:$G$462,G176,$P$2:$P$462))/_xlfn.STDEV.P(IF($G$2:$G$462=G176,$P$2:$P$462)),0)</f>
        <v/>
      </c>
      <c r="AH176" s="6">
        <f t="array" ref="AH176">IFERROR((R176-AVERAGEIF($G$2:$G$462,G176,$R$2:$R$462))/_xlfn.STDEV.P(IF($G$2:$G$462=G176,$R$2:$R$462)),0)</f>
        <v/>
      </c>
      <c r="AI176" s="6">
        <f>IFERROR((AC176+AD176+AE176+AF176+AG176+AH176)/6,0)</f>
        <v/>
      </c>
    </row>
    <row r="177">
      <c r="A177" s="2">
        <f>IF(BD_Carga!A178&lt;&gt;"",BD_Carga!A178,"")</f>
        <v/>
      </c>
      <c r="B177">
        <f>IF(A177&lt;&gt;"",YEAR(A177),"")</f>
        <v/>
      </c>
      <c r="C177">
        <f>IF(A177&lt;&gt;"",MONTH(A177),"")</f>
        <v/>
      </c>
      <c r="D177">
        <f>IF(A177&lt;&gt;"",_xlfn.ISOWEEKNUM(A177),"")</f>
        <v/>
      </c>
      <c r="E177">
        <f>IF(A177&lt;&gt;"",TEXT(A177,"dddd"),"")</f>
        <v/>
      </c>
      <c r="F177">
        <f>IF(BD_Carga!C178&lt;&gt;"",BD_Carga!C178,"")</f>
        <v/>
      </c>
      <c r="G177">
        <f>IF(BD_Carga!D178&lt;&gt;"",BD_Carga!D178,"")</f>
        <v/>
      </c>
      <c r="H177">
        <f>IF(BD_Carga!Q178&lt;&gt;"",BD_Carga!Q178,"")</f>
        <v/>
      </c>
      <c r="I177">
        <f>IF(BD_Carga!R178&lt;&gt;"",BD_Carga!R178,"")</f>
        <v/>
      </c>
      <c r="J177">
        <f>IF(BD_Carga!S178&lt;&gt;"",BD_Carga!S178,"")</f>
        <v/>
      </c>
      <c r="K177" s="4">
        <f>IF(BD_Carga!E178&lt;&gt;"",BD_Carga!E178,0)</f>
        <v/>
      </c>
      <c r="L177" s="4">
        <f>IF(BD_Carga!F178&lt;&gt;"",BD_Carga!F178,0)</f>
        <v/>
      </c>
      <c r="M177" s="4">
        <f>IF(BD_Carga!G178&lt;&gt;"",BD_Carga!G178,0)</f>
        <v/>
      </c>
      <c r="N177" s="4">
        <f>IF(BD_Carga!H178&lt;&gt;"",BD_Carga!H178,0)</f>
        <v/>
      </c>
      <c r="O177" s="4">
        <f>IF(BD_Carga!I178&lt;&gt;"",BD_Carga!I178,0)</f>
        <v/>
      </c>
      <c r="P177" s="4">
        <f>IF(BD_Carga!J178&lt;&gt;"",BD_Carga!J178,0)</f>
        <v/>
      </c>
      <c r="Q177" s="5">
        <f>IF(BD_Carga!K178&lt;&gt;"",BD_Carga!K178,0)</f>
        <v/>
      </c>
      <c r="R177" s="5">
        <f>IF(BD_Carga!L178&lt;&gt;"",BD_Carga!L178,0)</f>
        <v/>
      </c>
      <c r="S177">
        <f>IF(BD_Carga!N178&lt;&gt;"",BD_Carga!N178,0)</f>
        <v/>
      </c>
      <c r="T177">
        <f>IF(BD_Carga!O178&lt;&gt;"",BD_Carga!O178,0)</f>
        <v/>
      </c>
      <c r="U177">
        <f>IF(BD_Carga!P178&lt;&gt;"",BD_Carga!P178,0)</f>
        <v/>
      </c>
      <c r="V177">
        <f>IF(BD_Carga!U178&lt;&gt;"",BD_Carga!U178,0)</f>
        <v/>
      </c>
      <c r="W177">
        <f>IF(BD_Carga!T178&lt;&gt;"",BD_Carga!T178,0)</f>
        <v/>
      </c>
      <c r="X177">
        <f>IF(BD_Carga!W178&lt;&gt;"",BD_Carga!W178,0)</f>
        <v/>
      </c>
      <c r="Y177">
        <f>IF(BD_Carga!X178&lt;&gt;"",BD_Carga!X178,0)</f>
        <v/>
      </c>
      <c r="Z177">
        <f>IF(BD_Carga!Y178&lt;&gt;"",BD_Carga!Y178,0)</f>
        <v/>
      </c>
      <c r="AA177">
        <f>IF(BD_Carga!Z178&lt;&gt;"",BD_Carga!Z178,0)</f>
        <v/>
      </c>
      <c r="AB177">
        <f>IF(BD_Carga!AA178&lt;&gt;"",BD_Carga!AA178,0)</f>
        <v/>
      </c>
      <c r="AC177" s="6">
        <f t="array" ref="AC177">IFERROR((L177-AVERAGEIF($G$2:$G$462,G177,$L$2:$L$462))/_xlfn.STDEV.P(IF($G$2:$G$462=G177,$L$2:$L$462)),0)</f>
        <v/>
      </c>
      <c r="AD177" s="6">
        <f t="array" ref="AD177">IFERROR((M177-AVERAGEIF($G$2:$G$462,G177,$M$2:$M$462))/_xlfn.STDEV.P(IF($G$2:$G$462=G177,$M$2:$M$462)),0)</f>
        <v/>
      </c>
      <c r="AE177" s="6">
        <f t="array" ref="AE177">IFERROR((N177-AVERAGEIF($G$2:$G$462,G177,$N$2:$N$462))/_xlfn.STDEV.P(IF($G$2:$G$462=G177,$N$2:$N$462)),0)</f>
        <v/>
      </c>
      <c r="AF177" s="6">
        <f t="array" ref="AF177">IFERROR((O177-AVERAGEIF($G$2:$G$462,G177,$O$2:$O$462))/_xlfn.STDEV.P(IF($G$2:$G$462=G177,$O$2:$O$462)),0)</f>
        <v/>
      </c>
      <c r="AG177" s="6">
        <f t="array" ref="AG177">IFERROR((P177-AVERAGEIF($G$2:$G$462,G177,$P$2:$P$462))/_xlfn.STDEV.P(IF($G$2:$G$462=G177,$P$2:$P$462)),0)</f>
        <v/>
      </c>
      <c r="AH177" s="6">
        <f t="array" ref="AH177">IFERROR((R177-AVERAGEIF($G$2:$G$462,G177,$R$2:$R$462))/_xlfn.STDEV.P(IF($G$2:$G$462=G177,$R$2:$R$462)),0)</f>
        <v/>
      </c>
      <c r="AI177" s="6">
        <f>IFERROR((AC177+AD177+AE177+AF177+AG177+AH177)/6,0)</f>
        <v/>
      </c>
    </row>
    <row r="178">
      <c r="A178" s="2">
        <f>IF(BD_Carga!A179&lt;&gt;"",BD_Carga!A179,"")</f>
        <v/>
      </c>
      <c r="B178">
        <f>IF(A178&lt;&gt;"",YEAR(A178),"")</f>
        <v/>
      </c>
      <c r="C178">
        <f>IF(A178&lt;&gt;"",MONTH(A178),"")</f>
        <v/>
      </c>
      <c r="D178">
        <f>IF(A178&lt;&gt;"",_xlfn.ISOWEEKNUM(A178),"")</f>
        <v/>
      </c>
      <c r="E178">
        <f>IF(A178&lt;&gt;"",TEXT(A178,"dddd"),"")</f>
        <v/>
      </c>
      <c r="F178">
        <f>IF(BD_Carga!C179&lt;&gt;"",BD_Carga!C179,"")</f>
        <v/>
      </c>
      <c r="G178">
        <f>IF(BD_Carga!D179&lt;&gt;"",BD_Carga!D179,"")</f>
        <v/>
      </c>
      <c r="H178">
        <f>IF(BD_Carga!Q179&lt;&gt;"",BD_Carga!Q179,"")</f>
        <v/>
      </c>
      <c r="I178">
        <f>IF(BD_Carga!R179&lt;&gt;"",BD_Carga!R179,"")</f>
        <v/>
      </c>
      <c r="J178">
        <f>IF(BD_Carga!S179&lt;&gt;"",BD_Carga!S179,"")</f>
        <v/>
      </c>
      <c r="K178" s="4">
        <f>IF(BD_Carga!E179&lt;&gt;"",BD_Carga!E179,0)</f>
        <v/>
      </c>
      <c r="L178" s="4">
        <f>IF(BD_Carga!F179&lt;&gt;"",BD_Carga!F179,0)</f>
        <v/>
      </c>
      <c r="M178" s="4">
        <f>IF(BD_Carga!G179&lt;&gt;"",BD_Carga!G179,0)</f>
        <v/>
      </c>
      <c r="N178" s="4">
        <f>IF(BD_Carga!H179&lt;&gt;"",BD_Carga!H179,0)</f>
        <v/>
      </c>
      <c r="O178" s="4">
        <f>IF(BD_Carga!I179&lt;&gt;"",BD_Carga!I179,0)</f>
        <v/>
      </c>
      <c r="P178" s="4">
        <f>IF(BD_Carga!J179&lt;&gt;"",BD_Carga!J179,0)</f>
        <v/>
      </c>
      <c r="Q178" s="5">
        <f>IF(BD_Carga!K179&lt;&gt;"",BD_Carga!K179,0)</f>
        <v/>
      </c>
      <c r="R178" s="5">
        <f>IF(BD_Carga!L179&lt;&gt;"",BD_Carga!L179,0)</f>
        <v/>
      </c>
      <c r="S178">
        <f>IF(BD_Carga!N179&lt;&gt;"",BD_Carga!N179,0)</f>
        <v/>
      </c>
      <c r="T178">
        <f>IF(BD_Carga!O179&lt;&gt;"",BD_Carga!O179,0)</f>
        <v/>
      </c>
      <c r="U178">
        <f>IF(BD_Carga!P179&lt;&gt;"",BD_Carga!P179,0)</f>
        <v/>
      </c>
      <c r="V178">
        <f>IF(BD_Carga!U179&lt;&gt;"",BD_Carga!U179,0)</f>
        <v/>
      </c>
      <c r="W178">
        <f>IF(BD_Carga!T179&lt;&gt;"",BD_Carga!T179,0)</f>
        <v/>
      </c>
      <c r="X178">
        <f>IF(BD_Carga!W179&lt;&gt;"",BD_Carga!W179,0)</f>
        <v/>
      </c>
      <c r="Y178">
        <f>IF(BD_Carga!X179&lt;&gt;"",BD_Carga!X179,0)</f>
        <v/>
      </c>
      <c r="Z178">
        <f>IF(BD_Carga!Y179&lt;&gt;"",BD_Carga!Y179,0)</f>
        <v/>
      </c>
      <c r="AA178">
        <f>IF(BD_Carga!Z179&lt;&gt;"",BD_Carga!Z179,0)</f>
        <v/>
      </c>
      <c r="AB178">
        <f>IF(BD_Carga!AA179&lt;&gt;"",BD_Carga!AA179,0)</f>
        <v/>
      </c>
      <c r="AC178" s="6">
        <f t="array" ref="AC178">IFERROR((L178-AVERAGEIF($G$2:$G$462,G178,$L$2:$L$462))/_xlfn.STDEV.P(IF($G$2:$G$462=G178,$L$2:$L$462)),0)</f>
        <v/>
      </c>
      <c r="AD178" s="6">
        <f t="array" ref="AD178">IFERROR((M178-AVERAGEIF($G$2:$G$462,G178,$M$2:$M$462))/_xlfn.STDEV.P(IF($G$2:$G$462=G178,$M$2:$M$462)),0)</f>
        <v/>
      </c>
      <c r="AE178" s="6">
        <f t="array" ref="AE178">IFERROR((N178-AVERAGEIF($G$2:$G$462,G178,$N$2:$N$462))/_xlfn.STDEV.P(IF($G$2:$G$462=G178,$N$2:$N$462)),0)</f>
        <v/>
      </c>
      <c r="AF178" s="6">
        <f t="array" ref="AF178">IFERROR((O178-AVERAGEIF($G$2:$G$462,G178,$O$2:$O$462))/_xlfn.STDEV.P(IF($G$2:$G$462=G178,$O$2:$O$462)),0)</f>
        <v/>
      </c>
      <c r="AG178" s="6">
        <f t="array" ref="AG178">IFERROR((P178-AVERAGEIF($G$2:$G$462,G178,$P$2:$P$462))/_xlfn.STDEV.P(IF($G$2:$G$462=G178,$P$2:$P$462)),0)</f>
        <v/>
      </c>
      <c r="AH178" s="6">
        <f t="array" ref="AH178">IFERROR((R178-AVERAGEIF($G$2:$G$462,G178,$R$2:$R$462))/_xlfn.STDEV.P(IF($G$2:$G$462=G178,$R$2:$R$462)),0)</f>
        <v/>
      </c>
      <c r="AI178" s="6">
        <f>IFERROR((AC178+AD178+AE178+AF178+AG178+AH178)/6,0)</f>
        <v/>
      </c>
    </row>
    <row r="179">
      <c r="A179" s="2">
        <f>IF(BD_Carga!A180&lt;&gt;"",BD_Carga!A180,"")</f>
        <v/>
      </c>
      <c r="B179">
        <f>IF(A179&lt;&gt;"",YEAR(A179),"")</f>
        <v/>
      </c>
      <c r="C179">
        <f>IF(A179&lt;&gt;"",MONTH(A179),"")</f>
        <v/>
      </c>
      <c r="D179">
        <f>IF(A179&lt;&gt;"",_xlfn.ISOWEEKNUM(A179),"")</f>
        <v/>
      </c>
      <c r="E179">
        <f>IF(A179&lt;&gt;"",TEXT(A179,"dddd"),"")</f>
        <v/>
      </c>
      <c r="F179">
        <f>IF(BD_Carga!C180&lt;&gt;"",BD_Carga!C180,"")</f>
        <v/>
      </c>
      <c r="G179">
        <f>IF(BD_Carga!D180&lt;&gt;"",BD_Carga!D180,"")</f>
        <v/>
      </c>
      <c r="H179">
        <f>IF(BD_Carga!Q180&lt;&gt;"",BD_Carga!Q180,"")</f>
        <v/>
      </c>
      <c r="I179">
        <f>IF(BD_Carga!R180&lt;&gt;"",BD_Carga!R180,"")</f>
        <v/>
      </c>
      <c r="J179">
        <f>IF(BD_Carga!S180&lt;&gt;"",BD_Carga!S180,"")</f>
        <v/>
      </c>
      <c r="K179" s="4">
        <f>IF(BD_Carga!E180&lt;&gt;"",BD_Carga!E180,0)</f>
        <v/>
      </c>
      <c r="L179" s="4">
        <f>IF(BD_Carga!F180&lt;&gt;"",BD_Carga!F180,0)</f>
        <v/>
      </c>
      <c r="M179" s="4">
        <f>IF(BD_Carga!G180&lt;&gt;"",BD_Carga!G180,0)</f>
        <v/>
      </c>
      <c r="N179" s="4">
        <f>IF(BD_Carga!H180&lt;&gt;"",BD_Carga!H180,0)</f>
        <v/>
      </c>
      <c r="O179" s="4">
        <f>IF(BD_Carga!I180&lt;&gt;"",BD_Carga!I180,0)</f>
        <v/>
      </c>
      <c r="P179" s="4">
        <f>IF(BD_Carga!J180&lt;&gt;"",BD_Carga!J180,0)</f>
        <v/>
      </c>
      <c r="Q179" s="5">
        <f>IF(BD_Carga!K180&lt;&gt;"",BD_Carga!K180,0)</f>
        <v/>
      </c>
      <c r="R179" s="5">
        <f>IF(BD_Carga!L180&lt;&gt;"",BD_Carga!L180,0)</f>
        <v/>
      </c>
      <c r="S179">
        <f>IF(BD_Carga!N180&lt;&gt;"",BD_Carga!N180,0)</f>
        <v/>
      </c>
      <c r="T179">
        <f>IF(BD_Carga!O180&lt;&gt;"",BD_Carga!O180,0)</f>
        <v/>
      </c>
      <c r="U179">
        <f>IF(BD_Carga!P180&lt;&gt;"",BD_Carga!P180,0)</f>
        <v/>
      </c>
      <c r="V179">
        <f>IF(BD_Carga!U180&lt;&gt;"",BD_Carga!U180,0)</f>
        <v/>
      </c>
      <c r="W179">
        <f>IF(BD_Carga!T180&lt;&gt;"",BD_Carga!T180,0)</f>
        <v/>
      </c>
      <c r="X179">
        <f>IF(BD_Carga!W180&lt;&gt;"",BD_Carga!W180,0)</f>
        <v/>
      </c>
      <c r="Y179">
        <f>IF(BD_Carga!X180&lt;&gt;"",BD_Carga!X180,0)</f>
        <v/>
      </c>
      <c r="Z179">
        <f>IF(BD_Carga!Y180&lt;&gt;"",BD_Carga!Y180,0)</f>
        <v/>
      </c>
      <c r="AA179">
        <f>IF(BD_Carga!Z180&lt;&gt;"",BD_Carga!Z180,0)</f>
        <v/>
      </c>
      <c r="AB179">
        <f>IF(BD_Carga!AA180&lt;&gt;"",BD_Carga!AA180,0)</f>
        <v/>
      </c>
      <c r="AC179" s="6">
        <f t="array" ref="AC179">IFERROR((L179-AVERAGEIF($G$2:$G$462,G179,$L$2:$L$462))/_xlfn.STDEV.P(IF($G$2:$G$462=G179,$L$2:$L$462)),0)</f>
        <v/>
      </c>
      <c r="AD179" s="6">
        <f t="array" ref="AD179">IFERROR((M179-AVERAGEIF($G$2:$G$462,G179,$M$2:$M$462))/_xlfn.STDEV.P(IF($G$2:$G$462=G179,$M$2:$M$462)),0)</f>
        <v/>
      </c>
      <c r="AE179" s="6">
        <f t="array" ref="AE179">IFERROR((N179-AVERAGEIF($G$2:$G$462,G179,$N$2:$N$462))/_xlfn.STDEV.P(IF($G$2:$G$462=G179,$N$2:$N$462)),0)</f>
        <v/>
      </c>
      <c r="AF179" s="6">
        <f t="array" ref="AF179">IFERROR((O179-AVERAGEIF($G$2:$G$462,G179,$O$2:$O$462))/_xlfn.STDEV.P(IF($G$2:$G$462=G179,$O$2:$O$462)),0)</f>
        <v/>
      </c>
      <c r="AG179" s="6">
        <f t="array" ref="AG179">IFERROR((P179-AVERAGEIF($G$2:$G$462,G179,$P$2:$P$462))/_xlfn.STDEV.P(IF($G$2:$G$462=G179,$P$2:$P$462)),0)</f>
        <v/>
      </c>
      <c r="AH179" s="6">
        <f t="array" ref="AH179">IFERROR((R179-AVERAGEIF($G$2:$G$462,G179,$R$2:$R$462))/_xlfn.STDEV.P(IF($G$2:$G$462=G179,$R$2:$R$462)),0)</f>
        <v/>
      </c>
      <c r="AI179" s="6">
        <f>IFERROR((AC179+AD179+AE179+AF179+AG179+AH179)/6,0)</f>
        <v/>
      </c>
    </row>
    <row r="180">
      <c r="A180" s="2">
        <f>IF(BD_Carga!A181&lt;&gt;"",BD_Carga!A181,"")</f>
        <v/>
      </c>
      <c r="B180">
        <f>IF(A180&lt;&gt;"",YEAR(A180),"")</f>
        <v/>
      </c>
      <c r="C180">
        <f>IF(A180&lt;&gt;"",MONTH(A180),"")</f>
        <v/>
      </c>
      <c r="D180">
        <f>IF(A180&lt;&gt;"",_xlfn.ISOWEEKNUM(A180),"")</f>
        <v/>
      </c>
      <c r="E180">
        <f>IF(A180&lt;&gt;"",TEXT(A180,"dddd"),"")</f>
        <v/>
      </c>
      <c r="F180">
        <f>IF(BD_Carga!C181&lt;&gt;"",BD_Carga!C181,"")</f>
        <v/>
      </c>
      <c r="G180">
        <f>IF(BD_Carga!D181&lt;&gt;"",BD_Carga!D181,"")</f>
        <v/>
      </c>
      <c r="H180">
        <f>IF(BD_Carga!Q181&lt;&gt;"",BD_Carga!Q181,"")</f>
        <v/>
      </c>
      <c r="I180">
        <f>IF(BD_Carga!R181&lt;&gt;"",BD_Carga!R181,"")</f>
        <v/>
      </c>
      <c r="J180">
        <f>IF(BD_Carga!S181&lt;&gt;"",BD_Carga!S181,"")</f>
        <v/>
      </c>
      <c r="K180" s="4">
        <f>IF(BD_Carga!E181&lt;&gt;"",BD_Carga!E181,0)</f>
        <v/>
      </c>
      <c r="L180" s="4">
        <f>IF(BD_Carga!F181&lt;&gt;"",BD_Carga!F181,0)</f>
        <v/>
      </c>
      <c r="M180" s="4">
        <f>IF(BD_Carga!G181&lt;&gt;"",BD_Carga!G181,0)</f>
        <v/>
      </c>
      <c r="N180" s="4">
        <f>IF(BD_Carga!H181&lt;&gt;"",BD_Carga!H181,0)</f>
        <v/>
      </c>
      <c r="O180" s="4">
        <f>IF(BD_Carga!I181&lt;&gt;"",BD_Carga!I181,0)</f>
        <v/>
      </c>
      <c r="P180" s="4">
        <f>IF(BD_Carga!J181&lt;&gt;"",BD_Carga!J181,0)</f>
        <v/>
      </c>
      <c r="Q180" s="5">
        <f>IF(BD_Carga!K181&lt;&gt;"",BD_Carga!K181,0)</f>
        <v/>
      </c>
      <c r="R180" s="5">
        <f>IF(BD_Carga!L181&lt;&gt;"",BD_Carga!L181,0)</f>
        <v/>
      </c>
      <c r="S180">
        <f>IF(BD_Carga!N181&lt;&gt;"",BD_Carga!N181,0)</f>
        <v/>
      </c>
      <c r="T180">
        <f>IF(BD_Carga!O181&lt;&gt;"",BD_Carga!O181,0)</f>
        <v/>
      </c>
      <c r="U180">
        <f>IF(BD_Carga!P181&lt;&gt;"",BD_Carga!P181,0)</f>
        <v/>
      </c>
      <c r="V180">
        <f>IF(BD_Carga!U181&lt;&gt;"",BD_Carga!U181,0)</f>
        <v/>
      </c>
      <c r="W180">
        <f>IF(BD_Carga!T181&lt;&gt;"",BD_Carga!T181,0)</f>
        <v/>
      </c>
      <c r="X180">
        <f>IF(BD_Carga!W181&lt;&gt;"",BD_Carga!W181,0)</f>
        <v/>
      </c>
      <c r="Y180">
        <f>IF(BD_Carga!X181&lt;&gt;"",BD_Carga!X181,0)</f>
        <v/>
      </c>
      <c r="Z180">
        <f>IF(BD_Carga!Y181&lt;&gt;"",BD_Carga!Y181,0)</f>
        <v/>
      </c>
      <c r="AA180">
        <f>IF(BD_Carga!Z181&lt;&gt;"",BD_Carga!Z181,0)</f>
        <v/>
      </c>
      <c r="AB180">
        <f>IF(BD_Carga!AA181&lt;&gt;"",BD_Carga!AA181,0)</f>
        <v/>
      </c>
      <c r="AC180" s="6">
        <f t="array" ref="AC180">IFERROR((L180-AVERAGEIF($G$2:$G$462,G180,$L$2:$L$462))/_xlfn.STDEV.P(IF($G$2:$G$462=G180,$L$2:$L$462)),0)</f>
        <v/>
      </c>
      <c r="AD180" s="6">
        <f t="array" ref="AD180">IFERROR((M180-AVERAGEIF($G$2:$G$462,G180,$M$2:$M$462))/_xlfn.STDEV.P(IF($G$2:$G$462=G180,$M$2:$M$462)),0)</f>
        <v/>
      </c>
      <c r="AE180" s="6">
        <f t="array" ref="AE180">IFERROR((N180-AVERAGEIF($G$2:$G$462,G180,$N$2:$N$462))/_xlfn.STDEV.P(IF($G$2:$G$462=G180,$N$2:$N$462)),0)</f>
        <v/>
      </c>
      <c r="AF180" s="6">
        <f t="array" ref="AF180">IFERROR((O180-AVERAGEIF($G$2:$G$462,G180,$O$2:$O$462))/_xlfn.STDEV.P(IF($G$2:$G$462=G180,$O$2:$O$462)),0)</f>
        <v/>
      </c>
      <c r="AG180" s="6">
        <f t="array" ref="AG180">IFERROR((P180-AVERAGEIF($G$2:$G$462,G180,$P$2:$P$462))/_xlfn.STDEV.P(IF($G$2:$G$462=G180,$P$2:$P$462)),0)</f>
        <v/>
      </c>
      <c r="AH180" s="6">
        <f t="array" ref="AH180">IFERROR((R180-AVERAGEIF($G$2:$G$462,G180,$R$2:$R$462))/_xlfn.STDEV.P(IF($G$2:$G$462=G180,$R$2:$R$462)),0)</f>
        <v/>
      </c>
      <c r="AI180" s="6">
        <f>IFERROR((AC180+AD180+AE180+AF180+AG180+AH180)/6,0)</f>
        <v/>
      </c>
    </row>
    <row r="181">
      <c r="A181" s="2">
        <f>IF(BD_Carga!A182&lt;&gt;"",BD_Carga!A182,"")</f>
        <v/>
      </c>
      <c r="B181">
        <f>IF(A181&lt;&gt;"",YEAR(A181),"")</f>
        <v/>
      </c>
      <c r="C181">
        <f>IF(A181&lt;&gt;"",MONTH(A181),"")</f>
        <v/>
      </c>
      <c r="D181">
        <f>IF(A181&lt;&gt;"",_xlfn.ISOWEEKNUM(A181),"")</f>
        <v/>
      </c>
      <c r="E181">
        <f>IF(A181&lt;&gt;"",TEXT(A181,"dddd"),"")</f>
        <v/>
      </c>
      <c r="F181">
        <f>IF(BD_Carga!C182&lt;&gt;"",BD_Carga!C182,"")</f>
        <v/>
      </c>
      <c r="G181">
        <f>IF(BD_Carga!D182&lt;&gt;"",BD_Carga!D182,"")</f>
        <v/>
      </c>
      <c r="H181">
        <f>IF(BD_Carga!Q182&lt;&gt;"",BD_Carga!Q182,"")</f>
        <v/>
      </c>
      <c r="I181">
        <f>IF(BD_Carga!R182&lt;&gt;"",BD_Carga!R182,"")</f>
        <v/>
      </c>
      <c r="J181">
        <f>IF(BD_Carga!S182&lt;&gt;"",BD_Carga!S182,"")</f>
        <v/>
      </c>
      <c r="K181" s="4">
        <f>IF(BD_Carga!E182&lt;&gt;"",BD_Carga!E182,0)</f>
        <v/>
      </c>
      <c r="L181" s="4">
        <f>IF(BD_Carga!F182&lt;&gt;"",BD_Carga!F182,0)</f>
        <v/>
      </c>
      <c r="M181" s="4">
        <f>IF(BD_Carga!G182&lt;&gt;"",BD_Carga!G182,0)</f>
        <v/>
      </c>
      <c r="N181" s="4">
        <f>IF(BD_Carga!H182&lt;&gt;"",BD_Carga!H182,0)</f>
        <v/>
      </c>
      <c r="O181" s="4">
        <f>IF(BD_Carga!I182&lt;&gt;"",BD_Carga!I182,0)</f>
        <v/>
      </c>
      <c r="P181" s="4">
        <f>IF(BD_Carga!J182&lt;&gt;"",BD_Carga!J182,0)</f>
        <v/>
      </c>
      <c r="Q181" s="5">
        <f>IF(BD_Carga!K182&lt;&gt;"",BD_Carga!K182,0)</f>
        <v/>
      </c>
      <c r="R181" s="5">
        <f>IF(BD_Carga!L182&lt;&gt;"",BD_Carga!L182,0)</f>
        <v/>
      </c>
      <c r="S181">
        <f>IF(BD_Carga!N182&lt;&gt;"",BD_Carga!N182,0)</f>
        <v/>
      </c>
      <c r="T181">
        <f>IF(BD_Carga!O182&lt;&gt;"",BD_Carga!O182,0)</f>
        <v/>
      </c>
      <c r="U181">
        <f>IF(BD_Carga!P182&lt;&gt;"",BD_Carga!P182,0)</f>
        <v/>
      </c>
      <c r="V181">
        <f>IF(BD_Carga!U182&lt;&gt;"",BD_Carga!U182,0)</f>
        <v/>
      </c>
      <c r="W181">
        <f>IF(BD_Carga!T182&lt;&gt;"",BD_Carga!T182,0)</f>
        <v/>
      </c>
      <c r="X181">
        <f>IF(BD_Carga!W182&lt;&gt;"",BD_Carga!W182,0)</f>
        <v/>
      </c>
      <c r="Y181">
        <f>IF(BD_Carga!X182&lt;&gt;"",BD_Carga!X182,0)</f>
        <v/>
      </c>
      <c r="Z181">
        <f>IF(BD_Carga!Y182&lt;&gt;"",BD_Carga!Y182,0)</f>
        <v/>
      </c>
      <c r="AA181">
        <f>IF(BD_Carga!Z182&lt;&gt;"",BD_Carga!Z182,0)</f>
        <v/>
      </c>
      <c r="AB181">
        <f>IF(BD_Carga!AA182&lt;&gt;"",BD_Carga!AA182,0)</f>
        <v/>
      </c>
      <c r="AC181" s="6">
        <f t="array" ref="AC181">IFERROR((L181-AVERAGEIF($G$2:$G$462,G181,$L$2:$L$462))/_xlfn.STDEV.P(IF($G$2:$G$462=G181,$L$2:$L$462)),0)</f>
        <v/>
      </c>
      <c r="AD181" s="6">
        <f t="array" ref="AD181">IFERROR((M181-AVERAGEIF($G$2:$G$462,G181,$M$2:$M$462))/_xlfn.STDEV.P(IF($G$2:$G$462=G181,$M$2:$M$462)),0)</f>
        <v/>
      </c>
      <c r="AE181" s="6">
        <f t="array" ref="AE181">IFERROR((N181-AVERAGEIF($G$2:$G$462,G181,$N$2:$N$462))/_xlfn.STDEV.P(IF($G$2:$G$462=G181,$N$2:$N$462)),0)</f>
        <v/>
      </c>
      <c r="AF181" s="6">
        <f t="array" ref="AF181">IFERROR((O181-AVERAGEIF($G$2:$G$462,G181,$O$2:$O$462))/_xlfn.STDEV.P(IF($G$2:$G$462=G181,$O$2:$O$462)),0)</f>
        <v/>
      </c>
      <c r="AG181" s="6">
        <f t="array" ref="AG181">IFERROR((P181-AVERAGEIF($G$2:$G$462,G181,$P$2:$P$462))/_xlfn.STDEV.P(IF($G$2:$G$462=G181,$P$2:$P$462)),0)</f>
        <v/>
      </c>
      <c r="AH181" s="6">
        <f t="array" ref="AH181">IFERROR((R181-AVERAGEIF($G$2:$G$462,G181,$R$2:$R$462))/_xlfn.STDEV.P(IF($G$2:$G$462=G181,$R$2:$R$462)),0)</f>
        <v/>
      </c>
      <c r="AI181" s="6">
        <f>IFERROR((AC181+AD181+AE181+AF181+AG181+AH181)/6,0)</f>
        <v/>
      </c>
    </row>
    <row r="182">
      <c r="A182" s="2">
        <f>IF(BD_Carga!A183&lt;&gt;"",BD_Carga!A183,"")</f>
        <v/>
      </c>
      <c r="B182">
        <f>IF(A182&lt;&gt;"",YEAR(A182),"")</f>
        <v/>
      </c>
      <c r="C182">
        <f>IF(A182&lt;&gt;"",MONTH(A182),"")</f>
        <v/>
      </c>
      <c r="D182">
        <f>IF(A182&lt;&gt;"",_xlfn.ISOWEEKNUM(A182),"")</f>
        <v/>
      </c>
      <c r="E182">
        <f>IF(A182&lt;&gt;"",TEXT(A182,"dddd"),"")</f>
        <v/>
      </c>
      <c r="F182">
        <f>IF(BD_Carga!C183&lt;&gt;"",BD_Carga!C183,"")</f>
        <v/>
      </c>
      <c r="G182">
        <f>IF(BD_Carga!D183&lt;&gt;"",BD_Carga!D183,"")</f>
        <v/>
      </c>
      <c r="H182">
        <f>IF(BD_Carga!Q183&lt;&gt;"",BD_Carga!Q183,"")</f>
        <v/>
      </c>
      <c r="I182">
        <f>IF(BD_Carga!R183&lt;&gt;"",BD_Carga!R183,"")</f>
        <v/>
      </c>
      <c r="J182">
        <f>IF(BD_Carga!S183&lt;&gt;"",BD_Carga!S183,"")</f>
        <v/>
      </c>
      <c r="K182" s="4">
        <f>IF(BD_Carga!E183&lt;&gt;"",BD_Carga!E183,0)</f>
        <v/>
      </c>
      <c r="L182" s="4">
        <f>IF(BD_Carga!F183&lt;&gt;"",BD_Carga!F183,0)</f>
        <v/>
      </c>
      <c r="M182" s="4">
        <f>IF(BD_Carga!G183&lt;&gt;"",BD_Carga!G183,0)</f>
        <v/>
      </c>
      <c r="N182" s="4">
        <f>IF(BD_Carga!H183&lt;&gt;"",BD_Carga!H183,0)</f>
        <v/>
      </c>
      <c r="O182" s="4">
        <f>IF(BD_Carga!I183&lt;&gt;"",BD_Carga!I183,0)</f>
        <v/>
      </c>
      <c r="P182" s="4">
        <f>IF(BD_Carga!J183&lt;&gt;"",BD_Carga!J183,0)</f>
        <v/>
      </c>
      <c r="Q182" s="5">
        <f>IF(BD_Carga!K183&lt;&gt;"",BD_Carga!K183,0)</f>
        <v/>
      </c>
      <c r="R182" s="5">
        <f>IF(BD_Carga!L183&lt;&gt;"",BD_Carga!L183,0)</f>
        <v/>
      </c>
      <c r="S182">
        <f>IF(BD_Carga!N183&lt;&gt;"",BD_Carga!N183,0)</f>
        <v/>
      </c>
      <c r="T182">
        <f>IF(BD_Carga!O183&lt;&gt;"",BD_Carga!O183,0)</f>
        <v/>
      </c>
      <c r="U182">
        <f>IF(BD_Carga!P183&lt;&gt;"",BD_Carga!P183,0)</f>
        <v/>
      </c>
      <c r="V182">
        <f>IF(BD_Carga!U183&lt;&gt;"",BD_Carga!U183,0)</f>
        <v/>
      </c>
      <c r="W182">
        <f>IF(BD_Carga!T183&lt;&gt;"",BD_Carga!T183,0)</f>
        <v/>
      </c>
      <c r="X182">
        <f>IF(BD_Carga!W183&lt;&gt;"",BD_Carga!W183,0)</f>
        <v/>
      </c>
      <c r="Y182">
        <f>IF(BD_Carga!X183&lt;&gt;"",BD_Carga!X183,0)</f>
        <v/>
      </c>
      <c r="Z182">
        <f>IF(BD_Carga!Y183&lt;&gt;"",BD_Carga!Y183,0)</f>
        <v/>
      </c>
      <c r="AA182">
        <f>IF(BD_Carga!Z183&lt;&gt;"",BD_Carga!Z183,0)</f>
        <v/>
      </c>
      <c r="AB182">
        <f>IF(BD_Carga!AA183&lt;&gt;"",BD_Carga!AA183,0)</f>
        <v/>
      </c>
      <c r="AC182" s="6">
        <f t="array" ref="AC182">IFERROR((L182-AVERAGEIF($G$2:$G$462,G182,$L$2:$L$462))/_xlfn.STDEV.P(IF($G$2:$G$462=G182,$L$2:$L$462)),0)</f>
        <v/>
      </c>
      <c r="AD182" s="6">
        <f t="array" ref="AD182">IFERROR((M182-AVERAGEIF($G$2:$G$462,G182,$M$2:$M$462))/_xlfn.STDEV.P(IF($G$2:$G$462=G182,$M$2:$M$462)),0)</f>
        <v/>
      </c>
      <c r="AE182" s="6">
        <f t="array" ref="AE182">IFERROR((N182-AVERAGEIF($G$2:$G$462,G182,$N$2:$N$462))/_xlfn.STDEV.P(IF($G$2:$G$462=G182,$N$2:$N$462)),0)</f>
        <v/>
      </c>
      <c r="AF182" s="6">
        <f t="array" ref="AF182">IFERROR((O182-AVERAGEIF($G$2:$G$462,G182,$O$2:$O$462))/_xlfn.STDEV.P(IF($G$2:$G$462=G182,$O$2:$O$462)),0)</f>
        <v/>
      </c>
      <c r="AG182" s="6">
        <f t="array" ref="AG182">IFERROR((P182-AVERAGEIF($G$2:$G$462,G182,$P$2:$P$462))/_xlfn.STDEV.P(IF($G$2:$G$462=G182,$P$2:$P$462)),0)</f>
        <v/>
      </c>
      <c r="AH182" s="6">
        <f t="array" ref="AH182">IFERROR((R182-AVERAGEIF($G$2:$G$462,G182,$R$2:$R$462))/_xlfn.STDEV.P(IF($G$2:$G$462=G182,$R$2:$R$462)),0)</f>
        <v/>
      </c>
      <c r="AI182" s="6">
        <f>IFERROR((AC182+AD182+AE182+AF182+AG182+AH182)/6,0)</f>
        <v/>
      </c>
    </row>
    <row r="183">
      <c r="A183" s="2">
        <f>IF(BD_Carga!A184&lt;&gt;"",BD_Carga!A184,"")</f>
        <v/>
      </c>
      <c r="B183">
        <f>IF(A183&lt;&gt;"",YEAR(A183),"")</f>
        <v/>
      </c>
      <c r="C183">
        <f>IF(A183&lt;&gt;"",MONTH(A183),"")</f>
        <v/>
      </c>
      <c r="D183">
        <f>IF(A183&lt;&gt;"",_xlfn.ISOWEEKNUM(A183),"")</f>
        <v/>
      </c>
      <c r="E183">
        <f>IF(A183&lt;&gt;"",TEXT(A183,"dddd"),"")</f>
        <v/>
      </c>
      <c r="F183">
        <f>IF(BD_Carga!C184&lt;&gt;"",BD_Carga!C184,"")</f>
        <v/>
      </c>
      <c r="G183">
        <f>IF(BD_Carga!D184&lt;&gt;"",BD_Carga!D184,"")</f>
        <v/>
      </c>
      <c r="H183">
        <f>IF(BD_Carga!Q184&lt;&gt;"",BD_Carga!Q184,"")</f>
        <v/>
      </c>
      <c r="I183">
        <f>IF(BD_Carga!R184&lt;&gt;"",BD_Carga!R184,"")</f>
        <v/>
      </c>
      <c r="J183">
        <f>IF(BD_Carga!S184&lt;&gt;"",BD_Carga!S184,"")</f>
        <v/>
      </c>
      <c r="K183" s="4">
        <f>IF(BD_Carga!E184&lt;&gt;"",BD_Carga!E184,0)</f>
        <v/>
      </c>
      <c r="L183" s="4">
        <f>IF(BD_Carga!F184&lt;&gt;"",BD_Carga!F184,0)</f>
        <v/>
      </c>
      <c r="M183" s="4">
        <f>IF(BD_Carga!G184&lt;&gt;"",BD_Carga!G184,0)</f>
        <v/>
      </c>
      <c r="N183" s="4">
        <f>IF(BD_Carga!H184&lt;&gt;"",BD_Carga!H184,0)</f>
        <v/>
      </c>
      <c r="O183" s="4">
        <f>IF(BD_Carga!I184&lt;&gt;"",BD_Carga!I184,0)</f>
        <v/>
      </c>
      <c r="P183" s="4">
        <f>IF(BD_Carga!J184&lt;&gt;"",BD_Carga!J184,0)</f>
        <v/>
      </c>
      <c r="Q183" s="5">
        <f>IF(BD_Carga!K184&lt;&gt;"",BD_Carga!K184,0)</f>
        <v/>
      </c>
      <c r="R183" s="5">
        <f>IF(BD_Carga!L184&lt;&gt;"",BD_Carga!L184,0)</f>
        <v/>
      </c>
      <c r="S183">
        <f>IF(BD_Carga!N184&lt;&gt;"",BD_Carga!N184,0)</f>
        <v/>
      </c>
      <c r="T183">
        <f>IF(BD_Carga!O184&lt;&gt;"",BD_Carga!O184,0)</f>
        <v/>
      </c>
      <c r="U183">
        <f>IF(BD_Carga!P184&lt;&gt;"",BD_Carga!P184,0)</f>
        <v/>
      </c>
      <c r="V183">
        <f>IF(BD_Carga!U184&lt;&gt;"",BD_Carga!U184,0)</f>
        <v/>
      </c>
      <c r="W183">
        <f>IF(BD_Carga!T184&lt;&gt;"",BD_Carga!T184,0)</f>
        <v/>
      </c>
      <c r="X183">
        <f>IF(BD_Carga!W184&lt;&gt;"",BD_Carga!W184,0)</f>
        <v/>
      </c>
      <c r="Y183">
        <f>IF(BD_Carga!X184&lt;&gt;"",BD_Carga!X184,0)</f>
        <v/>
      </c>
      <c r="Z183">
        <f>IF(BD_Carga!Y184&lt;&gt;"",BD_Carga!Y184,0)</f>
        <v/>
      </c>
      <c r="AA183">
        <f>IF(BD_Carga!Z184&lt;&gt;"",BD_Carga!Z184,0)</f>
        <v/>
      </c>
      <c r="AB183">
        <f>IF(BD_Carga!AA184&lt;&gt;"",BD_Carga!AA184,0)</f>
        <v/>
      </c>
      <c r="AC183" s="6">
        <f t="array" ref="AC183">IFERROR((L183-AVERAGEIF($G$2:$G$462,G183,$L$2:$L$462))/_xlfn.STDEV.P(IF($G$2:$G$462=G183,$L$2:$L$462)),0)</f>
        <v/>
      </c>
      <c r="AD183" s="6">
        <f t="array" ref="AD183">IFERROR((M183-AVERAGEIF($G$2:$G$462,G183,$M$2:$M$462))/_xlfn.STDEV.P(IF($G$2:$G$462=G183,$M$2:$M$462)),0)</f>
        <v/>
      </c>
      <c r="AE183" s="6">
        <f t="array" ref="AE183">IFERROR((N183-AVERAGEIF($G$2:$G$462,G183,$N$2:$N$462))/_xlfn.STDEV.P(IF($G$2:$G$462=G183,$N$2:$N$462)),0)</f>
        <v/>
      </c>
      <c r="AF183" s="6">
        <f t="array" ref="AF183">IFERROR((O183-AVERAGEIF($G$2:$G$462,G183,$O$2:$O$462))/_xlfn.STDEV.P(IF($G$2:$G$462=G183,$O$2:$O$462)),0)</f>
        <v/>
      </c>
      <c r="AG183" s="6">
        <f t="array" ref="AG183">IFERROR((P183-AVERAGEIF($G$2:$G$462,G183,$P$2:$P$462))/_xlfn.STDEV.P(IF($G$2:$G$462=G183,$P$2:$P$462)),0)</f>
        <v/>
      </c>
      <c r="AH183" s="6">
        <f t="array" ref="AH183">IFERROR((R183-AVERAGEIF($G$2:$G$462,G183,$R$2:$R$462))/_xlfn.STDEV.P(IF($G$2:$G$462=G183,$R$2:$R$462)),0)</f>
        <v/>
      </c>
      <c r="AI183" s="6">
        <f>IFERROR((AC183+AD183+AE183+AF183+AG183+AH183)/6,0)</f>
        <v/>
      </c>
    </row>
    <row r="184">
      <c r="A184" s="2">
        <f>IF(BD_Carga!A185&lt;&gt;"",BD_Carga!A185,"")</f>
        <v/>
      </c>
      <c r="B184">
        <f>IF(A184&lt;&gt;"",YEAR(A184),"")</f>
        <v/>
      </c>
      <c r="C184">
        <f>IF(A184&lt;&gt;"",MONTH(A184),"")</f>
        <v/>
      </c>
      <c r="D184">
        <f>IF(A184&lt;&gt;"",_xlfn.ISOWEEKNUM(A184),"")</f>
        <v/>
      </c>
      <c r="E184">
        <f>IF(A184&lt;&gt;"",TEXT(A184,"dddd"),"")</f>
        <v/>
      </c>
      <c r="F184">
        <f>IF(BD_Carga!C185&lt;&gt;"",BD_Carga!C185,"")</f>
        <v/>
      </c>
      <c r="G184">
        <f>IF(BD_Carga!D185&lt;&gt;"",BD_Carga!D185,"")</f>
        <v/>
      </c>
      <c r="H184">
        <f>IF(BD_Carga!Q185&lt;&gt;"",BD_Carga!Q185,"")</f>
        <v/>
      </c>
      <c r="I184">
        <f>IF(BD_Carga!R185&lt;&gt;"",BD_Carga!R185,"")</f>
        <v/>
      </c>
      <c r="J184">
        <f>IF(BD_Carga!S185&lt;&gt;"",BD_Carga!S185,"")</f>
        <v/>
      </c>
      <c r="K184" s="4">
        <f>IF(BD_Carga!E185&lt;&gt;"",BD_Carga!E185,0)</f>
        <v/>
      </c>
      <c r="L184" s="4">
        <f>IF(BD_Carga!F185&lt;&gt;"",BD_Carga!F185,0)</f>
        <v/>
      </c>
      <c r="M184" s="4">
        <f>IF(BD_Carga!G185&lt;&gt;"",BD_Carga!G185,0)</f>
        <v/>
      </c>
      <c r="N184" s="4">
        <f>IF(BD_Carga!H185&lt;&gt;"",BD_Carga!H185,0)</f>
        <v/>
      </c>
      <c r="O184" s="4">
        <f>IF(BD_Carga!I185&lt;&gt;"",BD_Carga!I185,0)</f>
        <v/>
      </c>
      <c r="P184" s="4">
        <f>IF(BD_Carga!J185&lt;&gt;"",BD_Carga!J185,0)</f>
        <v/>
      </c>
      <c r="Q184" s="5">
        <f>IF(BD_Carga!K185&lt;&gt;"",BD_Carga!K185,0)</f>
        <v/>
      </c>
      <c r="R184" s="5">
        <f>IF(BD_Carga!L185&lt;&gt;"",BD_Carga!L185,0)</f>
        <v/>
      </c>
      <c r="S184">
        <f>IF(BD_Carga!N185&lt;&gt;"",BD_Carga!N185,0)</f>
        <v/>
      </c>
      <c r="T184">
        <f>IF(BD_Carga!O185&lt;&gt;"",BD_Carga!O185,0)</f>
        <v/>
      </c>
      <c r="U184">
        <f>IF(BD_Carga!P185&lt;&gt;"",BD_Carga!P185,0)</f>
        <v/>
      </c>
      <c r="V184">
        <f>IF(BD_Carga!U185&lt;&gt;"",BD_Carga!U185,0)</f>
        <v/>
      </c>
      <c r="W184">
        <f>IF(BD_Carga!T185&lt;&gt;"",BD_Carga!T185,0)</f>
        <v/>
      </c>
      <c r="X184">
        <f>IF(BD_Carga!W185&lt;&gt;"",BD_Carga!W185,0)</f>
        <v/>
      </c>
      <c r="Y184">
        <f>IF(BD_Carga!X185&lt;&gt;"",BD_Carga!X185,0)</f>
        <v/>
      </c>
      <c r="Z184">
        <f>IF(BD_Carga!Y185&lt;&gt;"",BD_Carga!Y185,0)</f>
        <v/>
      </c>
      <c r="AA184">
        <f>IF(BD_Carga!Z185&lt;&gt;"",BD_Carga!Z185,0)</f>
        <v/>
      </c>
      <c r="AB184">
        <f>IF(BD_Carga!AA185&lt;&gt;"",BD_Carga!AA185,0)</f>
        <v/>
      </c>
      <c r="AC184" s="6">
        <f t="array" ref="AC184">IFERROR((L184-AVERAGEIF($G$2:$G$462,G184,$L$2:$L$462))/_xlfn.STDEV.P(IF($G$2:$G$462=G184,$L$2:$L$462)),0)</f>
        <v/>
      </c>
      <c r="AD184" s="6">
        <f t="array" ref="AD184">IFERROR((M184-AVERAGEIF($G$2:$G$462,G184,$M$2:$M$462))/_xlfn.STDEV.P(IF($G$2:$G$462=G184,$M$2:$M$462)),0)</f>
        <v/>
      </c>
      <c r="AE184" s="6">
        <f t="array" ref="AE184">IFERROR((N184-AVERAGEIF($G$2:$G$462,G184,$N$2:$N$462))/_xlfn.STDEV.P(IF($G$2:$G$462=G184,$N$2:$N$462)),0)</f>
        <v/>
      </c>
      <c r="AF184" s="6">
        <f t="array" ref="AF184">IFERROR((O184-AVERAGEIF($G$2:$G$462,G184,$O$2:$O$462))/_xlfn.STDEV.P(IF($G$2:$G$462=G184,$O$2:$O$462)),0)</f>
        <v/>
      </c>
      <c r="AG184" s="6">
        <f t="array" ref="AG184">IFERROR((P184-AVERAGEIF($G$2:$G$462,G184,$P$2:$P$462))/_xlfn.STDEV.P(IF($G$2:$G$462=G184,$P$2:$P$462)),0)</f>
        <v/>
      </c>
      <c r="AH184" s="6">
        <f t="array" ref="AH184">IFERROR((R184-AVERAGEIF($G$2:$G$462,G184,$R$2:$R$462))/_xlfn.STDEV.P(IF($G$2:$G$462=G184,$R$2:$R$462)),0)</f>
        <v/>
      </c>
      <c r="AI184" s="6">
        <f>IFERROR((AC184+AD184+AE184+AF184+AG184+AH184)/6,0)</f>
        <v/>
      </c>
    </row>
    <row r="185">
      <c r="A185" s="2">
        <f>IF(BD_Carga!A186&lt;&gt;"",BD_Carga!A186,"")</f>
        <v/>
      </c>
      <c r="B185">
        <f>IF(A185&lt;&gt;"",YEAR(A185),"")</f>
        <v/>
      </c>
      <c r="C185">
        <f>IF(A185&lt;&gt;"",MONTH(A185),"")</f>
        <v/>
      </c>
      <c r="D185">
        <f>IF(A185&lt;&gt;"",_xlfn.ISOWEEKNUM(A185),"")</f>
        <v/>
      </c>
      <c r="E185">
        <f>IF(A185&lt;&gt;"",TEXT(A185,"dddd"),"")</f>
        <v/>
      </c>
      <c r="F185">
        <f>IF(BD_Carga!C186&lt;&gt;"",BD_Carga!C186,"")</f>
        <v/>
      </c>
      <c r="G185">
        <f>IF(BD_Carga!D186&lt;&gt;"",BD_Carga!D186,"")</f>
        <v/>
      </c>
      <c r="H185">
        <f>IF(BD_Carga!Q186&lt;&gt;"",BD_Carga!Q186,"")</f>
        <v/>
      </c>
      <c r="I185">
        <f>IF(BD_Carga!R186&lt;&gt;"",BD_Carga!R186,"")</f>
        <v/>
      </c>
      <c r="J185">
        <f>IF(BD_Carga!S186&lt;&gt;"",BD_Carga!S186,"")</f>
        <v/>
      </c>
      <c r="K185" s="4">
        <f>IF(BD_Carga!E186&lt;&gt;"",BD_Carga!E186,0)</f>
        <v/>
      </c>
      <c r="L185" s="4">
        <f>IF(BD_Carga!F186&lt;&gt;"",BD_Carga!F186,0)</f>
        <v/>
      </c>
      <c r="M185" s="4">
        <f>IF(BD_Carga!G186&lt;&gt;"",BD_Carga!G186,0)</f>
        <v/>
      </c>
      <c r="N185" s="4">
        <f>IF(BD_Carga!H186&lt;&gt;"",BD_Carga!H186,0)</f>
        <v/>
      </c>
      <c r="O185" s="4">
        <f>IF(BD_Carga!I186&lt;&gt;"",BD_Carga!I186,0)</f>
        <v/>
      </c>
      <c r="P185" s="4">
        <f>IF(BD_Carga!J186&lt;&gt;"",BD_Carga!J186,0)</f>
        <v/>
      </c>
      <c r="Q185" s="5">
        <f>IF(BD_Carga!K186&lt;&gt;"",BD_Carga!K186,0)</f>
        <v/>
      </c>
      <c r="R185" s="5">
        <f>IF(BD_Carga!L186&lt;&gt;"",BD_Carga!L186,0)</f>
        <v/>
      </c>
      <c r="S185">
        <f>IF(BD_Carga!N186&lt;&gt;"",BD_Carga!N186,0)</f>
        <v/>
      </c>
      <c r="T185">
        <f>IF(BD_Carga!O186&lt;&gt;"",BD_Carga!O186,0)</f>
        <v/>
      </c>
      <c r="U185">
        <f>IF(BD_Carga!P186&lt;&gt;"",BD_Carga!P186,0)</f>
        <v/>
      </c>
      <c r="V185">
        <f>IF(BD_Carga!U186&lt;&gt;"",BD_Carga!U186,0)</f>
        <v/>
      </c>
      <c r="W185">
        <f>IF(BD_Carga!T186&lt;&gt;"",BD_Carga!T186,0)</f>
        <v/>
      </c>
      <c r="X185">
        <f>IF(BD_Carga!W186&lt;&gt;"",BD_Carga!W186,0)</f>
        <v/>
      </c>
      <c r="Y185">
        <f>IF(BD_Carga!X186&lt;&gt;"",BD_Carga!X186,0)</f>
        <v/>
      </c>
      <c r="Z185">
        <f>IF(BD_Carga!Y186&lt;&gt;"",BD_Carga!Y186,0)</f>
        <v/>
      </c>
      <c r="AA185">
        <f>IF(BD_Carga!Z186&lt;&gt;"",BD_Carga!Z186,0)</f>
        <v/>
      </c>
      <c r="AB185">
        <f>IF(BD_Carga!AA186&lt;&gt;"",BD_Carga!AA186,0)</f>
        <v/>
      </c>
      <c r="AC185" s="6">
        <f t="array" ref="AC185">IFERROR((L185-AVERAGEIF($G$2:$G$462,G185,$L$2:$L$462))/_xlfn.STDEV.P(IF($G$2:$G$462=G185,$L$2:$L$462)),0)</f>
        <v/>
      </c>
      <c r="AD185" s="6">
        <f t="array" ref="AD185">IFERROR((M185-AVERAGEIF($G$2:$G$462,G185,$M$2:$M$462))/_xlfn.STDEV.P(IF($G$2:$G$462=G185,$M$2:$M$462)),0)</f>
        <v/>
      </c>
      <c r="AE185" s="6">
        <f t="array" ref="AE185">IFERROR((N185-AVERAGEIF($G$2:$G$462,G185,$N$2:$N$462))/_xlfn.STDEV.P(IF($G$2:$G$462=G185,$N$2:$N$462)),0)</f>
        <v/>
      </c>
      <c r="AF185" s="6">
        <f t="array" ref="AF185">IFERROR((O185-AVERAGEIF($G$2:$G$462,G185,$O$2:$O$462))/_xlfn.STDEV.P(IF($G$2:$G$462=G185,$O$2:$O$462)),0)</f>
        <v/>
      </c>
      <c r="AG185" s="6">
        <f t="array" ref="AG185">IFERROR((P185-AVERAGEIF($G$2:$G$462,G185,$P$2:$P$462))/_xlfn.STDEV.P(IF($G$2:$G$462=G185,$P$2:$P$462)),0)</f>
        <v/>
      </c>
      <c r="AH185" s="6">
        <f t="array" ref="AH185">IFERROR((R185-AVERAGEIF($G$2:$G$462,G185,$R$2:$R$462))/_xlfn.STDEV.P(IF($G$2:$G$462=G185,$R$2:$R$462)),0)</f>
        <v/>
      </c>
      <c r="AI185" s="6">
        <f>IFERROR((AC185+AD185+AE185+AF185+AG185+AH185)/6,0)</f>
        <v/>
      </c>
    </row>
    <row r="186">
      <c r="A186" s="2">
        <f>IF(BD_Carga!A187&lt;&gt;"",BD_Carga!A187,"")</f>
        <v/>
      </c>
      <c r="B186">
        <f>IF(A186&lt;&gt;"",YEAR(A186),"")</f>
        <v/>
      </c>
      <c r="C186">
        <f>IF(A186&lt;&gt;"",MONTH(A186),"")</f>
        <v/>
      </c>
      <c r="D186">
        <f>IF(A186&lt;&gt;"",_xlfn.ISOWEEKNUM(A186),"")</f>
        <v/>
      </c>
      <c r="E186">
        <f>IF(A186&lt;&gt;"",TEXT(A186,"dddd"),"")</f>
        <v/>
      </c>
      <c r="F186">
        <f>IF(BD_Carga!C187&lt;&gt;"",BD_Carga!C187,"")</f>
        <v/>
      </c>
      <c r="G186">
        <f>IF(BD_Carga!D187&lt;&gt;"",BD_Carga!D187,"")</f>
        <v/>
      </c>
      <c r="H186">
        <f>IF(BD_Carga!Q187&lt;&gt;"",BD_Carga!Q187,"")</f>
        <v/>
      </c>
      <c r="I186">
        <f>IF(BD_Carga!R187&lt;&gt;"",BD_Carga!R187,"")</f>
        <v/>
      </c>
      <c r="J186">
        <f>IF(BD_Carga!S187&lt;&gt;"",BD_Carga!S187,"")</f>
        <v/>
      </c>
      <c r="K186" s="4">
        <f>IF(BD_Carga!E187&lt;&gt;"",BD_Carga!E187,0)</f>
        <v/>
      </c>
      <c r="L186" s="4">
        <f>IF(BD_Carga!F187&lt;&gt;"",BD_Carga!F187,0)</f>
        <v/>
      </c>
      <c r="M186" s="4">
        <f>IF(BD_Carga!G187&lt;&gt;"",BD_Carga!G187,0)</f>
        <v/>
      </c>
      <c r="N186" s="4">
        <f>IF(BD_Carga!H187&lt;&gt;"",BD_Carga!H187,0)</f>
        <v/>
      </c>
      <c r="O186" s="4">
        <f>IF(BD_Carga!I187&lt;&gt;"",BD_Carga!I187,0)</f>
        <v/>
      </c>
      <c r="P186" s="4">
        <f>IF(BD_Carga!J187&lt;&gt;"",BD_Carga!J187,0)</f>
        <v/>
      </c>
      <c r="Q186" s="5">
        <f>IF(BD_Carga!K187&lt;&gt;"",BD_Carga!K187,0)</f>
        <v/>
      </c>
      <c r="R186" s="5">
        <f>IF(BD_Carga!L187&lt;&gt;"",BD_Carga!L187,0)</f>
        <v/>
      </c>
      <c r="S186">
        <f>IF(BD_Carga!N187&lt;&gt;"",BD_Carga!N187,0)</f>
        <v/>
      </c>
      <c r="T186">
        <f>IF(BD_Carga!O187&lt;&gt;"",BD_Carga!O187,0)</f>
        <v/>
      </c>
      <c r="U186">
        <f>IF(BD_Carga!P187&lt;&gt;"",BD_Carga!P187,0)</f>
        <v/>
      </c>
      <c r="V186">
        <f>IF(BD_Carga!U187&lt;&gt;"",BD_Carga!U187,0)</f>
        <v/>
      </c>
      <c r="W186">
        <f>IF(BD_Carga!T187&lt;&gt;"",BD_Carga!T187,0)</f>
        <v/>
      </c>
      <c r="X186">
        <f>IF(BD_Carga!W187&lt;&gt;"",BD_Carga!W187,0)</f>
        <v/>
      </c>
      <c r="Y186">
        <f>IF(BD_Carga!X187&lt;&gt;"",BD_Carga!X187,0)</f>
        <v/>
      </c>
      <c r="Z186">
        <f>IF(BD_Carga!Y187&lt;&gt;"",BD_Carga!Y187,0)</f>
        <v/>
      </c>
      <c r="AA186">
        <f>IF(BD_Carga!Z187&lt;&gt;"",BD_Carga!Z187,0)</f>
        <v/>
      </c>
      <c r="AB186">
        <f>IF(BD_Carga!AA187&lt;&gt;"",BD_Carga!AA187,0)</f>
        <v/>
      </c>
      <c r="AC186" s="6">
        <f t="array" ref="AC186">IFERROR((L186-AVERAGEIF($G$2:$G$462,G186,$L$2:$L$462))/_xlfn.STDEV.P(IF($G$2:$G$462=G186,$L$2:$L$462)),0)</f>
        <v/>
      </c>
      <c r="AD186" s="6">
        <f t="array" ref="AD186">IFERROR((M186-AVERAGEIF($G$2:$G$462,G186,$M$2:$M$462))/_xlfn.STDEV.P(IF($G$2:$G$462=G186,$M$2:$M$462)),0)</f>
        <v/>
      </c>
      <c r="AE186" s="6">
        <f t="array" ref="AE186">IFERROR((N186-AVERAGEIF($G$2:$G$462,G186,$N$2:$N$462))/_xlfn.STDEV.P(IF($G$2:$G$462=G186,$N$2:$N$462)),0)</f>
        <v/>
      </c>
      <c r="AF186" s="6">
        <f t="array" ref="AF186">IFERROR((O186-AVERAGEIF($G$2:$G$462,G186,$O$2:$O$462))/_xlfn.STDEV.P(IF($G$2:$G$462=G186,$O$2:$O$462)),0)</f>
        <v/>
      </c>
      <c r="AG186" s="6">
        <f t="array" ref="AG186">IFERROR((P186-AVERAGEIF($G$2:$G$462,G186,$P$2:$P$462))/_xlfn.STDEV.P(IF($G$2:$G$462=G186,$P$2:$P$462)),0)</f>
        <v/>
      </c>
      <c r="AH186" s="6">
        <f t="array" ref="AH186">IFERROR((R186-AVERAGEIF($G$2:$G$462,G186,$R$2:$R$462))/_xlfn.STDEV.P(IF($G$2:$G$462=G186,$R$2:$R$462)),0)</f>
        <v/>
      </c>
      <c r="AI186" s="6">
        <f>IFERROR((AC186+AD186+AE186+AF186+AG186+AH186)/6,0)</f>
        <v/>
      </c>
    </row>
    <row r="187">
      <c r="A187" s="2">
        <f>IF(BD_Carga!A188&lt;&gt;"",BD_Carga!A188,"")</f>
        <v/>
      </c>
      <c r="B187">
        <f>IF(A187&lt;&gt;"",YEAR(A187),"")</f>
        <v/>
      </c>
      <c r="C187">
        <f>IF(A187&lt;&gt;"",MONTH(A187),"")</f>
        <v/>
      </c>
      <c r="D187">
        <f>IF(A187&lt;&gt;"",_xlfn.ISOWEEKNUM(A187),"")</f>
        <v/>
      </c>
      <c r="E187">
        <f>IF(A187&lt;&gt;"",TEXT(A187,"dddd"),"")</f>
        <v/>
      </c>
      <c r="F187">
        <f>IF(BD_Carga!C188&lt;&gt;"",BD_Carga!C188,"")</f>
        <v/>
      </c>
      <c r="G187">
        <f>IF(BD_Carga!D188&lt;&gt;"",BD_Carga!D188,"")</f>
        <v/>
      </c>
      <c r="H187">
        <f>IF(BD_Carga!Q188&lt;&gt;"",BD_Carga!Q188,"")</f>
        <v/>
      </c>
      <c r="I187">
        <f>IF(BD_Carga!R188&lt;&gt;"",BD_Carga!R188,"")</f>
        <v/>
      </c>
      <c r="J187">
        <f>IF(BD_Carga!S188&lt;&gt;"",BD_Carga!S188,"")</f>
        <v/>
      </c>
      <c r="K187" s="4">
        <f>IF(BD_Carga!E188&lt;&gt;"",BD_Carga!E188,0)</f>
        <v/>
      </c>
      <c r="L187" s="4">
        <f>IF(BD_Carga!F188&lt;&gt;"",BD_Carga!F188,0)</f>
        <v/>
      </c>
      <c r="M187" s="4">
        <f>IF(BD_Carga!G188&lt;&gt;"",BD_Carga!G188,0)</f>
        <v/>
      </c>
      <c r="N187" s="4">
        <f>IF(BD_Carga!H188&lt;&gt;"",BD_Carga!H188,0)</f>
        <v/>
      </c>
      <c r="O187" s="4">
        <f>IF(BD_Carga!I188&lt;&gt;"",BD_Carga!I188,0)</f>
        <v/>
      </c>
      <c r="P187" s="4">
        <f>IF(BD_Carga!J188&lt;&gt;"",BD_Carga!J188,0)</f>
        <v/>
      </c>
      <c r="Q187" s="5">
        <f>IF(BD_Carga!K188&lt;&gt;"",BD_Carga!K188,0)</f>
        <v/>
      </c>
      <c r="R187" s="5">
        <f>IF(BD_Carga!L188&lt;&gt;"",BD_Carga!L188,0)</f>
        <v/>
      </c>
      <c r="S187">
        <f>IF(BD_Carga!N188&lt;&gt;"",BD_Carga!N188,0)</f>
        <v/>
      </c>
      <c r="T187">
        <f>IF(BD_Carga!O188&lt;&gt;"",BD_Carga!O188,0)</f>
        <v/>
      </c>
      <c r="U187">
        <f>IF(BD_Carga!P188&lt;&gt;"",BD_Carga!P188,0)</f>
        <v/>
      </c>
      <c r="V187">
        <f>IF(BD_Carga!U188&lt;&gt;"",BD_Carga!U188,0)</f>
        <v/>
      </c>
      <c r="W187">
        <f>IF(BD_Carga!T188&lt;&gt;"",BD_Carga!T188,0)</f>
        <v/>
      </c>
      <c r="X187">
        <f>IF(BD_Carga!W188&lt;&gt;"",BD_Carga!W188,0)</f>
        <v/>
      </c>
      <c r="Y187">
        <f>IF(BD_Carga!X188&lt;&gt;"",BD_Carga!X188,0)</f>
        <v/>
      </c>
      <c r="Z187">
        <f>IF(BD_Carga!Y188&lt;&gt;"",BD_Carga!Y188,0)</f>
        <v/>
      </c>
      <c r="AA187">
        <f>IF(BD_Carga!Z188&lt;&gt;"",BD_Carga!Z188,0)</f>
        <v/>
      </c>
      <c r="AB187">
        <f>IF(BD_Carga!AA188&lt;&gt;"",BD_Carga!AA188,0)</f>
        <v/>
      </c>
      <c r="AC187" s="6">
        <f t="array" ref="AC187">IFERROR((L187-AVERAGEIF($G$2:$G$462,G187,$L$2:$L$462))/_xlfn.STDEV.P(IF($G$2:$G$462=G187,$L$2:$L$462)),0)</f>
        <v/>
      </c>
      <c r="AD187" s="6">
        <f t="array" ref="AD187">IFERROR((M187-AVERAGEIF($G$2:$G$462,G187,$M$2:$M$462))/_xlfn.STDEV.P(IF($G$2:$G$462=G187,$M$2:$M$462)),0)</f>
        <v/>
      </c>
      <c r="AE187" s="6">
        <f t="array" ref="AE187">IFERROR((N187-AVERAGEIF($G$2:$G$462,G187,$N$2:$N$462))/_xlfn.STDEV.P(IF($G$2:$G$462=G187,$N$2:$N$462)),0)</f>
        <v/>
      </c>
      <c r="AF187" s="6">
        <f t="array" ref="AF187">IFERROR((O187-AVERAGEIF($G$2:$G$462,G187,$O$2:$O$462))/_xlfn.STDEV.P(IF($G$2:$G$462=G187,$O$2:$O$462)),0)</f>
        <v/>
      </c>
      <c r="AG187" s="6">
        <f t="array" ref="AG187">IFERROR((P187-AVERAGEIF($G$2:$G$462,G187,$P$2:$P$462))/_xlfn.STDEV.P(IF($G$2:$G$462=G187,$P$2:$P$462)),0)</f>
        <v/>
      </c>
      <c r="AH187" s="6">
        <f t="array" ref="AH187">IFERROR((R187-AVERAGEIF($G$2:$G$462,G187,$R$2:$R$462))/_xlfn.STDEV.P(IF($G$2:$G$462=G187,$R$2:$R$462)),0)</f>
        <v/>
      </c>
      <c r="AI187" s="6">
        <f>IFERROR((AC187+AD187+AE187+AF187+AG187+AH187)/6,0)</f>
        <v/>
      </c>
    </row>
    <row r="188">
      <c r="A188" s="2">
        <f>IF(BD_Carga!A189&lt;&gt;"",BD_Carga!A189,"")</f>
        <v/>
      </c>
      <c r="B188">
        <f>IF(A188&lt;&gt;"",YEAR(A188),"")</f>
        <v/>
      </c>
      <c r="C188">
        <f>IF(A188&lt;&gt;"",MONTH(A188),"")</f>
        <v/>
      </c>
      <c r="D188">
        <f>IF(A188&lt;&gt;"",_xlfn.ISOWEEKNUM(A188),"")</f>
        <v/>
      </c>
      <c r="E188">
        <f>IF(A188&lt;&gt;"",TEXT(A188,"dddd"),"")</f>
        <v/>
      </c>
      <c r="F188">
        <f>IF(BD_Carga!C189&lt;&gt;"",BD_Carga!C189,"")</f>
        <v/>
      </c>
      <c r="G188">
        <f>IF(BD_Carga!D189&lt;&gt;"",BD_Carga!D189,"")</f>
        <v/>
      </c>
      <c r="H188">
        <f>IF(BD_Carga!Q189&lt;&gt;"",BD_Carga!Q189,"")</f>
        <v/>
      </c>
      <c r="I188">
        <f>IF(BD_Carga!R189&lt;&gt;"",BD_Carga!R189,"")</f>
        <v/>
      </c>
      <c r="J188">
        <f>IF(BD_Carga!S189&lt;&gt;"",BD_Carga!S189,"")</f>
        <v/>
      </c>
      <c r="K188" s="4">
        <f>IF(BD_Carga!E189&lt;&gt;"",BD_Carga!E189,0)</f>
        <v/>
      </c>
      <c r="L188" s="4">
        <f>IF(BD_Carga!F189&lt;&gt;"",BD_Carga!F189,0)</f>
        <v/>
      </c>
      <c r="M188" s="4">
        <f>IF(BD_Carga!G189&lt;&gt;"",BD_Carga!G189,0)</f>
        <v/>
      </c>
      <c r="N188" s="4">
        <f>IF(BD_Carga!H189&lt;&gt;"",BD_Carga!H189,0)</f>
        <v/>
      </c>
      <c r="O188" s="4">
        <f>IF(BD_Carga!I189&lt;&gt;"",BD_Carga!I189,0)</f>
        <v/>
      </c>
      <c r="P188" s="4">
        <f>IF(BD_Carga!J189&lt;&gt;"",BD_Carga!J189,0)</f>
        <v/>
      </c>
      <c r="Q188" s="5">
        <f>IF(BD_Carga!K189&lt;&gt;"",BD_Carga!K189,0)</f>
        <v/>
      </c>
      <c r="R188" s="5">
        <f>IF(BD_Carga!L189&lt;&gt;"",BD_Carga!L189,0)</f>
        <v/>
      </c>
      <c r="S188">
        <f>IF(BD_Carga!N189&lt;&gt;"",BD_Carga!N189,0)</f>
        <v/>
      </c>
      <c r="T188">
        <f>IF(BD_Carga!O189&lt;&gt;"",BD_Carga!O189,0)</f>
        <v/>
      </c>
      <c r="U188">
        <f>IF(BD_Carga!P189&lt;&gt;"",BD_Carga!P189,0)</f>
        <v/>
      </c>
      <c r="V188">
        <f>IF(BD_Carga!U189&lt;&gt;"",BD_Carga!U189,0)</f>
        <v/>
      </c>
      <c r="W188">
        <f>IF(BD_Carga!T189&lt;&gt;"",BD_Carga!T189,0)</f>
        <v/>
      </c>
      <c r="X188">
        <f>IF(BD_Carga!W189&lt;&gt;"",BD_Carga!W189,0)</f>
        <v/>
      </c>
      <c r="Y188">
        <f>IF(BD_Carga!X189&lt;&gt;"",BD_Carga!X189,0)</f>
        <v/>
      </c>
      <c r="Z188">
        <f>IF(BD_Carga!Y189&lt;&gt;"",BD_Carga!Y189,0)</f>
        <v/>
      </c>
      <c r="AA188">
        <f>IF(BD_Carga!Z189&lt;&gt;"",BD_Carga!Z189,0)</f>
        <v/>
      </c>
      <c r="AB188">
        <f>IF(BD_Carga!AA189&lt;&gt;"",BD_Carga!AA189,0)</f>
        <v/>
      </c>
      <c r="AC188" s="6">
        <f t="array" ref="AC188">IFERROR((L188-AVERAGEIF($G$2:$G$462,G188,$L$2:$L$462))/_xlfn.STDEV.P(IF($G$2:$G$462=G188,$L$2:$L$462)),0)</f>
        <v/>
      </c>
      <c r="AD188" s="6">
        <f t="array" ref="AD188">IFERROR((M188-AVERAGEIF($G$2:$G$462,G188,$M$2:$M$462))/_xlfn.STDEV.P(IF($G$2:$G$462=G188,$M$2:$M$462)),0)</f>
        <v/>
      </c>
      <c r="AE188" s="6">
        <f t="array" ref="AE188">IFERROR((N188-AVERAGEIF($G$2:$G$462,G188,$N$2:$N$462))/_xlfn.STDEV.P(IF($G$2:$G$462=G188,$N$2:$N$462)),0)</f>
        <v/>
      </c>
      <c r="AF188" s="6">
        <f t="array" ref="AF188">IFERROR((O188-AVERAGEIF($G$2:$G$462,G188,$O$2:$O$462))/_xlfn.STDEV.P(IF($G$2:$G$462=G188,$O$2:$O$462)),0)</f>
        <v/>
      </c>
      <c r="AG188" s="6">
        <f t="array" ref="AG188">IFERROR((P188-AVERAGEIF($G$2:$G$462,G188,$P$2:$P$462))/_xlfn.STDEV.P(IF($G$2:$G$462=G188,$P$2:$P$462)),0)</f>
        <v/>
      </c>
      <c r="AH188" s="6">
        <f t="array" ref="AH188">IFERROR((R188-AVERAGEIF($G$2:$G$462,G188,$R$2:$R$462))/_xlfn.STDEV.P(IF($G$2:$G$462=G188,$R$2:$R$462)),0)</f>
        <v/>
      </c>
      <c r="AI188" s="6">
        <f>IFERROR((AC188+AD188+AE188+AF188+AG188+AH188)/6,0)</f>
        <v/>
      </c>
    </row>
    <row r="189">
      <c r="A189" s="2">
        <f>IF(BD_Carga!A190&lt;&gt;"",BD_Carga!A190,"")</f>
        <v/>
      </c>
      <c r="B189">
        <f>IF(A189&lt;&gt;"",YEAR(A189),"")</f>
        <v/>
      </c>
      <c r="C189">
        <f>IF(A189&lt;&gt;"",MONTH(A189),"")</f>
        <v/>
      </c>
      <c r="D189">
        <f>IF(A189&lt;&gt;"",_xlfn.ISOWEEKNUM(A189),"")</f>
        <v/>
      </c>
      <c r="E189">
        <f>IF(A189&lt;&gt;"",TEXT(A189,"dddd"),"")</f>
        <v/>
      </c>
      <c r="F189">
        <f>IF(BD_Carga!C190&lt;&gt;"",BD_Carga!C190,"")</f>
        <v/>
      </c>
      <c r="G189">
        <f>IF(BD_Carga!D190&lt;&gt;"",BD_Carga!D190,"")</f>
        <v/>
      </c>
      <c r="H189">
        <f>IF(BD_Carga!Q190&lt;&gt;"",BD_Carga!Q190,"")</f>
        <v/>
      </c>
      <c r="I189">
        <f>IF(BD_Carga!R190&lt;&gt;"",BD_Carga!R190,"")</f>
        <v/>
      </c>
      <c r="J189">
        <f>IF(BD_Carga!S190&lt;&gt;"",BD_Carga!S190,"")</f>
        <v/>
      </c>
      <c r="K189" s="4">
        <f>IF(BD_Carga!E190&lt;&gt;"",BD_Carga!E190,0)</f>
        <v/>
      </c>
      <c r="L189" s="4">
        <f>IF(BD_Carga!F190&lt;&gt;"",BD_Carga!F190,0)</f>
        <v/>
      </c>
      <c r="M189" s="4">
        <f>IF(BD_Carga!G190&lt;&gt;"",BD_Carga!G190,0)</f>
        <v/>
      </c>
      <c r="N189" s="4">
        <f>IF(BD_Carga!H190&lt;&gt;"",BD_Carga!H190,0)</f>
        <v/>
      </c>
      <c r="O189" s="4">
        <f>IF(BD_Carga!I190&lt;&gt;"",BD_Carga!I190,0)</f>
        <v/>
      </c>
      <c r="P189" s="4">
        <f>IF(BD_Carga!J190&lt;&gt;"",BD_Carga!J190,0)</f>
        <v/>
      </c>
      <c r="Q189" s="5">
        <f>IF(BD_Carga!K190&lt;&gt;"",BD_Carga!K190,0)</f>
        <v/>
      </c>
      <c r="R189" s="5">
        <f>IF(BD_Carga!L190&lt;&gt;"",BD_Carga!L190,0)</f>
        <v/>
      </c>
      <c r="S189">
        <f>IF(BD_Carga!N190&lt;&gt;"",BD_Carga!N190,0)</f>
        <v/>
      </c>
      <c r="T189">
        <f>IF(BD_Carga!O190&lt;&gt;"",BD_Carga!O190,0)</f>
        <v/>
      </c>
      <c r="U189">
        <f>IF(BD_Carga!P190&lt;&gt;"",BD_Carga!P190,0)</f>
        <v/>
      </c>
      <c r="V189">
        <f>IF(BD_Carga!U190&lt;&gt;"",BD_Carga!U190,0)</f>
        <v/>
      </c>
      <c r="W189">
        <f>IF(BD_Carga!T190&lt;&gt;"",BD_Carga!T190,0)</f>
        <v/>
      </c>
      <c r="X189">
        <f>IF(BD_Carga!W190&lt;&gt;"",BD_Carga!W190,0)</f>
        <v/>
      </c>
      <c r="Y189">
        <f>IF(BD_Carga!X190&lt;&gt;"",BD_Carga!X190,0)</f>
        <v/>
      </c>
      <c r="Z189">
        <f>IF(BD_Carga!Y190&lt;&gt;"",BD_Carga!Y190,0)</f>
        <v/>
      </c>
      <c r="AA189">
        <f>IF(BD_Carga!Z190&lt;&gt;"",BD_Carga!Z190,0)</f>
        <v/>
      </c>
      <c r="AB189">
        <f>IF(BD_Carga!AA190&lt;&gt;"",BD_Carga!AA190,0)</f>
        <v/>
      </c>
      <c r="AC189" s="6">
        <f t="array" ref="AC189">IFERROR((L189-AVERAGEIF($G$2:$G$462,G189,$L$2:$L$462))/_xlfn.STDEV.P(IF($G$2:$G$462=G189,$L$2:$L$462)),0)</f>
        <v/>
      </c>
      <c r="AD189" s="6">
        <f t="array" ref="AD189">IFERROR((M189-AVERAGEIF($G$2:$G$462,G189,$M$2:$M$462))/_xlfn.STDEV.P(IF($G$2:$G$462=G189,$M$2:$M$462)),0)</f>
        <v/>
      </c>
      <c r="AE189" s="6">
        <f t="array" ref="AE189">IFERROR((N189-AVERAGEIF($G$2:$G$462,G189,$N$2:$N$462))/_xlfn.STDEV.P(IF($G$2:$G$462=G189,$N$2:$N$462)),0)</f>
        <v/>
      </c>
      <c r="AF189" s="6">
        <f t="array" ref="AF189">IFERROR((O189-AVERAGEIF($G$2:$G$462,G189,$O$2:$O$462))/_xlfn.STDEV.P(IF($G$2:$G$462=G189,$O$2:$O$462)),0)</f>
        <v/>
      </c>
      <c r="AG189" s="6">
        <f t="array" ref="AG189">IFERROR((P189-AVERAGEIF($G$2:$G$462,G189,$P$2:$P$462))/_xlfn.STDEV.P(IF($G$2:$G$462=G189,$P$2:$P$462)),0)</f>
        <v/>
      </c>
      <c r="AH189" s="6">
        <f t="array" ref="AH189">IFERROR((R189-AVERAGEIF($G$2:$G$462,G189,$R$2:$R$462))/_xlfn.STDEV.P(IF($G$2:$G$462=G189,$R$2:$R$462)),0)</f>
        <v/>
      </c>
      <c r="AI189" s="6">
        <f>IFERROR((AC189+AD189+AE189+AF189+AG189+AH189)/6,0)</f>
        <v/>
      </c>
    </row>
    <row r="190">
      <c r="A190" s="2">
        <f>IF(BD_Carga!A191&lt;&gt;"",BD_Carga!A191,"")</f>
        <v/>
      </c>
      <c r="B190">
        <f>IF(A190&lt;&gt;"",YEAR(A190),"")</f>
        <v/>
      </c>
      <c r="C190">
        <f>IF(A190&lt;&gt;"",MONTH(A190),"")</f>
        <v/>
      </c>
      <c r="D190">
        <f>IF(A190&lt;&gt;"",_xlfn.ISOWEEKNUM(A190),"")</f>
        <v/>
      </c>
      <c r="E190">
        <f>IF(A190&lt;&gt;"",TEXT(A190,"dddd"),"")</f>
        <v/>
      </c>
      <c r="F190">
        <f>IF(BD_Carga!C191&lt;&gt;"",BD_Carga!C191,"")</f>
        <v/>
      </c>
      <c r="G190">
        <f>IF(BD_Carga!D191&lt;&gt;"",BD_Carga!D191,"")</f>
        <v/>
      </c>
      <c r="H190">
        <f>IF(BD_Carga!Q191&lt;&gt;"",BD_Carga!Q191,"")</f>
        <v/>
      </c>
      <c r="I190">
        <f>IF(BD_Carga!R191&lt;&gt;"",BD_Carga!R191,"")</f>
        <v/>
      </c>
      <c r="J190">
        <f>IF(BD_Carga!S191&lt;&gt;"",BD_Carga!S191,"")</f>
        <v/>
      </c>
      <c r="K190" s="4">
        <f>IF(BD_Carga!E191&lt;&gt;"",BD_Carga!E191,0)</f>
        <v/>
      </c>
      <c r="L190" s="4">
        <f>IF(BD_Carga!F191&lt;&gt;"",BD_Carga!F191,0)</f>
        <v/>
      </c>
      <c r="M190" s="4">
        <f>IF(BD_Carga!G191&lt;&gt;"",BD_Carga!G191,0)</f>
        <v/>
      </c>
      <c r="N190" s="4">
        <f>IF(BD_Carga!H191&lt;&gt;"",BD_Carga!H191,0)</f>
        <v/>
      </c>
      <c r="O190" s="4">
        <f>IF(BD_Carga!I191&lt;&gt;"",BD_Carga!I191,0)</f>
        <v/>
      </c>
      <c r="P190" s="4">
        <f>IF(BD_Carga!J191&lt;&gt;"",BD_Carga!J191,0)</f>
        <v/>
      </c>
      <c r="Q190" s="5">
        <f>IF(BD_Carga!K191&lt;&gt;"",BD_Carga!K191,0)</f>
        <v/>
      </c>
      <c r="R190" s="5">
        <f>IF(BD_Carga!L191&lt;&gt;"",BD_Carga!L191,0)</f>
        <v/>
      </c>
      <c r="S190">
        <f>IF(BD_Carga!N191&lt;&gt;"",BD_Carga!N191,0)</f>
        <v/>
      </c>
      <c r="T190">
        <f>IF(BD_Carga!O191&lt;&gt;"",BD_Carga!O191,0)</f>
        <v/>
      </c>
      <c r="U190">
        <f>IF(BD_Carga!P191&lt;&gt;"",BD_Carga!P191,0)</f>
        <v/>
      </c>
      <c r="V190">
        <f>IF(BD_Carga!U191&lt;&gt;"",BD_Carga!U191,0)</f>
        <v/>
      </c>
      <c r="W190">
        <f>IF(BD_Carga!T191&lt;&gt;"",BD_Carga!T191,0)</f>
        <v/>
      </c>
      <c r="X190">
        <f>IF(BD_Carga!W191&lt;&gt;"",BD_Carga!W191,0)</f>
        <v/>
      </c>
      <c r="Y190">
        <f>IF(BD_Carga!X191&lt;&gt;"",BD_Carga!X191,0)</f>
        <v/>
      </c>
      <c r="Z190">
        <f>IF(BD_Carga!Y191&lt;&gt;"",BD_Carga!Y191,0)</f>
        <v/>
      </c>
      <c r="AA190">
        <f>IF(BD_Carga!Z191&lt;&gt;"",BD_Carga!Z191,0)</f>
        <v/>
      </c>
      <c r="AB190">
        <f>IF(BD_Carga!AA191&lt;&gt;"",BD_Carga!AA191,0)</f>
        <v/>
      </c>
      <c r="AC190" s="6">
        <f t="array" ref="AC190">IFERROR((L190-AVERAGEIF($G$2:$G$462,G190,$L$2:$L$462))/_xlfn.STDEV.P(IF($G$2:$G$462=G190,$L$2:$L$462)),0)</f>
        <v/>
      </c>
      <c r="AD190" s="6">
        <f t="array" ref="AD190">IFERROR((M190-AVERAGEIF($G$2:$G$462,G190,$M$2:$M$462))/_xlfn.STDEV.P(IF($G$2:$G$462=G190,$M$2:$M$462)),0)</f>
        <v/>
      </c>
      <c r="AE190" s="6">
        <f t="array" ref="AE190">IFERROR((N190-AVERAGEIF($G$2:$G$462,G190,$N$2:$N$462))/_xlfn.STDEV.P(IF($G$2:$G$462=G190,$N$2:$N$462)),0)</f>
        <v/>
      </c>
      <c r="AF190" s="6">
        <f t="array" ref="AF190">IFERROR((O190-AVERAGEIF($G$2:$G$462,G190,$O$2:$O$462))/_xlfn.STDEV.P(IF($G$2:$G$462=G190,$O$2:$O$462)),0)</f>
        <v/>
      </c>
      <c r="AG190" s="6">
        <f t="array" ref="AG190">IFERROR((P190-AVERAGEIF($G$2:$G$462,G190,$P$2:$P$462))/_xlfn.STDEV.P(IF($G$2:$G$462=G190,$P$2:$P$462)),0)</f>
        <v/>
      </c>
      <c r="AH190" s="6">
        <f t="array" ref="AH190">IFERROR((R190-AVERAGEIF($G$2:$G$462,G190,$R$2:$R$462))/_xlfn.STDEV.P(IF($G$2:$G$462=G190,$R$2:$R$462)),0)</f>
        <v/>
      </c>
      <c r="AI190" s="6">
        <f>IFERROR((AC190+AD190+AE190+AF190+AG190+AH190)/6,0)</f>
        <v/>
      </c>
    </row>
    <row r="191">
      <c r="A191" s="2">
        <f>IF(BD_Carga!A192&lt;&gt;"",BD_Carga!A192,"")</f>
        <v/>
      </c>
      <c r="B191">
        <f>IF(A191&lt;&gt;"",YEAR(A191),"")</f>
        <v/>
      </c>
      <c r="C191">
        <f>IF(A191&lt;&gt;"",MONTH(A191),"")</f>
        <v/>
      </c>
      <c r="D191">
        <f>IF(A191&lt;&gt;"",_xlfn.ISOWEEKNUM(A191),"")</f>
        <v/>
      </c>
      <c r="E191">
        <f>IF(A191&lt;&gt;"",TEXT(A191,"dddd"),"")</f>
        <v/>
      </c>
      <c r="F191">
        <f>IF(BD_Carga!C192&lt;&gt;"",BD_Carga!C192,"")</f>
        <v/>
      </c>
      <c r="G191">
        <f>IF(BD_Carga!D192&lt;&gt;"",BD_Carga!D192,"")</f>
        <v/>
      </c>
      <c r="H191">
        <f>IF(BD_Carga!Q192&lt;&gt;"",BD_Carga!Q192,"")</f>
        <v/>
      </c>
      <c r="I191">
        <f>IF(BD_Carga!R192&lt;&gt;"",BD_Carga!R192,"")</f>
        <v/>
      </c>
      <c r="J191">
        <f>IF(BD_Carga!S192&lt;&gt;"",BD_Carga!S192,"")</f>
        <v/>
      </c>
      <c r="K191" s="4">
        <f>IF(BD_Carga!E192&lt;&gt;"",BD_Carga!E192,0)</f>
        <v/>
      </c>
      <c r="L191" s="4">
        <f>IF(BD_Carga!F192&lt;&gt;"",BD_Carga!F192,0)</f>
        <v/>
      </c>
      <c r="M191" s="4">
        <f>IF(BD_Carga!G192&lt;&gt;"",BD_Carga!G192,0)</f>
        <v/>
      </c>
      <c r="N191" s="4">
        <f>IF(BD_Carga!H192&lt;&gt;"",BD_Carga!H192,0)</f>
        <v/>
      </c>
      <c r="O191" s="4">
        <f>IF(BD_Carga!I192&lt;&gt;"",BD_Carga!I192,0)</f>
        <v/>
      </c>
      <c r="P191" s="4">
        <f>IF(BD_Carga!J192&lt;&gt;"",BD_Carga!J192,0)</f>
        <v/>
      </c>
      <c r="Q191" s="5">
        <f>IF(BD_Carga!K192&lt;&gt;"",BD_Carga!K192,0)</f>
        <v/>
      </c>
      <c r="R191" s="5">
        <f>IF(BD_Carga!L192&lt;&gt;"",BD_Carga!L192,0)</f>
        <v/>
      </c>
      <c r="S191">
        <f>IF(BD_Carga!N192&lt;&gt;"",BD_Carga!N192,0)</f>
        <v/>
      </c>
      <c r="T191">
        <f>IF(BD_Carga!O192&lt;&gt;"",BD_Carga!O192,0)</f>
        <v/>
      </c>
      <c r="U191">
        <f>IF(BD_Carga!P192&lt;&gt;"",BD_Carga!P192,0)</f>
        <v/>
      </c>
      <c r="V191">
        <f>IF(BD_Carga!U192&lt;&gt;"",BD_Carga!U192,0)</f>
        <v/>
      </c>
      <c r="W191">
        <f>IF(BD_Carga!T192&lt;&gt;"",BD_Carga!T192,0)</f>
        <v/>
      </c>
      <c r="X191">
        <f>IF(BD_Carga!W192&lt;&gt;"",BD_Carga!W192,0)</f>
        <v/>
      </c>
      <c r="Y191">
        <f>IF(BD_Carga!X192&lt;&gt;"",BD_Carga!X192,0)</f>
        <v/>
      </c>
      <c r="Z191">
        <f>IF(BD_Carga!Y192&lt;&gt;"",BD_Carga!Y192,0)</f>
        <v/>
      </c>
      <c r="AA191">
        <f>IF(BD_Carga!Z192&lt;&gt;"",BD_Carga!Z192,0)</f>
        <v/>
      </c>
      <c r="AB191">
        <f>IF(BD_Carga!AA192&lt;&gt;"",BD_Carga!AA192,0)</f>
        <v/>
      </c>
      <c r="AC191" s="6">
        <f t="array" ref="AC191">IFERROR((L191-AVERAGEIF($G$2:$G$462,G191,$L$2:$L$462))/_xlfn.STDEV.P(IF($G$2:$G$462=G191,$L$2:$L$462)),0)</f>
        <v/>
      </c>
      <c r="AD191" s="6">
        <f t="array" ref="AD191">IFERROR((M191-AVERAGEIF($G$2:$G$462,G191,$M$2:$M$462))/_xlfn.STDEV.P(IF($G$2:$G$462=G191,$M$2:$M$462)),0)</f>
        <v/>
      </c>
      <c r="AE191" s="6">
        <f t="array" ref="AE191">IFERROR((N191-AVERAGEIF($G$2:$G$462,G191,$N$2:$N$462))/_xlfn.STDEV.P(IF($G$2:$G$462=G191,$N$2:$N$462)),0)</f>
        <v/>
      </c>
      <c r="AF191" s="6">
        <f t="array" ref="AF191">IFERROR((O191-AVERAGEIF($G$2:$G$462,G191,$O$2:$O$462))/_xlfn.STDEV.P(IF($G$2:$G$462=G191,$O$2:$O$462)),0)</f>
        <v/>
      </c>
      <c r="AG191" s="6">
        <f t="array" ref="AG191">IFERROR((P191-AVERAGEIF($G$2:$G$462,G191,$P$2:$P$462))/_xlfn.STDEV.P(IF($G$2:$G$462=G191,$P$2:$P$462)),0)</f>
        <v/>
      </c>
      <c r="AH191" s="6">
        <f t="array" ref="AH191">IFERROR((R191-AVERAGEIF($G$2:$G$462,G191,$R$2:$R$462))/_xlfn.STDEV.P(IF($G$2:$G$462=G191,$R$2:$R$462)),0)</f>
        <v/>
      </c>
      <c r="AI191" s="6">
        <f>IFERROR((AC191+AD191+AE191+AF191+AG191+AH191)/6,0)</f>
        <v/>
      </c>
    </row>
    <row r="192">
      <c r="A192" s="2">
        <f>IF(BD_Carga!A193&lt;&gt;"",BD_Carga!A193,"")</f>
        <v/>
      </c>
      <c r="B192">
        <f>IF(A192&lt;&gt;"",YEAR(A192),"")</f>
        <v/>
      </c>
      <c r="C192">
        <f>IF(A192&lt;&gt;"",MONTH(A192),"")</f>
        <v/>
      </c>
      <c r="D192">
        <f>IF(A192&lt;&gt;"",_xlfn.ISOWEEKNUM(A192),"")</f>
        <v/>
      </c>
      <c r="E192">
        <f>IF(A192&lt;&gt;"",TEXT(A192,"dddd"),"")</f>
        <v/>
      </c>
      <c r="F192">
        <f>IF(BD_Carga!C193&lt;&gt;"",BD_Carga!C193,"")</f>
        <v/>
      </c>
      <c r="G192">
        <f>IF(BD_Carga!D193&lt;&gt;"",BD_Carga!D193,"")</f>
        <v/>
      </c>
      <c r="H192">
        <f>IF(BD_Carga!Q193&lt;&gt;"",BD_Carga!Q193,"")</f>
        <v/>
      </c>
      <c r="I192">
        <f>IF(BD_Carga!R193&lt;&gt;"",BD_Carga!R193,"")</f>
        <v/>
      </c>
      <c r="J192">
        <f>IF(BD_Carga!S193&lt;&gt;"",BD_Carga!S193,"")</f>
        <v/>
      </c>
      <c r="K192" s="4">
        <f>IF(BD_Carga!E193&lt;&gt;"",BD_Carga!E193,0)</f>
        <v/>
      </c>
      <c r="L192" s="4">
        <f>IF(BD_Carga!F193&lt;&gt;"",BD_Carga!F193,0)</f>
        <v/>
      </c>
      <c r="M192" s="4">
        <f>IF(BD_Carga!G193&lt;&gt;"",BD_Carga!G193,0)</f>
        <v/>
      </c>
      <c r="N192" s="4">
        <f>IF(BD_Carga!H193&lt;&gt;"",BD_Carga!H193,0)</f>
        <v/>
      </c>
      <c r="O192" s="4">
        <f>IF(BD_Carga!I193&lt;&gt;"",BD_Carga!I193,0)</f>
        <v/>
      </c>
      <c r="P192" s="4">
        <f>IF(BD_Carga!J193&lt;&gt;"",BD_Carga!J193,0)</f>
        <v/>
      </c>
      <c r="Q192" s="5">
        <f>IF(BD_Carga!K193&lt;&gt;"",BD_Carga!K193,0)</f>
        <v/>
      </c>
      <c r="R192" s="5">
        <f>IF(BD_Carga!L193&lt;&gt;"",BD_Carga!L193,0)</f>
        <v/>
      </c>
      <c r="S192">
        <f>IF(BD_Carga!N193&lt;&gt;"",BD_Carga!N193,0)</f>
        <v/>
      </c>
      <c r="T192">
        <f>IF(BD_Carga!O193&lt;&gt;"",BD_Carga!O193,0)</f>
        <v/>
      </c>
      <c r="U192">
        <f>IF(BD_Carga!P193&lt;&gt;"",BD_Carga!P193,0)</f>
        <v/>
      </c>
      <c r="V192">
        <f>IF(BD_Carga!U193&lt;&gt;"",BD_Carga!U193,0)</f>
        <v/>
      </c>
      <c r="W192">
        <f>IF(BD_Carga!T193&lt;&gt;"",BD_Carga!T193,0)</f>
        <v/>
      </c>
      <c r="X192">
        <f>IF(BD_Carga!W193&lt;&gt;"",BD_Carga!W193,0)</f>
        <v/>
      </c>
      <c r="Y192">
        <f>IF(BD_Carga!X193&lt;&gt;"",BD_Carga!X193,0)</f>
        <v/>
      </c>
      <c r="Z192">
        <f>IF(BD_Carga!Y193&lt;&gt;"",BD_Carga!Y193,0)</f>
        <v/>
      </c>
      <c r="AA192">
        <f>IF(BD_Carga!Z193&lt;&gt;"",BD_Carga!Z193,0)</f>
        <v/>
      </c>
      <c r="AB192">
        <f>IF(BD_Carga!AA193&lt;&gt;"",BD_Carga!AA193,0)</f>
        <v/>
      </c>
      <c r="AC192" s="6">
        <f t="array" ref="AC192">IFERROR((L192-AVERAGEIF($G$2:$G$462,G192,$L$2:$L$462))/_xlfn.STDEV.P(IF($G$2:$G$462=G192,$L$2:$L$462)),0)</f>
        <v/>
      </c>
      <c r="AD192" s="6">
        <f t="array" ref="AD192">IFERROR((M192-AVERAGEIF($G$2:$G$462,G192,$M$2:$M$462))/_xlfn.STDEV.P(IF($G$2:$G$462=G192,$M$2:$M$462)),0)</f>
        <v/>
      </c>
      <c r="AE192" s="6">
        <f t="array" ref="AE192">IFERROR((N192-AVERAGEIF($G$2:$G$462,G192,$N$2:$N$462))/_xlfn.STDEV.P(IF($G$2:$G$462=G192,$N$2:$N$462)),0)</f>
        <v/>
      </c>
      <c r="AF192" s="6">
        <f t="array" ref="AF192">IFERROR((O192-AVERAGEIF($G$2:$G$462,G192,$O$2:$O$462))/_xlfn.STDEV.P(IF($G$2:$G$462=G192,$O$2:$O$462)),0)</f>
        <v/>
      </c>
      <c r="AG192" s="6">
        <f t="array" ref="AG192">IFERROR((P192-AVERAGEIF($G$2:$G$462,G192,$P$2:$P$462))/_xlfn.STDEV.P(IF($G$2:$G$462=G192,$P$2:$P$462)),0)</f>
        <v/>
      </c>
      <c r="AH192" s="6">
        <f t="array" ref="AH192">IFERROR((R192-AVERAGEIF($G$2:$G$462,G192,$R$2:$R$462))/_xlfn.STDEV.P(IF($G$2:$G$462=G192,$R$2:$R$462)),0)</f>
        <v/>
      </c>
      <c r="AI192" s="6">
        <f>IFERROR((AC192+AD192+AE192+AF192+AG192+AH192)/6,0)</f>
        <v/>
      </c>
    </row>
    <row r="193">
      <c r="A193" s="2">
        <f>IF(BD_Carga!A194&lt;&gt;"",BD_Carga!A194,"")</f>
        <v/>
      </c>
      <c r="B193">
        <f>IF(A193&lt;&gt;"",YEAR(A193),"")</f>
        <v/>
      </c>
      <c r="C193">
        <f>IF(A193&lt;&gt;"",MONTH(A193),"")</f>
        <v/>
      </c>
      <c r="D193">
        <f>IF(A193&lt;&gt;"",_xlfn.ISOWEEKNUM(A193),"")</f>
        <v/>
      </c>
      <c r="E193">
        <f>IF(A193&lt;&gt;"",TEXT(A193,"dddd"),"")</f>
        <v/>
      </c>
      <c r="F193">
        <f>IF(BD_Carga!C194&lt;&gt;"",BD_Carga!C194,"")</f>
        <v/>
      </c>
      <c r="G193">
        <f>IF(BD_Carga!D194&lt;&gt;"",BD_Carga!D194,"")</f>
        <v/>
      </c>
      <c r="H193">
        <f>IF(BD_Carga!Q194&lt;&gt;"",BD_Carga!Q194,"")</f>
        <v/>
      </c>
      <c r="I193">
        <f>IF(BD_Carga!R194&lt;&gt;"",BD_Carga!R194,"")</f>
        <v/>
      </c>
      <c r="J193">
        <f>IF(BD_Carga!S194&lt;&gt;"",BD_Carga!S194,"")</f>
        <v/>
      </c>
      <c r="K193" s="4">
        <f>IF(BD_Carga!E194&lt;&gt;"",BD_Carga!E194,0)</f>
        <v/>
      </c>
      <c r="L193" s="4">
        <f>IF(BD_Carga!F194&lt;&gt;"",BD_Carga!F194,0)</f>
        <v/>
      </c>
      <c r="M193" s="4">
        <f>IF(BD_Carga!G194&lt;&gt;"",BD_Carga!G194,0)</f>
        <v/>
      </c>
      <c r="N193" s="4">
        <f>IF(BD_Carga!H194&lt;&gt;"",BD_Carga!H194,0)</f>
        <v/>
      </c>
      <c r="O193" s="4">
        <f>IF(BD_Carga!I194&lt;&gt;"",BD_Carga!I194,0)</f>
        <v/>
      </c>
      <c r="P193" s="4">
        <f>IF(BD_Carga!J194&lt;&gt;"",BD_Carga!J194,0)</f>
        <v/>
      </c>
      <c r="Q193" s="5">
        <f>IF(BD_Carga!K194&lt;&gt;"",BD_Carga!K194,0)</f>
        <v/>
      </c>
      <c r="R193" s="5">
        <f>IF(BD_Carga!L194&lt;&gt;"",BD_Carga!L194,0)</f>
        <v/>
      </c>
      <c r="S193">
        <f>IF(BD_Carga!N194&lt;&gt;"",BD_Carga!N194,0)</f>
        <v/>
      </c>
      <c r="T193">
        <f>IF(BD_Carga!O194&lt;&gt;"",BD_Carga!O194,0)</f>
        <v/>
      </c>
      <c r="U193">
        <f>IF(BD_Carga!P194&lt;&gt;"",BD_Carga!P194,0)</f>
        <v/>
      </c>
      <c r="V193">
        <f>IF(BD_Carga!U194&lt;&gt;"",BD_Carga!U194,0)</f>
        <v/>
      </c>
      <c r="W193">
        <f>IF(BD_Carga!T194&lt;&gt;"",BD_Carga!T194,0)</f>
        <v/>
      </c>
      <c r="X193">
        <f>IF(BD_Carga!W194&lt;&gt;"",BD_Carga!W194,0)</f>
        <v/>
      </c>
      <c r="Y193">
        <f>IF(BD_Carga!X194&lt;&gt;"",BD_Carga!X194,0)</f>
        <v/>
      </c>
      <c r="Z193">
        <f>IF(BD_Carga!Y194&lt;&gt;"",BD_Carga!Y194,0)</f>
        <v/>
      </c>
      <c r="AA193">
        <f>IF(BD_Carga!Z194&lt;&gt;"",BD_Carga!Z194,0)</f>
        <v/>
      </c>
      <c r="AB193">
        <f>IF(BD_Carga!AA194&lt;&gt;"",BD_Carga!AA194,0)</f>
        <v/>
      </c>
      <c r="AC193" s="6">
        <f t="array" ref="AC193">IFERROR((L193-AVERAGEIF($G$2:$G$462,G193,$L$2:$L$462))/_xlfn.STDEV.P(IF($G$2:$G$462=G193,$L$2:$L$462)),0)</f>
        <v/>
      </c>
      <c r="AD193" s="6">
        <f t="array" ref="AD193">IFERROR((M193-AVERAGEIF($G$2:$G$462,G193,$M$2:$M$462))/_xlfn.STDEV.P(IF($G$2:$G$462=G193,$M$2:$M$462)),0)</f>
        <v/>
      </c>
      <c r="AE193" s="6">
        <f t="array" ref="AE193">IFERROR((N193-AVERAGEIF($G$2:$G$462,G193,$N$2:$N$462))/_xlfn.STDEV.P(IF($G$2:$G$462=G193,$N$2:$N$462)),0)</f>
        <v/>
      </c>
      <c r="AF193" s="6">
        <f t="array" ref="AF193">IFERROR((O193-AVERAGEIF($G$2:$G$462,G193,$O$2:$O$462))/_xlfn.STDEV.P(IF($G$2:$G$462=G193,$O$2:$O$462)),0)</f>
        <v/>
      </c>
      <c r="AG193" s="6">
        <f t="array" ref="AG193">IFERROR((P193-AVERAGEIF($G$2:$G$462,G193,$P$2:$P$462))/_xlfn.STDEV.P(IF($G$2:$G$462=G193,$P$2:$P$462)),0)</f>
        <v/>
      </c>
      <c r="AH193" s="6">
        <f t="array" ref="AH193">IFERROR((R193-AVERAGEIF($G$2:$G$462,G193,$R$2:$R$462))/_xlfn.STDEV.P(IF($G$2:$G$462=G193,$R$2:$R$462)),0)</f>
        <v/>
      </c>
      <c r="AI193" s="6">
        <f>IFERROR((AC193+AD193+AE193+AF193+AG193+AH193)/6,0)</f>
        <v/>
      </c>
    </row>
    <row r="194">
      <c r="A194" s="2">
        <f>IF(BD_Carga!A195&lt;&gt;"",BD_Carga!A195,"")</f>
        <v/>
      </c>
      <c r="B194">
        <f>IF(A194&lt;&gt;"",YEAR(A194),"")</f>
        <v/>
      </c>
      <c r="C194">
        <f>IF(A194&lt;&gt;"",MONTH(A194),"")</f>
        <v/>
      </c>
      <c r="D194">
        <f>IF(A194&lt;&gt;"",_xlfn.ISOWEEKNUM(A194),"")</f>
        <v/>
      </c>
      <c r="E194">
        <f>IF(A194&lt;&gt;"",TEXT(A194,"dddd"),"")</f>
        <v/>
      </c>
      <c r="F194">
        <f>IF(BD_Carga!C195&lt;&gt;"",BD_Carga!C195,"")</f>
        <v/>
      </c>
      <c r="G194">
        <f>IF(BD_Carga!D195&lt;&gt;"",BD_Carga!D195,"")</f>
        <v/>
      </c>
      <c r="H194">
        <f>IF(BD_Carga!Q195&lt;&gt;"",BD_Carga!Q195,"")</f>
        <v/>
      </c>
      <c r="I194">
        <f>IF(BD_Carga!R195&lt;&gt;"",BD_Carga!R195,"")</f>
        <v/>
      </c>
      <c r="J194">
        <f>IF(BD_Carga!S195&lt;&gt;"",BD_Carga!S195,"")</f>
        <v/>
      </c>
      <c r="K194" s="4">
        <f>IF(BD_Carga!E195&lt;&gt;"",BD_Carga!E195,0)</f>
        <v/>
      </c>
      <c r="L194" s="4">
        <f>IF(BD_Carga!F195&lt;&gt;"",BD_Carga!F195,0)</f>
        <v/>
      </c>
      <c r="M194" s="4">
        <f>IF(BD_Carga!G195&lt;&gt;"",BD_Carga!G195,0)</f>
        <v/>
      </c>
      <c r="N194" s="4">
        <f>IF(BD_Carga!H195&lt;&gt;"",BD_Carga!H195,0)</f>
        <v/>
      </c>
      <c r="O194" s="4">
        <f>IF(BD_Carga!I195&lt;&gt;"",BD_Carga!I195,0)</f>
        <v/>
      </c>
      <c r="P194" s="4">
        <f>IF(BD_Carga!J195&lt;&gt;"",BD_Carga!J195,0)</f>
        <v/>
      </c>
      <c r="Q194" s="5">
        <f>IF(BD_Carga!K195&lt;&gt;"",BD_Carga!K195,0)</f>
        <v/>
      </c>
      <c r="R194" s="5">
        <f>IF(BD_Carga!L195&lt;&gt;"",BD_Carga!L195,0)</f>
        <v/>
      </c>
      <c r="S194">
        <f>IF(BD_Carga!N195&lt;&gt;"",BD_Carga!N195,0)</f>
        <v/>
      </c>
      <c r="T194">
        <f>IF(BD_Carga!O195&lt;&gt;"",BD_Carga!O195,0)</f>
        <v/>
      </c>
      <c r="U194">
        <f>IF(BD_Carga!P195&lt;&gt;"",BD_Carga!P195,0)</f>
        <v/>
      </c>
      <c r="V194">
        <f>IF(BD_Carga!U195&lt;&gt;"",BD_Carga!U195,0)</f>
        <v/>
      </c>
      <c r="W194">
        <f>IF(BD_Carga!T195&lt;&gt;"",BD_Carga!T195,0)</f>
        <v/>
      </c>
      <c r="X194">
        <f>IF(BD_Carga!W195&lt;&gt;"",BD_Carga!W195,0)</f>
        <v/>
      </c>
      <c r="Y194">
        <f>IF(BD_Carga!X195&lt;&gt;"",BD_Carga!X195,0)</f>
        <v/>
      </c>
      <c r="Z194">
        <f>IF(BD_Carga!Y195&lt;&gt;"",BD_Carga!Y195,0)</f>
        <v/>
      </c>
      <c r="AA194">
        <f>IF(BD_Carga!Z195&lt;&gt;"",BD_Carga!Z195,0)</f>
        <v/>
      </c>
      <c r="AB194">
        <f>IF(BD_Carga!AA195&lt;&gt;"",BD_Carga!AA195,0)</f>
        <v/>
      </c>
      <c r="AC194" s="6">
        <f t="array" ref="AC194">IFERROR((L194-AVERAGEIF($G$2:$G$462,G194,$L$2:$L$462))/_xlfn.STDEV.P(IF($G$2:$G$462=G194,$L$2:$L$462)),0)</f>
        <v/>
      </c>
      <c r="AD194" s="6">
        <f t="array" ref="AD194">IFERROR((M194-AVERAGEIF($G$2:$G$462,G194,$M$2:$M$462))/_xlfn.STDEV.P(IF($G$2:$G$462=G194,$M$2:$M$462)),0)</f>
        <v/>
      </c>
      <c r="AE194" s="6">
        <f t="array" ref="AE194">IFERROR((N194-AVERAGEIF($G$2:$G$462,G194,$N$2:$N$462))/_xlfn.STDEV.P(IF($G$2:$G$462=G194,$N$2:$N$462)),0)</f>
        <v/>
      </c>
      <c r="AF194" s="6">
        <f t="array" ref="AF194">IFERROR((O194-AVERAGEIF($G$2:$G$462,G194,$O$2:$O$462))/_xlfn.STDEV.P(IF($G$2:$G$462=G194,$O$2:$O$462)),0)</f>
        <v/>
      </c>
      <c r="AG194" s="6">
        <f t="array" ref="AG194">IFERROR((P194-AVERAGEIF($G$2:$G$462,G194,$P$2:$P$462))/_xlfn.STDEV.P(IF($G$2:$G$462=G194,$P$2:$P$462)),0)</f>
        <v/>
      </c>
      <c r="AH194" s="6">
        <f t="array" ref="AH194">IFERROR((R194-AVERAGEIF($G$2:$G$462,G194,$R$2:$R$462))/_xlfn.STDEV.P(IF($G$2:$G$462=G194,$R$2:$R$462)),0)</f>
        <v/>
      </c>
      <c r="AI194" s="6">
        <f>IFERROR((AC194+AD194+AE194+AF194+AG194+AH194)/6,0)</f>
        <v/>
      </c>
    </row>
    <row r="195">
      <c r="A195" s="2">
        <f>IF(BD_Carga!A196&lt;&gt;"",BD_Carga!A196,"")</f>
        <v/>
      </c>
      <c r="B195">
        <f>IF(A195&lt;&gt;"",YEAR(A195),"")</f>
        <v/>
      </c>
      <c r="C195">
        <f>IF(A195&lt;&gt;"",MONTH(A195),"")</f>
        <v/>
      </c>
      <c r="D195">
        <f>IF(A195&lt;&gt;"",_xlfn.ISOWEEKNUM(A195),"")</f>
        <v/>
      </c>
      <c r="E195">
        <f>IF(A195&lt;&gt;"",TEXT(A195,"dddd"),"")</f>
        <v/>
      </c>
      <c r="F195">
        <f>IF(BD_Carga!C196&lt;&gt;"",BD_Carga!C196,"")</f>
        <v/>
      </c>
      <c r="G195">
        <f>IF(BD_Carga!D196&lt;&gt;"",BD_Carga!D196,"")</f>
        <v/>
      </c>
      <c r="H195">
        <f>IF(BD_Carga!Q196&lt;&gt;"",BD_Carga!Q196,"")</f>
        <v/>
      </c>
      <c r="I195">
        <f>IF(BD_Carga!R196&lt;&gt;"",BD_Carga!R196,"")</f>
        <v/>
      </c>
      <c r="J195">
        <f>IF(BD_Carga!S196&lt;&gt;"",BD_Carga!S196,"")</f>
        <v/>
      </c>
      <c r="K195" s="4">
        <f>IF(BD_Carga!E196&lt;&gt;"",BD_Carga!E196,0)</f>
        <v/>
      </c>
      <c r="L195" s="4">
        <f>IF(BD_Carga!F196&lt;&gt;"",BD_Carga!F196,0)</f>
        <v/>
      </c>
      <c r="M195" s="4">
        <f>IF(BD_Carga!G196&lt;&gt;"",BD_Carga!G196,0)</f>
        <v/>
      </c>
      <c r="N195" s="4">
        <f>IF(BD_Carga!H196&lt;&gt;"",BD_Carga!H196,0)</f>
        <v/>
      </c>
      <c r="O195" s="4">
        <f>IF(BD_Carga!I196&lt;&gt;"",BD_Carga!I196,0)</f>
        <v/>
      </c>
      <c r="P195" s="4">
        <f>IF(BD_Carga!J196&lt;&gt;"",BD_Carga!J196,0)</f>
        <v/>
      </c>
      <c r="Q195" s="5">
        <f>IF(BD_Carga!K196&lt;&gt;"",BD_Carga!K196,0)</f>
        <v/>
      </c>
      <c r="R195" s="5">
        <f>IF(BD_Carga!L196&lt;&gt;"",BD_Carga!L196,0)</f>
        <v/>
      </c>
      <c r="S195">
        <f>IF(BD_Carga!N196&lt;&gt;"",BD_Carga!N196,0)</f>
        <v/>
      </c>
      <c r="T195">
        <f>IF(BD_Carga!O196&lt;&gt;"",BD_Carga!O196,0)</f>
        <v/>
      </c>
      <c r="U195">
        <f>IF(BD_Carga!P196&lt;&gt;"",BD_Carga!P196,0)</f>
        <v/>
      </c>
      <c r="V195">
        <f>IF(BD_Carga!U196&lt;&gt;"",BD_Carga!U196,0)</f>
        <v/>
      </c>
      <c r="W195">
        <f>IF(BD_Carga!T196&lt;&gt;"",BD_Carga!T196,0)</f>
        <v/>
      </c>
      <c r="X195">
        <f>IF(BD_Carga!W196&lt;&gt;"",BD_Carga!W196,0)</f>
        <v/>
      </c>
      <c r="Y195">
        <f>IF(BD_Carga!X196&lt;&gt;"",BD_Carga!X196,0)</f>
        <v/>
      </c>
      <c r="Z195">
        <f>IF(BD_Carga!Y196&lt;&gt;"",BD_Carga!Y196,0)</f>
        <v/>
      </c>
      <c r="AA195">
        <f>IF(BD_Carga!Z196&lt;&gt;"",BD_Carga!Z196,0)</f>
        <v/>
      </c>
      <c r="AB195">
        <f>IF(BD_Carga!AA196&lt;&gt;"",BD_Carga!AA196,0)</f>
        <v/>
      </c>
      <c r="AC195" s="6">
        <f t="array" ref="AC195">IFERROR((L195-AVERAGEIF($G$2:$G$462,G195,$L$2:$L$462))/_xlfn.STDEV.P(IF($G$2:$G$462=G195,$L$2:$L$462)),0)</f>
        <v/>
      </c>
      <c r="AD195" s="6">
        <f t="array" ref="AD195">IFERROR((M195-AVERAGEIF($G$2:$G$462,G195,$M$2:$M$462))/_xlfn.STDEV.P(IF($G$2:$G$462=G195,$M$2:$M$462)),0)</f>
        <v/>
      </c>
      <c r="AE195" s="6">
        <f t="array" ref="AE195">IFERROR((N195-AVERAGEIF($G$2:$G$462,G195,$N$2:$N$462))/_xlfn.STDEV.P(IF($G$2:$G$462=G195,$N$2:$N$462)),0)</f>
        <v/>
      </c>
      <c r="AF195" s="6">
        <f t="array" ref="AF195">IFERROR((O195-AVERAGEIF($G$2:$G$462,G195,$O$2:$O$462))/_xlfn.STDEV.P(IF($G$2:$G$462=G195,$O$2:$O$462)),0)</f>
        <v/>
      </c>
      <c r="AG195" s="6">
        <f t="array" ref="AG195">IFERROR((P195-AVERAGEIF($G$2:$G$462,G195,$P$2:$P$462))/_xlfn.STDEV.P(IF($G$2:$G$462=G195,$P$2:$P$462)),0)</f>
        <v/>
      </c>
      <c r="AH195" s="6">
        <f t="array" ref="AH195">IFERROR((R195-AVERAGEIF($G$2:$G$462,G195,$R$2:$R$462))/_xlfn.STDEV.P(IF($G$2:$G$462=G195,$R$2:$R$462)),0)</f>
        <v/>
      </c>
      <c r="AI195" s="6">
        <f>IFERROR((AC195+AD195+AE195+AF195+AG195+AH195)/6,0)</f>
        <v/>
      </c>
    </row>
    <row r="196">
      <c r="A196" s="2">
        <f>IF(BD_Carga!A197&lt;&gt;"",BD_Carga!A197,"")</f>
        <v/>
      </c>
      <c r="B196">
        <f>IF(A196&lt;&gt;"",YEAR(A196),"")</f>
        <v/>
      </c>
      <c r="C196">
        <f>IF(A196&lt;&gt;"",MONTH(A196),"")</f>
        <v/>
      </c>
      <c r="D196">
        <f>IF(A196&lt;&gt;"",_xlfn.ISOWEEKNUM(A196),"")</f>
        <v/>
      </c>
      <c r="E196">
        <f>IF(A196&lt;&gt;"",TEXT(A196,"dddd"),"")</f>
        <v/>
      </c>
      <c r="F196">
        <f>IF(BD_Carga!C197&lt;&gt;"",BD_Carga!C197,"")</f>
        <v/>
      </c>
      <c r="G196">
        <f>IF(BD_Carga!D197&lt;&gt;"",BD_Carga!D197,"")</f>
        <v/>
      </c>
      <c r="H196">
        <f>IF(BD_Carga!Q197&lt;&gt;"",BD_Carga!Q197,"")</f>
        <v/>
      </c>
      <c r="I196">
        <f>IF(BD_Carga!R197&lt;&gt;"",BD_Carga!R197,"")</f>
        <v/>
      </c>
      <c r="J196">
        <f>IF(BD_Carga!S197&lt;&gt;"",BD_Carga!S197,"")</f>
        <v/>
      </c>
      <c r="K196" s="4">
        <f>IF(BD_Carga!E197&lt;&gt;"",BD_Carga!E197,0)</f>
        <v/>
      </c>
      <c r="L196" s="4">
        <f>IF(BD_Carga!F197&lt;&gt;"",BD_Carga!F197,0)</f>
        <v/>
      </c>
      <c r="M196" s="4">
        <f>IF(BD_Carga!G197&lt;&gt;"",BD_Carga!G197,0)</f>
        <v/>
      </c>
      <c r="N196" s="4">
        <f>IF(BD_Carga!H197&lt;&gt;"",BD_Carga!H197,0)</f>
        <v/>
      </c>
      <c r="O196" s="4">
        <f>IF(BD_Carga!I197&lt;&gt;"",BD_Carga!I197,0)</f>
        <v/>
      </c>
      <c r="P196" s="4">
        <f>IF(BD_Carga!J197&lt;&gt;"",BD_Carga!J197,0)</f>
        <v/>
      </c>
      <c r="Q196" s="5">
        <f>IF(BD_Carga!K197&lt;&gt;"",BD_Carga!K197,0)</f>
        <v/>
      </c>
      <c r="R196" s="5">
        <f>IF(BD_Carga!L197&lt;&gt;"",BD_Carga!L197,0)</f>
        <v/>
      </c>
      <c r="S196">
        <f>IF(BD_Carga!N197&lt;&gt;"",BD_Carga!N197,0)</f>
        <v/>
      </c>
      <c r="T196">
        <f>IF(BD_Carga!O197&lt;&gt;"",BD_Carga!O197,0)</f>
        <v/>
      </c>
      <c r="U196">
        <f>IF(BD_Carga!P197&lt;&gt;"",BD_Carga!P197,0)</f>
        <v/>
      </c>
      <c r="V196">
        <f>IF(BD_Carga!U197&lt;&gt;"",BD_Carga!U197,0)</f>
        <v/>
      </c>
      <c r="W196">
        <f>IF(BD_Carga!T197&lt;&gt;"",BD_Carga!T197,0)</f>
        <v/>
      </c>
      <c r="X196">
        <f>IF(BD_Carga!W197&lt;&gt;"",BD_Carga!W197,0)</f>
        <v/>
      </c>
      <c r="Y196">
        <f>IF(BD_Carga!X197&lt;&gt;"",BD_Carga!X197,0)</f>
        <v/>
      </c>
      <c r="Z196">
        <f>IF(BD_Carga!Y197&lt;&gt;"",BD_Carga!Y197,0)</f>
        <v/>
      </c>
      <c r="AA196">
        <f>IF(BD_Carga!Z197&lt;&gt;"",BD_Carga!Z197,0)</f>
        <v/>
      </c>
      <c r="AB196">
        <f>IF(BD_Carga!AA197&lt;&gt;"",BD_Carga!AA197,0)</f>
        <v/>
      </c>
      <c r="AC196" s="6">
        <f t="array" ref="AC196">IFERROR((L196-AVERAGEIF($G$2:$G$462,G196,$L$2:$L$462))/_xlfn.STDEV.P(IF($G$2:$G$462=G196,$L$2:$L$462)),0)</f>
        <v/>
      </c>
      <c r="AD196" s="6">
        <f t="array" ref="AD196">IFERROR((M196-AVERAGEIF($G$2:$G$462,G196,$M$2:$M$462))/_xlfn.STDEV.P(IF($G$2:$G$462=G196,$M$2:$M$462)),0)</f>
        <v/>
      </c>
      <c r="AE196" s="6">
        <f t="array" ref="AE196">IFERROR((N196-AVERAGEIF($G$2:$G$462,G196,$N$2:$N$462))/_xlfn.STDEV.P(IF($G$2:$G$462=G196,$N$2:$N$462)),0)</f>
        <v/>
      </c>
      <c r="AF196" s="6">
        <f t="array" ref="AF196">IFERROR((O196-AVERAGEIF($G$2:$G$462,G196,$O$2:$O$462))/_xlfn.STDEV.P(IF($G$2:$G$462=G196,$O$2:$O$462)),0)</f>
        <v/>
      </c>
      <c r="AG196" s="6">
        <f t="array" ref="AG196">IFERROR((P196-AVERAGEIF($G$2:$G$462,G196,$P$2:$P$462))/_xlfn.STDEV.P(IF($G$2:$G$462=G196,$P$2:$P$462)),0)</f>
        <v/>
      </c>
      <c r="AH196" s="6">
        <f t="array" ref="AH196">IFERROR((R196-AVERAGEIF($G$2:$G$462,G196,$R$2:$R$462))/_xlfn.STDEV.P(IF($G$2:$G$462=G196,$R$2:$R$462)),0)</f>
        <v/>
      </c>
      <c r="AI196" s="6">
        <f>IFERROR((AC196+AD196+AE196+AF196+AG196+AH196)/6,0)</f>
        <v/>
      </c>
    </row>
    <row r="197">
      <c r="A197" s="2">
        <f>IF(BD_Carga!A198&lt;&gt;"",BD_Carga!A198,"")</f>
        <v/>
      </c>
      <c r="B197">
        <f>IF(A197&lt;&gt;"",YEAR(A197),"")</f>
        <v/>
      </c>
      <c r="C197">
        <f>IF(A197&lt;&gt;"",MONTH(A197),"")</f>
        <v/>
      </c>
      <c r="D197">
        <f>IF(A197&lt;&gt;"",_xlfn.ISOWEEKNUM(A197),"")</f>
        <v/>
      </c>
      <c r="E197">
        <f>IF(A197&lt;&gt;"",TEXT(A197,"dddd"),"")</f>
        <v/>
      </c>
      <c r="F197">
        <f>IF(BD_Carga!C198&lt;&gt;"",BD_Carga!C198,"")</f>
        <v/>
      </c>
      <c r="G197">
        <f>IF(BD_Carga!D198&lt;&gt;"",BD_Carga!D198,"")</f>
        <v/>
      </c>
      <c r="H197">
        <f>IF(BD_Carga!Q198&lt;&gt;"",BD_Carga!Q198,"")</f>
        <v/>
      </c>
      <c r="I197">
        <f>IF(BD_Carga!R198&lt;&gt;"",BD_Carga!R198,"")</f>
        <v/>
      </c>
      <c r="J197">
        <f>IF(BD_Carga!S198&lt;&gt;"",BD_Carga!S198,"")</f>
        <v/>
      </c>
      <c r="K197" s="4">
        <f>IF(BD_Carga!E198&lt;&gt;"",BD_Carga!E198,0)</f>
        <v/>
      </c>
      <c r="L197" s="4">
        <f>IF(BD_Carga!F198&lt;&gt;"",BD_Carga!F198,0)</f>
        <v/>
      </c>
      <c r="M197" s="4">
        <f>IF(BD_Carga!G198&lt;&gt;"",BD_Carga!G198,0)</f>
        <v/>
      </c>
      <c r="N197" s="4">
        <f>IF(BD_Carga!H198&lt;&gt;"",BD_Carga!H198,0)</f>
        <v/>
      </c>
      <c r="O197" s="4">
        <f>IF(BD_Carga!I198&lt;&gt;"",BD_Carga!I198,0)</f>
        <v/>
      </c>
      <c r="P197" s="4">
        <f>IF(BD_Carga!J198&lt;&gt;"",BD_Carga!J198,0)</f>
        <v/>
      </c>
      <c r="Q197" s="5">
        <f>IF(BD_Carga!K198&lt;&gt;"",BD_Carga!K198,0)</f>
        <v/>
      </c>
      <c r="R197" s="5">
        <f>IF(BD_Carga!L198&lt;&gt;"",BD_Carga!L198,0)</f>
        <v/>
      </c>
      <c r="S197">
        <f>IF(BD_Carga!N198&lt;&gt;"",BD_Carga!N198,0)</f>
        <v/>
      </c>
      <c r="T197">
        <f>IF(BD_Carga!O198&lt;&gt;"",BD_Carga!O198,0)</f>
        <v/>
      </c>
      <c r="U197">
        <f>IF(BD_Carga!P198&lt;&gt;"",BD_Carga!P198,0)</f>
        <v/>
      </c>
      <c r="V197">
        <f>IF(BD_Carga!U198&lt;&gt;"",BD_Carga!U198,0)</f>
        <v/>
      </c>
      <c r="W197">
        <f>IF(BD_Carga!T198&lt;&gt;"",BD_Carga!T198,0)</f>
        <v/>
      </c>
      <c r="X197">
        <f>IF(BD_Carga!W198&lt;&gt;"",BD_Carga!W198,0)</f>
        <v/>
      </c>
      <c r="Y197">
        <f>IF(BD_Carga!X198&lt;&gt;"",BD_Carga!X198,0)</f>
        <v/>
      </c>
      <c r="Z197">
        <f>IF(BD_Carga!Y198&lt;&gt;"",BD_Carga!Y198,0)</f>
        <v/>
      </c>
      <c r="AA197">
        <f>IF(BD_Carga!Z198&lt;&gt;"",BD_Carga!Z198,0)</f>
        <v/>
      </c>
      <c r="AB197">
        <f>IF(BD_Carga!AA198&lt;&gt;"",BD_Carga!AA198,0)</f>
        <v/>
      </c>
      <c r="AC197" s="6">
        <f t="array" ref="AC197">IFERROR((L197-AVERAGEIF($G$2:$G$462,G197,$L$2:$L$462))/_xlfn.STDEV.P(IF($G$2:$G$462=G197,$L$2:$L$462)),0)</f>
        <v/>
      </c>
      <c r="AD197" s="6">
        <f t="array" ref="AD197">IFERROR((M197-AVERAGEIF($G$2:$G$462,G197,$M$2:$M$462))/_xlfn.STDEV.P(IF($G$2:$G$462=G197,$M$2:$M$462)),0)</f>
        <v/>
      </c>
      <c r="AE197" s="6">
        <f t="array" ref="AE197">IFERROR((N197-AVERAGEIF($G$2:$G$462,G197,$N$2:$N$462))/_xlfn.STDEV.P(IF($G$2:$G$462=G197,$N$2:$N$462)),0)</f>
        <v/>
      </c>
      <c r="AF197" s="6">
        <f t="array" ref="AF197">IFERROR((O197-AVERAGEIF($G$2:$G$462,G197,$O$2:$O$462))/_xlfn.STDEV.P(IF($G$2:$G$462=G197,$O$2:$O$462)),0)</f>
        <v/>
      </c>
      <c r="AG197" s="6">
        <f t="array" ref="AG197">IFERROR((P197-AVERAGEIF($G$2:$G$462,G197,$P$2:$P$462))/_xlfn.STDEV.P(IF($G$2:$G$462=G197,$P$2:$P$462)),0)</f>
        <v/>
      </c>
      <c r="AH197" s="6">
        <f t="array" ref="AH197">IFERROR((R197-AVERAGEIF($G$2:$G$462,G197,$R$2:$R$462))/_xlfn.STDEV.P(IF($G$2:$G$462=G197,$R$2:$R$462)),0)</f>
        <v/>
      </c>
      <c r="AI197" s="6">
        <f>IFERROR((AC197+AD197+AE197+AF197+AG197+AH197)/6,0)</f>
        <v/>
      </c>
    </row>
    <row r="198">
      <c r="A198" s="2">
        <f>IF(BD_Carga!A199&lt;&gt;"",BD_Carga!A199,"")</f>
        <v/>
      </c>
      <c r="B198">
        <f>IF(A198&lt;&gt;"",YEAR(A198),"")</f>
        <v/>
      </c>
      <c r="C198">
        <f>IF(A198&lt;&gt;"",MONTH(A198),"")</f>
        <v/>
      </c>
      <c r="D198">
        <f>IF(A198&lt;&gt;"",_xlfn.ISOWEEKNUM(A198),"")</f>
        <v/>
      </c>
      <c r="E198">
        <f>IF(A198&lt;&gt;"",TEXT(A198,"dddd"),"")</f>
        <v/>
      </c>
      <c r="F198">
        <f>IF(BD_Carga!C199&lt;&gt;"",BD_Carga!C199,"")</f>
        <v/>
      </c>
      <c r="G198">
        <f>IF(BD_Carga!D199&lt;&gt;"",BD_Carga!D199,"")</f>
        <v/>
      </c>
      <c r="H198">
        <f>IF(BD_Carga!Q199&lt;&gt;"",BD_Carga!Q199,"")</f>
        <v/>
      </c>
      <c r="I198">
        <f>IF(BD_Carga!R199&lt;&gt;"",BD_Carga!R199,"")</f>
        <v/>
      </c>
      <c r="J198">
        <f>IF(BD_Carga!S199&lt;&gt;"",BD_Carga!S199,"")</f>
        <v/>
      </c>
      <c r="K198" s="4">
        <f>IF(BD_Carga!E199&lt;&gt;"",BD_Carga!E199,0)</f>
        <v/>
      </c>
      <c r="L198" s="4">
        <f>IF(BD_Carga!F199&lt;&gt;"",BD_Carga!F199,0)</f>
        <v/>
      </c>
      <c r="M198" s="4">
        <f>IF(BD_Carga!G199&lt;&gt;"",BD_Carga!G199,0)</f>
        <v/>
      </c>
      <c r="N198" s="4">
        <f>IF(BD_Carga!H199&lt;&gt;"",BD_Carga!H199,0)</f>
        <v/>
      </c>
      <c r="O198" s="4">
        <f>IF(BD_Carga!I199&lt;&gt;"",BD_Carga!I199,0)</f>
        <v/>
      </c>
      <c r="P198" s="4">
        <f>IF(BD_Carga!J199&lt;&gt;"",BD_Carga!J199,0)</f>
        <v/>
      </c>
      <c r="Q198" s="5">
        <f>IF(BD_Carga!K199&lt;&gt;"",BD_Carga!K199,0)</f>
        <v/>
      </c>
      <c r="R198" s="5">
        <f>IF(BD_Carga!L199&lt;&gt;"",BD_Carga!L199,0)</f>
        <v/>
      </c>
      <c r="S198">
        <f>IF(BD_Carga!N199&lt;&gt;"",BD_Carga!N199,0)</f>
        <v/>
      </c>
      <c r="T198">
        <f>IF(BD_Carga!O199&lt;&gt;"",BD_Carga!O199,0)</f>
        <v/>
      </c>
      <c r="U198">
        <f>IF(BD_Carga!P199&lt;&gt;"",BD_Carga!P199,0)</f>
        <v/>
      </c>
      <c r="V198">
        <f>IF(BD_Carga!U199&lt;&gt;"",BD_Carga!U199,0)</f>
        <v/>
      </c>
      <c r="W198">
        <f>IF(BD_Carga!T199&lt;&gt;"",BD_Carga!T199,0)</f>
        <v/>
      </c>
      <c r="X198">
        <f>IF(BD_Carga!W199&lt;&gt;"",BD_Carga!W199,0)</f>
        <v/>
      </c>
      <c r="Y198">
        <f>IF(BD_Carga!X199&lt;&gt;"",BD_Carga!X199,0)</f>
        <v/>
      </c>
      <c r="Z198">
        <f>IF(BD_Carga!Y199&lt;&gt;"",BD_Carga!Y199,0)</f>
        <v/>
      </c>
      <c r="AA198">
        <f>IF(BD_Carga!Z199&lt;&gt;"",BD_Carga!Z199,0)</f>
        <v/>
      </c>
      <c r="AB198">
        <f>IF(BD_Carga!AA199&lt;&gt;"",BD_Carga!AA199,0)</f>
        <v/>
      </c>
      <c r="AC198" s="6">
        <f t="array" ref="AC198">IFERROR((L198-AVERAGEIF($G$2:$G$462,G198,$L$2:$L$462))/_xlfn.STDEV.P(IF($G$2:$G$462=G198,$L$2:$L$462)),0)</f>
        <v/>
      </c>
      <c r="AD198" s="6">
        <f t="array" ref="AD198">IFERROR((M198-AVERAGEIF($G$2:$G$462,G198,$M$2:$M$462))/_xlfn.STDEV.P(IF($G$2:$G$462=G198,$M$2:$M$462)),0)</f>
        <v/>
      </c>
      <c r="AE198" s="6">
        <f t="array" ref="AE198">IFERROR((N198-AVERAGEIF($G$2:$G$462,G198,$N$2:$N$462))/_xlfn.STDEV.P(IF($G$2:$G$462=G198,$N$2:$N$462)),0)</f>
        <v/>
      </c>
      <c r="AF198" s="6">
        <f t="array" ref="AF198">IFERROR((O198-AVERAGEIF($G$2:$G$462,G198,$O$2:$O$462))/_xlfn.STDEV.P(IF($G$2:$G$462=G198,$O$2:$O$462)),0)</f>
        <v/>
      </c>
      <c r="AG198" s="6">
        <f t="array" ref="AG198">IFERROR((P198-AVERAGEIF($G$2:$G$462,G198,$P$2:$P$462))/_xlfn.STDEV.P(IF($G$2:$G$462=G198,$P$2:$P$462)),0)</f>
        <v/>
      </c>
      <c r="AH198" s="6">
        <f t="array" ref="AH198">IFERROR((R198-AVERAGEIF($G$2:$G$462,G198,$R$2:$R$462))/_xlfn.STDEV.P(IF($G$2:$G$462=G198,$R$2:$R$462)),0)</f>
        <v/>
      </c>
      <c r="AI198" s="6">
        <f>IFERROR((AC198+AD198+AE198+AF198+AG198+AH198)/6,0)</f>
        <v/>
      </c>
    </row>
    <row r="199">
      <c r="A199" s="2">
        <f>IF(BD_Carga!A200&lt;&gt;"",BD_Carga!A200,"")</f>
        <v/>
      </c>
      <c r="B199">
        <f>IF(A199&lt;&gt;"",YEAR(A199),"")</f>
        <v/>
      </c>
      <c r="C199">
        <f>IF(A199&lt;&gt;"",MONTH(A199),"")</f>
        <v/>
      </c>
      <c r="D199">
        <f>IF(A199&lt;&gt;"",_xlfn.ISOWEEKNUM(A199),"")</f>
        <v/>
      </c>
      <c r="E199">
        <f>IF(A199&lt;&gt;"",TEXT(A199,"dddd"),"")</f>
        <v/>
      </c>
      <c r="F199">
        <f>IF(BD_Carga!C200&lt;&gt;"",BD_Carga!C200,"")</f>
        <v/>
      </c>
      <c r="G199">
        <f>IF(BD_Carga!D200&lt;&gt;"",BD_Carga!D200,"")</f>
        <v/>
      </c>
      <c r="H199">
        <f>IF(BD_Carga!Q200&lt;&gt;"",BD_Carga!Q200,"")</f>
        <v/>
      </c>
      <c r="I199">
        <f>IF(BD_Carga!R200&lt;&gt;"",BD_Carga!R200,"")</f>
        <v/>
      </c>
      <c r="J199">
        <f>IF(BD_Carga!S200&lt;&gt;"",BD_Carga!S200,"")</f>
        <v/>
      </c>
      <c r="K199" s="4">
        <f>IF(BD_Carga!E200&lt;&gt;"",BD_Carga!E200,0)</f>
        <v/>
      </c>
      <c r="L199" s="4">
        <f>IF(BD_Carga!F200&lt;&gt;"",BD_Carga!F200,0)</f>
        <v/>
      </c>
      <c r="M199" s="4">
        <f>IF(BD_Carga!G200&lt;&gt;"",BD_Carga!G200,0)</f>
        <v/>
      </c>
      <c r="N199" s="4">
        <f>IF(BD_Carga!H200&lt;&gt;"",BD_Carga!H200,0)</f>
        <v/>
      </c>
      <c r="O199" s="4">
        <f>IF(BD_Carga!I200&lt;&gt;"",BD_Carga!I200,0)</f>
        <v/>
      </c>
      <c r="P199" s="4">
        <f>IF(BD_Carga!J200&lt;&gt;"",BD_Carga!J200,0)</f>
        <v/>
      </c>
      <c r="Q199" s="5">
        <f>IF(BD_Carga!K200&lt;&gt;"",BD_Carga!K200,0)</f>
        <v/>
      </c>
      <c r="R199" s="5">
        <f>IF(BD_Carga!L200&lt;&gt;"",BD_Carga!L200,0)</f>
        <v/>
      </c>
      <c r="S199">
        <f>IF(BD_Carga!N200&lt;&gt;"",BD_Carga!N200,0)</f>
        <v/>
      </c>
      <c r="T199">
        <f>IF(BD_Carga!O200&lt;&gt;"",BD_Carga!O200,0)</f>
        <v/>
      </c>
      <c r="U199">
        <f>IF(BD_Carga!P200&lt;&gt;"",BD_Carga!P200,0)</f>
        <v/>
      </c>
      <c r="V199">
        <f>IF(BD_Carga!U200&lt;&gt;"",BD_Carga!U200,0)</f>
        <v/>
      </c>
      <c r="W199">
        <f>IF(BD_Carga!T200&lt;&gt;"",BD_Carga!T200,0)</f>
        <v/>
      </c>
      <c r="X199">
        <f>IF(BD_Carga!W200&lt;&gt;"",BD_Carga!W200,0)</f>
        <v/>
      </c>
      <c r="Y199">
        <f>IF(BD_Carga!X200&lt;&gt;"",BD_Carga!X200,0)</f>
        <v/>
      </c>
      <c r="Z199">
        <f>IF(BD_Carga!Y200&lt;&gt;"",BD_Carga!Y200,0)</f>
        <v/>
      </c>
      <c r="AA199">
        <f>IF(BD_Carga!Z200&lt;&gt;"",BD_Carga!Z200,0)</f>
        <v/>
      </c>
      <c r="AB199">
        <f>IF(BD_Carga!AA200&lt;&gt;"",BD_Carga!AA200,0)</f>
        <v/>
      </c>
      <c r="AC199" s="6">
        <f t="array" ref="AC199">IFERROR((L199-AVERAGEIF($G$2:$G$462,G199,$L$2:$L$462))/_xlfn.STDEV.P(IF($G$2:$G$462=G199,$L$2:$L$462)),0)</f>
        <v/>
      </c>
      <c r="AD199" s="6">
        <f t="array" ref="AD199">IFERROR((M199-AVERAGEIF($G$2:$G$462,G199,$M$2:$M$462))/_xlfn.STDEV.P(IF($G$2:$G$462=G199,$M$2:$M$462)),0)</f>
        <v/>
      </c>
      <c r="AE199" s="6">
        <f t="array" ref="AE199">IFERROR((N199-AVERAGEIF($G$2:$G$462,G199,$N$2:$N$462))/_xlfn.STDEV.P(IF($G$2:$G$462=G199,$N$2:$N$462)),0)</f>
        <v/>
      </c>
      <c r="AF199" s="6">
        <f t="array" ref="AF199">IFERROR((O199-AVERAGEIF($G$2:$G$462,G199,$O$2:$O$462))/_xlfn.STDEV.P(IF($G$2:$G$462=G199,$O$2:$O$462)),0)</f>
        <v/>
      </c>
      <c r="AG199" s="6">
        <f t="array" ref="AG199">IFERROR((P199-AVERAGEIF($G$2:$G$462,G199,$P$2:$P$462))/_xlfn.STDEV.P(IF($G$2:$G$462=G199,$P$2:$P$462)),0)</f>
        <v/>
      </c>
      <c r="AH199" s="6">
        <f t="array" ref="AH199">IFERROR((R199-AVERAGEIF($G$2:$G$462,G199,$R$2:$R$462))/_xlfn.STDEV.P(IF($G$2:$G$462=G199,$R$2:$R$462)),0)</f>
        <v/>
      </c>
      <c r="AI199" s="6">
        <f>IFERROR((AC199+AD199+AE199+AF199+AG199+AH199)/6,0)</f>
        <v/>
      </c>
    </row>
    <row r="200">
      <c r="A200" s="2">
        <f>IF(BD_Carga!A201&lt;&gt;"",BD_Carga!A201,"")</f>
        <v/>
      </c>
      <c r="B200">
        <f>IF(A200&lt;&gt;"",YEAR(A200),"")</f>
        <v/>
      </c>
      <c r="C200">
        <f>IF(A200&lt;&gt;"",MONTH(A200),"")</f>
        <v/>
      </c>
      <c r="D200">
        <f>IF(A200&lt;&gt;"",_xlfn.ISOWEEKNUM(A200),"")</f>
        <v/>
      </c>
      <c r="E200">
        <f>IF(A200&lt;&gt;"",TEXT(A200,"dddd"),"")</f>
        <v/>
      </c>
      <c r="F200">
        <f>IF(BD_Carga!C201&lt;&gt;"",BD_Carga!C201,"")</f>
        <v/>
      </c>
      <c r="G200">
        <f>IF(BD_Carga!D201&lt;&gt;"",BD_Carga!D201,"")</f>
        <v/>
      </c>
      <c r="H200">
        <f>IF(BD_Carga!Q201&lt;&gt;"",BD_Carga!Q201,"")</f>
        <v/>
      </c>
      <c r="I200">
        <f>IF(BD_Carga!R201&lt;&gt;"",BD_Carga!R201,"")</f>
        <v/>
      </c>
      <c r="J200">
        <f>IF(BD_Carga!S201&lt;&gt;"",BD_Carga!S201,"")</f>
        <v/>
      </c>
      <c r="K200" s="4">
        <f>IF(BD_Carga!E201&lt;&gt;"",BD_Carga!E201,0)</f>
        <v/>
      </c>
      <c r="L200" s="4">
        <f>IF(BD_Carga!F201&lt;&gt;"",BD_Carga!F201,0)</f>
        <v/>
      </c>
      <c r="M200" s="4">
        <f>IF(BD_Carga!G201&lt;&gt;"",BD_Carga!G201,0)</f>
        <v/>
      </c>
      <c r="N200" s="4">
        <f>IF(BD_Carga!H201&lt;&gt;"",BD_Carga!H201,0)</f>
        <v/>
      </c>
      <c r="O200" s="4">
        <f>IF(BD_Carga!I201&lt;&gt;"",BD_Carga!I201,0)</f>
        <v/>
      </c>
      <c r="P200" s="4">
        <f>IF(BD_Carga!J201&lt;&gt;"",BD_Carga!J201,0)</f>
        <v/>
      </c>
      <c r="Q200" s="5">
        <f>IF(BD_Carga!K201&lt;&gt;"",BD_Carga!K201,0)</f>
        <v/>
      </c>
      <c r="R200" s="5">
        <f>IF(BD_Carga!L201&lt;&gt;"",BD_Carga!L201,0)</f>
        <v/>
      </c>
      <c r="S200">
        <f>IF(BD_Carga!N201&lt;&gt;"",BD_Carga!N201,0)</f>
        <v/>
      </c>
      <c r="T200">
        <f>IF(BD_Carga!O201&lt;&gt;"",BD_Carga!O201,0)</f>
        <v/>
      </c>
      <c r="U200">
        <f>IF(BD_Carga!P201&lt;&gt;"",BD_Carga!P201,0)</f>
        <v/>
      </c>
      <c r="V200">
        <f>IF(BD_Carga!U201&lt;&gt;"",BD_Carga!U201,0)</f>
        <v/>
      </c>
      <c r="W200">
        <f>IF(BD_Carga!T201&lt;&gt;"",BD_Carga!T201,0)</f>
        <v/>
      </c>
      <c r="X200">
        <f>IF(BD_Carga!W201&lt;&gt;"",BD_Carga!W201,0)</f>
        <v/>
      </c>
      <c r="Y200">
        <f>IF(BD_Carga!X201&lt;&gt;"",BD_Carga!X201,0)</f>
        <v/>
      </c>
      <c r="Z200">
        <f>IF(BD_Carga!Y201&lt;&gt;"",BD_Carga!Y201,0)</f>
        <v/>
      </c>
      <c r="AA200">
        <f>IF(BD_Carga!Z201&lt;&gt;"",BD_Carga!Z201,0)</f>
        <v/>
      </c>
      <c r="AB200">
        <f>IF(BD_Carga!AA201&lt;&gt;"",BD_Carga!AA201,0)</f>
        <v/>
      </c>
      <c r="AC200" s="6">
        <f t="array" ref="AC200">IFERROR((L200-AVERAGEIF($G$2:$G$462,G200,$L$2:$L$462))/_xlfn.STDEV.P(IF($G$2:$G$462=G200,$L$2:$L$462)),0)</f>
        <v/>
      </c>
      <c r="AD200" s="6">
        <f t="array" ref="AD200">IFERROR((M200-AVERAGEIF($G$2:$G$462,G200,$M$2:$M$462))/_xlfn.STDEV.P(IF($G$2:$G$462=G200,$M$2:$M$462)),0)</f>
        <v/>
      </c>
      <c r="AE200" s="6">
        <f t="array" ref="AE200">IFERROR((N200-AVERAGEIF($G$2:$G$462,G200,$N$2:$N$462))/_xlfn.STDEV.P(IF($G$2:$G$462=G200,$N$2:$N$462)),0)</f>
        <v/>
      </c>
      <c r="AF200" s="6">
        <f t="array" ref="AF200">IFERROR((O200-AVERAGEIF($G$2:$G$462,G200,$O$2:$O$462))/_xlfn.STDEV.P(IF($G$2:$G$462=G200,$O$2:$O$462)),0)</f>
        <v/>
      </c>
      <c r="AG200" s="6">
        <f t="array" ref="AG200">IFERROR((P200-AVERAGEIF($G$2:$G$462,G200,$P$2:$P$462))/_xlfn.STDEV.P(IF($G$2:$G$462=G200,$P$2:$P$462)),0)</f>
        <v/>
      </c>
      <c r="AH200" s="6">
        <f t="array" ref="AH200">IFERROR((R200-AVERAGEIF($G$2:$G$462,G200,$R$2:$R$462))/_xlfn.STDEV.P(IF($G$2:$G$462=G200,$R$2:$R$462)),0)</f>
        <v/>
      </c>
      <c r="AI200" s="6">
        <f>IFERROR((AC200+AD200+AE200+AF200+AG200+AH200)/6,0)</f>
        <v/>
      </c>
    </row>
    <row r="201">
      <c r="A201" s="2">
        <f>IF(BD_Carga!A202&lt;&gt;"",BD_Carga!A202,"")</f>
        <v/>
      </c>
      <c r="B201">
        <f>IF(A201&lt;&gt;"",YEAR(A201),"")</f>
        <v/>
      </c>
      <c r="C201">
        <f>IF(A201&lt;&gt;"",MONTH(A201),"")</f>
        <v/>
      </c>
      <c r="D201">
        <f>IF(A201&lt;&gt;"",_xlfn.ISOWEEKNUM(A201),"")</f>
        <v/>
      </c>
      <c r="E201">
        <f>IF(A201&lt;&gt;"",TEXT(A201,"dddd"),"")</f>
        <v/>
      </c>
      <c r="F201">
        <f>IF(BD_Carga!C202&lt;&gt;"",BD_Carga!C202,"")</f>
        <v/>
      </c>
      <c r="G201">
        <f>IF(BD_Carga!D202&lt;&gt;"",BD_Carga!D202,"")</f>
        <v/>
      </c>
      <c r="H201">
        <f>IF(BD_Carga!Q202&lt;&gt;"",BD_Carga!Q202,"")</f>
        <v/>
      </c>
      <c r="I201">
        <f>IF(BD_Carga!R202&lt;&gt;"",BD_Carga!R202,"")</f>
        <v/>
      </c>
      <c r="J201">
        <f>IF(BD_Carga!S202&lt;&gt;"",BD_Carga!S202,"")</f>
        <v/>
      </c>
      <c r="K201" s="4">
        <f>IF(BD_Carga!E202&lt;&gt;"",BD_Carga!E202,0)</f>
        <v/>
      </c>
      <c r="L201" s="4">
        <f>IF(BD_Carga!F202&lt;&gt;"",BD_Carga!F202,0)</f>
        <v/>
      </c>
      <c r="M201" s="4">
        <f>IF(BD_Carga!G202&lt;&gt;"",BD_Carga!G202,0)</f>
        <v/>
      </c>
      <c r="N201" s="4">
        <f>IF(BD_Carga!H202&lt;&gt;"",BD_Carga!H202,0)</f>
        <v/>
      </c>
      <c r="O201" s="4">
        <f>IF(BD_Carga!I202&lt;&gt;"",BD_Carga!I202,0)</f>
        <v/>
      </c>
      <c r="P201" s="4">
        <f>IF(BD_Carga!J202&lt;&gt;"",BD_Carga!J202,0)</f>
        <v/>
      </c>
      <c r="Q201" s="5">
        <f>IF(BD_Carga!K202&lt;&gt;"",BD_Carga!K202,0)</f>
        <v/>
      </c>
      <c r="R201" s="5">
        <f>IF(BD_Carga!L202&lt;&gt;"",BD_Carga!L202,0)</f>
        <v/>
      </c>
      <c r="S201">
        <f>IF(BD_Carga!N202&lt;&gt;"",BD_Carga!N202,0)</f>
        <v/>
      </c>
      <c r="T201">
        <f>IF(BD_Carga!O202&lt;&gt;"",BD_Carga!O202,0)</f>
        <v/>
      </c>
      <c r="U201">
        <f>IF(BD_Carga!P202&lt;&gt;"",BD_Carga!P202,0)</f>
        <v/>
      </c>
      <c r="V201">
        <f>IF(BD_Carga!U202&lt;&gt;"",BD_Carga!U202,0)</f>
        <v/>
      </c>
      <c r="W201">
        <f>IF(BD_Carga!T202&lt;&gt;"",BD_Carga!T202,0)</f>
        <v/>
      </c>
      <c r="X201">
        <f>IF(BD_Carga!W202&lt;&gt;"",BD_Carga!W202,0)</f>
        <v/>
      </c>
      <c r="Y201">
        <f>IF(BD_Carga!X202&lt;&gt;"",BD_Carga!X202,0)</f>
        <v/>
      </c>
      <c r="Z201">
        <f>IF(BD_Carga!Y202&lt;&gt;"",BD_Carga!Y202,0)</f>
        <v/>
      </c>
      <c r="AA201">
        <f>IF(BD_Carga!Z202&lt;&gt;"",BD_Carga!Z202,0)</f>
        <v/>
      </c>
      <c r="AB201">
        <f>IF(BD_Carga!AA202&lt;&gt;"",BD_Carga!AA202,0)</f>
        <v/>
      </c>
      <c r="AC201" s="6">
        <f t="array" ref="AC201">IFERROR((L201-AVERAGEIF($G$2:$G$462,G201,$L$2:$L$462))/_xlfn.STDEV.P(IF($G$2:$G$462=G201,$L$2:$L$462)),0)</f>
        <v/>
      </c>
      <c r="AD201" s="6">
        <f t="array" ref="AD201">IFERROR((M201-AVERAGEIF($G$2:$G$462,G201,$M$2:$M$462))/_xlfn.STDEV.P(IF($G$2:$G$462=G201,$M$2:$M$462)),0)</f>
        <v/>
      </c>
      <c r="AE201" s="6">
        <f t="array" ref="AE201">IFERROR((N201-AVERAGEIF($G$2:$G$462,G201,$N$2:$N$462))/_xlfn.STDEV.P(IF($G$2:$G$462=G201,$N$2:$N$462)),0)</f>
        <v/>
      </c>
      <c r="AF201" s="6">
        <f t="array" ref="AF201">IFERROR((O201-AVERAGEIF($G$2:$G$462,G201,$O$2:$O$462))/_xlfn.STDEV.P(IF($G$2:$G$462=G201,$O$2:$O$462)),0)</f>
        <v/>
      </c>
      <c r="AG201" s="6">
        <f t="array" ref="AG201">IFERROR((P201-AVERAGEIF($G$2:$G$462,G201,$P$2:$P$462))/_xlfn.STDEV.P(IF($G$2:$G$462=G201,$P$2:$P$462)),0)</f>
        <v/>
      </c>
      <c r="AH201" s="6">
        <f t="array" ref="AH201">IFERROR((R201-AVERAGEIF($G$2:$G$462,G201,$R$2:$R$462))/_xlfn.STDEV.P(IF($G$2:$G$462=G201,$R$2:$R$462)),0)</f>
        <v/>
      </c>
      <c r="AI201" s="6">
        <f>IFERROR((AC201+AD201+AE201+AF201+AG201+AH201)/6,0)</f>
        <v/>
      </c>
    </row>
    <row r="202">
      <c r="A202" s="2">
        <f>IF(BD_Carga!A203&lt;&gt;"",BD_Carga!A203,"")</f>
        <v/>
      </c>
      <c r="B202">
        <f>IF(A202&lt;&gt;"",YEAR(A202),"")</f>
        <v/>
      </c>
      <c r="C202">
        <f>IF(A202&lt;&gt;"",MONTH(A202),"")</f>
        <v/>
      </c>
      <c r="D202">
        <f>IF(A202&lt;&gt;"",_xlfn.ISOWEEKNUM(A202),"")</f>
        <v/>
      </c>
      <c r="E202">
        <f>IF(A202&lt;&gt;"",TEXT(A202,"dddd"),"")</f>
        <v/>
      </c>
      <c r="F202">
        <f>IF(BD_Carga!C203&lt;&gt;"",BD_Carga!C203,"")</f>
        <v/>
      </c>
      <c r="G202">
        <f>IF(BD_Carga!D203&lt;&gt;"",BD_Carga!D203,"")</f>
        <v/>
      </c>
      <c r="H202">
        <f>IF(BD_Carga!Q203&lt;&gt;"",BD_Carga!Q203,"")</f>
        <v/>
      </c>
      <c r="I202">
        <f>IF(BD_Carga!R203&lt;&gt;"",BD_Carga!R203,"")</f>
        <v/>
      </c>
      <c r="J202">
        <f>IF(BD_Carga!S203&lt;&gt;"",BD_Carga!S203,"")</f>
        <v/>
      </c>
      <c r="K202" s="4">
        <f>IF(BD_Carga!E203&lt;&gt;"",BD_Carga!E203,0)</f>
        <v/>
      </c>
      <c r="L202" s="4">
        <f>IF(BD_Carga!F203&lt;&gt;"",BD_Carga!F203,0)</f>
        <v/>
      </c>
      <c r="M202" s="4">
        <f>IF(BD_Carga!G203&lt;&gt;"",BD_Carga!G203,0)</f>
        <v/>
      </c>
      <c r="N202" s="4">
        <f>IF(BD_Carga!H203&lt;&gt;"",BD_Carga!H203,0)</f>
        <v/>
      </c>
      <c r="O202" s="4">
        <f>IF(BD_Carga!I203&lt;&gt;"",BD_Carga!I203,0)</f>
        <v/>
      </c>
      <c r="P202" s="4">
        <f>IF(BD_Carga!J203&lt;&gt;"",BD_Carga!J203,0)</f>
        <v/>
      </c>
      <c r="Q202" s="5">
        <f>IF(BD_Carga!K203&lt;&gt;"",BD_Carga!K203,0)</f>
        <v/>
      </c>
      <c r="R202" s="5">
        <f>IF(BD_Carga!L203&lt;&gt;"",BD_Carga!L203,0)</f>
        <v/>
      </c>
      <c r="S202">
        <f>IF(BD_Carga!N203&lt;&gt;"",BD_Carga!N203,0)</f>
        <v/>
      </c>
      <c r="T202">
        <f>IF(BD_Carga!O203&lt;&gt;"",BD_Carga!O203,0)</f>
        <v/>
      </c>
      <c r="U202">
        <f>IF(BD_Carga!P203&lt;&gt;"",BD_Carga!P203,0)</f>
        <v/>
      </c>
      <c r="V202">
        <f>IF(BD_Carga!U203&lt;&gt;"",BD_Carga!U203,0)</f>
        <v/>
      </c>
      <c r="W202">
        <f>IF(BD_Carga!T203&lt;&gt;"",BD_Carga!T203,0)</f>
        <v/>
      </c>
      <c r="X202">
        <f>IF(BD_Carga!W203&lt;&gt;"",BD_Carga!W203,0)</f>
        <v/>
      </c>
      <c r="Y202">
        <f>IF(BD_Carga!X203&lt;&gt;"",BD_Carga!X203,0)</f>
        <v/>
      </c>
      <c r="Z202">
        <f>IF(BD_Carga!Y203&lt;&gt;"",BD_Carga!Y203,0)</f>
        <v/>
      </c>
      <c r="AA202">
        <f>IF(BD_Carga!Z203&lt;&gt;"",BD_Carga!Z203,0)</f>
        <v/>
      </c>
      <c r="AB202">
        <f>IF(BD_Carga!AA203&lt;&gt;"",BD_Carga!AA203,0)</f>
        <v/>
      </c>
      <c r="AC202" s="6">
        <f t="array" ref="AC202">IFERROR((L202-AVERAGEIF($G$2:$G$462,G202,$L$2:$L$462))/_xlfn.STDEV.P(IF($G$2:$G$462=G202,$L$2:$L$462)),0)</f>
        <v/>
      </c>
      <c r="AD202" s="6">
        <f t="array" ref="AD202">IFERROR((M202-AVERAGEIF($G$2:$G$462,G202,$M$2:$M$462))/_xlfn.STDEV.P(IF($G$2:$G$462=G202,$M$2:$M$462)),0)</f>
        <v/>
      </c>
      <c r="AE202" s="6">
        <f t="array" ref="AE202">IFERROR((N202-AVERAGEIF($G$2:$G$462,G202,$N$2:$N$462))/_xlfn.STDEV.P(IF($G$2:$G$462=G202,$N$2:$N$462)),0)</f>
        <v/>
      </c>
      <c r="AF202" s="6">
        <f t="array" ref="AF202">IFERROR((O202-AVERAGEIF($G$2:$G$462,G202,$O$2:$O$462))/_xlfn.STDEV.P(IF($G$2:$G$462=G202,$O$2:$O$462)),0)</f>
        <v/>
      </c>
      <c r="AG202" s="6">
        <f t="array" ref="AG202">IFERROR((P202-AVERAGEIF($G$2:$G$462,G202,$P$2:$P$462))/_xlfn.STDEV.P(IF($G$2:$G$462=G202,$P$2:$P$462)),0)</f>
        <v/>
      </c>
      <c r="AH202" s="6">
        <f t="array" ref="AH202">IFERROR((R202-AVERAGEIF($G$2:$G$462,G202,$R$2:$R$462))/_xlfn.STDEV.P(IF($G$2:$G$462=G202,$R$2:$R$462)),0)</f>
        <v/>
      </c>
      <c r="AI202" s="6">
        <f>IFERROR((AC202+AD202+AE202+AF202+AG202+AH202)/6,0)</f>
        <v/>
      </c>
    </row>
    <row r="203">
      <c r="A203" s="2">
        <f>IF(BD_Carga!A204&lt;&gt;"",BD_Carga!A204,"")</f>
        <v/>
      </c>
      <c r="B203">
        <f>IF(A203&lt;&gt;"",YEAR(A203),"")</f>
        <v/>
      </c>
      <c r="C203">
        <f>IF(A203&lt;&gt;"",MONTH(A203),"")</f>
        <v/>
      </c>
      <c r="D203">
        <f>IF(A203&lt;&gt;"",_xlfn.ISOWEEKNUM(A203),"")</f>
        <v/>
      </c>
      <c r="E203">
        <f>IF(A203&lt;&gt;"",TEXT(A203,"dddd"),"")</f>
        <v/>
      </c>
      <c r="F203">
        <f>IF(BD_Carga!C204&lt;&gt;"",BD_Carga!C204,"")</f>
        <v/>
      </c>
      <c r="G203">
        <f>IF(BD_Carga!D204&lt;&gt;"",BD_Carga!D204,"")</f>
        <v/>
      </c>
      <c r="H203">
        <f>IF(BD_Carga!Q204&lt;&gt;"",BD_Carga!Q204,"")</f>
        <v/>
      </c>
      <c r="I203">
        <f>IF(BD_Carga!R204&lt;&gt;"",BD_Carga!R204,"")</f>
        <v/>
      </c>
      <c r="J203">
        <f>IF(BD_Carga!S204&lt;&gt;"",BD_Carga!S204,"")</f>
        <v/>
      </c>
      <c r="K203" s="4">
        <f>IF(BD_Carga!E204&lt;&gt;"",BD_Carga!E204,0)</f>
        <v/>
      </c>
      <c r="L203" s="4">
        <f>IF(BD_Carga!F204&lt;&gt;"",BD_Carga!F204,0)</f>
        <v/>
      </c>
      <c r="M203" s="4">
        <f>IF(BD_Carga!G204&lt;&gt;"",BD_Carga!G204,0)</f>
        <v/>
      </c>
      <c r="N203" s="4">
        <f>IF(BD_Carga!H204&lt;&gt;"",BD_Carga!H204,0)</f>
        <v/>
      </c>
      <c r="O203" s="4">
        <f>IF(BD_Carga!I204&lt;&gt;"",BD_Carga!I204,0)</f>
        <v/>
      </c>
      <c r="P203" s="4">
        <f>IF(BD_Carga!J204&lt;&gt;"",BD_Carga!J204,0)</f>
        <v/>
      </c>
      <c r="Q203" s="5">
        <f>IF(BD_Carga!K204&lt;&gt;"",BD_Carga!K204,0)</f>
        <v/>
      </c>
      <c r="R203" s="5">
        <f>IF(BD_Carga!L204&lt;&gt;"",BD_Carga!L204,0)</f>
        <v/>
      </c>
      <c r="S203">
        <f>IF(BD_Carga!N204&lt;&gt;"",BD_Carga!N204,0)</f>
        <v/>
      </c>
      <c r="T203">
        <f>IF(BD_Carga!O204&lt;&gt;"",BD_Carga!O204,0)</f>
        <v/>
      </c>
      <c r="U203">
        <f>IF(BD_Carga!P204&lt;&gt;"",BD_Carga!P204,0)</f>
        <v/>
      </c>
      <c r="V203">
        <f>IF(BD_Carga!U204&lt;&gt;"",BD_Carga!U204,0)</f>
        <v/>
      </c>
      <c r="W203">
        <f>IF(BD_Carga!T204&lt;&gt;"",BD_Carga!T204,0)</f>
        <v/>
      </c>
      <c r="X203">
        <f>IF(BD_Carga!W204&lt;&gt;"",BD_Carga!W204,0)</f>
        <v/>
      </c>
      <c r="Y203">
        <f>IF(BD_Carga!X204&lt;&gt;"",BD_Carga!X204,0)</f>
        <v/>
      </c>
      <c r="Z203">
        <f>IF(BD_Carga!Y204&lt;&gt;"",BD_Carga!Y204,0)</f>
        <v/>
      </c>
      <c r="AA203">
        <f>IF(BD_Carga!Z204&lt;&gt;"",BD_Carga!Z204,0)</f>
        <v/>
      </c>
      <c r="AB203">
        <f>IF(BD_Carga!AA204&lt;&gt;"",BD_Carga!AA204,0)</f>
        <v/>
      </c>
      <c r="AC203" s="6">
        <f t="array" ref="AC203">IFERROR((L203-AVERAGEIF($G$2:$G$462,G203,$L$2:$L$462))/_xlfn.STDEV.P(IF($G$2:$G$462=G203,$L$2:$L$462)),0)</f>
        <v/>
      </c>
      <c r="AD203" s="6">
        <f t="array" ref="AD203">IFERROR((M203-AVERAGEIF($G$2:$G$462,G203,$M$2:$M$462))/_xlfn.STDEV.P(IF($G$2:$G$462=G203,$M$2:$M$462)),0)</f>
        <v/>
      </c>
      <c r="AE203" s="6">
        <f t="array" ref="AE203">IFERROR((N203-AVERAGEIF($G$2:$G$462,G203,$N$2:$N$462))/_xlfn.STDEV.P(IF($G$2:$G$462=G203,$N$2:$N$462)),0)</f>
        <v/>
      </c>
      <c r="AF203" s="6">
        <f t="array" ref="AF203">IFERROR((O203-AVERAGEIF($G$2:$G$462,G203,$O$2:$O$462))/_xlfn.STDEV.P(IF($G$2:$G$462=G203,$O$2:$O$462)),0)</f>
        <v/>
      </c>
      <c r="AG203" s="6">
        <f t="array" ref="AG203">IFERROR((P203-AVERAGEIF($G$2:$G$462,G203,$P$2:$P$462))/_xlfn.STDEV.P(IF($G$2:$G$462=G203,$P$2:$P$462)),0)</f>
        <v/>
      </c>
      <c r="AH203" s="6">
        <f t="array" ref="AH203">IFERROR((R203-AVERAGEIF($G$2:$G$462,G203,$R$2:$R$462))/_xlfn.STDEV.P(IF($G$2:$G$462=G203,$R$2:$R$462)),0)</f>
        <v/>
      </c>
      <c r="AI203" s="6">
        <f>IFERROR((AC203+AD203+AE203+AF203+AG203+AH203)/6,0)</f>
        <v/>
      </c>
    </row>
    <row r="204">
      <c r="A204" s="2">
        <f>IF(BD_Carga!A205&lt;&gt;"",BD_Carga!A205,"")</f>
        <v/>
      </c>
      <c r="B204">
        <f>IF(A204&lt;&gt;"",YEAR(A204),"")</f>
        <v/>
      </c>
      <c r="C204">
        <f>IF(A204&lt;&gt;"",MONTH(A204),"")</f>
        <v/>
      </c>
      <c r="D204">
        <f>IF(A204&lt;&gt;"",_xlfn.ISOWEEKNUM(A204),"")</f>
        <v/>
      </c>
      <c r="E204">
        <f>IF(A204&lt;&gt;"",TEXT(A204,"dddd"),"")</f>
        <v/>
      </c>
      <c r="F204">
        <f>IF(BD_Carga!C205&lt;&gt;"",BD_Carga!C205,"")</f>
        <v/>
      </c>
      <c r="G204">
        <f>IF(BD_Carga!D205&lt;&gt;"",BD_Carga!D205,"")</f>
        <v/>
      </c>
      <c r="H204">
        <f>IF(BD_Carga!Q205&lt;&gt;"",BD_Carga!Q205,"")</f>
        <v/>
      </c>
      <c r="I204">
        <f>IF(BD_Carga!R205&lt;&gt;"",BD_Carga!R205,"")</f>
        <v/>
      </c>
      <c r="J204">
        <f>IF(BD_Carga!S205&lt;&gt;"",BD_Carga!S205,"")</f>
        <v/>
      </c>
      <c r="K204" s="4">
        <f>IF(BD_Carga!E205&lt;&gt;"",BD_Carga!E205,0)</f>
        <v/>
      </c>
      <c r="L204" s="4">
        <f>IF(BD_Carga!F205&lt;&gt;"",BD_Carga!F205,0)</f>
        <v/>
      </c>
      <c r="M204" s="4">
        <f>IF(BD_Carga!G205&lt;&gt;"",BD_Carga!G205,0)</f>
        <v/>
      </c>
      <c r="N204" s="4">
        <f>IF(BD_Carga!H205&lt;&gt;"",BD_Carga!H205,0)</f>
        <v/>
      </c>
      <c r="O204" s="4">
        <f>IF(BD_Carga!I205&lt;&gt;"",BD_Carga!I205,0)</f>
        <v/>
      </c>
      <c r="P204" s="4">
        <f>IF(BD_Carga!J205&lt;&gt;"",BD_Carga!J205,0)</f>
        <v/>
      </c>
      <c r="Q204" s="5">
        <f>IF(BD_Carga!K205&lt;&gt;"",BD_Carga!K205,0)</f>
        <v/>
      </c>
      <c r="R204" s="5">
        <f>IF(BD_Carga!L205&lt;&gt;"",BD_Carga!L205,0)</f>
        <v/>
      </c>
      <c r="S204">
        <f>IF(BD_Carga!N205&lt;&gt;"",BD_Carga!N205,0)</f>
        <v/>
      </c>
      <c r="T204">
        <f>IF(BD_Carga!O205&lt;&gt;"",BD_Carga!O205,0)</f>
        <v/>
      </c>
      <c r="U204">
        <f>IF(BD_Carga!P205&lt;&gt;"",BD_Carga!P205,0)</f>
        <v/>
      </c>
      <c r="V204">
        <f>IF(BD_Carga!U205&lt;&gt;"",BD_Carga!U205,0)</f>
        <v/>
      </c>
      <c r="W204">
        <f>IF(BD_Carga!T205&lt;&gt;"",BD_Carga!T205,0)</f>
        <v/>
      </c>
      <c r="X204">
        <f>IF(BD_Carga!W205&lt;&gt;"",BD_Carga!W205,0)</f>
        <v/>
      </c>
      <c r="Y204">
        <f>IF(BD_Carga!X205&lt;&gt;"",BD_Carga!X205,0)</f>
        <v/>
      </c>
      <c r="Z204">
        <f>IF(BD_Carga!Y205&lt;&gt;"",BD_Carga!Y205,0)</f>
        <v/>
      </c>
      <c r="AA204">
        <f>IF(BD_Carga!Z205&lt;&gt;"",BD_Carga!Z205,0)</f>
        <v/>
      </c>
      <c r="AB204">
        <f>IF(BD_Carga!AA205&lt;&gt;"",BD_Carga!AA205,0)</f>
        <v/>
      </c>
      <c r="AC204" s="6">
        <f t="array" ref="AC204">IFERROR((L204-AVERAGEIF($G$2:$G$462,G204,$L$2:$L$462))/_xlfn.STDEV.P(IF($G$2:$G$462=G204,$L$2:$L$462)),0)</f>
        <v/>
      </c>
      <c r="AD204" s="6">
        <f t="array" ref="AD204">IFERROR((M204-AVERAGEIF($G$2:$G$462,G204,$M$2:$M$462))/_xlfn.STDEV.P(IF($G$2:$G$462=G204,$M$2:$M$462)),0)</f>
        <v/>
      </c>
      <c r="AE204" s="6">
        <f t="array" ref="AE204">IFERROR((N204-AVERAGEIF($G$2:$G$462,G204,$N$2:$N$462))/_xlfn.STDEV.P(IF($G$2:$G$462=G204,$N$2:$N$462)),0)</f>
        <v/>
      </c>
      <c r="AF204" s="6">
        <f t="array" ref="AF204">IFERROR((O204-AVERAGEIF($G$2:$G$462,G204,$O$2:$O$462))/_xlfn.STDEV.P(IF($G$2:$G$462=G204,$O$2:$O$462)),0)</f>
        <v/>
      </c>
      <c r="AG204" s="6">
        <f t="array" ref="AG204">IFERROR((P204-AVERAGEIF($G$2:$G$462,G204,$P$2:$P$462))/_xlfn.STDEV.P(IF($G$2:$G$462=G204,$P$2:$P$462)),0)</f>
        <v/>
      </c>
      <c r="AH204" s="6">
        <f t="array" ref="AH204">IFERROR((R204-AVERAGEIF($G$2:$G$462,G204,$R$2:$R$462))/_xlfn.STDEV.P(IF($G$2:$G$462=G204,$R$2:$R$462)),0)</f>
        <v/>
      </c>
      <c r="AI204" s="6">
        <f>IFERROR((AC204+AD204+AE204+AF204+AG204+AH204)/6,0)</f>
        <v/>
      </c>
    </row>
    <row r="205">
      <c r="A205" s="2">
        <f>IF(BD_Carga!A206&lt;&gt;"",BD_Carga!A206,"")</f>
        <v/>
      </c>
      <c r="B205">
        <f>IF(A205&lt;&gt;"",YEAR(A205),"")</f>
        <v/>
      </c>
      <c r="C205">
        <f>IF(A205&lt;&gt;"",MONTH(A205),"")</f>
        <v/>
      </c>
      <c r="D205">
        <f>IF(A205&lt;&gt;"",_xlfn.ISOWEEKNUM(A205),"")</f>
        <v/>
      </c>
      <c r="E205">
        <f>IF(A205&lt;&gt;"",TEXT(A205,"dddd"),"")</f>
        <v/>
      </c>
      <c r="F205">
        <f>IF(BD_Carga!C206&lt;&gt;"",BD_Carga!C206,"")</f>
        <v/>
      </c>
      <c r="G205">
        <f>IF(BD_Carga!D206&lt;&gt;"",BD_Carga!D206,"")</f>
        <v/>
      </c>
      <c r="H205">
        <f>IF(BD_Carga!Q206&lt;&gt;"",BD_Carga!Q206,"")</f>
        <v/>
      </c>
      <c r="I205">
        <f>IF(BD_Carga!R206&lt;&gt;"",BD_Carga!R206,"")</f>
        <v/>
      </c>
      <c r="J205">
        <f>IF(BD_Carga!S206&lt;&gt;"",BD_Carga!S206,"")</f>
        <v/>
      </c>
      <c r="K205" s="4">
        <f>IF(BD_Carga!E206&lt;&gt;"",BD_Carga!E206,0)</f>
        <v/>
      </c>
      <c r="L205" s="4">
        <f>IF(BD_Carga!F206&lt;&gt;"",BD_Carga!F206,0)</f>
        <v/>
      </c>
      <c r="M205" s="4">
        <f>IF(BD_Carga!G206&lt;&gt;"",BD_Carga!G206,0)</f>
        <v/>
      </c>
      <c r="N205" s="4">
        <f>IF(BD_Carga!H206&lt;&gt;"",BD_Carga!H206,0)</f>
        <v/>
      </c>
      <c r="O205" s="4">
        <f>IF(BD_Carga!I206&lt;&gt;"",BD_Carga!I206,0)</f>
        <v/>
      </c>
      <c r="P205" s="4">
        <f>IF(BD_Carga!J206&lt;&gt;"",BD_Carga!J206,0)</f>
        <v/>
      </c>
      <c r="Q205" s="5">
        <f>IF(BD_Carga!K206&lt;&gt;"",BD_Carga!K206,0)</f>
        <v/>
      </c>
      <c r="R205" s="5">
        <f>IF(BD_Carga!L206&lt;&gt;"",BD_Carga!L206,0)</f>
        <v/>
      </c>
      <c r="S205">
        <f>IF(BD_Carga!N206&lt;&gt;"",BD_Carga!N206,0)</f>
        <v/>
      </c>
      <c r="T205">
        <f>IF(BD_Carga!O206&lt;&gt;"",BD_Carga!O206,0)</f>
        <v/>
      </c>
      <c r="U205">
        <f>IF(BD_Carga!P206&lt;&gt;"",BD_Carga!P206,0)</f>
        <v/>
      </c>
      <c r="V205">
        <f>IF(BD_Carga!U206&lt;&gt;"",BD_Carga!U206,0)</f>
        <v/>
      </c>
      <c r="W205">
        <f>IF(BD_Carga!T206&lt;&gt;"",BD_Carga!T206,0)</f>
        <v/>
      </c>
      <c r="X205">
        <f>IF(BD_Carga!W206&lt;&gt;"",BD_Carga!W206,0)</f>
        <v/>
      </c>
      <c r="Y205">
        <f>IF(BD_Carga!X206&lt;&gt;"",BD_Carga!X206,0)</f>
        <v/>
      </c>
      <c r="Z205">
        <f>IF(BD_Carga!Y206&lt;&gt;"",BD_Carga!Y206,0)</f>
        <v/>
      </c>
      <c r="AA205">
        <f>IF(BD_Carga!Z206&lt;&gt;"",BD_Carga!Z206,0)</f>
        <v/>
      </c>
      <c r="AB205">
        <f>IF(BD_Carga!AA206&lt;&gt;"",BD_Carga!AA206,0)</f>
        <v/>
      </c>
      <c r="AC205" s="6">
        <f t="array" ref="AC205">IFERROR((L205-AVERAGEIF($G$2:$G$462,G205,$L$2:$L$462))/_xlfn.STDEV.P(IF($G$2:$G$462=G205,$L$2:$L$462)),0)</f>
        <v/>
      </c>
      <c r="AD205" s="6">
        <f t="array" ref="AD205">IFERROR((M205-AVERAGEIF($G$2:$G$462,G205,$M$2:$M$462))/_xlfn.STDEV.P(IF($G$2:$G$462=G205,$M$2:$M$462)),0)</f>
        <v/>
      </c>
      <c r="AE205" s="6">
        <f t="array" ref="AE205">IFERROR((N205-AVERAGEIF($G$2:$G$462,G205,$N$2:$N$462))/_xlfn.STDEV.P(IF($G$2:$G$462=G205,$N$2:$N$462)),0)</f>
        <v/>
      </c>
      <c r="AF205" s="6">
        <f t="array" ref="AF205">IFERROR((O205-AVERAGEIF($G$2:$G$462,G205,$O$2:$O$462))/_xlfn.STDEV.P(IF($G$2:$G$462=G205,$O$2:$O$462)),0)</f>
        <v/>
      </c>
      <c r="AG205" s="6">
        <f t="array" ref="AG205">IFERROR((P205-AVERAGEIF($G$2:$G$462,G205,$P$2:$P$462))/_xlfn.STDEV.P(IF($G$2:$G$462=G205,$P$2:$P$462)),0)</f>
        <v/>
      </c>
      <c r="AH205" s="6">
        <f t="array" ref="AH205">IFERROR((R205-AVERAGEIF($G$2:$G$462,G205,$R$2:$R$462))/_xlfn.STDEV.P(IF($G$2:$G$462=G205,$R$2:$R$462)),0)</f>
        <v/>
      </c>
      <c r="AI205" s="6">
        <f>IFERROR((AC205+AD205+AE205+AF205+AG205+AH205)/6,0)</f>
        <v/>
      </c>
    </row>
    <row r="206">
      <c r="A206" s="2">
        <f>IF(BD_Carga!A207&lt;&gt;"",BD_Carga!A207,"")</f>
        <v/>
      </c>
      <c r="B206">
        <f>IF(A206&lt;&gt;"",YEAR(A206),"")</f>
        <v/>
      </c>
      <c r="C206">
        <f>IF(A206&lt;&gt;"",MONTH(A206),"")</f>
        <v/>
      </c>
      <c r="D206">
        <f>IF(A206&lt;&gt;"",_xlfn.ISOWEEKNUM(A206),"")</f>
        <v/>
      </c>
      <c r="E206">
        <f>IF(A206&lt;&gt;"",TEXT(A206,"dddd"),"")</f>
        <v/>
      </c>
      <c r="F206">
        <f>IF(BD_Carga!C207&lt;&gt;"",BD_Carga!C207,"")</f>
        <v/>
      </c>
      <c r="G206">
        <f>IF(BD_Carga!D207&lt;&gt;"",BD_Carga!D207,"")</f>
        <v/>
      </c>
      <c r="H206">
        <f>IF(BD_Carga!Q207&lt;&gt;"",BD_Carga!Q207,"")</f>
        <v/>
      </c>
      <c r="I206">
        <f>IF(BD_Carga!R207&lt;&gt;"",BD_Carga!R207,"")</f>
        <v/>
      </c>
      <c r="J206">
        <f>IF(BD_Carga!S207&lt;&gt;"",BD_Carga!S207,"")</f>
        <v/>
      </c>
      <c r="K206" s="4">
        <f>IF(BD_Carga!E207&lt;&gt;"",BD_Carga!E207,0)</f>
        <v/>
      </c>
      <c r="L206" s="4">
        <f>IF(BD_Carga!F207&lt;&gt;"",BD_Carga!F207,0)</f>
        <v/>
      </c>
      <c r="M206" s="4">
        <f>IF(BD_Carga!G207&lt;&gt;"",BD_Carga!G207,0)</f>
        <v/>
      </c>
      <c r="N206" s="4">
        <f>IF(BD_Carga!H207&lt;&gt;"",BD_Carga!H207,0)</f>
        <v/>
      </c>
      <c r="O206" s="4">
        <f>IF(BD_Carga!I207&lt;&gt;"",BD_Carga!I207,0)</f>
        <v/>
      </c>
      <c r="P206" s="4">
        <f>IF(BD_Carga!J207&lt;&gt;"",BD_Carga!J207,0)</f>
        <v/>
      </c>
      <c r="Q206" s="5">
        <f>IF(BD_Carga!K207&lt;&gt;"",BD_Carga!K207,0)</f>
        <v/>
      </c>
      <c r="R206" s="5">
        <f>IF(BD_Carga!L207&lt;&gt;"",BD_Carga!L207,0)</f>
        <v/>
      </c>
      <c r="S206">
        <f>IF(BD_Carga!N207&lt;&gt;"",BD_Carga!N207,0)</f>
        <v/>
      </c>
      <c r="T206">
        <f>IF(BD_Carga!O207&lt;&gt;"",BD_Carga!O207,0)</f>
        <v/>
      </c>
      <c r="U206">
        <f>IF(BD_Carga!P207&lt;&gt;"",BD_Carga!P207,0)</f>
        <v/>
      </c>
      <c r="V206">
        <f>IF(BD_Carga!U207&lt;&gt;"",BD_Carga!U207,0)</f>
        <v/>
      </c>
      <c r="W206">
        <f>IF(BD_Carga!T207&lt;&gt;"",BD_Carga!T207,0)</f>
        <v/>
      </c>
      <c r="X206">
        <f>IF(BD_Carga!W207&lt;&gt;"",BD_Carga!W207,0)</f>
        <v/>
      </c>
      <c r="Y206">
        <f>IF(BD_Carga!X207&lt;&gt;"",BD_Carga!X207,0)</f>
        <v/>
      </c>
      <c r="Z206">
        <f>IF(BD_Carga!Y207&lt;&gt;"",BD_Carga!Y207,0)</f>
        <v/>
      </c>
      <c r="AA206">
        <f>IF(BD_Carga!Z207&lt;&gt;"",BD_Carga!Z207,0)</f>
        <v/>
      </c>
      <c r="AB206">
        <f>IF(BD_Carga!AA207&lt;&gt;"",BD_Carga!AA207,0)</f>
        <v/>
      </c>
      <c r="AC206" s="6">
        <f t="array" ref="AC206">IFERROR((L206-AVERAGEIF($G$2:$G$462,G206,$L$2:$L$462))/_xlfn.STDEV.P(IF($G$2:$G$462=G206,$L$2:$L$462)),0)</f>
        <v/>
      </c>
      <c r="AD206" s="6">
        <f t="array" ref="AD206">IFERROR((M206-AVERAGEIF($G$2:$G$462,G206,$M$2:$M$462))/_xlfn.STDEV.P(IF($G$2:$G$462=G206,$M$2:$M$462)),0)</f>
        <v/>
      </c>
      <c r="AE206" s="6">
        <f t="array" ref="AE206">IFERROR((N206-AVERAGEIF($G$2:$G$462,G206,$N$2:$N$462))/_xlfn.STDEV.P(IF($G$2:$G$462=G206,$N$2:$N$462)),0)</f>
        <v/>
      </c>
      <c r="AF206" s="6">
        <f t="array" ref="AF206">IFERROR((O206-AVERAGEIF($G$2:$G$462,G206,$O$2:$O$462))/_xlfn.STDEV.P(IF($G$2:$G$462=G206,$O$2:$O$462)),0)</f>
        <v/>
      </c>
      <c r="AG206" s="6">
        <f t="array" ref="AG206">IFERROR((P206-AVERAGEIF($G$2:$G$462,G206,$P$2:$P$462))/_xlfn.STDEV.P(IF($G$2:$G$462=G206,$P$2:$P$462)),0)</f>
        <v/>
      </c>
      <c r="AH206" s="6">
        <f t="array" ref="AH206">IFERROR((R206-AVERAGEIF($G$2:$G$462,G206,$R$2:$R$462))/_xlfn.STDEV.P(IF($G$2:$G$462=G206,$R$2:$R$462)),0)</f>
        <v/>
      </c>
      <c r="AI206" s="6">
        <f>IFERROR((AC206+AD206+AE206+AF206+AG206+AH206)/6,0)</f>
        <v/>
      </c>
    </row>
    <row r="207">
      <c r="A207" s="2">
        <f>IF(BD_Carga!A208&lt;&gt;"",BD_Carga!A208,"")</f>
        <v/>
      </c>
      <c r="B207">
        <f>IF(A207&lt;&gt;"",YEAR(A207),"")</f>
        <v/>
      </c>
      <c r="C207">
        <f>IF(A207&lt;&gt;"",MONTH(A207),"")</f>
        <v/>
      </c>
      <c r="D207">
        <f>IF(A207&lt;&gt;"",_xlfn.ISOWEEKNUM(A207),"")</f>
        <v/>
      </c>
      <c r="E207">
        <f>IF(A207&lt;&gt;"",TEXT(A207,"dddd"),"")</f>
        <v/>
      </c>
      <c r="F207">
        <f>IF(BD_Carga!C208&lt;&gt;"",BD_Carga!C208,"")</f>
        <v/>
      </c>
      <c r="G207">
        <f>IF(BD_Carga!D208&lt;&gt;"",BD_Carga!D208,"")</f>
        <v/>
      </c>
      <c r="H207">
        <f>IF(BD_Carga!Q208&lt;&gt;"",BD_Carga!Q208,"")</f>
        <v/>
      </c>
      <c r="I207">
        <f>IF(BD_Carga!R208&lt;&gt;"",BD_Carga!R208,"")</f>
        <v/>
      </c>
      <c r="J207">
        <f>IF(BD_Carga!S208&lt;&gt;"",BD_Carga!S208,"")</f>
        <v/>
      </c>
      <c r="K207" s="4">
        <f>IF(BD_Carga!E208&lt;&gt;"",BD_Carga!E208,0)</f>
        <v/>
      </c>
      <c r="L207" s="4">
        <f>IF(BD_Carga!F208&lt;&gt;"",BD_Carga!F208,0)</f>
        <v/>
      </c>
      <c r="M207" s="4">
        <f>IF(BD_Carga!G208&lt;&gt;"",BD_Carga!G208,0)</f>
        <v/>
      </c>
      <c r="N207" s="4">
        <f>IF(BD_Carga!H208&lt;&gt;"",BD_Carga!H208,0)</f>
        <v/>
      </c>
      <c r="O207" s="4">
        <f>IF(BD_Carga!I208&lt;&gt;"",BD_Carga!I208,0)</f>
        <v/>
      </c>
      <c r="P207" s="4">
        <f>IF(BD_Carga!J208&lt;&gt;"",BD_Carga!J208,0)</f>
        <v/>
      </c>
      <c r="Q207" s="5">
        <f>IF(BD_Carga!K208&lt;&gt;"",BD_Carga!K208,0)</f>
        <v/>
      </c>
      <c r="R207" s="5">
        <f>IF(BD_Carga!L208&lt;&gt;"",BD_Carga!L208,0)</f>
        <v/>
      </c>
      <c r="S207">
        <f>IF(BD_Carga!N208&lt;&gt;"",BD_Carga!N208,0)</f>
        <v/>
      </c>
      <c r="T207">
        <f>IF(BD_Carga!O208&lt;&gt;"",BD_Carga!O208,0)</f>
        <v/>
      </c>
      <c r="U207">
        <f>IF(BD_Carga!P208&lt;&gt;"",BD_Carga!P208,0)</f>
        <v/>
      </c>
      <c r="V207">
        <f>IF(BD_Carga!U208&lt;&gt;"",BD_Carga!U208,0)</f>
        <v/>
      </c>
      <c r="W207">
        <f>IF(BD_Carga!T208&lt;&gt;"",BD_Carga!T208,0)</f>
        <v/>
      </c>
      <c r="X207">
        <f>IF(BD_Carga!W208&lt;&gt;"",BD_Carga!W208,0)</f>
        <v/>
      </c>
      <c r="Y207">
        <f>IF(BD_Carga!X208&lt;&gt;"",BD_Carga!X208,0)</f>
        <v/>
      </c>
      <c r="Z207">
        <f>IF(BD_Carga!Y208&lt;&gt;"",BD_Carga!Y208,0)</f>
        <v/>
      </c>
      <c r="AA207">
        <f>IF(BD_Carga!Z208&lt;&gt;"",BD_Carga!Z208,0)</f>
        <v/>
      </c>
      <c r="AB207">
        <f>IF(BD_Carga!AA208&lt;&gt;"",BD_Carga!AA208,0)</f>
        <v/>
      </c>
      <c r="AC207" s="6">
        <f t="array" ref="AC207">IFERROR((L207-AVERAGEIF($G$2:$G$462,G207,$L$2:$L$462))/_xlfn.STDEV.P(IF($G$2:$G$462=G207,$L$2:$L$462)),0)</f>
        <v/>
      </c>
      <c r="AD207" s="6">
        <f t="array" ref="AD207">IFERROR((M207-AVERAGEIF($G$2:$G$462,G207,$M$2:$M$462))/_xlfn.STDEV.P(IF($G$2:$G$462=G207,$M$2:$M$462)),0)</f>
        <v/>
      </c>
      <c r="AE207" s="6">
        <f t="array" ref="AE207">IFERROR((N207-AVERAGEIF($G$2:$G$462,G207,$N$2:$N$462))/_xlfn.STDEV.P(IF($G$2:$G$462=G207,$N$2:$N$462)),0)</f>
        <v/>
      </c>
      <c r="AF207" s="6">
        <f t="array" ref="AF207">IFERROR((O207-AVERAGEIF($G$2:$G$462,G207,$O$2:$O$462))/_xlfn.STDEV.P(IF($G$2:$G$462=G207,$O$2:$O$462)),0)</f>
        <v/>
      </c>
      <c r="AG207" s="6">
        <f t="array" ref="AG207">IFERROR((P207-AVERAGEIF($G$2:$G$462,G207,$P$2:$P$462))/_xlfn.STDEV.P(IF($G$2:$G$462=G207,$P$2:$P$462)),0)</f>
        <v/>
      </c>
      <c r="AH207" s="6">
        <f t="array" ref="AH207">IFERROR((R207-AVERAGEIF($G$2:$G$462,G207,$R$2:$R$462))/_xlfn.STDEV.P(IF($G$2:$G$462=G207,$R$2:$R$462)),0)</f>
        <v/>
      </c>
      <c r="AI207" s="6">
        <f>IFERROR((AC207+AD207+AE207+AF207+AG207+AH207)/6,0)</f>
        <v/>
      </c>
    </row>
    <row r="208">
      <c r="A208" s="2">
        <f>IF(BD_Carga!A209&lt;&gt;"",BD_Carga!A209,"")</f>
        <v/>
      </c>
      <c r="B208">
        <f>IF(A208&lt;&gt;"",YEAR(A208),"")</f>
        <v/>
      </c>
      <c r="C208">
        <f>IF(A208&lt;&gt;"",MONTH(A208),"")</f>
        <v/>
      </c>
      <c r="D208">
        <f>IF(A208&lt;&gt;"",_xlfn.ISOWEEKNUM(A208),"")</f>
        <v/>
      </c>
      <c r="E208">
        <f>IF(A208&lt;&gt;"",TEXT(A208,"dddd"),"")</f>
        <v/>
      </c>
      <c r="F208">
        <f>IF(BD_Carga!C209&lt;&gt;"",BD_Carga!C209,"")</f>
        <v/>
      </c>
      <c r="G208">
        <f>IF(BD_Carga!D209&lt;&gt;"",BD_Carga!D209,"")</f>
        <v/>
      </c>
      <c r="H208">
        <f>IF(BD_Carga!Q209&lt;&gt;"",BD_Carga!Q209,"")</f>
        <v/>
      </c>
      <c r="I208">
        <f>IF(BD_Carga!R209&lt;&gt;"",BD_Carga!R209,"")</f>
        <v/>
      </c>
      <c r="J208">
        <f>IF(BD_Carga!S209&lt;&gt;"",BD_Carga!S209,"")</f>
        <v/>
      </c>
      <c r="K208" s="4">
        <f>IF(BD_Carga!E209&lt;&gt;"",BD_Carga!E209,0)</f>
        <v/>
      </c>
      <c r="L208" s="4">
        <f>IF(BD_Carga!F209&lt;&gt;"",BD_Carga!F209,0)</f>
        <v/>
      </c>
      <c r="M208" s="4">
        <f>IF(BD_Carga!G209&lt;&gt;"",BD_Carga!G209,0)</f>
        <v/>
      </c>
      <c r="N208" s="4">
        <f>IF(BD_Carga!H209&lt;&gt;"",BD_Carga!H209,0)</f>
        <v/>
      </c>
      <c r="O208" s="4">
        <f>IF(BD_Carga!I209&lt;&gt;"",BD_Carga!I209,0)</f>
        <v/>
      </c>
      <c r="P208" s="4">
        <f>IF(BD_Carga!J209&lt;&gt;"",BD_Carga!J209,0)</f>
        <v/>
      </c>
      <c r="Q208" s="5">
        <f>IF(BD_Carga!K209&lt;&gt;"",BD_Carga!K209,0)</f>
        <v/>
      </c>
      <c r="R208" s="5">
        <f>IF(BD_Carga!L209&lt;&gt;"",BD_Carga!L209,0)</f>
        <v/>
      </c>
      <c r="S208">
        <f>IF(BD_Carga!N209&lt;&gt;"",BD_Carga!N209,0)</f>
        <v/>
      </c>
      <c r="T208">
        <f>IF(BD_Carga!O209&lt;&gt;"",BD_Carga!O209,0)</f>
        <v/>
      </c>
      <c r="U208">
        <f>IF(BD_Carga!P209&lt;&gt;"",BD_Carga!P209,0)</f>
        <v/>
      </c>
      <c r="V208">
        <f>IF(BD_Carga!U209&lt;&gt;"",BD_Carga!U209,0)</f>
        <v/>
      </c>
      <c r="W208">
        <f>IF(BD_Carga!T209&lt;&gt;"",BD_Carga!T209,0)</f>
        <v/>
      </c>
      <c r="X208">
        <f>IF(BD_Carga!W209&lt;&gt;"",BD_Carga!W209,0)</f>
        <v/>
      </c>
      <c r="Y208">
        <f>IF(BD_Carga!X209&lt;&gt;"",BD_Carga!X209,0)</f>
        <v/>
      </c>
      <c r="Z208">
        <f>IF(BD_Carga!Y209&lt;&gt;"",BD_Carga!Y209,0)</f>
        <v/>
      </c>
      <c r="AA208">
        <f>IF(BD_Carga!Z209&lt;&gt;"",BD_Carga!Z209,0)</f>
        <v/>
      </c>
      <c r="AB208">
        <f>IF(BD_Carga!AA209&lt;&gt;"",BD_Carga!AA209,0)</f>
        <v/>
      </c>
      <c r="AC208" s="6">
        <f t="array" ref="AC208">IFERROR((L208-AVERAGEIF($G$2:$G$462,G208,$L$2:$L$462))/_xlfn.STDEV.P(IF($G$2:$G$462=G208,$L$2:$L$462)),0)</f>
        <v/>
      </c>
      <c r="AD208" s="6">
        <f t="array" ref="AD208">IFERROR((M208-AVERAGEIF($G$2:$G$462,G208,$M$2:$M$462))/_xlfn.STDEV.P(IF($G$2:$G$462=G208,$M$2:$M$462)),0)</f>
        <v/>
      </c>
      <c r="AE208" s="6">
        <f t="array" ref="AE208">IFERROR((N208-AVERAGEIF($G$2:$G$462,G208,$N$2:$N$462))/_xlfn.STDEV.P(IF($G$2:$G$462=G208,$N$2:$N$462)),0)</f>
        <v/>
      </c>
      <c r="AF208" s="6">
        <f t="array" ref="AF208">IFERROR((O208-AVERAGEIF($G$2:$G$462,G208,$O$2:$O$462))/_xlfn.STDEV.P(IF($G$2:$G$462=G208,$O$2:$O$462)),0)</f>
        <v/>
      </c>
      <c r="AG208" s="6">
        <f t="array" ref="AG208">IFERROR((P208-AVERAGEIF($G$2:$G$462,G208,$P$2:$P$462))/_xlfn.STDEV.P(IF($G$2:$G$462=G208,$P$2:$P$462)),0)</f>
        <v/>
      </c>
      <c r="AH208" s="6">
        <f t="array" ref="AH208">IFERROR((R208-AVERAGEIF($G$2:$G$462,G208,$R$2:$R$462))/_xlfn.STDEV.P(IF($G$2:$G$462=G208,$R$2:$R$462)),0)</f>
        <v/>
      </c>
      <c r="AI208" s="6">
        <f>IFERROR((AC208+AD208+AE208+AF208+AG208+AH208)/6,0)</f>
        <v/>
      </c>
    </row>
    <row r="209">
      <c r="A209" s="2">
        <f>IF(BD_Carga!A210&lt;&gt;"",BD_Carga!A210,"")</f>
        <v/>
      </c>
      <c r="B209">
        <f>IF(A209&lt;&gt;"",YEAR(A209),"")</f>
        <v/>
      </c>
      <c r="C209">
        <f>IF(A209&lt;&gt;"",MONTH(A209),"")</f>
        <v/>
      </c>
      <c r="D209">
        <f>IF(A209&lt;&gt;"",_xlfn.ISOWEEKNUM(A209),"")</f>
        <v/>
      </c>
      <c r="E209">
        <f>IF(A209&lt;&gt;"",TEXT(A209,"dddd"),"")</f>
        <v/>
      </c>
      <c r="F209">
        <f>IF(BD_Carga!C210&lt;&gt;"",BD_Carga!C210,"")</f>
        <v/>
      </c>
      <c r="G209">
        <f>IF(BD_Carga!D210&lt;&gt;"",BD_Carga!D210,"")</f>
        <v/>
      </c>
      <c r="H209">
        <f>IF(BD_Carga!Q210&lt;&gt;"",BD_Carga!Q210,"")</f>
        <v/>
      </c>
      <c r="I209">
        <f>IF(BD_Carga!R210&lt;&gt;"",BD_Carga!R210,"")</f>
        <v/>
      </c>
      <c r="J209">
        <f>IF(BD_Carga!S210&lt;&gt;"",BD_Carga!S210,"")</f>
        <v/>
      </c>
      <c r="K209" s="4">
        <f>IF(BD_Carga!E210&lt;&gt;"",BD_Carga!E210,0)</f>
        <v/>
      </c>
      <c r="L209" s="4">
        <f>IF(BD_Carga!F210&lt;&gt;"",BD_Carga!F210,0)</f>
        <v/>
      </c>
      <c r="M209" s="4">
        <f>IF(BD_Carga!G210&lt;&gt;"",BD_Carga!G210,0)</f>
        <v/>
      </c>
      <c r="N209" s="4">
        <f>IF(BD_Carga!H210&lt;&gt;"",BD_Carga!H210,0)</f>
        <v/>
      </c>
      <c r="O209" s="4">
        <f>IF(BD_Carga!I210&lt;&gt;"",BD_Carga!I210,0)</f>
        <v/>
      </c>
      <c r="P209" s="4">
        <f>IF(BD_Carga!J210&lt;&gt;"",BD_Carga!J210,0)</f>
        <v/>
      </c>
      <c r="Q209" s="5">
        <f>IF(BD_Carga!K210&lt;&gt;"",BD_Carga!K210,0)</f>
        <v/>
      </c>
      <c r="R209" s="5">
        <f>IF(BD_Carga!L210&lt;&gt;"",BD_Carga!L210,0)</f>
        <v/>
      </c>
      <c r="S209">
        <f>IF(BD_Carga!N210&lt;&gt;"",BD_Carga!N210,0)</f>
        <v/>
      </c>
      <c r="T209">
        <f>IF(BD_Carga!O210&lt;&gt;"",BD_Carga!O210,0)</f>
        <v/>
      </c>
      <c r="U209">
        <f>IF(BD_Carga!P210&lt;&gt;"",BD_Carga!P210,0)</f>
        <v/>
      </c>
      <c r="V209">
        <f>IF(BD_Carga!U210&lt;&gt;"",BD_Carga!U210,0)</f>
        <v/>
      </c>
      <c r="W209">
        <f>IF(BD_Carga!T210&lt;&gt;"",BD_Carga!T210,0)</f>
        <v/>
      </c>
      <c r="X209">
        <f>IF(BD_Carga!W210&lt;&gt;"",BD_Carga!W210,0)</f>
        <v/>
      </c>
      <c r="Y209">
        <f>IF(BD_Carga!X210&lt;&gt;"",BD_Carga!X210,0)</f>
        <v/>
      </c>
      <c r="Z209">
        <f>IF(BD_Carga!Y210&lt;&gt;"",BD_Carga!Y210,0)</f>
        <v/>
      </c>
      <c r="AA209">
        <f>IF(BD_Carga!Z210&lt;&gt;"",BD_Carga!Z210,0)</f>
        <v/>
      </c>
      <c r="AB209">
        <f>IF(BD_Carga!AA210&lt;&gt;"",BD_Carga!AA210,0)</f>
        <v/>
      </c>
      <c r="AC209" s="6">
        <f t="array" ref="AC209">IFERROR((L209-AVERAGEIF($G$2:$G$462,G209,$L$2:$L$462))/_xlfn.STDEV.P(IF($G$2:$G$462=G209,$L$2:$L$462)),0)</f>
        <v/>
      </c>
      <c r="AD209" s="6">
        <f t="array" ref="AD209">IFERROR((M209-AVERAGEIF($G$2:$G$462,G209,$M$2:$M$462))/_xlfn.STDEV.P(IF($G$2:$G$462=G209,$M$2:$M$462)),0)</f>
        <v/>
      </c>
      <c r="AE209" s="6">
        <f t="array" ref="AE209">IFERROR((N209-AVERAGEIF($G$2:$G$462,G209,$N$2:$N$462))/_xlfn.STDEV.P(IF($G$2:$G$462=G209,$N$2:$N$462)),0)</f>
        <v/>
      </c>
      <c r="AF209" s="6">
        <f t="array" ref="AF209">IFERROR((O209-AVERAGEIF($G$2:$G$462,G209,$O$2:$O$462))/_xlfn.STDEV.P(IF($G$2:$G$462=G209,$O$2:$O$462)),0)</f>
        <v/>
      </c>
      <c r="AG209" s="6">
        <f t="array" ref="AG209">IFERROR((P209-AVERAGEIF($G$2:$G$462,G209,$P$2:$P$462))/_xlfn.STDEV.P(IF($G$2:$G$462=G209,$P$2:$P$462)),0)</f>
        <v/>
      </c>
      <c r="AH209" s="6">
        <f t="array" ref="AH209">IFERROR((R209-AVERAGEIF($G$2:$G$462,G209,$R$2:$R$462))/_xlfn.STDEV.P(IF($G$2:$G$462=G209,$R$2:$R$462)),0)</f>
        <v/>
      </c>
      <c r="AI209" s="6">
        <f>IFERROR((AC209+AD209+AE209+AF209+AG209+AH209)/6,0)</f>
        <v/>
      </c>
    </row>
    <row r="210">
      <c r="A210" s="2">
        <f>IF(BD_Carga!A211&lt;&gt;"",BD_Carga!A211,"")</f>
        <v/>
      </c>
      <c r="B210">
        <f>IF(A210&lt;&gt;"",YEAR(A210),"")</f>
        <v/>
      </c>
      <c r="C210">
        <f>IF(A210&lt;&gt;"",MONTH(A210),"")</f>
        <v/>
      </c>
      <c r="D210">
        <f>IF(A210&lt;&gt;"",_xlfn.ISOWEEKNUM(A210),"")</f>
        <v/>
      </c>
      <c r="E210">
        <f>IF(A210&lt;&gt;"",TEXT(A210,"dddd"),"")</f>
        <v/>
      </c>
      <c r="F210">
        <f>IF(BD_Carga!C211&lt;&gt;"",BD_Carga!C211,"")</f>
        <v/>
      </c>
      <c r="G210">
        <f>IF(BD_Carga!D211&lt;&gt;"",BD_Carga!D211,"")</f>
        <v/>
      </c>
      <c r="H210">
        <f>IF(BD_Carga!Q211&lt;&gt;"",BD_Carga!Q211,"")</f>
        <v/>
      </c>
      <c r="I210">
        <f>IF(BD_Carga!R211&lt;&gt;"",BD_Carga!R211,"")</f>
        <v/>
      </c>
      <c r="J210">
        <f>IF(BD_Carga!S211&lt;&gt;"",BD_Carga!S211,"")</f>
        <v/>
      </c>
      <c r="K210" s="4">
        <f>IF(BD_Carga!E211&lt;&gt;"",BD_Carga!E211,0)</f>
        <v/>
      </c>
      <c r="L210" s="4">
        <f>IF(BD_Carga!F211&lt;&gt;"",BD_Carga!F211,0)</f>
        <v/>
      </c>
      <c r="M210" s="4">
        <f>IF(BD_Carga!G211&lt;&gt;"",BD_Carga!G211,0)</f>
        <v/>
      </c>
      <c r="N210" s="4">
        <f>IF(BD_Carga!H211&lt;&gt;"",BD_Carga!H211,0)</f>
        <v/>
      </c>
      <c r="O210" s="4">
        <f>IF(BD_Carga!I211&lt;&gt;"",BD_Carga!I211,0)</f>
        <v/>
      </c>
      <c r="P210" s="4">
        <f>IF(BD_Carga!J211&lt;&gt;"",BD_Carga!J211,0)</f>
        <v/>
      </c>
      <c r="Q210" s="5">
        <f>IF(BD_Carga!K211&lt;&gt;"",BD_Carga!K211,0)</f>
        <v/>
      </c>
      <c r="R210" s="5">
        <f>IF(BD_Carga!L211&lt;&gt;"",BD_Carga!L211,0)</f>
        <v/>
      </c>
      <c r="S210">
        <f>IF(BD_Carga!N211&lt;&gt;"",BD_Carga!N211,0)</f>
        <v/>
      </c>
      <c r="T210">
        <f>IF(BD_Carga!O211&lt;&gt;"",BD_Carga!O211,0)</f>
        <v/>
      </c>
      <c r="U210">
        <f>IF(BD_Carga!P211&lt;&gt;"",BD_Carga!P211,0)</f>
        <v/>
      </c>
      <c r="V210">
        <f>IF(BD_Carga!U211&lt;&gt;"",BD_Carga!U211,0)</f>
        <v/>
      </c>
      <c r="W210">
        <f>IF(BD_Carga!T211&lt;&gt;"",BD_Carga!T211,0)</f>
        <v/>
      </c>
      <c r="X210">
        <f>IF(BD_Carga!W211&lt;&gt;"",BD_Carga!W211,0)</f>
        <v/>
      </c>
      <c r="Y210">
        <f>IF(BD_Carga!X211&lt;&gt;"",BD_Carga!X211,0)</f>
        <v/>
      </c>
      <c r="Z210">
        <f>IF(BD_Carga!Y211&lt;&gt;"",BD_Carga!Y211,0)</f>
        <v/>
      </c>
      <c r="AA210">
        <f>IF(BD_Carga!Z211&lt;&gt;"",BD_Carga!Z211,0)</f>
        <v/>
      </c>
      <c r="AB210">
        <f>IF(BD_Carga!AA211&lt;&gt;"",BD_Carga!AA211,0)</f>
        <v/>
      </c>
      <c r="AC210" s="6">
        <f t="array" ref="AC210">IFERROR((L210-AVERAGEIF($G$2:$G$462,G210,$L$2:$L$462))/_xlfn.STDEV.P(IF($G$2:$G$462=G210,$L$2:$L$462)),0)</f>
        <v/>
      </c>
      <c r="AD210" s="6">
        <f t="array" ref="AD210">IFERROR((M210-AVERAGEIF($G$2:$G$462,G210,$M$2:$M$462))/_xlfn.STDEV.P(IF($G$2:$G$462=G210,$M$2:$M$462)),0)</f>
        <v/>
      </c>
      <c r="AE210" s="6">
        <f t="array" ref="AE210">IFERROR((N210-AVERAGEIF($G$2:$G$462,G210,$N$2:$N$462))/_xlfn.STDEV.P(IF($G$2:$G$462=G210,$N$2:$N$462)),0)</f>
        <v/>
      </c>
      <c r="AF210" s="6">
        <f t="array" ref="AF210">IFERROR((O210-AVERAGEIF($G$2:$G$462,G210,$O$2:$O$462))/_xlfn.STDEV.P(IF($G$2:$G$462=G210,$O$2:$O$462)),0)</f>
        <v/>
      </c>
      <c r="AG210" s="6">
        <f t="array" ref="AG210">IFERROR((P210-AVERAGEIF($G$2:$G$462,G210,$P$2:$P$462))/_xlfn.STDEV.P(IF($G$2:$G$462=G210,$P$2:$P$462)),0)</f>
        <v/>
      </c>
      <c r="AH210" s="6">
        <f t="array" ref="AH210">IFERROR((R210-AVERAGEIF($G$2:$G$462,G210,$R$2:$R$462))/_xlfn.STDEV.P(IF($G$2:$G$462=G210,$R$2:$R$462)),0)</f>
        <v/>
      </c>
      <c r="AI210" s="6">
        <f>IFERROR((AC210+AD210+AE210+AF210+AG210+AH210)/6,0)</f>
        <v/>
      </c>
    </row>
    <row r="211">
      <c r="A211" s="2">
        <f>IF(BD_Carga!A212&lt;&gt;"",BD_Carga!A212,"")</f>
        <v/>
      </c>
      <c r="B211">
        <f>IF(A211&lt;&gt;"",YEAR(A211),"")</f>
        <v/>
      </c>
      <c r="C211">
        <f>IF(A211&lt;&gt;"",MONTH(A211),"")</f>
        <v/>
      </c>
      <c r="D211">
        <f>IF(A211&lt;&gt;"",_xlfn.ISOWEEKNUM(A211),"")</f>
        <v/>
      </c>
      <c r="E211">
        <f>IF(A211&lt;&gt;"",TEXT(A211,"dddd"),"")</f>
        <v/>
      </c>
      <c r="F211">
        <f>IF(BD_Carga!C212&lt;&gt;"",BD_Carga!C212,"")</f>
        <v/>
      </c>
      <c r="G211">
        <f>IF(BD_Carga!D212&lt;&gt;"",BD_Carga!D212,"")</f>
        <v/>
      </c>
      <c r="H211">
        <f>IF(BD_Carga!Q212&lt;&gt;"",BD_Carga!Q212,"")</f>
        <v/>
      </c>
      <c r="I211">
        <f>IF(BD_Carga!R212&lt;&gt;"",BD_Carga!R212,"")</f>
        <v/>
      </c>
      <c r="J211">
        <f>IF(BD_Carga!S212&lt;&gt;"",BD_Carga!S212,"")</f>
        <v/>
      </c>
      <c r="K211" s="4">
        <f>IF(BD_Carga!E212&lt;&gt;"",BD_Carga!E212,0)</f>
        <v/>
      </c>
      <c r="L211" s="4">
        <f>IF(BD_Carga!F212&lt;&gt;"",BD_Carga!F212,0)</f>
        <v/>
      </c>
      <c r="M211" s="4">
        <f>IF(BD_Carga!G212&lt;&gt;"",BD_Carga!G212,0)</f>
        <v/>
      </c>
      <c r="N211" s="4">
        <f>IF(BD_Carga!H212&lt;&gt;"",BD_Carga!H212,0)</f>
        <v/>
      </c>
      <c r="O211" s="4">
        <f>IF(BD_Carga!I212&lt;&gt;"",BD_Carga!I212,0)</f>
        <v/>
      </c>
      <c r="P211" s="4">
        <f>IF(BD_Carga!J212&lt;&gt;"",BD_Carga!J212,0)</f>
        <v/>
      </c>
      <c r="Q211" s="5">
        <f>IF(BD_Carga!K212&lt;&gt;"",BD_Carga!K212,0)</f>
        <v/>
      </c>
      <c r="R211" s="5">
        <f>IF(BD_Carga!L212&lt;&gt;"",BD_Carga!L212,0)</f>
        <v/>
      </c>
      <c r="S211">
        <f>IF(BD_Carga!N212&lt;&gt;"",BD_Carga!N212,0)</f>
        <v/>
      </c>
      <c r="T211">
        <f>IF(BD_Carga!O212&lt;&gt;"",BD_Carga!O212,0)</f>
        <v/>
      </c>
      <c r="U211">
        <f>IF(BD_Carga!P212&lt;&gt;"",BD_Carga!P212,0)</f>
        <v/>
      </c>
      <c r="V211">
        <f>IF(BD_Carga!U212&lt;&gt;"",BD_Carga!U212,0)</f>
        <v/>
      </c>
      <c r="W211">
        <f>IF(BD_Carga!T212&lt;&gt;"",BD_Carga!T212,0)</f>
        <v/>
      </c>
      <c r="X211">
        <f>IF(BD_Carga!W212&lt;&gt;"",BD_Carga!W212,0)</f>
        <v/>
      </c>
      <c r="Y211">
        <f>IF(BD_Carga!X212&lt;&gt;"",BD_Carga!X212,0)</f>
        <v/>
      </c>
      <c r="Z211">
        <f>IF(BD_Carga!Y212&lt;&gt;"",BD_Carga!Y212,0)</f>
        <v/>
      </c>
      <c r="AA211">
        <f>IF(BD_Carga!Z212&lt;&gt;"",BD_Carga!Z212,0)</f>
        <v/>
      </c>
      <c r="AB211">
        <f>IF(BD_Carga!AA212&lt;&gt;"",BD_Carga!AA212,0)</f>
        <v/>
      </c>
      <c r="AC211" s="6">
        <f t="array" ref="AC211">IFERROR((L211-AVERAGEIF($G$2:$G$462,G211,$L$2:$L$462))/_xlfn.STDEV.P(IF($G$2:$G$462=G211,$L$2:$L$462)),0)</f>
        <v/>
      </c>
      <c r="AD211" s="6">
        <f t="array" ref="AD211">IFERROR((M211-AVERAGEIF($G$2:$G$462,G211,$M$2:$M$462))/_xlfn.STDEV.P(IF($G$2:$G$462=G211,$M$2:$M$462)),0)</f>
        <v/>
      </c>
      <c r="AE211" s="6">
        <f t="array" ref="AE211">IFERROR((N211-AVERAGEIF($G$2:$G$462,G211,$N$2:$N$462))/_xlfn.STDEV.P(IF($G$2:$G$462=G211,$N$2:$N$462)),0)</f>
        <v/>
      </c>
      <c r="AF211" s="6">
        <f t="array" ref="AF211">IFERROR((O211-AVERAGEIF($G$2:$G$462,G211,$O$2:$O$462))/_xlfn.STDEV.P(IF($G$2:$G$462=G211,$O$2:$O$462)),0)</f>
        <v/>
      </c>
      <c r="AG211" s="6">
        <f t="array" ref="AG211">IFERROR((P211-AVERAGEIF($G$2:$G$462,G211,$P$2:$P$462))/_xlfn.STDEV.P(IF($G$2:$G$462=G211,$P$2:$P$462)),0)</f>
        <v/>
      </c>
      <c r="AH211" s="6">
        <f t="array" ref="AH211">IFERROR((R211-AVERAGEIF($G$2:$G$462,G211,$R$2:$R$462))/_xlfn.STDEV.P(IF($G$2:$G$462=G211,$R$2:$R$462)),0)</f>
        <v/>
      </c>
      <c r="AI211" s="6">
        <f>IFERROR((AC211+AD211+AE211+AF211+AG211+AH211)/6,0)</f>
        <v/>
      </c>
    </row>
    <row r="212">
      <c r="A212" s="2">
        <f>IF(BD_Carga!A213&lt;&gt;"",BD_Carga!A213,"")</f>
        <v/>
      </c>
      <c r="B212">
        <f>IF(A212&lt;&gt;"",YEAR(A212),"")</f>
        <v/>
      </c>
      <c r="C212">
        <f>IF(A212&lt;&gt;"",MONTH(A212),"")</f>
        <v/>
      </c>
      <c r="D212">
        <f>IF(A212&lt;&gt;"",_xlfn.ISOWEEKNUM(A212),"")</f>
        <v/>
      </c>
      <c r="E212">
        <f>IF(A212&lt;&gt;"",TEXT(A212,"dddd"),"")</f>
        <v/>
      </c>
      <c r="F212">
        <f>IF(BD_Carga!C213&lt;&gt;"",BD_Carga!C213,"")</f>
        <v/>
      </c>
      <c r="G212">
        <f>IF(BD_Carga!D213&lt;&gt;"",BD_Carga!D213,"")</f>
        <v/>
      </c>
      <c r="H212">
        <f>IF(BD_Carga!Q213&lt;&gt;"",BD_Carga!Q213,"")</f>
        <v/>
      </c>
      <c r="I212">
        <f>IF(BD_Carga!R213&lt;&gt;"",BD_Carga!R213,"")</f>
        <v/>
      </c>
      <c r="J212">
        <f>IF(BD_Carga!S213&lt;&gt;"",BD_Carga!S213,"")</f>
        <v/>
      </c>
      <c r="K212" s="4">
        <f>IF(BD_Carga!E213&lt;&gt;"",BD_Carga!E213,0)</f>
        <v/>
      </c>
      <c r="L212" s="4">
        <f>IF(BD_Carga!F213&lt;&gt;"",BD_Carga!F213,0)</f>
        <v/>
      </c>
      <c r="M212" s="4">
        <f>IF(BD_Carga!G213&lt;&gt;"",BD_Carga!G213,0)</f>
        <v/>
      </c>
      <c r="N212" s="4">
        <f>IF(BD_Carga!H213&lt;&gt;"",BD_Carga!H213,0)</f>
        <v/>
      </c>
      <c r="O212" s="4">
        <f>IF(BD_Carga!I213&lt;&gt;"",BD_Carga!I213,0)</f>
        <v/>
      </c>
      <c r="P212" s="4">
        <f>IF(BD_Carga!J213&lt;&gt;"",BD_Carga!J213,0)</f>
        <v/>
      </c>
      <c r="Q212" s="5">
        <f>IF(BD_Carga!K213&lt;&gt;"",BD_Carga!K213,0)</f>
        <v/>
      </c>
      <c r="R212" s="5">
        <f>IF(BD_Carga!L213&lt;&gt;"",BD_Carga!L213,0)</f>
        <v/>
      </c>
      <c r="S212">
        <f>IF(BD_Carga!N213&lt;&gt;"",BD_Carga!N213,0)</f>
        <v/>
      </c>
      <c r="T212">
        <f>IF(BD_Carga!O213&lt;&gt;"",BD_Carga!O213,0)</f>
        <v/>
      </c>
      <c r="U212">
        <f>IF(BD_Carga!P213&lt;&gt;"",BD_Carga!P213,0)</f>
        <v/>
      </c>
      <c r="V212">
        <f>IF(BD_Carga!U213&lt;&gt;"",BD_Carga!U213,0)</f>
        <v/>
      </c>
      <c r="W212">
        <f>IF(BD_Carga!T213&lt;&gt;"",BD_Carga!T213,0)</f>
        <v/>
      </c>
      <c r="X212">
        <f>IF(BD_Carga!W213&lt;&gt;"",BD_Carga!W213,0)</f>
        <v/>
      </c>
      <c r="Y212">
        <f>IF(BD_Carga!X213&lt;&gt;"",BD_Carga!X213,0)</f>
        <v/>
      </c>
      <c r="Z212">
        <f>IF(BD_Carga!Y213&lt;&gt;"",BD_Carga!Y213,0)</f>
        <v/>
      </c>
      <c r="AA212">
        <f>IF(BD_Carga!Z213&lt;&gt;"",BD_Carga!Z213,0)</f>
        <v/>
      </c>
      <c r="AB212">
        <f>IF(BD_Carga!AA213&lt;&gt;"",BD_Carga!AA213,0)</f>
        <v/>
      </c>
      <c r="AC212" s="6">
        <f t="array" ref="AC212">IFERROR((L212-AVERAGEIF($G$2:$G$462,G212,$L$2:$L$462))/_xlfn.STDEV.P(IF($G$2:$G$462=G212,$L$2:$L$462)),0)</f>
        <v/>
      </c>
      <c r="AD212" s="6">
        <f t="array" ref="AD212">IFERROR((M212-AVERAGEIF($G$2:$G$462,G212,$M$2:$M$462))/_xlfn.STDEV.P(IF($G$2:$G$462=G212,$M$2:$M$462)),0)</f>
        <v/>
      </c>
      <c r="AE212" s="6">
        <f t="array" ref="AE212">IFERROR((N212-AVERAGEIF($G$2:$G$462,G212,$N$2:$N$462))/_xlfn.STDEV.P(IF($G$2:$G$462=G212,$N$2:$N$462)),0)</f>
        <v/>
      </c>
      <c r="AF212" s="6">
        <f t="array" ref="AF212">IFERROR((O212-AVERAGEIF($G$2:$G$462,G212,$O$2:$O$462))/_xlfn.STDEV.P(IF($G$2:$G$462=G212,$O$2:$O$462)),0)</f>
        <v/>
      </c>
      <c r="AG212" s="6">
        <f t="array" ref="AG212">IFERROR((P212-AVERAGEIF($G$2:$G$462,G212,$P$2:$P$462))/_xlfn.STDEV.P(IF($G$2:$G$462=G212,$P$2:$P$462)),0)</f>
        <v/>
      </c>
      <c r="AH212" s="6">
        <f t="array" ref="AH212">IFERROR((R212-AVERAGEIF($G$2:$G$462,G212,$R$2:$R$462))/_xlfn.STDEV.P(IF($G$2:$G$462=G212,$R$2:$R$462)),0)</f>
        <v/>
      </c>
      <c r="AI212" s="6">
        <f>IFERROR((AC212+AD212+AE212+AF212+AG212+AH212)/6,0)</f>
        <v/>
      </c>
    </row>
    <row r="213">
      <c r="A213" s="2">
        <f>IF(BD_Carga!A214&lt;&gt;"",BD_Carga!A214,"")</f>
        <v/>
      </c>
      <c r="B213">
        <f>IF(A213&lt;&gt;"",YEAR(A213),"")</f>
        <v/>
      </c>
      <c r="C213">
        <f>IF(A213&lt;&gt;"",MONTH(A213),"")</f>
        <v/>
      </c>
      <c r="D213">
        <f>IF(A213&lt;&gt;"",_xlfn.ISOWEEKNUM(A213),"")</f>
        <v/>
      </c>
      <c r="E213">
        <f>IF(A213&lt;&gt;"",TEXT(A213,"dddd"),"")</f>
        <v/>
      </c>
      <c r="F213">
        <f>IF(BD_Carga!C214&lt;&gt;"",BD_Carga!C214,"")</f>
        <v/>
      </c>
      <c r="G213">
        <f>IF(BD_Carga!D214&lt;&gt;"",BD_Carga!D214,"")</f>
        <v/>
      </c>
      <c r="H213">
        <f>IF(BD_Carga!Q214&lt;&gt;"",BD_Carga!Q214,"")</f>
        <v/>
      </c>
      <c r="I213">
        <f>IF(BD_Carga!R214&lt;&gt;"",BD_Carga!R214,"")</f>
        <v/>
      </c>
      <c r="J213">
        <f>IF(BD_Carga!S214&lt;&gt;"",BD_Carga!S214,"")</f>
        <v/>
      </c>
      <c r="K213" s="4">
        <f>IF(BD_Carga!E214&lt;&gt;"",BD_Carga!E214,0)</f>
        <v/>
      </c>
      <c r="L213" s="4">
        <f>IF(BD_Carga!F214&lt;&gt;"",BD_Carga!F214,0)</f>
        <v/>
      </c>
      <c r="M213" s="4">
        <f>IF(BD_Carga!G214&lt;&gt;"",BD_Carga!G214,0)</f>
        <v/>
      </c>
      <c r="N213" s="4">
        <f>IF(BD_Carga!H214&lt;&gt;"",BD_Carga!H214,0)</f>
        <v/>
      </c>
      <c r="O213" s="4">
        <f>IF(BD_Carga!I214&lt;&gt;"",BD_Carga!I214,0)</f>
        <v/>
      </c>
      <c r="P213" s="4">
        <f>IF(BD_Carga!J214&lt;&gt;"",BD_Carga!J214,0)</f>
        <v/>
      </c>
      <c r="Q213" s="5">
        <f>IF(BD_Carga!K214&lt;&gt;"",BD_Carga!K214,0)</f>
        <v/>
      </c>
      <c r="R213" s="5">
        <f>IF(BD_Carga!L214&lt;&gt;"",BD_Carga!L214,0)</f>
        <v/>
      </c>
      <c r="S213">
        <f>IF(BD_Carga!N214&lt;&gt;"",BD_Carga!N214,0)</f>
        <v/>
      </c>
      <c r="T213">
        <f>IF(BD_Carga!O214&lt;&gt;"",BD_Carga!O214,0)</f>
        <v/>
      </c>
      <c r="U213">
        <f>IF(BD_Carga!P214&lt;&gt;"",BD_Carga!P214,0)</f>
        <v/>
      </c>
      <c r="V213">
        <f>IF(BD_Carga!U214&lt;&gt;"",BD_Carga!U214,0)</f>
        <v/>
      </c>
      <c r="W213">
        <f>IF(BD_Carga!T214&lt;&gt;"",BD_Carga!T214,0)</f>
        <v/>
      </c>
      <c r="X213">
        <f>IF(BD_Carga!W214&lt;&gt;"",BD_Carga!W214,0)</f>
        <v/>
      </c>
      <c r="Y213">
        <f>IF(BD_Carga!X214&lt;&gt;"",BD_Carga!X214,0)</f>
        <v/>
      </c>
      <c r="Z213">
        <f>IF(BD_Carga!Y214&lt;&gt;"",BD_Carga!Y214,0)</f>
        <v/>
      </c>
      <c r="AA213">
        <f>IF(BD_Carga!Z214&lt;&gt;"",BD_Carga!Z214,0)</f>
        <v/>
      </c>
      <c r="AB213">
        <f>IF(BD_Carga!AA214&lt;&gt;"",BD_Carga!AA214,0)</f>
        <v/>
      </c>
      <c r="AC213" s="6">
        <f t="array" ref="AC213">IFERROR((L213-AVERAGEIF($G$2:$G$462,G213,$L$2:$L$462))/_xlfn.STDEV.P(IF($G$2:$G$462=G213,$L$2:$L$462)),0)</f>
        <v/>
      </c>
      <c r="AD213" s="6">
        <f t="array" ref="AD213">IFERROR((M213-AVERAGEIF($G$2:$G$462,G213,$M$2:$M$462))/_xlfn.STDEV.P(IF($G$2:$G$462=G213,$M$2:$M$462)),0)</f>
        <v/>
      </c>
      <c r="AE213" s="6">
        <f t="array" ref="AE213">IFERROR((N213-AVERAGEIF($G$2:$G$462,G213,$N$2:$N$462))/_xlfn.STDEV.P(IF($G$2:$G$462=G213,$N$2:$N$462)),0)</f>
        <v/>
      </c>
      <c r="AF213" s="6">
        <f t="array" ref="AF213">IFERROR((O213-AVERAGEIF($G$2:$G$462,G213,$O$2:$O$462))/_xlfn.STDEV.P(IF($G$2:$G$462=G213,$O$2:$O$462)),0)</f>
        <v/>
      </c>
      <c r="AG213" s="6">
        <f t="array" ref="AG213">IFERROR((P213-AVERAGEIF($G$2:$G$462,G213,$P$2:$P$462))/_xlfn.STDEV.P(IF($G$2:$G$462=G213,$P$2:$P$462)),0)</f>
        <v/>
      </c>
      <c r="AH213" s="6">
        <f t="array" ref="AH213">IFERROR((R213-AVERAGEIF($G$2:$G$462,G213,$R$2:$R$462))/_xlfn.STDEV.P(IF($G$2:$G$462=G213,$R$2:$R$462)),0)</f>
        <v/>
      </c>
      <c r="AI213" s="6">
        <f>IFERROR((AC213+AD213+AE213+AF213+AG213+AH213)/6,0)</f>
        <v/>
      </c>
    </row>
    <row r="214">
      <c r="A214" s="2">
        <f>IF(BD_Carga!A215&lt;&gt;"",BD_Carga!A215,"")</f>
        <v/>
      </c>
      <c r="B214">
        <f>IF(A214&lt;&gt;"",YEAR(A214),"")</f>
        <v/>
      </c>
      <c r="C214">
        <f>IF(A214&lt;&gt;"",MONTH(A214),"")</f>
        <v/>
      </c>
      <c r="D214">
        <f>IF(A214&lt;&gt;"",_xlfn.ISOWEEKNUM(A214),"")</f>
        <v/>
      </c>
      <c r="E214">
        <f>IF(A214&lt;&gt;"",TEXT(A214,"dddd"),"")</f>
        <v/>
      </c>
      <c r="F214">
        <f>IF(BD_Carga!C215&lt;&gt;"",BD_Carga!C215,"")</f>
        <v/>
      </c>
      <c r="G214">
        <f>IF(BD_Carga!D215&lt;&gt;"",BD_Carga!D215,"")</f>
        <v/>
      </c>
      <c r="H214">
        <f>IF(BD_Carga!Q215&lt;&gt;"",BD_Carga!Q215,"")</f>
        <v/>
      </c>
      <c r="I214">
        <f>IF(BD_Carga!R215&lt;&gt;"",BD_Carga!R215,"")</f>
        <v/>
      </c>
      <c r="J214">
        <f>IF(BD_Carga!S215&lt;&gt;"",BD_Carga!S215,"")</f>
        <v/>
      </c>
      <c r="K214" s="4">
        <f>IF(BD_Carga!E215&lt;&gt;"",BD_Carga!E215,0)</f>
        <v/>
      </c>
      <c r="L214" s="4">
        <f>IF(BD_Carga!F215&lt;&gt;"",BD_Carga!F215,0)</f>
        <v/>
      </c>
      <c r="M214" s="4">
        <f>IF(BD_Carga!G215&lt;&gt;"",BD_Carga!G215,0)</f>
        <v/>
      </c>
      <c r="N214" s="4">
        <f>IF(BD_Carga!H215&lt;&gt;"",BD_Carga!H215,0)</f>
        <v/>
      </c>
      <c r="O214" s="4">
        <f>IF(BD_Carga!I215&lt;&gt;"",BD_Carga!I215,0)</f>
        <v/>
      </c>
      <c r="P214" s="4">
        <f>IF(BD_Carga!J215&lt;&gt;"",BD_Carga!J215,0)</f>
        <v/>
      </c>
      <c r="Q214" s="5">
        <f>IF(BD_Carga!K215&lt;&gt;"",BD_Carga!K215,0)</f>
        <v/>
      </c>
      <c r="R214" s="5">
        <f>IF(BD_Carga!L215&lt;&gt;"",BD_Carga!L215,0)</f>
        <v/>
      </c>
      <c r="S214">
        <f>IF(BD_Carga!N215&lt;&gt;"",BD_Carga!N215,0)</f>
        <v/>
      </c>
      <c r="T214">
        <f>IF(BD_Carga!O215&lt;&gt;"",BD_Carga!O215,0)</f>
        <v/>
      </c>
      <c r="U214">
        <f>IF(BD_Carga!P215&lt;&gt;"",BD_Carga!P215,0)</f>
        <v/>
      </c>
      <c r="V214">
        <f>IF(BD_Carga!U215&lt;&gt;"",BD_Carga!U215,0)</f>
        <v/>
      </c>
      <c r="W214">
        <f>IF(BD_Carga!T215&lt;&gt;"",BD_Carga!T215,0)</f>
        <v/>
      </c>
      <c r="X214">
        <f>IF(BD_Carga!W215&lt;&gt;"",BD_Carga!W215,0)</f>
        <v/>
      </c>
      <c r="Y214">
        <f>IF(BD_Carga!X215&lt;&gt;"",BD_Carga!X215,0)</f>
        <v/>
      </c>
      <c r="Z214">
        <f>IF(BD_Carga!Y215&lt;&gt;"",BD_Carga!Y215,0)</f>
        <v/>
      </c>
      <c r="AA214">
        <f>IF(BD_Carga!Z215&lt;&gt;"",BD_Carga!Z215,0)</f>
        <v/>
      </c>
      <c r="AB214">
        <f>IF(BD_Carga!AA215&lt;&gt;"",BD_Carga!AA215,0)</f>
        <v/>
      </c>
      <c r="AC214" s="6">
        <f t="array" ref="AC214">IFERROR((L214-AVERAGEIF($G$2:$G$462,G214,$L$2:$L$462))/_xlfn.STDEV.P(IF($G$2:$G$462=G214,$L$2:$L$462)),0)</f>
        <v/>
      </c>
      <c r="AD214" s="6">
        <f t="array" ref="AD214">IFERROR((M214-AVERAGEIF($G$2:$G$462,G214,$M$2:$M$462))/_xlfn.STDEV.P(IF($G$2:$G$462=G214,$M$2:$M$462)),0)</f>
        <v/>
      </c>
      <c r="AE214" s="6">
        <f t="array" ref="AE214">IFERROR((N214-AVERAGEIF($G$2:$G$462,G214,$N$2:$N$462))/_xlfn.STDEV.P(IF($G$2:$G$462=G214,$N$2:$N$462)),0)</f>
        <v/>
      </c>
      <c r="AF214" s="6">
        <f t="array" ref="AF214">IFERROR((O214-AVERAGEIF($G$2:$G$462,G214,$O$2:$O$462))/_xlfn.STDEV.P(IF($G$2:$G$462=G214,$O$2:$O$462)),0)</f>
        <v/>
      </c>
      <c r="AG214" s="6">
        <f t="array" ref="AG214">IFERROR((P214-AVERAGEIF($G$2:$G$462,G214,$P$2:$P$462))/_xlfn.STDEV.P(IF($G$2:$G$462=G214,$P$2:$P$462)),0)</f>
        <v/>
      </c>
      <c r="AH214" s="6">
        <f t="array" ref="AH214">IFERROR((R214-AVERAGEIF($G$2:$G$462,G214,$R$2:$R$462))/_xlfn.STDEV.P(IF($G$2:$G$462=G214,$R$2:$R$462)),0)</f>
        <v/>
      </c>
      <c r="AI214" s="6">
        <f>IFERROR((AC214+AD214+AE214+AF214+AG214+AH214)/6,0)</f>
        <v/>
      </c>
    </row>
    <row r="215">
      <c r="A215" s="2">
        <f>IF(BD_Carga!A216&lt;&gt;"",BD_Carga!A216,"")</f>
        <v/>
      </c>
      <c r="B215">
        <f>IF(A215&lt;&gt;"",YEAR(A215),"")</f>
        <v/>
      </c>
      <c r="C215">
        <f>IF(A215&lt;&gt;"",MONTH(A215),"")</f>
        <v/>
      </c>
      <c r="D215">
        <f>IF(A215&lt;&gt;"",_xlfn.ISOWEEKNUM(A215),"")</f>
        <v/>
      </c>
      <c r="E215">
        <f>IF(A215&lt;&gt;"",TEXT(A215,"dddd"),"")</f>
        <v/>
      </c>
      <c r="F215">
        <f>IF(BD_Carga!C216&lt;&gt;"",BD_Carga!C216,"")</f>
        <v/>
      </c>
      <c r="G215">
        <f>IF(BD_Carga!D216&lt;&gt;"",BD_Carga!D216,"")</f>
        <v/>
      </c>
      <c r="H215">
        <f>IF(BD_Carga!Q216&lt;&gt;"",BD_Carga!Q216,"")</f>
        <v/>
      </c>
      <c r="I215">
        <f>IF(BD_Carga!R216&lt;&gt;"",BD_Carga!R216,"")</f>
        <v/>
      </c>
      <c r="J215">
        <f>IF(BD_Carga!S216&lt;&gt;"",BD_Carga!S216,"")</f>
        <v/>
      </c>
      <c r="K215" s="4">
        <f>IF(BD_Carga!E216&lt;&gt;"",BD_Carga!E216,0)</f>
        <v/>
      </c>
      <c r="L215" s="4">
        <f>IF(BD_Carga!F216&lt;&gt;"",BD_Carga!F216,0)</f>
        <v/>
      </c>
      <c r="M215" s="4">
        <f>IF(BD_Carga!G216&lt;&gt;"",BD_Carga!G216,0)</f>
        <v/>
      </c>
      <c r="N215" s="4">
        <f>IF(BD_Carga!H216&lt;&gt;"",BD_Carga!H216,0)</f>
        <v/>
      </c>
      <c r="O215" s="4">
        <f>IF(BD_Carga!I216&lt;&gt;"",BD_Carga!I216,0)</f>
        <v/>
      </c>
      <c r="P215" s="4">
        <f>IF(BD_Carga!J216&lt;&gt;"",BD_Carga!J216,0)</f>
        <v/>
      </c>
      <c r="Q215" s="5">
        <f>IF(BD_Carga!K216&lt;&gt;"",BD_Carga!K216,0)</f>
        <v/>
      </c>
      <c r="R215" s="5">
        <f>IF(BD_Carga!L216&lt;&gt;"",BD_Carga!L216,0)</f>
        <v/>
      </c>
      <c r="S215">
        <f>IF(BD_Carga!N216&lt;&gt;"",BD_Carga!N216,0)</f>
        <v/>
      </c>
      <c r="T215">
        <f>IF(BD_Carga!O216&lt;&gt;"",BD_Carga!O216,0)</f>
        <v/>
      </c>
      <c r="U215">
        <f>IF(BD_Carga!P216&lt;&gt;"",BD_Carga!P216,0)</f>
        <v/>
      </c>
      <c r="V215">
        <f>IF(BD_Carga!U216&lt;&gt;"",BD_Carga!U216,0)</f>
        <v/>
      </c>
      <c r="W215">
        <f>IF(BD_Carga!T216&lt;&gt;"",BD_Carga!T216,0)</f>
        <v/>
      </c>
      <c r="X215">
        <f>IF(BD_Carga!W216&lt;&gt;"",BD_Carga!W216,0)</f>
        <v/>
      </c>
      <c r="Y215">
        <f>IF(BD_Carga!X216&lt;&gt;"",BD_Carga!X216,0)</f>
        <v/>
      </c>
      <c r="Z215">
        <f>IF(BD_Carga!Y216&lt;&gt;"",BD_Carga!Y216,0)</f>
        <v/>
      </c>
      <c r="AA215">
        <f>IF(BD_Carga!Z216&lt;&gt;"",BD_Carga!Z216,0)</f>
        <v/>
      </c>
      <c r="AB215">
        <f>IF(BD_Carga!AA216&lt;&gt;"",BD_Carga!AA216,0)</f>
        <v/>
      </c>
      <c r="AC215" s="6">
        <f t="array" ref="AC215">IFERROR((L215-AVERAGEIF($G$2:$G$462,G215,$L$2:$L$462))/_xlfn.STDEV.P(IF($G$2:$G$462=G215,$L$2:$L$462)),0)</f>
        <v/>
      </c>
      <c r="AD215" s="6">
        <f t="array" ref="AD215">IFERROR((M215-AVERAGEIF($G$2:$G$462,G215,$M$2:$M$462))/_xlfn.STDEV.P(IF($G$2:$G$462=G215,$M$2:$M$462)),0)</f>
        <v/>
      </c>
      <c r="AE215" s="6">
        <f t="array" ref="AE215">IFERROR((N215-AVERAGEIF($G$2:$G$462,G215,$N$2:$N$462))/_xlfn.STDEV.P(IF($G$2:$G$462=G215,$N$2:$N$462)),0)</f>
        <v/>
      </c>
      <c r="AF215" s="6">
        <f t="array" ref="AF215">IFERROR((O215-AVERAGEIF($G$2:$G$462,G215,$O$2:$O$462))/_xlfn.STDEV.P(IF($G$2:$G$462=G215,$O$2:$O$462)),0)</f>
        <v/>
      </c>
      <c r="AG215" s="6">
        <f t="array" ref="AG215">IFERROR((P215-AVERAGEIF($G$2:$G$462,G215,$P$2:$P$462))/_xlfn.STDEV.P(IF($G$2:$G$462=G215,$P$2:$P$462)),0)</f>
        <v/>
      </c>
      <c r="AH215" s="6">
        <f t="array" ref="AH215">IFERROR((R215-AVERAGEIF($G$2:$G$462,G215,$R$2:$R$462))/_xlfn.STDEV.P(IF($G$2:$G$462=G215,$R$2:$R$462)),0)</f>
        <v/>
      </c>
      <c r="AI215" s="6">
        <f>IFERROR((AC215+AD215+AE215+AF215+AG215+AH215)/6,0)</f>
        <v/>
      </c>
    </row>
    <row r="216">
      <c r="A216" s="2">
        <f>IF(BD_Carga!A217&lt;&gt;"",BD_Carga!A217,"")</f>
        <v/>
      </c>
      <c r="B216">
        <f>IF(A216&lt;&gt;"",YEAR(A216),"")</f>
        <v/>
      </c>
      <c r="C216">
        <f>IF(A216&lt;&gt;"",MONTH(A216),"")</f>
        <v/>
      </c>
      <c r="D216">
        <f>IF(A216&lt;&gt;"",_xlfn.ISOWEEKNUM(A216),"")</f>
        <v/>
      </c>
      <c r="E216">
        <f>IF(A216&lt;&gt;"",TEXT(A216,"dddd"),"")</f>
        <v/>
      </c>
      <c r="F216">
        <f>IF(BD_Carga!C217&lt;&gt;"",BD_Carga!C217,"")</f>
        <v/>
      </c>
      <c r="G216">
        <f>IF(BD_Carga!D217&lt;&gt;"",BD_Carga!D217,"")</f>
        <v/>
      </c>
      <c r="H216">
        <f>IF(BD_Carga!Q217&lt;&gt;"",BD_Carga!Q217,"")</f>
        <v/>
      </c>
      <c r="I216">
        <f>IF(BD_Carga!R217&lt;&gt;"",BD_Carga!R217,"")</f>
        <v/>
      </c>
      <c r="J216">
        <f>IF(BD_Carga!S217&lt;&gt;"",BD_Carga!S217,"")</f>
        <v/>
      </c>
      <c r="K216" s="4">
        <f>IF(BD_Carga!E217&lt;&gt;"",BD_Carga!E217,0)</f>
        <v/>
      </c>
      <c r="L216" s="4">
        <f>IF(BD_Carga!F217&lt;&gt;"",BD_Carga!F217,0)</f>
        <v/>
      </c>
      <c r="M216" s="4">
        <f>IF(BD_Carga!G217&lt;&gt;"",BD_Carga!G217,0)</f>
        <v/>
      </c>
      <c r="N216" s="4">
        <f>IF(BD_Carga!H217&lt;&gt;"",BD_Carga!H217,0)</f>
        <v/>
      </c>
      <c r="O216" s="4">
        <f>IF(BD_Carga!I217&lt;&gt;"",BD_Carga!I217,0)</f>
        <v/>
      </c>
      <c r="P216" s="4">
        <f>IF(BD_Carga!J217&lt;&gt;"",BD_Carga!J217,0)</f>
        <v/>
      </c>
      <c r="Q216" s="5">
        <f>IF(BD_Carga!K217&lt;&gt;"",BD_Carga!K217,0)</f>
        <v/>
      </c>
      <c r="R216" s="5">
        <f>IF(BD_Carga!L217&lt;&gt;"",BD_Carga!L217,0)</f>
        <v/>
      </c>
      <c r="S216">
        <f>IF(BD_Carga!N217&lt;&gt;"",BD_Carga!N217,0)</f>
        <v/>
      </c>
      <c r="T216">
        <f>IF(BD_Carga!O217&lt;&gt;"",BD_Carga!O217,0)</f>
        <v/>
      </c>
      <c r="U216">
        <f>IF(BD_Carga!P217&lt;&gt;"",BD_Carga!P217,0)</f>
        <v/>
      </c>
      <c r="V216">
        <f>IF(BD_Carga!U217&lt;&gt;"",BD_Carga!U217,0)</f>
        <v/>
      </c>
      <c r="W216">
        <f>IF(BD_Carga!T217&lt;&gt;"",BD_Carga!T217,0)</f>
        <v/>
      </c>
      <c r="X216">
        <f>IF(BD_Carga!W217&lt;&gt;"",BD_Carga!W217,0)</f>
        <v/>
      </c>
      <c r="Y216">
        <f>IF(BD_Carga!X217&lt;&gt;"",BD_Carga!X217,0)</f>
        <v/>
      </c>
      <c r="Z216">
        <f>IF(BD_Carga!Y217&lt;&gt;"",BD_Carga!Y217,0)</f>
        <v/>
      </c>
      <c r="AA216">
        <f>IF(BD_Carga!Z217&lt;&gt;"",BD_Carga!Z217,0)</f>
        <v/>
      </c>
      <c r="AB216">
        <f>IF(BD_Carga!AA217&lt;&gt;"",BD_Carga!AA217,0)</f>
        <v/>
      </c>
      <c r="AC216" s="6">
        <f t="array" ref="AC216">IFERROR((L216-AVERAGEIF($G$2:$G$462,G216,$L$2:$L$462))/_xlfn.STDEV.P(IF($G$2:$G$462=G216,$L$2:$L$462)),0)</f>
        <v/>
      </c>
      <c r="AD216" s="6">
        <f t="array" ref="AD216">IFERROR((M216-AVERAGEIF($G$2:$G$462,G216,$M$2:$M$462))/_xlfn.STDEV.P(IF($G$2:$G$462=G216,$M$2:$M$462)),0)</f>
        <v/>
      </c>
      <c r="AE216" s="6">
        <f t="array" ref="AE216">IFERROR((N216-AVERAGEIF($G$2:$G$462,G216,$N$2:$N$462))/_xlfn.STDEV.P(IF($G$2:$G$462=G216,$N$2:$N$462)),0)</f>
        <v/>
      </c>
      <c r="AF216" s="6">
        <f t="array" ref="AF216">IFERROR((O216-AVERAGEIF($G$2:$G$462,G216,$O$2:$O$462))/_xlfn.STDEV.P(IF($G$2:$G$462=G216,$O$2:$O$462)),0)</f>
        <v/>
      </c>
      <c r="AG216" s="6">
        <f t="array" ref="AG216">IFERROR((P216-AVERAGEIF($G$2:$G$462,G216,$P$2:$P$462))/_xlfn.STDEV.P(IF($G$2:$G$462=G216,$P$2:$P$462)),0)</f>
        <v/>
      </c>
      <c r="AH216" s="6">
        <f t="array" ref="AH216">IFERROR((R216-AVERAGEIF($G$2:$G$462,G216,$R$2:$R$462))/_xlfn.STDEV.P(IF($G$2:$G$462=G216,$R$2:$R$462)),0)</f>
        <v/>
      </c>
      <c r="AI216" s="6">
        <f>IFERROR((AC216+AD216+AE216+AF216+AG216+AH216)/6,0)</f>
        <v/>
      </c>
    </row>
    <row r="217">
      <c r="A217" s="2">
        <f>IF(BD_Carga!A218&lt;&gt;"",BD_Carga!A218,"")</f>
        <v/>
      </c>
      <c r="B217">
        <f>IF(A217&lt;&gt;"",YEAR(A217),"")</f>
        <v/>
      </c>
      <c r="C217">
        <f>IF(A217&lt;&gt;"",MONTH(A217),"")</f>
        <v/>
      </c>
      <c r="D217">
        <f>IF(A217&lt;&gt;"",_xlfn.ISOWEEKNUM(A217),"")</f>
        <v/>
      </c>
      <c r="E217">
        <f>IF(A217&lt;&gt;"",TEXT(A217,"dddd"),"")</f>
        <v/>
      </c>
      <c r="F217">
        <f>IF(BD_Carga!C218&lt;&gt;"",BD_Carga!C218,"")</f>
        <v/>
      </c>
      <c r="G217">
        <f>IF(BD_Carga!D218&lt;&gt;"",BD_Carga!D218,"")</f>
        <v/>
      </c>
      <c r="H217">
        <f>IF(BD_Carga!Q218&lt;&gt;"",BD_Carga!Q218,"")</f>
        <v/>
      </c>
      <c r="I217">
        <f>IF(BD_Carga!R218&lt;&gt;"",BD_Carga!R218,"")</f>
        <v/>
      </c>
      <c r="J217">
        <f>IF(BD_Carga!S218&lt;&gt;"",BD_Carga!S218,"")</f>
        <v/>
      </c>
      <c r="K217" s="4">
        <f>IF(BD_Carga!E218&lt;&gt;"",BD_Carga!E218,0)</f>
        <v/>
      </c>
      <c r="L217" s="4">
        <f>IF(BD_Carga!F218&lt;&gt;"",BD_Carga!F218,0)</f>
        <v/>
      </c>
      <c r="M217" s="4">
        <f>IF(BD_Carga!G218&lt;&gt;"",BD_Carga!G218,0)</f>
        <v/>
      </c>
      <c r="N217" s="4">
        <f>IF(BD_Carga!H218&lt;&gt;"",BD_Carga!H218,0)</f>
        <v/>
      </c>
      <c r="O217" s="4">
        <f>IF(BD_Carga!I218&lt;&gt;"",BD_Carga!I218,0)</f>
        <v/>
      </c>
      <c r="P217" s="4">
        <f>IF(BD_Carga!J218&lt;&gt;"",BD_Carga!J218,0)</f>
        <v/>
      </c>
      <c r="Q217" s="5">
        <f>IF(BD_Carga!K218&lt;&gt;"",BD_Carga!K218,0)</f>
        <v/>
      </c>
      <c r="R217" s="5">
        <f>IF(BD_Carga!L218&lt;&gt;"",BD_Carga!L218,0)</f>
        <v/>
      </c>
      <c r="S217">
        <f>IF(BD_Carga!N218&lt;&gt;"",BD_Carga!N218,0)</f>
        <v/>
      </c>
      <c r="T217">
        <f>IF(BD_Carga!O218&lt;&gt;"",BD_Carga!O218,0)</f>
        <v/>
      </c>
      <c r="U217">
        <f>IF(BD_Carga!P218&lt;&gt;"",BD_Carga!P218,0)</f>
        <v/>
      </c>
      <c r="V217">
        <f>IF(BD_Carga!U218&lt;&gt;"",BD_Carga!U218,0)</f>
        <v/>
      </c>
      <c r="W217">
        <f>IF(BD_Carga!T218&lt;&gt;"",BD_Carga!T218,0)</f>
        <v/>
      </c>
      <c r="X217">
        <f>IF(BD_Carga!W218&lt;&gt;"",BD_Carga!W218,0)</f>
        <v/>
      </c>
      <c r="Y217">
        <f>IF(BD_Carga!X218&lt;&gt;"",BD_Carga!X218,0)</f>
        <v/>
      </c>
      <c r="Z217">
        <f>IF(BD_Carga!Y218&lt;&gt;"",BD_Carga!Y218,0)</f>
        <v/>
      </c>
      <c r="AA217">
        <f>IF(BD_Carga!Z218&lt;&gt;"",BD_Carga!Z218,0)</f>
        <v/>
      </c>
      <c r="AB217">
        <f>IF(BD_Carga!AA218&lt;&gt;"",BD_Carga!AA218,0)</f>
        <v/>
      </c>
      <c r="AC217" s="6">
        <f t="array" ref="AC217">IFERROR((L217-AVERAGEIF($G$2:$G$462,G217,$L$2:$L$462))/_xlfn.STDEV.P(IF($G$2:$G$462=G217,$L$2:$L$462)),0)</f>
        <v/>
      </c>
      <c r="AD217" s="6">
        <f t="array" ref="AD217">IFERROR((M217-AVERAGEIF($G$2:$G$462,G217,$M$2:$M$462))/_xlfn.STDEV.P(IF($G$2:$G$462=G217,$M$2:$M$462)),0)</f>
        <v/>
      </c>
      <c r="AE217" s="6">
        <f t="array" ref="AE217">IFERROR((N217-AVERAGEIF($G$2:$G$462,G217,$N$2:$N$462))/_xlfn.STDEV.P(IF($G$2:$G$462=G217,$N$2:$N$462)),0)</f>
        <v/>
      </c>
      <c r="AF217" s="6">
        <f t="array" ref="AF217">IFERROR((O217-AVERAGEIF($G$2:$G$462,G217,$O$2:$O$462))/_xlfn.STDEV.P(IF($G$2:$G$462=G217,$O$2:$O$462)),0)</f>
        <v/>
      </c>
      <c r="AG217" s="6">
        <f t="array" ref="AG217">IFERROR((P217-AVERAGEIF($G$2:$G$462,G217,$P$2:$P$462))/_xlfn.STDEV.P(IF($G$2:$G$462=G217,$P$2:$P$462)),0)</f>
        <v/>
      </c>
      <c r="AH217" s="6">
        <f t="array" ref="AH217">IFERROR((R217-AVERAGEIF($G$2:$G$462,G217,$R$2:$R$462))/_xlfn.STDEV.P(IF($G$2:$G$462=G217,$R$2:$R$462)),0)</f>
        <v/>
      </c>
      <c r="AI217" s="6">
        <f>IFERROR((AC217+AD217+AE217+AF217+AG217+AH217)/6,0)</f>
        <v/>
      </c>
    </row>
    <row r="218">
      <c r="A218" s="2">
        <f>IF(BD_Carga!A219&lt;&gt;"",BD_Carga!A219,"")</f>
        <v/>
      </c>
      <c r="B218">
        <f>IF(A218&lt;&gt;"",YEAR(A218),"")</f>
        <v/>
      </c>
      <c r="C218">
        <f>IF(A218&lt;&gt;"",MONTH(A218),"")</f>
        <v/>
      </c>
      <c r="D218">
        <f>IF(A218&lt;&gt;"",_xlfn.ISOWEEKNUM(A218),"")</f>
        <v/>
      </c>
      <c r="E218">
        <f>IF(A218&lt;&gt;"",TEXT(A218,"dddd"),"")</f>
        <v/>
      </c>
      <c r="F218">
        <f>IF(BD_Carga!C219&lt;&gt;"",BD_Carga!C219,"")</f>
        <v/>
      </c>
      <c r="G218">
        <f>IF(BD_Carga!D219&lt;&gt;"",BD_Carga!D219,"")</f>
        <v/>
      </c>
      <c r="H218">
        <f>IF(BD_Carga!Q219&lt;&gt;"",BD_Carga!Q219,"")</f>
        <v/>
      </c>
      <c r="I218">
        <f>IF(BD_Carga!R219&lt;&gt;"",BD_Carga!R219,"")</f>
        <v/>
      </c>
      <c r="J218">
        <f>IF(BD_Carga!S219&lt;&gt;"",BD_Carga!S219,"")</f>
        <v/>
      </c>
      <c r="K218" s="4">
        <f>IF(BD_Carga!E219&lt;&gt;"",BD_Carga!E219,0)</f>
        <v/>
      </c>
      <c r="L218" s="4">
        <f>IF(BD_Carga!F219&lt;&gt;"",BD_Carga!F219,0)</f>
        <v/>
      </c>
      <c r="M218" s="4">
        <f>IF(BD_Carga!G219&lt;&gt;"",BD_Carga!G219,0)</f>
        <v/>
      </c>
      <c r="N218" s="4">
        <f>IF(BD_Carga!H219&lt;&gt;"",BD_Carga!H219,0)</f>
        <v/>
      </c>
      <c r="O218" s="4">
        <f>IF(BD_Carga!I219&lt;&gt;"",BD_Carga!I219,0)</f>
        <v/>
      </c>
      <c r="P218" s="4">
        <f>IF(BD_Carga!J219&lt;&gt;"",BD_Carga!J219,0)</f>
        <v/>
      </c>
      <c r="Q218" s="5">
        <f>IF(BD_Carga!K219&lt;&gt;"",BD_Carga!K219,0)</f>
        <v/>
      </c>
      <c r="R218" s="5">
        <f>IF(BD_Carga!L219&lt;&gt;"",BD_Carga!L219,0)</f>
        <v/>
      </c>
      <c r="S218">
        <f>IF(BD_Carga!N219&lt;&gt;"",BD_Carga!N219,0)</f>
        <v/>
      </c>
      <c r="T218">
        <f>IF(BD_Carga!O219&lt;&gt;"",BD_Carga!O219,0)</f>
        <v/>
      </c>
      <c r="U218">
        <f>IF(BD_Carga!P219&lt;&gt;"",BD_Carga!P219,0)</f>
        <v/>
      </c>
      <c r="V218">
        <f>IF(BD_Carga!U219&lt;&gt;"",BD_Carga!U219,0)</f>
        <v/>
      </c>
      <c r="W218">
        <f>IF(BD_Carga!T219&lt;&gt;"",BD_Carga!T219,0)</f>
        <v/>
      </c>
      <c r="X218">
        <f>IF(BD_Carga!W219&lt;&gt;"",BD_Carga!W219,0)</f>
        <v/>
      </c>
      <c r="Y218">
        <f>IF(BD_Carga!X219&lt;&gt;"",BD_Carga!X219,0)</f>
        <v/>
      </c>
      <c r="Z218">
        <f>IF(BD_Carga!Y219&lt;&gt;"",BD_Carga!Y219,0)</f>
        <v/>
      </c>
      <c r="AA218">
        <f>IF(BD_Carga!Z219&lt;&gt;"",BD_Carga!Z219,0)</f>
        <v/>
      </c>
      <c r="AB218">
        <f>IF(BD_Carga!AA219&lt;&gt;"",BD_Carga!AA219,0)</f>
        <v/>
      </c>
      <c r="AC218" s="6">
        <f t="array" ref="AC218">IFERROR((L218-AVERAGEIF($G$2:$G$462,G218,$L$2:$L$462))/_xlfn.STDEV.P(IF($G$2:$G$462=G218,$L$2:$L$462)),0)</f>
        <v/>
      </c>
      <c r="AD218" s="6">
        <f t="array" ref="AD218">IFERROR((M218-AVERAGEIF($G$2:$G$462,G218,$M$2:$M$462))/_xlfn.STDEV.P(IF($G$2:$G$462=G218,$M$2:$M$462)),0)</f>
        <v/>
      </c>
      <c r="AE218" s="6">
        <f t="array" ref="AE218">IFERROR((N218-AVERAGEIF($G$2:$G$462,G218,$N$2:$N$462))/_xlfn.STDEV.P(IF($G$2:$G$462=G218,$N$2:$N$462)),0)</f>
        <v/>
      </c>
      <c r="AF218" s="6">
        <f t="array" ref="AF218">IFERROR((O218-AVERAGEIF($G$2:$G$462,G218,$O$2:$O$462))/_xlfn.STDEV.P(IF($G$2:$G$462=G218,$O$2:$O$462)),0)</f>
        <v/>
      </c>
      <c r="AG218" s="6">
        <f t="array" ref="AG218">IFERROR((P218-AVERAGEIF($G$2:$G$462,G218,$P$2:$P$462))/_xlfn.STDEV.P(IF($G$2:$G$462=G218,$P$2:$P$462)),0)</f>
        <v/>
      </c>
      <c r="AH218" s="6">
        <f t="array" ref="AH218">IFERROR((R218-AVERAGEIF($G$2:$G$462,G218,$R$2:$R$462))/_xlfn.STDEV.P(IF($G$2:$G$462=G218,$R$2:$R$462)),0)</f>
        <v/>
      </c>
      <c r="AI218" s="6">
        <f>IFERROR((AC218+AD218+AE218+AF218+AG218+AH218)/6,0)</f>
        <v/>
      </c>
    </row>
    <row r="219">
      <c r="A219" s="2">
        <f>IF(BD_Carga!A220&lt;&gt;"",BD_Carga!A220,"")</f>
        <v/>
      </c>
      <c r="B219">
        <f>IF(A219&lt;&gt;"",YEAR(A219),"")</f>
        <v/>
      </c>
      <c r="C219">
        <f>IF(A219&lt;&gt;"",MONTH(A219),"")</f>
        <v/>
      </c>
      <c r="D219">
        <f>IF(A219&lt;&gt;"",_xlfn.ISOWEEKNUM(A219),"")</f>
        <v/>
      </c>
      <c r="E219">
        <f>IF(A219&lt;&gt;"",TEXT(A219,"dddd"),"")</f>
        <v/>
      </c>
      <c r="F219">
        <f>IF(BD_Carga!C220&lt;&gt;"",BD_Carga!C220,"")</f>
        <v/>
      </c>
      <c r="G219">
        <f>IF(BD_Carga!D220&lt;&gt;"",BD_Carga!D220,"")</f>
        <v/>
      </c>
      <c r="H219">
        <f>IF(BD_Carga!Q220&lt;&gt;"",BD_Carga!Q220,"")</f>
        <v/>
      </c>
      <c r="I219">
        <f>IF(BD_Carga!R220&lt;&gt;"",BD_Carga!R220,"")</f>
        <v/>
      </c>
      <c r="J219">
        <f>IF(BD_Carga!S220&lt;&gt;"",BD_Carga!S220,"")</f>
        <v/>
      </c>
      <c r="K219" s="4">
        <f>IF(BD_Carga!E220&lt;&gt;"",BD_Carga!E220,0)</f>
        <v/>
      </c>
      <c r="L219" s="4">
        <f>IF(BD_Carga!F220&lt;&gt;"",BD_Carga!F220,0)</f>
        <v/>
      </c>
      <c r="M219" s="4">
        <f>IF(BD_Carga!G220&lt;&gt;"",BD_Carga!G220,0)</f>
        <v/>
      </c>
      <c r="N219" s="4">
        <f>IF(BD_Carga!H220&lt;&gt;"",BD_Carga!H220,0)</f>
        <v/>
      </c>
      <c r="O219" s="4">
        <f>IF(BD_Carga!I220&lt;&gt;"",BD_Carga!I220,0)</f>
        <v/>
      </c>
      <c r="P219" s="4">
        <f>IF(BD_Carga!J220&lt;&gt;"",BD_Carga!J220,0)</f>
        <v/>
      </c>
      <c r="Q219" s="5">
        <f>IF(BD_Carga!K220&lt;&gt;"",BD_Carga!K220,0)</f>
        <v/>
      </c>
      <c r="R219" s="5">
        <f>IF(BD_Carga!L220&lt;&gt;"",BD_Carga!L220,0)</f>
        <v/>
      </c>
      <c r="S219">
        <f>IF(BD_Carga!N220&lt;&gt;"",BD_Carga!N220,0)</f>
        <v/>
      </c>
      <c r="T219">
        <f>IF(BD_Carga!O220&lt;&gt;"",BD_Carga!O220,0)</f>
        <v/>
      </c>
      <c r="U219">
        <f>IF(BD_Carga!P220&lt;&gt;"",BD_Carga!P220,0)</f>
        <v/>
      </c>
      <c r="V219">
        <f>IF(BD_Carga!U220&lt;&gt;"",BD_Carga!U220,0)</f>
        <v/>
      </c>
      <c r="W219">
        <f>IF(BD_Carga!T220&lt;&gt;"",BD_Carga!T220,0)</f>
        <v/>
      </c>
      <c r="X219">
        <f>IF(BD_Carga!W220&lt;&gt;"",BD_Carga!W220,0)</f>
        <v/>
      </c>
      <c r="Y219">
        <f>IF(BD_Carga!X220&lt;&gt;"",BD_Carga!X220,0)</f>
        <v/>
      </c>
      <c r="Z219">
        <f>IF(BD_Carga!Y220&lt;&gt;"",BD_Carga!Y220,0)</f>
        <v/>
      </c>
      <c r="AA219">
        <f>IF(BD_Carga!Z220&lt;&gt;"",BD_Carga!Z220,0)</f>
        <v/>
      </c>
      <c r="AB219">
        <f>IF(BD_Carga!AA220&lt;&gt;"",BD_Carga!AA220,0)</f>
        <v/>
      </c>
      <c r="AC219" s="6">
        <f t="array" ref="AC219">IFERROR((L219-AVERAGEIF($G$2:$G$462,G219,$L$2:$L$462))/_xlfn.STDEV.P(IF($G$2:$G$462=G219,$L$2:$L$462)),0)</f>
        <v/>
      </c>
      <c r="AD219" s="6">
        <f t="array" ref="AD219">IFERROR((M219-AVERAGEIF($G$2:$G$462,G219,$M$2:$M$462))/_xlfn.STDEV.P(IF($G$2:$G$462=G219,$M$2:$M$462)),0)</f>
        <v/>
      </c>
      <c r="AE219" s="6">
        <f t="array" ref="AE219">IFERROR((N219-AVERAGEIF($G$2:$G$462,G219,$N$2:$N$462))/_xlfn.STDEV.P(IF($G$2:$G$462=G219,$N$2:$N$462)),0)</f>
        <v/>
      </c>
      <c r="AF219" s="6">
        <f t="array" ref="AF219">IFERROR((O219-AVERAGEIF($G$2:$G$462,G219,$O$2:$O$462))/_xlfn.STDEV.P(IF($G$2:$G$462=G219,$O$2:$O$462)),0)</f>
        <v/>
      </c>
      <c r="AG219" s="6">
        <f t="array" ref="AG219">IFERROR((P219-AVERAGEIF($G$2:$G$462,G219,$P$2:$P$462))/_xlfn.STDEV.P(IF($G$2:$G$462=G219,$P$2:$P$462)),0)</f>
        <v/>
      </c>
      <c r="AH219" s="6">
        <f t="array" ref="AH219">IFERROR((R219-AVERAGEIF($G$2:$G$462,G219,$R$2:$R$462))/_xlfn.STDEV.P(IF($G$2:$G$462=G219,$R$2:$R$462)),0)</f>
        <v/>
      </c>
      <c r="AI219" s="6">
        <f>IFERROR((AC219+AD219+AE219+AF219+AG219+AH219)/6,0)</f>
        <v/>
      </c>
    </row>
    <row r="220">
      <c r="A220" s="2">
        <f>IF(BD_Carga!A221&lt;&gt;"",BD_Carga!A221,"")</f>
        <v/>
      </c>
      <c r="B220">
        <f>IF(A220&lt;&gt;"",YEAR(A220),"")</f>
        <v/>
      </c>
      <c r="C220">
        <f>IF(A220&lt;&gt;"",MONTH(A220),"")</f>
        <v/>
      </c>
      <c r="D220">
        <f>IF(A220&lt;&gt;"",_xlfn.ISOWEEKNUM(A220),"")</f>
        <v/>
      </c>
      <c r="E220">
        <f>IF(A220&lt;&gt;"",TEXT(A220,"dddd"),"")</f>
        <v/>
      </c>
      <c r="F220">
        <f>IF(BD_Carga!C221&lt;&gt;"",BD_Carga!C221,"")</f>
        <v/>
      </c>
      <c r="G220">
        <f>IF(BD_Carga!D221&lt;&gt;"",BD_Carga!D221,"")</f>
        <v/>
      </c>
      <c r="H220">
        <f>IF(BD_Carga!Q221&lt;&gt;"",BD_Carga!Q221,"")</f>
        <v/>
      </c>
      <c r="I220">
        <f>IF(BD_Carga!R221&lt;&gt;"",BD_Carga!R221,"")</f>
        <v/>
      </c>
      <c r="J220">
        <f>IF(BD_Carga!S221&lt;&gt;"",BD_Carga!S221,"")</f>
        <v/>
      </c>
      <c r="K220" s="4">
        <f>IF(BD_Carga!E221&lt;&gt;"",BD_Carga!E221,0)</f>
        <v/>
      </c>
      <c r="L220" s="4">
        <f>IF(BD_Carga!F221&lt;&gt;"",BD_Carga!F221,0)</f>
        <v/>
      </c>
      <c r="M220" s="4">
        <f>IF(BD_Carga!G221&lt;&gt;"",BD_Carga!G221,0)</f>
        <v/>
      </c>
      <c r="N220" s="4">
        <f>IF(BD_Carga!H221&lt;&gt;"",BD_Carga!H221,0)</f>
        <v/>
      </c>
      <c r="O220" s="4">
        <f>IF(BD_Carga!I221&lt;&gt;"",BD_Carga!I221,0)</f>
        <v/>
      </c>
      <c r="P220" s="4">
        <f>IF(BD_Carga!J221&lt;&gt;"",BD_Carga!J221,0)</f>
        <v/>
      </c>
      <c r="Q220" s="5">
        <f>IF(BD_Carga!K221&lt;&gt;"",BD_Carga!K221,0)</f>
        <v/>
      </c>
      <c r="R220" s="5">
        <f>IF(BD_Carga!L221&lt;&gt;"",BD_Carga!L221,0)</f>
        <v/>
      </c>
      <c r="S220">
        <f>IF(BD_Carga!N221&lt;&gt;"",BD_Carga!N221,0)</f>
        <v/>
      </c>
      <c r="T220">
        <f>IF(BD_Carga!O221&lt;&gt;"",BD_Carga!O221,0)</f>
        <v/>
      </c>
      <c r="U220">
        <f>IF(BD_Carga!P221&lt;&gt;"",BD_Carga!P221,0)</f>
        <v/>
      </c>
      <c r="V220">
        <f>IF(BD_Carga!U221&lt;&gt;"",BD_Carga!U221,0)</f>
        <v/>
      </c>
      <c r="W220">
        <f>IF(BD_Carga!T221&lt;&gt;"",BD_Carga!T221,0)</f>
        <v/>
      </c>
      <c r="X220">
        <f>IF(BD_Carga!W221&lt;&gt;"",BD_Carga!W221,0)</f>
        <v/>
      </c>
      <c r="Y220">
        <f>IF(BD_Carga!X221&lt;&gt;"",BD_Carga!X221,0)</f>
        <v/>
      </c>
      <c r="Z220">
        <f>IF(BD_Carga!Y221&lt;&gt;"",BD_Carga!Y221,0)</f>
        <v/>
      </c>
      <c r="AA220">
        <f>IF(BD_Carga!Z221&lt;&gt;"",BD_Carga!Z221,0)</f>
        <v/>
      </c>
      <c r="AB220">
        <f>IF(BD_Carga!AA221&lt;&gt;"",BD_Carga!AA221,0)</f>
        <v/>
      </c>
      <c r="AC220" s="6">
        <f t="array" ref="AC220">IFERROR((L220-AVERAGEIF($G$2:$G$462,G220,$L$2:$L$462))/_xlfn.STDEV.P(IF($G$2:$G$462=G220,$L$2:$L$462)),0)</f>
        <v/>
      </c>
      <c r="AD220" s="6">
        <f t="array" ref="AD220">IFERROR((M220-AVERAGEIF($G$2:$G$462,G220,$M$2:$M$462))/_xlfn.STDEV.P(IF($G$2:$G$462=G220,$M$2:$M$462)),0)</f>
        <v/>
      </c>
      <c r="AE220" s="6">
        <f t="array" ref="AE220">IFERROR((N220-AVERAGEIF($G$2:$G$462,G220,$N$2:$N$462))/_xlfn.STDEV.P(IF($G$2:$G$462=G220,$N$2:$N$462)),0)</f>
        <v/>
      </c>
      <c r="AF220" s="6">
        <f t="array" ref="AF220">IFERROR((O220-AVERAGEIF($G$2:$G$462,G220,$O$2:$O$462))/_xlfn.STDEV.P(IF($G$2:$G$462=G220,$O$2:$O$462)),0)</f>
        <v/>
      </c>
      <c r="AG220" s="6">
        <f t="array" ref="AG220">IFERROR((P220-AVERAGEIF($G$2:$G$462,G220,$P$2:$P$462))/_xlfn.STDEV.P(IF($G$2:$G$462=G220,$P$2:$P$462)),0)</f>
        <v/>
      </c>
      <c r="AH220" s="6">
        <f t="array" ref="AH220">IFERROR((R220-AVERAGEIF($G$2:$G$462,G220,$R$2:$R$462))/_xlfn.STDEV.P(IF($G$2:$G$462=G220,$R$2:$R$462)),0)</f>
        <v/>
      </c>
      <c r="AI220" s="6">
        <f>IFERROR((AC220+AD220+AE220+AF220+AG220+AH220)/6,0)</f>
        <v/>
      </c>
    </row>
    <row r="221">
      <c r="A221" s="2">
        <f>IF(BD_Carga!A222&lt;&gt;"",BD_Carga!A222,"")</f>
        <v/>
      </c>
      <c r="B221">
        <f>IF(A221&lt;&gt;"",YEAR(A221),"")</f>
        <v/>
      </c>
      <c r="C221">
        <f>IF(A221&lt;&gt;"",MONTH(A221),"")</f>
        <v/>
      </c>
      <c r="D221">
        <f>IF(A221&lt;&gt;"",_xlfn.ISOWEEKNUM(A221),"")</f>
        <v/>
      </c>
      <c r="E221">
        <f>IF(A221&lt;&gt;"",TEXT(A221,"dddd"),"")</f>
        <v/>
      </c>
      <c r="F221">
        <f>IF(BD_Carga!C222&lt;&gt;"",BD_Carga!C222,"")</f>
        <v/>
      </c>
      <c r="G221">
        <f>IF(BD_Carga!D222&lt;&gt;"",BD_Carga!D222,"")</f>
        <v/>
      </c>
      <c r="H221">
        <f>IF(BD_Carga!Q222&lt;&gt;"",BD_Carga!Q222,"")</f>
        <v/>
      </c>
      <c r="I221">
        <f>IF(BD_Carga!R222&lt;&gt;"",BD_Carga!R222,"")</f>
        <v/>
      </c>
      <c r="J221">
        <f>IF(BD_Carga!S222&lt;&gt;"",BD_Carga!S222,"")</f>
        <v/>
      </c>
      <c r="K221" s="4">
        <f>IF(BD_Carga!E222&lt;&gt;"",BD_Carga!E222,0)</f>
        <v/>
      </c>
      <c r="L221" s="4">
        <f>IF(BD_Carga!F222&lt;&gt;"",BD_Carga!F222,0)</f>
        <v/>
      </c>
      <c r="M221" s="4">
        <f>IF(BD_Carga!G222&lt;&gt;"",BD_Carga!G222,0)</f>
        <v/>
      </c>
      <c r="N221" s="4">
        <f>IF(BD_Carga!H222&lt;&gt;"",BD_Carga!H222,0)</f>
        <v/>
      </c>
      <c r="O221" s="4">
        <f>IF(BD_Carga!I222&lt;&gt;"",BD_Carga!I222,0)</f>
        <v/>
      </c>
      <c r="P221" s="4">
        <f>IF(BD_Carga!J222&lt;&gt;"",BD_Carga!J222,0)</f>
        <v/>
      </c>
      <c r="Q221" s="5">
        <f>IF(BD_Carga!K222&lt;&gt;"",BD_Carga!K222,0)</f>
        <v/>
      </c>
      <c r="R221" s="5">
        <f>IF(BD_Carga!L222&lt;&gt;"",BD_Carga!L222,0)</f>
        <v/>
      </c>
      <c r="S221">
        <f>IF(BD_Carga!N222&lt;&gt;"",BD_Carga!N222,0)</f>
        <v/>
      </c>
      <c r="T221">
        <f>IF(BD_Carga!O222&lt;&gt;"",BD_Carga!O222,0)</f>
        <v/>
      </c>
      <c r="U221">
        <f>IF(BD_Carga!P222&lt;&gt;"",BD_Carga!P222,0)</f>
        <v/>
      </c>
      <c r="V221">
        <f>IF(BD_Carga!U222&lt;&gt;"",BD_Carga!U222,0)</f>
        <v/>
      </c>
      <c r="W221">
        <f>IF(BD_Carga!T222&lt;&gt;"",BD_Carga!T222,0)</f>
        <v/>
      </c>
      <c r="X221">
        <f>IF(BD_Carga!W222&lt;&gt;"",BD_Carga!W222,0)</f>
        <v/>
      </c>
      <c r="Y221">
        <f>IF(BD_Carga!X222&lt;&gt;"",BD_Carga!X222,0)</f>
        <v/>
      </c>
      <c r="Z221">
        <f>IF(BD_Carga!Y222&lt;&gt;"",BD_Carga!Y222,0)</f>
        <v/>
      </c>
      <c r="AA221">
        <f>IF(BD_Carga!Z222&lt;&gt;"",BD_Carga!Z222,0)</f>
        <v/>
      </c>
      <c r="AB221">
        <f>IF(BD_Carga!AA222&lt;&gt;"",BD_Carga!AA222,0)</f>
        <v/>
      </c>
      <c r="AC221" s="6">
        <f t="array" ref="AC221">IFERROR((L221-AVERAGEIF($G$2:$G$462,G221,$L$2:$L$462))/_xlfn.STDEV.P(IF($G$2:$G$462=G221,$L$2:$L$462)),0)</f>
        <v/>
      </c>
      <c r="AD221" s="6">
        <f t="array" ref="AD221">IFERROR((M221-AVERAGEIF($G$2:$G$462,G221,$M$2:$M$462))/_xlfn.STDEV.P(IF($G$2:$G$462=G221,$M$2:$M$462)),0)</f>
        <v/>
      </c>
      <c r="AE221" s="6">
        <f t="array" ref="AE221">IFERROR((N221-AVERAGEIF($G$2:$G$462,G221,$N$2:$N$462))/_xlfn.STDEV.P(IF($G$2:$G$462=G221,$N$2:$N$462)),0)</f>
        <v/>
      </c>
      <c r="AF221" s="6">
        <f t="array" ref="AF221">IFERROR((O221-AVERAGEIF($G$2:$G$462,G221,$O$2:$O$462))/_xlfn.STDEV.P(IF($G$2:$G$462=G221,$O$2:$O$462)),0)</f>
        <v/>
      </c>
      <c r="AG221" s="6">
        <f t="array" ref="AG221">IFERROR((P221-AVERAGEIF($G$2:$G$462,G221,$P$2:$P$462))/_xlfn.STDEV.P(IF($G$2:$G$462=G221,$P$2:$P$462)),0)</f>
        <v/>
      </c>
      <c r="AH221" s="6">
        <f t="array" ref="AH221">IFERROR((R221-AVERAGEIF($G$2:$G$462,G221,$R$2:$R$462))/_xlfn.STDEV.P(IF($G$2:$G$462=G221,$R$2:$R$462)),0)</f>
        <v/>
      </c>
      <c r="AI221" s="6">
        <f>IFERROR((AC221+AD221+AE221+AF221+AG221+AH221)/6,0)</f>
        <v/>
      </c>
    </row>
    <row r="222">
      <c r="A222" s="2">
        <f>IF(BD_Carga!A223&lt;&gt;"",BD_Carga!A223,"")</f>
        <v/>
      </c>
      <c r="B222">
        <f>IF(A222&lt;&gt;"",YEAR(A222),"")</f>
        <v/>
      </c>
      <c r="C222">
        <f>IF(A222&lt;&gt;"",MONTH(A222),"")</f>
        <v/>
      </c>
      <c r="D222">
        <f>IF(A222&lt;&gt;"",_xlfn.ISOWEEKNUM(A222),"")</f>
        <v/>
      </c>
      <c r="E222">
        <f>IF(A222&lt;&gt;"",TEXT(A222,"dddd"),"")</f>
        <v/>
      </c>
      <c r="F222">
        <f>IF(BD_Carga!C223&lt;&gt;"",BD_Carga!C223,"")</f>
        <v/>
      </c>
      <c r="G222">
        <f>IF(BD_Carga!D223&lt;&gt;"",BD_Carga!D223,"")</f>
        <v/>
      </c>
      <c r="H222">
        <f>IF(BD_Carga!Q223&lt;&gt;"",BD_Carga!Q223,"")</f>
        <v/>
      </c>
      <c r="I222">
        <f>IF(BD_Carga!R223&lt;&gt;"",BD_Carga!R223,"")</f>
        <v/>
      </c>
      <c r="J222">
        <f>IF(BD_Carga!S223&lt;&gt;"",BD_Carga!S223,"")</f>
        <v/>
      </c>
      <c r="K222" s="4">
        <f>IF(BD_Carga!E223&lt;&gt;"",BD_Carga!E223,0)</f>
        <v/>
      </c>
      <c r="L222" s="4">
        <f>IF(BD_Carga!F223&lt;&gt;"",BD_Carga!F223,0)</f>
        <v/>
      </c>
      <c r="M222" s="4">
        <f>IF(BD_Carga!G223&lt;&gt;"",BD_Carga!G223,0)</f>
        <v/>
      </c>
      <c r="N222" s="4">
        <f>IF(BD_Carga!H223&lt;&gt;"",BD_Carga!H223,0)</f>
        <v/>
      </c>
      <c r="O222" s="4">
        <f>IF(BD_Carga!I223&lt;&gt;"",BD_Carga!I223,0)</f>
        <v/>
      </c>
      <c r="P222" s="4">
        <f>IF(BD_Carga!J223&lt;&gt;"",BD_Carga!J223,0)</f>
        <v/>
      </c>
      <c r="Q222" s="5">
        <f>IF(BD_Carga!K223&lt;&gt;"",BD_Carga!K223,0)</f>
        <v/>
      </c>
      <c r="R222" s="5">
        <f>IF(BD_Carga!L223&lt;&gt;"",BD_Carga!L223,0)</f>
        <v/>
      </c>
      <c r="S222">
        <f>IF(BD_Carga!N223&lt;&gt;"",BD_Carga!N223,0)</f>
        <v/>
      </c>
      <c r="T222">
        <f>IF(BD_Carga!O223&lt;&gt;"",BD_Carga!O223,0)</f>
        <v/>
      </c>
      <c r="U222">
        <f>IF(BD_Carga!P223&lt;&gt;"",BD_Carga!P223,0)</f>
        <v/>
      </c>
      <c r="V222">
        <f>IF(BD_Carga!U223&lt;&gt;"",BD_Carga!U223,0)</f>
        <v/>
      </c>
      <c r="W222">
        <f>IF(BD_Carga!T223&lt;&gt;"",BD_Carga!T223,0)</f>
        <v/>
      </c>
      <c r="X222">
        <f>IF(BD_Carga!W223&lt;&gt;"",BD_Carga!W223,0)</f>
        <v/>
      </c>
      <c r="Y222">
        <f>IF(BD_Carga!X223&lt;&gt;"",BD_Carga!X223,0)</f>
        <v/>
      </c>
      <c r="Z222">
        <f>IF(BD_Carga!Y223&lt;&gt;"",BD_Carga!Y223,0)</f>
        <v/>
      </c>
      <c r="AA222">
        <f>IF(BD_Carga!Z223&lt;&gt;"",BD_Carga!Z223,0)</f>
        <v/>
      </c>
      <c r="AB222">
        <f>IF(BD_Carga!AA223&lt;&gt;"",BD_Carga!AA223,0)</f>
        <v/>
      </c>
      <c r="AC222" s="6">
        <f t="array" ref="AC222">IFERROR((L222-AVERAGEIF($G$2:$G$462,G222,$L$2:$L$462))/_xlfn.STDEV.P(IF($G$2:$G$462=G222,$L$2:$L$462)),0)</f>
        <v/>
      </c>
      <c r="AD222" s="6">
        <f t="array" ref="AD222">IFERROR((M222-AVERAGEIF($G$2:$G$462,G222,$M$2:$M$462))/_xlfn.STDEV.P(IF($G$2:$G$462=G222,$M$2:$M$462)),0)</f>
        <v/>
      </c>
      <c r="AE222" s="6">
        <f t="array" ref="AE222">IFERROR((N222-AVERAGEIF($G$2:$G$462,G222,$N$2:$N$462))/_xlfn.STDEV.P(IF($G$2:$G$462=G222,$N$2:$N$462)),0)</f>
        <v/>
      </c>
      <c r="AF222" s="6">
        <f t="array" ref="AF222">IFERROR((O222-AVERAGEIF($G$2:$G$462,G222,$O$2:$O$462))/_xlfn.STDEV.P(IF($G$2:$G$462=G222,$O$2:$O$462)),0)</f>
        <v/>
      </c>
      <c r="AG222" s="6">
        <f t="array" ref="AG222">IFERROR((P222-AVERAGEIF($G$2:$G$462,G222,$P$2:$P$462))/_xlfn.STDEV.P(IF($G$2:$G$462=G222,$P$2:$P$462)),0)</f>
        <v/>
      </c>
      <c r="AH222" s="6">
        <f t="array" ref="AH222">IFERROR((R222-AVERAGEIF($G$2:$G$462,G222,$R$2:$R$462))/_xlfn.STDEV.P(IF($G$2:$G$462=G222,$R$2:$R$462)),0)</f>
        <v/>
      </c>
      <c r="AI222" s="6">
        <f>IFERROR((AC222+AD222+AE222+AF222+AG222+AH222)/6,0)</f>
        <v/>
      </c>
    </row>
    <row r="223">
      <c r="A223" s="2">
        <f>IF(BD_Carga!A224&lt;&gt;"",BD_Carga!A224,"")</f>
        <v/>
      </c>
      <c r="B223">
        <f>IF(A223&lt;&gt;"",YEAR(A223),"")</f>
        <v/>
      </c>
      <c r="C223">
        <f>IF(A223&lt;&gt;"",MONTH(A223),"")</f>
        <v/>
      </c>
      <c r="D223">
        <f>IF(A223&lt;&gt;"",_xlfn.ISOWEEKNUM(A223),"")</f>
        <v/>
      </c>
      <c r="E223">
        <f>IF(A223&lt;&gt;"",TEXT(A223,"dddd"),"")</f>
        <v/>
      </c>
      <c r="F223">
        <f>IF(BD_Carga!C224&lt;&gt;"",BD_Carga!C224,"")</f>
        <v/>
      </c>
      <c r="G223">
        <f>IF(BD_Carga!D224&lt;&gt;"",BD_Carga!D224,"")</f>
        <v/>
      </c>
      <c r="H223">
        <f>IF(BD_Carga!Q224&lt;&gt;"",BD_Carga!Q224,"")</f>
        <v/>
      </c>
      <c r="I223">
        <f>IF(BD_Carga!R224&lt;&gt;"",BD_Carga!R224,"")</f>
        <v/>
      </c>
      <c r="J223">
        <f>IF(BD_Carga!S224&lt;&gt;"",BD_Carga!S224,"")</f>
        <v/>
      </c>
      <c r="K223" s="4">
        <f>IF(BD_Carga!E224&lt;&gt;"",BD_Carga!E224,0)</f>
        <v/>
      </c>
      <c r="L223" s="4">
        <f>IF(BD_Carga!F224&lt;&gt;"",BD_Carga!F224,0)</f>
        <v/>
      </c>
      <c r="M223" s="4">
        <f>IF(BD_Carga!G224&lt;&gt;"",BD_Carga!G224,0)</f>
        <v/>
      </c>
      <c r="N223" s="4">
        <f>IF(BD_Carga!H224&lt;&gt;"",BD_Carga!H224,0)</f>
        <v/>
      </c>
      <c r="O223" s="4">
        <f>IF(BD_Carga!I224&lt;&gt;"",BD_Carga!I224,0)</f>
        <v/>
      </c>
      <c r="P223" s="4">
        <f>IF(BD_Carga!J224&lt;&gt;"",BD_Carga!J224,0)</f>
        <v/>
      </c>
      <c r="Q223" s="5">
        <f>IF(BD_Carga!K224&lt;&gt;"",BD_Carga!K224,0)</f>
        <v/>
      </c>
      <c r="R223" s="5">
        <f>IF(BD_Carga!L224&lt;&gt;"",BD_Carga!L224,0)</f>
        <v/>
      </c>
      <c r="S223">
        <f>IF(BD_Carga!N224&lt;&gt;"",BD_Carga!N224,0)</f>
        <v/>
      </c>
      <c r="T223">
        <f>IF(BD_Carga!O224&lt;&gt;"",BD_Carga!O224,0)</f>
        <v/>
      </c>
      <c r="U223">
        <f>IF(BD_Carga!P224&lt;&gt;"",BD_Carga!P224,0)</f>
        <v/>
      </c>
      <c r="V223">
        <f>IF(BD_Carga!U224&lt;&gt;"",BD_Carga!U224,0)</f>
        <v/>
      </c>
      <c r="W223">
        <f>IF(BD_Carga!T224&lt;&gt;"",BD_Carga!T224,0)</f>
        <v/>
      </c>
      <c r="X223">
        <f>IF(BD_Carga!W224&lt;&gt;"",BD_Carga!W224,0)</f>
        <v/>
      </c>
      <c r="Y223">
        <f>IF(BD_Carga!X224&lt;&gt;"",BD_Carga!X224,0)</f>
        <v/>
      </c>
      <c r="Z223">
        <f>IF(BD_Carga!Y224&lt;&gt;"",BD_Carga!Y224,0)</f>
        <v/>
      </c>
      <c r="AA223">
        <f>IF(BD_Carga!Z224&lt;&gt;"",BD_Carga!Z224,0)</f>
        <v/>
      </c>
      <c r="AB223">
        <f>IF(BD_Carga!AA224&lt;&gt;"",BD_Carga!AA224,0)</f>
        <v/>
      </c>
      <c r="AC223" s="6">
        <f t="array" ref="AC223">IFERROR((L223-AVERAGEIF($G$2:$G$462,G223,$L$2:$L$462))/_xlfn.STDEV.P(IF($G$2:$G$462=G223,$L$2:$L$462)),0)</f>
        <v/>
      </c>
      <c r="AD223" s="6">
        <f t="array" ref="AD223">IFERROR((M223-AVERAGEIF($G$2:$G$462,G223,$M$2:$M$462))/_xlfn.STDEV.P(IF($G$2:$G$462=G223,$M$2:$M$462)),0)</f>
        <v/>
      </c>
      <c r="AE223" s="6">
        <f t="array" ref="AE223">IFERROR((N223-AVERAGEIF($G$2:$G$462,G223,$N$2:$N$462))/_xlfn.STDEV.P(IF($G$2:$G$462=G223,$N$2:$N$462)),0)</f>
        <v/>
      </c>
      <c r="AF223" s="6">
        <f t="array" ref="AF223">IFERROR((O223-AVERAGEIF($G$2:$G$462,G223,$O$2:$O$462))/_xlfn.STDEV.P(IF($G$2:$G$462=G223,$O$2:$O$462)),0)</f>
        <v/>
      </c>
      <c r="AG223" s="6">
        <f t="array" ref="AG223">IFERROR((P223-AVERAGEIF($G$2:$G$462,G223,$P$2:$P$462))/_xlfn.STDEV.P(IF($G$2:$G$462=G223,$P$2:$P$462)),0)</f>
        <v/>
      </c>
      <c r="AH223" s="6">
        <f t="array" ref="AH223">IFERROR((R223-AVERAGEIF($G$2:$G$462,G223,$R$2:$R$462))/_xlfn.STDEV.P(IF($G$2:$G$462=G223,$R$2:$R$462)),0)</f>
        <v/>
      </c>
      <c r="AI223" s="6">
        <f>IFERROR((AC223+AD223+AE223+AF223+AG223+AH223)/6,0)</f>
        <v/>
      </c>
    </row>
    <row r="224">
      <c r="A224" s="2">
        <f>IF(BD_Carga!A225&lt;&gt;"",BD_Carga!A225,"")</f>
        <v/>
      </c>
      <c r="B224">
        <f>IF(A224&lt;&gt;"",YEAR(A224),"")</f>
        <v/>
      </c>
      <c r="C224">
        <f>IF(A224&lt;&gt;"",MONTH(A224),"")</f>
        <v/>
      </c>
      <c r="D224">
        <f>IF(A224&lt;&gt;"",_xlfn.ISOWEEKNUM(A224),"")</f>
        <v/>
      </c>
      <c r="E224">
        <f>IF(A224&lt;&gt;"",TEXT(A224,"dddd"),"")</f>
        <v/>
      </c>
      <c r="F224">
        <f>IF(BD_Carga!C225&lt;&gt;"",BD_Carga!C225,"")</f>
        <v/>
      </c>
      <c r="G224">
        <f>IF(BD_Carga!D225&lt;&gt;"",BD_Carga!D225,"")</f>
        <v/>
      </c>
      <c r="H224">
        <f>IF(BD_Carga!Q225&lt;&gt;"",BD_Carga!Q225,"")</f>
        <v/>
      </c>
      <c r="I224">
        <f>IF(BD_Carga!R225&lt;&gt;"",BD_Carga!R225,"")</f>
        <v/>
      </c>
      <c r="J224">
        <f>IF(BD_Carga!S225&lt;&gt;"",BD_Carga!S225,"")</f>
        <v/>
      </c>
      <c r="K224" s="4">
        <f>IF(BD_Carga!E225&lt;&gt;"",BD_Carga!E225,0)</f>
        <v/>
      </c>
      <c r="L224" s="4">
        <f>IF(BD_Carga!F225&lt;&gt;"",BD_Carga!F225,0)</f>
        <v/>
      </c>
      <c r="M224" s="4">
        <f>IF(BD_Carga!G225&lt;&gt;"",BD_Carga!G225,0)</f>
        <v/>
      </c>
      <c r="N224" s="4">
        <f>IF(BD_Carga!H225&lt;&gt;"",BD_Carga!H225,0)</f>
        <v/>
      </c>
      <c r="O224" s="4">
        <f>IF(BD_Carga!I225&lt;&gt;"",BD_Carga!I225,0)</f>
        <v/>
      </c>
      <c r="P224" s="4">
        <f>IF(BD_Carga!J225&lt;&gt;"",BD_Carga!J225,0)</f>
        <v/>
      </c>
      <c r="Q224" s="5">
        <f>IF(BD_Carga!K225&lt;&gt;"",BD_Carga!K225,0)</f>
        <v/>
      </c>
      <c r="R224" s="5">
        <f>IF(BD_Carga!L225&lt;&gt;"",BD_Carga!L225,0)</f>
        <v/>
      </c>
      <c r="S224">
        <f>IF(BD_Carga!N225&lt;&gt;"",BD_Carga!N225,0)</f>
        <v/>
      </c>
      <c r="T224">
        <f>IF(BD_Carga!O225&lt;&gt;"",BD_Carga!O225,0)</f>
        <v/>
      </c>
      <c r="U224">
        <f>IF(BD_Carga!P225&lt;&gt;"",BD_Carga!P225,0)</f>
        <v/>
      </c>
      <c r="V224">
        <f>IF(BD_Carga!U225&lt;&gt;"",BD_Carga!U225,0)</f>
        <v/>
      </c>
      <c r="W224">
        <f>IF(BD_Carga!T225&lt;&gt;"",BD_Carga!T225,0)</f>
        <v/>
      </c>
      <c r="X224">
        <f>IF(BD_Carga!W225&lt;&gt;"",BD_Carga!W225,0)</f>
        <v/>
      </c>
      <c r="Y224">
        <f>IF(BD_Carga!X225&lt;&gt;"",BD_Carga!X225,0)</f>
        <v/>
      </c>
      <c r="Z224">
        <f>IF(BD_Carga!Y225&lt;&gt;"",BD_Carga!Y225,0)</f>
        <v/>
      </c>
      <c r="AA224">
        <f>IF(BD_Carga!Z225&lt;&gt;"",BD_Carga!Z225,0)</f>
        <v/>
      </c>
      <c r="AB224">
        <f>IF(BD_Carga!AA225&lt;&gt;"",BD_Carga!AA225,0)</f>
        <v/>
      </c>
      <c r="AC224" s="6">
        <f t="array" ref="AC224">IFERROR((L224-AVERAGEIF($G$2:$G$462,G224,$L$2:$L$462))/_xlfn.STDEV.P(IF($G$2:$G$462=G224,$L$2:$L$462)),0)</f>
        <v/>
      </c>
      <c r="AD224" s="6">
        <f t="array" ref="AD224">IFERROR((M224-AVERAGEIF($G$2:$G$462,G224,$M$2:$M$462))/_xlfn.STDEV.P(IF($G$2:$G$462=G224,$M$2:$M$462)),0)</f>
        <v/>
      </c>
      <c r="AE224" s="6">
        <f t="array" ref="AE224">IFERROR((N224-AVERAGEIF($G$2:$G$462,G224,$N$2:$N$462))/_xlfn.STDEV.P(IF($G$2:$G$462=G224,$N$2:$N$462)),0)</f>
        <v/>
      </c>
      <c r="AF224" s="6">
        <f t="array" ref="AF224">IFERROR((O224-AVERAGEIF($G$2:$G$462,G224,$O$2:$O$462))/_xlfn.STDEV.P(IF($G$2:$G$462=G224,$O$2:$O$462)),0)</f>
        <v/>
      </c>
      <c r="AG224" s="6">
        <f t="array" ref="AG224">IFERROR((P224-AVERAGEIF($G$2:$G$462,G224,$P$2:$P$462))/_xlfn.STDEV.P(IF($G$2:$G$462=G224,$P$2:$P$462)),0)</f>
        <v/>
      </c>
      <c r="AH224" s="6">
        <f t="array" ref="AH224">IFERROR((R224-AVERAGEIF($G$2:$G$462,G224,$R$2:$R$462))/_xlfn.STDEV.P(IF($G$2:$G$462=G224,$R$2:$R$462)),0)</f>
        <v/>
      </c>
      <c r="AI224" s="6">
        <f>IFERROR((AC224+AD224+AE224+AF224+AG224+AH224)/6,0)</f>
        <v/>
      </c>
    </row>
    <row r="225">
      <c r="A225" s="2">
        <f>IF(BD_Carga!A226&lt;&gt;"",BD_Carga!A226,"")</f>
        <v/>
      </c>
      <c r="B225">
        <f>IF(A225&lt;&gt;"",YEAR(A225),"")</f>
        <v/>
      </c>
      <c r="C225">
        <f>IF(A225&lt;&gt;"",MONTH(A225),"")</f>
        <v/>
      </c>
      <c r="D225">
        <f>IF(A225&lt;&gt;"",_xlfn.ISOWEEKNUM(A225),"")</f>
        <v/>
      </c>
      <c r="E225">
        <f>IF(A225&lt;&gt;"",TEXT(A225,"dddd"),"")</f>
        <v/>
      </c>
      <c r="F225">
        <f>IF(BD_Carga!C226&lt;&gt;"",BD_Carga!C226,"")</f>
        <v/>
      </c>
      <c r="G225">
        <f>IF(BD_Carga!D226&lt;&gt;"",BD_Carga!D226,"")</f>
        <v/>
      </c>
      <c r="H225">
        <f>IF(BD_Carga!Q226&lt;&gt;"",BD_Carga!Q226,"")</f>
        <v/>
      </c>
      <c r="I225">
        <f>IF(BD_Carga!R226&lt;&gt;"",BD_Carga!R226,"")</f>
        <v/>
      </c>
      <c r="J225">
        <f>IF(BD_Carga!S226&lt;&gt;"",BD_Carga!S226,"")</f>
        <v/>
      </c>
      <c r="K225" s="4">
        <f>IF(BD_Carga!E226&lt;&gt;"",BD_Carga!E226,0)</f>
        <v/>
      </c>
      <c r="L225" s="4">
        <f>IF(BD_Carga!F226&lt;&gt;"",BD_Carga!F226,0)</f>
        <v/>
      </c>
      <c r="M225" s="4">
        <f>IF(BD_Carga!G226&lt;&gt;"",BD_Carga!G226,0)</f>
        <v/>
      </c>
      <c r="N225" s="4">
        <f>IF(BD_Carga!H226&lt;&gt;"",BD_Carga!H226,0)</f>
        <v/>
      </c>
      <c r="O225" s="4">
        <f>IF(BD_Carga!I226&lt;&gt;"",BD_Carga!I226,0)</f>
        <v/>
      </c>
      <c r="P225" s="4">
        <f>IF(BD_Carga!J226&lt;&gt;"",BD_Carga!J226,0)</f>
        <v/>
      </c>
      <c r="Q225" s="5">
        <f>IF(BD_Carga!K226&lt;&gt;"",BD_Carga!K226,0)</f>
        <v/>
      </c>
      <c r="R225" s="5">
        <f>IF(BD_Carga!L226&lt;&gt;"",BD_Carga!L226,0)</f>
        <v/>
      </c>
      <c r="S225">
        <f>IF(BD_Carga!N226&lt;&gt;"",BD_Carga!N226,0)</f>
        <v/>
      </c>
      <c r="T225">
        <f>IF(BD_Carga!O226&lt;&gt;"",BD_Carga!O226,0)</f>
        <v/>
      </c>
      <c r="U225">
        <f>IF(BD_Carga!P226&lt;&gt;"",BD_Carga!P226,0)</f>
        <v/>
      </c>
      <c r="V225">
        <f>IF(BD_Carga!U226&lt;&gt;"",BD_Carga!U226,0)</f>
        <v/>
      </c>
      <c r="W225">
        <f>IF(BD_Carga!T226&lt;&gt;"",BD_Carga!T226,0)</f>
        <v/>
      </c>
      <c r="X225">
        <f>IF(BD_Carga!W226&lt;&gt;"",BD_Carga!W226,0)</f>
        <v/>
      </c>
      <c r="Y225">
        <f>IF(BD_Carga!X226&lt;&gt;"",BD_Carga!X226,0)</f>
        <v/>
      </c>
      <c r="Z225">
        <f>IF(BD_Carga!Y226&lt;&gt;"",BD_Carga!Y226,0)</f>
        <v/>
      </c>
      <c r="AA225">
        <f>IF(BD_Carga!Z226&lt;&gt;"",BD_Carga!Z226,0)</f>
        <v/>
      </c>
      <c r="AB225">
        <f>IF(BD_Carga!AA226&lt;&gt;"",BD_Carga!AA226,0)</f>
        <v/>
      </c>
      <c r="AC225" s="6">
        <f t="array" ref="AC225">IFERROR((L225-AVERAGEIF($G$2:$G$462,G225,$L$2:$L$462))/_xlfn.STDEV.P(IF($G$2:$G$462=G225,$L$2:$L$462)),0)</f>
        <v/>
      </c>
      <c r="AD225" s="6">
        <f t="array" ref="AD225">IFERROR((M225-AVERAGEIF($G$2:$G$462,G225,$M$2:$M$462))/_xlfn.STDEV.P(IF($G$2:$G$462=G225,$M$2:$M$462)),0)</f>
        <v/>
      </c>
      <c r="AE225" s="6">
        <f t="array" ref="AE225">IFERROR((N225-AVERAGEIF($G$2:$G$462,G225,$N$2:$N$462))/_xlfn.STDEV.P(IF($G$2:$G$462=G225,$N$2:$N$462)),0)</f>
        <v/>
      </c>
      <c r="AF225" s="6">
        <f t="array" ref="AF225">IFERROR((O225-AVERAGEIF($G$2:$G$462,G225,$O$2:$O$462))/_xlfn.STDEV.P(IF($G$2:$G$462=G225,$O$2:$O$462)),0)</f>
        <v/>
      </c>
      <c r="AG225" s="6">
        <f t="array" ref="AG225">IFERROR((P225-AVERAGEIF($G$2:$G$462,G225,$P$2:$P$462))/_xlfn.STDEV.P(IF($G$2:$G$462=G225,$P$2:$P$462)),0)</f>
        <v/>
      </c>
      <c r="AH225" s="6">
        <f t="array" ref="AH225">IFERROR((R225-AVERAGEIF($G$2:$G$462,G225,$R$2:$R$462))/_xlfn.STDEV.P(IF($G$2:$G$462=G225,$R$2:$R$462)),0)</f>
        <v/>
      </c>
      <c r="AI225" s="6">
        <f>IFERROR((AC225+AD225+AE225+AF225+AG225+AH225)/6,0)</f>
        <v/>
      </c>
    </row>
    <row r="226">
      <c r="A226" s="2">
        <f>IF(BD_Carga!A227&lt;&gt;"",BD_Carga!A227,"")</f>
        <v/>
      </c>
      <c r="B226">
        <f>IF(A226&lt;&gt;"",YEAR(A226),"")</f>
        <v/>
      </c>
      <c r="C226">
        <f>IF(A226&lt;&gt;"",MONTH(A226),"")</f>
        <v/>
      </c>
      <c r="D226">
        <f>IF(A226&lt;&gt;"",_xlfn.ISOWEEKNUM(A226),"")</f>
        <v/>
      </c>
      <c r="E226">
        <f>IF(A226&lt;&gt;"",TEXT(A226,"dddd"),"")</f>
        <v/>
      </c>
      <c r="F226">
        <f>IF(BD_Carga!C227&lt;&gt;"",BD_Carga!C227,"")</f>
        <v/>
      </c>
      <c r="G226">
        <f>IF(BD_Carga!D227&lt;&gt;"",BD_Carga!D227,"")</f>
        <v/>
      </c>
      <c r="H226">
        <f>IF(BD_Carga!Q227&lt;&gt;"",BD_Carga!Q227,"")</f>
        <v/>
      </c>
      <c r="I226">
        <f>IF(BD_Carga!R227&lt;&gt;"",BD_Carga!R227,"")</f>
        <v/>
      </c>
      <c r="J226">
        <f>IF(BD_Carga!S227&lt;&gt;"",BD_Carga!S227,"")</f>
        <v/>
      </c>
      <c r="K226" s="4">
        <f>IF(BD_Carga!E227&lt;&gt;"",BD_Carga!E227,0)</f>
        <v/>
      </c>
      <c r="L226" s="4">
        <f>IF(BD_Carga!F227&lt;&gt;"",BD_Carga!F227,0)</f>
        <v/>
      </c>
      <c r="M226" s="4">
        <f>IF(BD_Carga!G227&lt;&gt;"",BD_Carga!G227,0)</f>
        <v/>
      </c>
      <c r="N226" s="4">
        <f>IF(BD_Carga!H227&lt;&gt;"",BD_Carga!H227,0)</f>
        <v/>
      </c>
      <c r="O226" s="4">
        <f>IF(BD_Carga!I227&lt;&gt;"",BD_Carga!I227,0)</f>
        <v/>
      </c>
      <c r="P226" s="4">
        <f>IF(BD_Carga!J227&lt;&gt;"",BD_Carga!J227,0)</f>
        <v/>
      </c>
      <c r="Q226" s="5">
        <f>IF(BD_Carga!K227&lt;&gt;"",BD_Carga!K227,0)</f>
        <v/>
      </c>
      <c r="R226" s="5">
        <f>IF(BD_Carga!L227&lt;&gt;"",BD_Carga!L227,0)</f>
        <v/>
      </c>
      <c r="S226">
        <f>IF(BD_Carga!N227&lt;&gt;"",BD_Carga!N227,0)</f>
        <v/>
      </c>
      <c r="T226">
        <f>IF(BD_Carga!O227&lt;&gt;"",BD_Carga!O227,0)</f>
        <v/>
      </c>
      <c r="U226">
        <f>IF(BD_Carga!P227&lt;&gt;"",BD_Carga!P227,0)</f>
        <v/>
      </c>
      <c r="V226">
        <f>IF(BD_Carga!U227&lt;&gt;"",BD_Carga!U227,0)</f>
        <v/>
      </c>
      <c r="W226">
        <f>IF(BD_Carga!T227&lt;&gt;"",BD_Carga!T227,0)</f>
        <v/>
      </c>
      <c r="X226">
        <f>IF(BD_Carga!W227&lt;&gt;"",BD_Carga!W227,0)</f>
        <v/>
      </c>
      <c r="Y226">
        <f>IF(BD_Carga!X227&lt;&gt;"",BD_Carga!X227,0)</f>
        <v/>
      </c>
      <c r="Z226">
        <f>IF(BD_Carga!Y227&lt;&gt;"",BD_Carga!Y227,0)</f>
        <v/>
      </c>
      <c r="AA226">
        <f>IF(BD_Carga!Z227&lt;&gt;"",BD_Carga!Z227,0)</f>
        <v/>
      </c>
      <c r="AB226">
        <f>IF(BD_Carga!AA227&lt;&gt;"",BD_Carga!AA227,0)</f>
        <v/>
      </c>
      <c r="AC226" s="6">
        <f t="array" ref="AC226">IFERROR((L226-AVERAGEIF($G$2:$G$462,G226,$L$2:$L$462))/_xlfn.STDEV.P(IF($G$2:$G$462=G226,$L$2:$L$462)),0)</f>
        <v/>
      </c>
      <c r="AD226" s="6">
        <f t="array" ref="AD226">IFERROR((M226-AVERAGEIF($G$2:$G$462,G226,$M$2:$M$462))/_xlfn.STDEV.P(IF($G$2:$G$462=G226,$M$2:$M$462)),0)</f>
        <v/>
      </c>
      <c r="AE226" s="6">
        <f t="array" ref="AE226">IFERROR((N226-AVERAGEIF($G$2:$G$462,G226,$N$2:$N$462))/_xlfn.STDEV.P(IF($G$2:$G$462=G226,$N$2:$N$462)),0)</f>
        <v/>
      </c>
      <c r="AF226" s="6">
        <f t="array" ref="AF226">IFERROR((O226-AVERAGEIF($G$2:$G$462,G226,$O$2:$O$462))/_xlfn.STDEV.P(IF($G$2:$G$462=G226,$O$2:$O$462)),0)</f>
        <v/>
      </c>
      <c r="AG226" s="6">
        <f t="array" ref="AG226">IFERROR((P226-AVERAGEIF($G$2:$G$462,G226,$P$2:$P$462))/_xlfn.STDEV.P(IF($G$2:$G$462=G226,$P$2:$P$462)),0)</f>
        <v/>
      </c>
      <c r="AH226" s="6">
        <f t="array" ref="AH226">IFERROR((R226-AVERAGEIF($G$2:$G$462,G226,$R$2:$R$462))/_xlfn.STDEV.P(IF($G$2:$G$462=G226,$R$2:$R$462)),0)</f>
        <v/>
      </c>
      <c r="AI226" s="6">
        <f>IFERROR((AC226+AD226+AE226+AF226+AG226+AH226)/6,0)</f>
        <v/>
      </c>
    </row>
    <row r="227">
      <c r="A227" s="2">
        <f>IF(BD_Carga!A228&lt;&gt;"",BD_Carga!A228,"")</f>
        <v/>
      </c>
      <c r="B227">
        <f>IF(A227&lt;&gt;"",YEAR(A227),"")</f>
        <v/>
      </c>
      <c r="C227">
        <f>IF(A227&lt;&gt;"",MONTH(A227),"")</f>
        <v/>
      </c>
      <c r="D227">
        <f>IF(A227&lt;&gt;"",_xlfn.ISOWEEKNUM(A227),"")</f>
        <v/>
      </c>
      <c r="E227">
        <f>IF(A227&lt;&gt;"",TEXT(A227,"dddd"),"")</f>
        <v/>
      </c>
      <c r="F227">
        <f>IF(BD_Carga!C228&lt;&gt;"",BD_Carga!C228,"")</f>
        <v/>
      </c>
      <c r="G227">
        <f>IF(BD_Carga!D228&lt;&gt;"",BD_Carga!D228,"")</f>
        <v/>
      </c>
      <c r="H227">
        <f>IF(BD_Carga!Q228&lt;&gt;"",BD_Carga!Q228,"")</f>
        <v/>
      </c>
      <c r="I227">
        <f>IF(BD_Carga!R228&lt;&gt;"",BD_Carga!R228,"")</f>
        <v/>
      </c>
      <c r="J227">
        <f>IF(BD_Carga!S228&lt;&gt;"",BD_Carga!S228,"")</f>
        <v/>
      </c>
      <c r="K227" s="4">
        <f>IF(BD_Carga!E228&lt;&gt;"",BD_Carga!E228,0)</f>
        <v/>
      </c>
      <c r="L227" s="4">
        <f>IF(BD_Carga!F228&lt;&gt;"",BD_Carga!F228,0)</f>
        <v/>
      </c>
      <c r="M227" s="4">
        <f>IF(BD_Carga!G228&lt;&gt;"",BD_Carga!G228,0)</f>
        <v/>
      </c>
      <c r="N227" s="4">
        <f>IF(BD_Carga!H228&lt;&gt;"",BD_Carga!H228,0)</f>
        <v/>
      </c>
      <c r="O227" s="4">
        <f>IF(BD_Carga!I228&lt;&gt;"",BD_Carga!I228,0)</f>
        <v/>
      </c>
      <c r="P227" s="4">
        <f>IF(BD_Carga!J228&lt;&gt;"",BD_Carga!J228,0)</f>
        <v/>
      </c>
      <c r="Q227" s="5">
        <f>IF(BD_Carga!K228&lt;&gt;"",BD_Carga!K228,0)</f>
        <v/>
      </c>
      <c r="R227" s="5">
        <f>IF(BD_Carga!L228&lt;&gt;"",BD_Carga!L228,0)</f>
        <v/>
      </c>
      <c r="S227">
        <f>IF(BD_Carga!N228&lt;&gt;"",BD_Carga!N228,0)</f>
        <v/>
      </c>
      <c r="T227">
        <f>IF(BD_Carga!O228&lt;&gt;"",BD_Carga!O228,0)</f>
        <v/>
      </c>
      <c r="U227">
        <f>IF(BD_Carga!P228&lt;&gt;"",BD_Carga!P228,0)</f>
        <v/>
      </c>
      <c r="V227">
        <f>IF(BD_Carga!U228&lt;&gt;"",BD_Carga!U228,0)</f>
        <v/>
      </c>
      <c r="W227">
        <f>IF(BD_Carga!T228&lt;&gt;"",BD_Carga!T228,0)</f>
        <v/>
      </c>
      <c r="X227">
        <f>IF(BD_Carga!W228&lt;&gt;"",BD_Carga!W228,0)</f>
        <v/>
      </c>
      <c r="Y227">
        <f>IF(BD_Carga!X228&lt;&gt;"",BD_Carga!X228,0)</f>
        <v/>
      </c>
      <c r="Z227">
        <f>IF(BD_Carga!Y228&lt;&gt;"",BD_Carga!Y228,0)</f>
        <v/>
      </c>
      <c r="AA227">
        <f>IF(BD_Carga!Z228&lt;&gt;"",BD_Carga!Z228,0)</f>
        <v/>
      </c>
      <c r="AB227">
        <f>IF(BD_Carga!AA228&lt;&gt;"",BD_Carga!AA228,0)</f>
        <v/>
      </c>
      <c r="AC227" s="6">
        <f t="array" ref="AC227">IFERROR((L227-AVERAGEIF($G$2:$G$462,G227,$L$2:$L$462))/_xlfn.STDEV.P(IF($G$2:$G$462=G227,$L$2:$L$462)),0)</f>
        <v/>
      </c>
      <c r="AD227" s="6">
        <f t="array" ref="AD227">IFERROR((M227-AVERAGEIF($G$2:$G$462,G227,$M$2:$M$462))/_xlfn.STDEV.P(IF($G$2:$G$462=G227,$M$2:$M$462)),0)</f>
        <v/>
      </c>
      <c r="AE227" s="6">
        <f t="array" ref="AE227">IFERROR((N227-AVERAGEIF($G$2:$G$462,G227,$N$2:$N$462))/_xlfn.STDEV.P(IF($G$2:$G$462=G227,$N$2:$N$462)),0)</f>
        <v/>
      </c>
      <c r="AF227" s="6">
        <f t="array" ref="AF227">IFERROR((O227-AVERAGEIF($G$2:$G$462,G227,$O$2:$O$462))/_xlfn.STDEV.P(IF($G$2:$G$462=G227,$O$2:$O$462)),0)</f>
        <v/>
      </c>
      <c r="AG227" s="6">
        <f t="array" ref="AG227">IFERROR((P227-AVERAGEIF($G$2:$G$462,G227,$P$2:$P$462))/_xlfn.STDEV.P(IF($G$2:$G$462=G227,$P$2:$P$462)),0)</f>
        <v/>
      </c>
      <c r="AH227" s="6">
        <f t="array" ref="AH227">IFERROR((R227-AVERAGEIF($G$2:$G$462,G227,$R$2:$R$462))/_xlfn.STDEV.P(IF($G$2:$G$462=G227,$R$2:$R$462)),0)</f>
        <v/>
      </c>
      <c r="AI227" s="6">
        <f>IFERROR((AC227+AD227+AE227+AF227+AG227+AH227)/6,0)</f>
        <v/>
      </c>
    </row>
    <row r="228">
      <c r="A228" s="2">
        <f>IF(BD_Carga!A229&lt;&gt;"",BD_Carga!A229,"")</f>
        <v/>
      </c>
      <c r="B228">
        <f>IF(A228&lt;&gt;"",YEAR(A228),"")</f>
        <v/>
      </c>
      <c r="C228">
        <f>IF(A228&lt;&gt;"",MONTH(A228),"")</f>
        <v/>
      </c>
      <c r="D228">
        <f>IF(A228&lt;&gt;"",_xlfn.ISOWEEKNUM(A228),"")</f>
        <v/>
      </c>
      <c r="E228">
        <f>IF(A228&lt;&gt;"",TEXT(A228,"dddd"),"")</f>
        <v/>
      </c>
      <c r="F228">
        <f>IF(BD_Carga!C229&lt;&gt;"",BD_Carga!C229,"")</f>
        <v/>
      </c>
      <c r="G228">
        <f>IF(BD_Carga!D229&lt;&gt;"",BD_Carga!D229,"")</f>
        <v/>
      </c>
      <c r="H228">
        <f>IF(BD_Carga!Q229&lt;&gt;"",BD_Carga!Q229,"")</f>
        <v/>
      </c>
      <c r="I228">
        <f>IF(BD_Carga!R229&lt;&gt;"",BD_Carga!R229,"")</f>
        <v/>
      </c>
      <c r="J228">
        <f>IF(BD_Carga!S229&lt;&gt;"",BD_Carga!S229,"")</f>
        <v/>
      </c>
      <c r="K228" s="4">
        <f>IF(BD_Carga!E229&lt;&gt;"",BD_Carga!E229,0)</f>
        <v/>
      </c>
      <c r="L228" s="4">
        <f>IF(BD_Carga!F229&lt;&gt;"",BD_Carga!F229,0)</f>
        <v/>
      </c>
      <c r="M228" s="4">
        <f>IF(BD_Carga!G229&lt;&gt;"",BD_Carga!G229,0)</f>
        <v/>
      </c>
      <c r="N228" s="4">
        <f>IF(BD_Carga!H229&lt;&gt;"",BD_Carga!H229,0)</f>
        <v/>
      </c>
      <c r="O228" s="4">
        <f>IF(BD_Carga!I229&lt;&gt;"",BD_Carga!I229,0)</f>
        <v/>
      </c>
      <c r="P228" s="4">
        <f>IF(BD_Carga!J229&lt;&gt;"",BD_Carga!J229,0)</f>
        <v/>
      </c>
      <c r="Q228" s="5">
        <f>IF(BD_Carga!K229&lt;&gt;"",BD_Carga!K229,0)</f>
        <v/>
      </c>
      <c r="R228" s="5">
        <f>IF(BD_Carga!L229&lt;&gt;"",BD_Carga!L229,0)</f>
        <v/>
      </c>
      <c r="S228">
        <f>IF(BD_Carga!N229&lt;&gt;"",BD_Carga!N229,0)</f>
        <v/>
      </c>
      <c r="T228">
        <f>IF(BD_Carga!O229&lt;&gt;"",BD_Carga!O229,0)</f>
        <v/>
      </c>
      <c r="U228">
        <f>IF(BD_Carga!P229&lt;&gt;"",BD_Carga!P229,0)</f>
        <v/>
      </c>
      <c r="V228">
        <f>IF(BD_Carga!U229&lt;&gt;"",BD_Carga!U229,0)</f>
        <v/>
      </c>
      <c r="W228">
        <f>IF(BD_Carga!T229&lt;&gt;"",BD_Carga!T229,0)</f>
        <v/>
      </c>
      <c r="X228">
        <f>IF(BD_Carga!W229&lt;&gt;"",BD_Carga!W229,0)</f>
        <v/>
      </c>
      <c r="Y228">
        <f>IF(BD_Carga!X229&lt;&gt;"",BD_Carga!X229,0)</f>
        <v/>
      </c>
      <c r="Z228">
        <f>IF(BD_Carga!Y229&lt;&gt;"",BD_Carga!Y229,0)</f>
        <v/>
      </c>
      <c r="AA228">
        <f>IF(BD_Carga!Z229&lt;&gt;"",BD_Carga!Z229,0)</f>
        <v/>
      </c>
      <c r="AB228">
        <f>IF(BD_Carga!AA229&lt;&gt;"",BD_Carga!AA229,0)</f>
        <v/>
      </c>
      <c r="AC228" s="6">
        <f t="array" ref="AC228">IFERROR((L228-AVERAGEIF($G$2:$G$462,G228,$L$2:$L$462))/_xlfn.STDEV.P(IF($G$2:$G$462=G228,$L$2:$L$462)),0)</f>
        <v/>
      </c>
      <c r="AD228" s="6">
        <f t="array" ref="AD228">IFERROR((M228-AVERAGEIF($G$2:$G$462,G228,$M$2:$M$462))/_xlfn.STDEV.P(IF($G$2:$G$462=G228,$M$2:$M$462)),0)</f>
        <v/>
      </c>
      <c r="AE228" s="6">
        <f t="array" ref="AE228">IFERROR((N228-AVERAGEIF($G$2:$G$462,G228,$N$2:$N$462))/_xlfn.STDEV.P(IF($G$2:$G$462=G228,$N$2:$N$462)),0)</f>
        <v/>
      </c>
      <c r="AF228" s="6">
        <f t="array" ref="AF228">IFERROR((O228-AVERAGEIF($G$2:$G$462,G228,$O$2:$O$462))/_xlfn.STDEV.P(IF($G$2:$G$462=G228,$O$2:$O$462)),0)</f>
        <v/>
      </c>
      <c r="AG228" s="6">
        <f t="array" ref="AG228">IFERROR((P228-AVERAGEIF($G$2:$G$462,G228,$P$2:$P$462))/_xlfn.STDEV.P(IF($G$2:$G$462=G228,$P$2:$P$462)),0)</f>
        <v/>
      </c>
      <c r="AH228" s="6">
        <f t="array" ref="AH228">IFERROR((R228-AVERAGEIF($G$2:$G$462,G228,$R$2:$R$462))/_xlfn.STDEV.P(IF($G$2:$G$462=G228,$R$2:$R$462)),0)</f>
        <v/>
      </c>
      <c r="AI228" s="6">
        <f>IFERROR((AC228+AD228+AE228+AF228+AG228+AH228)/6,0)</f>
        <v/>
      </c>
    </row>
    <row r="229">
      <c r="A229" s="2">
        <f>IF(BD_Carga!A230&lt;&gt;"",BD_Carga!A230,"")</f>
        <v/>
      </c>
      <c r="B229">
        <f>IF(A229&lt;&gt;"",YEAR(A229),"")</f>
        <v/>
      </c>
      <c r="C229">
        <f>IF(A229&lt;&gt;"",MONTH(A229),"")</f>
        <v/>
      </c>
      <c r="D229">
        <f>IF(A229&lt;&gt;"",_xlfn.ISOWEEKNUM(A229),"")</f>
        <v/>
      </c>
      <c r="E229">
        <f>IF(A229&lt;&gt;"",TEXT(A229,"dddd"),"")</f>
        <v/>
      </c>
      <c r="F229">
        <f>IF(BD_Carga!C230&lt;&gt;"",BD_Carga!C230,"")</f>
        <v/>
      </c>
      <c r="G229">
        <f>IF(BD_Carga!D230&lt;&gt;"",BD_Carga!D230,"")</f>
        <v/>
      </c>
      <c r="H229">
        <f>IF(BD_Carga!Q230&lt;&gt;"",BD_Carga!Q230,"")</f>
        <v/>
      </c>
      <c r="I229">
        <f>IF(BD_Carga!R230&lt;&gt;"",BD_Carga!R230,"")</f>
        <v/>
      </c>
      <c r="J229">
        <f>IF(BD_Carga!S230&lt;&gt;"",BD_Carga!S230,"")</f>
        <v/>
      </c>
      <c r="K229" s="4">
        <f>IF(BD_Carga!E230&lt;&gt;"",BD_Carga!E230,0)</f>
        <v/>
      </c>
      <c r="L229" s="4">
        <f>IF(BD_Carga!F230&lt;&gt;"",BD_Carga!F230,0)</f>
        <v/>
      </c>
      <c r="M229" s="4">
        <f>IF(BD_Carga!G230&lt;&gt;"",BD_Carga!G230,0)</f>
        <v/>
      </c>
      <c r="N229" s="4">
        <f>IF(BD_Carga!H230&lt;&gt;"",BD_Carga!H230,0)</f>
        <v/>
      </c>
      <c r="O229" s="4">
        <f>IF(BD_Carga!I230&lt;&gt;"",BD_Carga!I230,0)</f>
        <v/>
      </c>
      <c r="P229" s="4">
        <f>IF(BD_Carga!J230&lt;&gt;"",BD_Carga!J230,0)</f>
        <v/>
      </c>
      <c r="Q229" s="5">
        <f>IF(BD_Carga!K230&lt;&gt;"",BD_Carga!K230,0)</f>
        <v/>
      </c>
      <c r="R229" s="5">
        <f>IF(BD_Carga!L230&lt;&gt;"",BD_Carga!L230,0)</f>
        <v/>
      </c>
      <c r="S229">
        <f>IF(BD_Carga!N230&lt;&gt;"",BD_Carga!N230,0)</f>
        <v/>
      </c>
      <c r="T229">
        <f>IF(BD_Carga!O230&lt;&gt;"",BD_Carga!O230,0)</f>
        <v/>
      </c>
      <c r="U229">
        <f>IF(BD_Carga!P230&lt;&gt;"",BD_Carga!P230,0)</f>
        <v/>
      </c>
      <c r="V229">
        <f>IF(BD_Carga!U230&lt;&gt;"",BD_Carga!U230,0)</f>
        <v/>
      </c>
      <c r="W229">
        <f>IF(BD_Carga!T230&lt;&gt;"",BD_Carga!T230,0)</f>
        <v/>
      </c>
      <c r="X229">
        <f>IF(BD_Carga!W230&lt;&gt;"",BD_Carga!W230,0)</f>
        <v/>
      </c>
      <c r="Y229">
        <f>IF(BD_Carga!X230&lt;&gt;"",BD_Carga!X230,0)</f>
        <v/>
      </c>
      <c r="Z229">
        <f>IF(BD_Carga!Y230&lt;&gt;"",BD_Carga!Y230,0)</f>
        <v/>
      </c>
      <c r="AA229">
        <f>IF(BD_Carga!Z230&lt;&gt;"",BD_Carga!Z230,0)</f>
        <v/>
      </c>
      <c r="AB229">
        <f>IF(BD_Carga!AA230&lt;&gt;"",BD_Carga!AA230,0)</f>
        <v/>
      </c>
      <c r="AC229" s="6">
        <f t="array" ref="AC229">IFERROR((L229-AVERAGEIF($G$2:$G$462,G229,$L$2:$L$462))/_xlfn.STDEV.P(IF($G$2:$G$462=G229,$L$2:$L$462)),0)</f>
        <v/>
      </c>
      <c r="AD229" s="6">
        <f t="array" ref="AD229">IFERROR((M229-AVERAGEIF($G$2:$G$462,G229,$M$2:$M$462))/_xlfn.STDEV.P(IF($G$2:$G$462=G229,$M$2:$M$462)),0)</f>
        <v/>
      </c>
      <c r="AE229" s="6">
        <f t="array" ref="AE229">IFERROR((N229-AVERAGEIF($G$2:$G$462,G229,$N$2:$N$462))/_xlfn.STDEV.P(IF($G$2:$G$462=G229,$N$2:$N$462)),0)</f>
        <v/>
      </c>
      <c r="AF229" s="6">
        <f t="array" ref="AF229">IFERROR((O229-AVERAGEIF($G$2:$G$462,G229,$O$2:$O$462))/_xlfn.STDEV.P(IF($G$2:$G$462=G229,$O$2:$O$462)),0)</f>
        <v/>
      </c>
      <c r="AG229" s="6">
        <f t="array" ref="AG229">IFERROR((P229-AVERAGEIF($G$2:$G$462,G229,$P$2:$P$462))/_xlfn.STDEV.P(IF($G$2:$G$462=G229,$P$2:$P$462)),0)</f>
        <v/>
      </c>
      <c r="AH229" s="6">
        <f t="array" ref="AH229">IFERROR((R229-AVERAGEIF($G$2:$G$462,G229,$R$2:$R$462))/_xlfn.STDEV.P(IF($G$2:$G$462=G229,$R$2:$R$462)),0)</f>
        <v/>
      </c>
      <c r="AI229" s="6">
        <f>IFERROR((AC229+AD229+AE229+AF229+AG229+AH229)/6,0)</f>
        <v/>
      </c>
    </row>
    <row r="230">
      <c r="A230" s="2">
        <f>IF(BD_Carga!A231&lt;&gt;"",BD_Carga!A231,"")</f>
        <v/>
      </c>
      <c r="B230">
        <f>IF(A230&lt;&gt;"",YEAR(A230),"")</f>
        <v/>
      </c>
      <c r="C230">
        <f>IF(A230&lt;&gt;"",MONTH(A230),"")</f>
        <v/>
      </c>
      <c r="D230">
        <f>IF(A230&lt;&gt;"",_xlfn.ISOWEEKNUM(A230),"")</f>
        <v/>
      </c>
      <c r="E230">
        <f>IF(A230&lt;&gt;"",TEXT(A230,"dddd"),"")</f>
        <v/>
      </c>
      <c r="F230">
        <f>IF(BD_Carga!C231&lt;&gt;"",BD_Carga!C231,"")</f>
        <v/>
      </c>
      <c r="G230">
        <f>IF(BD_Carga!D231&lt;&gt;"",BD_Carga!D231,"")</f>
        <v/>
      </c>
      <c r="H230">
        <f>IF(BD_Carga!Q231&lt;&gt;"",BD_Carga!Q231,"")</f>
        <v/>
      </c>
      <c r="I230">
        <f>IF(BD_Carga!R231&lt;&gt;"",BD_Carga!R231,"")</f>
        <v/>
      </c>
      <c r="J230">
        <f>IF(BD_Carga!S231&lt;&gt;"",BD_Carga!S231,"")</f>
        <v/>
      </c>
      <c r="K230" s="4">
        <f>IF(BD_Carga!E231&lt;&gt;"",BD_Carga!E231,0)</f>
        <v/>
      </c>
      <c r="L230" s="4">
        <f>IF(BD_Carga!F231&lt;&gt;"",BD_Carga!F231,0)</f>
        <v/>
      </c>
      <c r="M230" s="4">
        <f>IF(BD_Carga!G231&lt;&gt;"",BD_Carga!G231,0)</f>
        <v/>
      </c>
      <c r="N230" s="4">
        <f>IF(BD_Carga!H231&lt;&gt;"",BD_Carga!H231,0)</f>
        <v/>
      </c>
      <c r="O230" s="4">
        <f>IF(BD_Carga!I231&lt;&gt;"",BD_Carga!I231,0)</f>
        <v/>
      </c>
      <c r="P230" s="4">
        <f>IF(BD_Carga!J231&lt;&gt;"",BD_Carga!J231,0)</f>
        <v/>
      </c>
      <c r="Q230" s="5">
        <f>IF(BD_Carga!K231&lt;&gt;"",BD_Carga!K231,0)</f>
        <v/>
      </c>
      <c r="R230" s="5">
        <f>IF(BD_Carga!L231&lt;&gt;"",BD_Carga!L231,0)</f>
        <v/>
      </c>
      <c r="S230">
        <f>IF(BD_Carga!N231&lt;&gt;"",BD_Carga!N231,0)</f>
        <v/>
      </c>
      <c r="T230">
        <f>IF(BD_Carga!O231&lt;&gt;"",BD_Carga!O231,0)</f>
        <v/>
      </c>
      <c r="U230">
        <f>IF(BD_Carga!P231&lt;&gt;"",BD_Carga!P231,0)</f>
        <v/>
      </c>
      <c r="V230">
        <f>IF(BD_Carga!U231&lt;&gt;"",BD_Carga!U231,0)</f>
        <v/>
      </c>
      <c r="W230">
        <f>IF(BD_Carga!T231&lt;&gt;"",BD_Carga!T231,0)</f>
        <v/>
      </c>
      <c r="X230">
        <f>IF(BD_Carga!W231&lt;&gt;"",BD_Carga!W231,0)</f>
        <v/>
      </c>
      <c r="Y230">
        <f>IF(BD_Carga!X231&lt;&gt;"",BD_Carga!X231,0)</f>
        <v/>
      </c>
      <c r="Z230">
        <f>IF(BD_Carga!Y231&lt;&gt;"",BD_Carga!Y231,0)</f>
        <v/>
      </c>
      <c r="AA230">
        <f>IF(BD_Carga!Z231&lt;&gt;"",BD_Carga!Z231,0)</f>
        <v/>
      </c>
      <c r="AB230">
        <f>IF(BD_Carga!AA231&lt;&gt;"",BD_Carga!AA231,0)</f>
        <v/>
      </c>
      <c r="AC230" s="6">
        <f t="array" ref="AC230">IFERROR((L230-AVERAGEIF($G$2:$G$462,G230,$L$2:$L$462))/_xlfn.STDEV.P(IF($G$2:$G$462=G230,$L$2:$L$462)),0)</f>
        <v/>
      </c>
      <c r="AD230" s="6">
        <f t="array" ref="AD230">IFERROR((M230-AVERAGEIF($G$2:$G$462,G230,$M$2:$M$462))/_xlfn.STDEV.P(IF($G$2:$G$462=G230,$M$2:$M$462)),0)</f>
        <v/>
      </c>
      <c r="AE230" s="6">
        <f t="array" ref="AE230">IFERROR((N230-AVERAGEIF($G$2:$G$462,G230,$N$2:$N$462))/_xlfn.STDEV.P(IF($G$2:$G$462=G230,$N$2:$N$462)),0)</f>
        <v/>
      </c>
      <c r="AF230" s="6">
        <f t="array" ref="AF230">IFERROR((O230-AVERAGEIF($G$2:$G$462,G230,$O$2:$O$462))/_xlfn.STDEV.P(IF($G$2:$G$462=G230,$O$2:$O$462)),0)</f>
        <v/>
      </c>
      <c r="AG230" s="6">
        <f t="array" ref="AG230">IFERROR((P230-AVERAGEIF($G$2:$G$462,G230,$P$2:$P$462))/_xlfn.STDEV.P(IF($G$2:$G$462=G230,$P$2:$P$462)),0)</f>
        <v/>
      </c>
      <c r="AH230" s="6">
        <f t="array" ref="AH230">IFERROR((R230-AVERAGEIF($G$2:$G$462,G230,$R$2:$R$462))/_xlfn.STDEV.P(IF($G$2:$G$462=G230,$R$2:$R$462)),0)</f>
        <v/>
      </c>
      <c r="AI230" s="6">
        <f>IFERROR((AC230+AD230+AE230+AF230+AG230+AH230)/6,0)</f>
        <v/>
      </c>
    </row>
    <row r="231">
      <c r="A231" s="2">
        <f>IF(BD_Carga!A232&lt;&gt;"",BD_Carga!A232,"")</f>
        <v/>
      </c>
      <c r="B231">
        <f>IF(A231&lt;&gt;"",YEAR(A231),"")</f>
        <v/>
      </c>
      <c r="C231">
        <f>IF(A231&lt;&gt;"",MONTH(A231),"")</f>
        <v/>
      </c>
      <c r="D231">
        <f>IF(A231&lt;&gt;"",_xlfn.ISOWEEKNUM(A231),"")</f>
        <v/>
      </c>
      <c r="E231">
        <f>IF(A231&lt;&gt;"",TEXT(A231,"dddd"),"")</f>
        <v/>
      </c>
      <c r="F231">
        <f>IF(BD_Carga!C232&lt;&gt;"",BD_Carga!C232,"")</f>
        <v/>
      </c>
      <c r="G231">
        <f>IF(BD_Carga!D232&lt;&gt;"",BD_Carga!D232,"")</f>
        <v/>
      </c>
      <c r="H231">
        <f>IF(BD_Carga!Q232&lt;&gt;"",BD_Carga!Q232,"")</f>
        <v/>
      </c>
      <c r="I231">
        <f>IF(BD_Carga!R232&lt;&gt;"",BD_Carga!R232,"")</f>
        <v/>
      </c>
      <c r="J231">
        <f>IF(BD_Carga!S232&lt;&gt;"",BD_Carga!S232,"")</f>
        <v/>
      </c>
      <c r="K231" s="4">
        <f>IF(BD_Carga!E232&lt;&gt;"",BD_Carga!E232,0)</f>
        <v/>
      </c>
      <c r="L231" s="4">
        <f>IF(BD_Carga!F232&lt;&gt;"",BD_Carga!F232,0)</f>
        <v/>
      </c>
      <c r="M231" s="4">
        <f>IF(BD_Carga!G232&lt;&gt;"",BD_Carga!G232,0)</f>
        <v/>
      </c>
      <c r="N231" s="4">
        <f>IF(BD_Carga!H232&lt;&gt;"",BD_Carga!H232,0)</f>
        <v/>
      </c>
      <c r="O231" s="4">
        <f>IF(BD_Carga!I232&lt;&gt;"",BD_Carga!I232,0)</f>
        <v/>
      </c>
      <c r="P231" s="4">
        <f>IF(BD_Carga!J232&lt;&gt;"",BD_Carga!J232,0)</f>
        <v/>
      </c>
      <c r="Q231" s="5">
        <f>IF(BD_Carga!K232&lt;&gt;"",BD_Carga!K232,0)</f>
        <v/>
      </c>
      <c r="R231" s="5">
        <f>IF(BD_Carga!L232&lt;&gt;"",BD_Carga!L232,0)</f>
        <v/>
      </c>
      <c r="S231">
        <f>IF(BD_Carga!N232&lt;&gt;"",BD_Carga!N232,0)</f>
        <v/>
      </c>
      <c r="T231">
        <f>IF(BD_Carga!O232&lt;&gt;"",BD_Carga!O232,0)</f>
        <v/>
      </c>
      <c r="U231">
        <f>IF(BD_Carga!P232&lt;&gt;"",BD_Carga!P232,0)</f>
        <v/>
      </c>
      <c r="V231">
        <f>IF(BD_Carga!U232&lt;&gt;"",BD_Carga!U232,0)</f>
        <v/>
      </c>
      <c r="W231">
        <f>IF(BD_Carga!T232&lt;&gt;"",BD_Carga!T232,0)</f>
        <v/>
      </c>
      <c r="X231">
        <f>IF(BD_Carga!W232&lt;&gt;"",BD_Carga!W232,0)</f>
        <v/>
      </c>
      <c r="Y231">
        <f>IF(BD_Carga!X232&lt;&gt;"",BD_Carga!X232,0)</f>
        <v/>
      </c>
      <c r="Z231">
        <f>IF(BD_Carga!Y232&lt;&gt;"",BD_Carga!Y232,0)</f>
        <v/>
      </c>
      <c r="AA231">
        <f>IF(BD_Carga!Z232&lt;&gt;"",BD_Carga!Z232,0)</f>
        <v/>
      </c>
      <c r="AB231">
        <f>IF(BD_Carga!AA232&lt;&gt;"",BD_Carga!AA232,0)</f>
        <v/>
      </c>
      <c r="AC231" s="6">
        <f t="array" ref="AC231">IFERROR((L231-AVERAGEIF($G$2:$G$462,G231,$L$2:$L$462))/_xlfn.STDEV.P(IF($G$2:$G$462=G231,$L$2:$L$462)),0)</f>
        <v/>
      </c>
      <c r="AD231" s="6">
        <f t="array" ref="AD231">IFERROR((M231-AVERAGEIF($G$2:$G$462,G231,$M$2:$M$462))/_xlfn.STDEV.P(IF($G$2:$G$462=G231,$M$2:$M$462)),0)</f>
        <v/>
      </c>
      <c r="AE231" s="6">
        <f t="array" ref="AE231">IFERROR((N231-AVERAGEIF($G$2:$G$462,G231,$N$2:$N$462))/_xlfn.STDEV.P(IF($G$2:$G$462=G231,$N$2:$N$462)),0)</f>
        <v/>
      </c>
      <c r="AF231" s="6">
        <f t="array" ref="AF231">IFERROR((O231-AVERAGEIF($G$2:$G$462,G231,$O$2:$O$462))/_xlfn.STDEV.P(IF($G$2:$G$462=G231,$O$2:$O$462)),0)</f>
        <v/>
      </c>
      <c r="AG231" s="6">
        <f t="array" ref="AG231">IFERROR((P231-AVERAGEIF($G$2:$G$462,G231,$P$2:$P$462))/_xlfn.STDEV.P(IF($G$2:$G$462=G231,$P$2:$P$462)),0)</f>
        <v/>
      </c>
      <c r="AH231" s="6">
        <f t="array" ref="AH231">IFERROR((R231-AVERAGEIF($G$2:$G$462,G231,$R$2:$R$462))/_xlfn.STDEV.P(IF($G$2:$G$462=G231,$R$2:$R$462)),0)</f>
        <v/>
      </c>
      <c r="AI231" s="6">
        <f>IFERROR((AC231+AD231+AE231+AF231+AG231+AH231)/6,0)</f>
        <v/>
      </c>
    </row>
    <row r="232">
      <c r="A232" s="2">
        <f>IF(BD_Carga!A233&lt;&gt;"",BD_Carga!A233,"")</f>
        <v/>
      </c>
      <c r="B232">
        <f>IF(A232&lt;&gt;"",YEAR(A232),"")</f>
        <v/>
      </c>
      <c r="C232">
        <f>IF(A232&lt;&gt;"",MONTH(A232),"")</f>
        <v/>
      </c>
      <c r="D232">
        <f>IF(A232&lt;&gt;"",_xlfn.ISOWEEKNUM(A232),"")</f>
        <v/>
      </c>
      <c r="E232">
        <f>IF(A232&lt;&gt;"",TEXT(A232,"dddd"),"")</f>
        <v/>
      </c>
      <c r="F232">
        <f>IF(BD_Carga!C233&lt;&gt;"",BD_Carga!C233,"")</f>
        <v/>
      </c>
      <c r="G232">
        <f>IF(BD_Carga!D233&lt;&gt;"",BD_Carga!D233,"")</f>
        <v/>
      </c>
      <c r="H232">
        <f>IF(BD_Carga!Q233&lt;&gt;"",BD_Carga!Q233,"")</f>
        <v/>
      </c>
      <c r="I232">
        <f>IF(BD_Carga!R233&lt;&gt;"",BD_Carga!R233,"")</f>
        <v/>
      </c>
      <c r="J232">
        <f>IF(BD_Carga!S233&lt;&gt;"",BD_Carga!S233,"")</f>
        <v/>
      </c>
      <c r="K232" s="4">
        <f>IF(BD_Carga!E233&lt;&gt;"",BD_Carga!E233,0)</f>
        <v/>
      </c>
      <c r="L232" s="4">
        <f>IF(BD_Carga!F233&lt;&gt;"",BD_Carga!F233,0)</f>
        <v/>
      </c>
      <c r="M232" s="4">
        <f>IF(BD_Carga!G233&lt;&gt;"",BD_Carga!G233,0)</f>
        <v/>
      </c>
      <c r="N232" s="4">
        <f>IF(BD_Carga!H233&lt;&gt;"",BD_Carga!H233,0)</f>
        <v/>
      </c>
      <c r="O232" s="4">
        <f>IF(BD_Carga!I233&lt;&gt;"",BD_Carga!I233,0)</f>
        <v/>
      </c>
      <c r="P232" s="4">
        <f>IF(BD_Carga!J233&lt;&gt;"",BD_Carga!J233,0)</f>
        <v/>
      </c>
      <c r="Q232" s="5">
        <f>IF(BD_Carga!K233&lt;&gt;"",BD_Carga!K233,0)</f>
        <v/>
      </c>
      <c r="R232" s="5">
        <f>IF(BD_Carga!L233&lt;&gt;"",BD_Carga!L233,0)</f>
        <v/>
      </c>
      <c r="S232">
        <f>IF(BD_Carga!N233&lt;&gt;"",BD_Carga!N233,0)</f>
        <v/>
      </c>
      <c r="T232">
        <f>IF(BD_Carga!O233&lt;&gt;"",BD_Carga!O233,0)</f>
        <v/>
      </c>
      <c r="U232">
        <f>IF(BD_Carga!P233&lt;&gt;"",BD_Carga!P233,0)</f>
        <v/>
      </c>
      <c r="V232">
        <f>IF(BD_Carga!U233&lt;&gt;"",BD_Carga!U233,0)</f>
        <v/>
      </c>
      <c r="W232">
        <f>IF(BD_Carga!T233&lt;&gt;"",BD_Carga!T233,0)</f>
        <v/>
      </c>
      <c r="X232">
        <f>IF(BD_Carga!W233&lt;&gt;"",BD_Carga!W233,0)</f>
        <v/>
      </c>
      <c r="Y232">
        <f>IF(BD_Carga!X233&lt;&gt;"",BD_Carga!X233,0)</f>
        <v/>
      </c>
      <c r="Z232">
        <f>IF(BD_Carga!Y233&lt;&gt;"",BD_Carga!Y233,0)</f>
        <v/>
      </c>
      <c r="AA232">
        <f>IF(BD_Carga!Z233&lt;&gt;"",BD_Carga!Z233,0)</f>
        <v/>
      </c>
      <c r="AB232">
        <f>IF(BD_Carga!AA233&lt;&gt;"",BD_Carga!AA233,0)</f>
        <v/>
      </c>
      <c r="AC232" s="6">
        <f t="array" ref="AC232">IFERROR((L232-AVERAGEIF($G$2:$G$462,G232,$L$2:$L$462))/_xlfn.STDEV.P(IF($G$2:$G$462=G232,$L$2:$L$462)),0)</f>
        <v/>
      </c>
      <c r="AD232" s="6">
        <f t="array" ref="AD232">IFERROR((M232-AVERAGEIF($G$2:$G$462,G232,$M$2:$M$462))/_xlfn.STDEV.P(IF($G$2:$G$462=G232,$M$2:$M$462)),0)</f>
        <v/>
      </c>
      <c r="AE232" s="6">
        <f t="array" ref="AE232">IFERROR((N232-AVERAGEIF($G$2:$G$462,G232,$N$2:$N$462))/_xlfn.STDEV.P(IF($G$2:$G$462=G232,$N$2:$N$462)),0)</f>
        <v/>
      </c>
      <c r="AF232" s="6">
        <f t="array" ref="AF232">IFERROR((O232-AVERAGEIF($G$2:$G$462,G232,$O$2:$O$462))/_xlfn.STDEV.P(IF($G$2:$G$462=G232,$O$2:$O$462)),0)</f>
        <v/>
      </c>
      <c r="AG232" s="6">
        <f t="array" ref="AG232">IFERROR((P232-AVERAGEIF($G$2:$G$462,G232,$P$2:$P$462))/_xlfn.STDEV.P(IF($G$2:$G$462=G232,$P$2:$P$462)),0)</f>
        <v/>
      </c>
      <c r="AH232" s="6">
        <f t="array" ref="AH232">IFERROR((R232-AVERAGEIF($G$2:$G$462,G232,$R$2:$R$462))/_xlfn.STDEV.P(IF($G$2:$G$462=G232,$R$2:$R$462)),0)</f>
        <v/>
      </c>
      <c r="AI232" s="6">
        <f>IFERROR((AC232+AD232+AE232+AF232+AG232+AH232)/6,0)</f>
        <v/>
      </c>
    </row>
    <row r="233">
      <c r="A233" s="2">
        <f>IF(BD_Carga!A234&lt;&gt;"",BD_Carga!A234,"")</f>
        <v/>
      </c>
      <c r="B233">
        <f>IF(A233&lt;&gt;"",YEAR(A233),"")</f>
        <v/>
      </c>
      <c r="C233">
        <f>IF(A233&lt;&gt;"",MONTH(A233),"")</f>
        <v/>
      </c>
      <c r="D233">
        <f>IF(A233&lt;&gt;"",_xlfn.ISOWEEKNUM(A233),"")</f>
        <v/>
      </c>
      <c r="E233">
        <f>IF(A233&lt;&gt;"",TEXT(A233,"dddd"),"")</f>
        <v/>
      </c>
      <c r="F233">
        <f>IF(BD_Carga!C234&lt;&gt;"",BD_Carga!C234,"")</f>
        <v/>
      </c>
      <c r="G233">
        <f>IF(BD_Carga!D234&lt;&gt;"",BD_Carga!D234,"")</f>
        <v/>
      </c>
      <c r="H233">
        <f>IF(BD_Carga!Q234&lt;&gt;"",BD_Carga!Q234,"")</f>
        <v/>
      </c>
      <c r="I233">
        <f>IF(BD_Carga!R234&lt;&gt;"",BD_Carga!R234,"")</f>
        <v/>
      </c>
      <c r="J233">
        <f>IF(BD_Carga!S234&lt;&gt;"",BD_Carga!S234,"")</f>
        <v/>
      </c>
      <c r="K233" s="4">
        <f>IF(BD_Carga!E234&lt;&gt;"",BD_Carga!E234,0)</f>
        <v/>
      </c>
      <c r="L233" s="4">
        <f>IF(BD_Carga!F234&lt;&gt;"",BD_Carga!F234,0)</f>
        <v/>
      </c>
      <c r="M233" s="4">
        <f>IF(BD_Carga!G234&lt;&gt;"",BD_Carga!G234,0)</f>
        <v/>
      </c>
      <c r="N233" s="4">
        <f>IF(BD_Carga!H234&lt;&gt;"",BD_Carga!H234,0)</f>
        <v/>
      </c>
      <c r="O233" s="4">
        <f>IF(BD_Carga!I234&lt;&gt;"",BD_Carga!I234,0)</f>
        <v/>
      </c>
      <c r="P233" s="4">
        <f>IF(BD_Carga!J234&lt;&gt;"",BD_Carga!J234,0)</f>
        <v/>
      </c>
      <c r="Q233" s="5">
        <f>IF(BD_Carga!K234&lt;&gt;"",BD_Carga!K234,0)</f>
        <v/>
      </c>
      <c r="R233" s="5">
        <f>IF(BD_Carga!L234&lt;&gt;"",BD_Carga!L234,0)</f>
        <v/>
      </c>
      <c r="S233">
        <f>IF(BD_Carga!N234&lt;&gt;"",BD_Carga!N234,0)</f>
        <v/>
      </c>
      <c r="T233">
        <f>IF(BD_Carga!O234&lt;&gt;"",BD_Carga!O234,0)</f>
        <v/>
      </c>
      <c r="U233">
        <f>IF(BD_Carga!P234&lt;&gt;"",BD_Carga!P234,0)</f>
        <v/>
      </c>
      <c r="V233">
        <f>IF(BD_Carga!U234&lt;&gt;"",BD_Carga!U234,0)</f>
        <v/>
      </c>
      <c r="W233">
        <f>IF(BD_Carga!T234&lt;&gt;"",BD_Carga!T234,0)</f>
        <v/>
      </c>
      <c r="X233">
        <f>IF(BD_Carga!W234&lt;&gt;"",BD_Carga!W234,0)</f>
        <v/>
      </c>
      <c r="Y233">
        <f>IF(BD_Carga!X234&lt;&gt;"",BD_Carga!X234,0)</f>
        <v/>
      </c>
      <c r="Z233">
        <f>IF(BD_Carga!Y234&lt;&gt;"",BD_Carga!Y234,0)</f>
        <v/>
      </c>
      <c r="AA233">
        <f>IF(BD_Carga!Z234&lt;&gt;"",BD_Carga!Z234,0)</f>
        <v/>
      </c>
      <c r="AB233">
        <f>IF(BD_Carga!AA234&lt;&gt;"",BD_Carga!AA234,0)</f>
        <v/>
      </c>
      <c r="AC233" s="6">
        <f t="array" ref="AC233">IFERROR((L233-AVERAGEIF($G$2:$G$462,G233,$L$2:$L$462))/_xlfn.STDEV.P(IF($G$2:$G$462=G233,$L$2:$L$462)),0)</f>
        <v/>
      </c>
      <c r="AD233" s="6">
        <f t="array" ref="AD233">IFERROR((M233-AVERAGEIF($G$2:$G$462,G233,$M$2:$M$462))/_xlfn.STDEV.P(IF($G$2:$G$462=G233,$M$2:$M$462)),0)</f>
        <v/>
      </c>
      <c r="AE233" s="6">
        <f t="array" ref="AE233">IFERROR((N233-AVERAGEIF($G$2:$G$462,G233,$N$2:$N$462))/_xlfn.STDEV.P(IF($G$2:$G$462=G233,$N$2:$N$462)),0)</f>
        <v/>
      </c>
      <c r="AF233" s="6">
        <f t="array" ref="AF233">IFERROR((O233-AVERAGEIF($G$2:$G$462,G233,$O$2:$O$462))/_xlfn.STDEV.P(IF($G$2:$G$462=G233,$O$2:$O$462)),0)</f>
        <v/>
      </c>
      <c r="AG233" s="6">
        <f t="array" ref="AG233">IFERROR((P233-AVERAGEIF($G$2:$G$462,G233,$P$2:$P$462))/_xlfn.STDEV.P(IF($G$2:$G$462=G233,$P$2:$P$462)),0)</f>
        <v/>
      </c>
      <c r="AH233" s="6">
        <f t="array" ref="AH233">IFERROR((R233-AVERAGEIF($G$2:$G$462,G233,$R$2:$R$462))/_xlfn.STDEV.P(IF($G$2:$G$462=G233,$R$2:$R$462)),0)</f>
        <v/>
      </c>
      <c r="AI233" s="6">
        <f>IFERROR((AC233+AD233+AE233+AF233+AG233+AH233)/6,0)</f>
        <v/>
      </c>
    </row>
    <row r="234">
      <c r="A234" s="2">
        <f>IF(BD_Carga!A235&lt;&gt;"",BD_Carga!A235,"")</f>
        <v/>
      </c>
      <c r="B234">
        <f>IF(A234&lt;&gt;"",YEAR(A234),"")</f>
        <v/>
      </c>
      <c r="C234">
        <f>IF(A234&lt;&gt;"",MONTH(A234),"")</f>
        <v/>
      </c>
      <c r="D234">
        <f>IF(A234&lt;&gt;"",_xlfn.ISOWEEKNUM(A234),"")</f>
        <v/>
      </c>
      <c r="E234">
        <f>IF(A234&lt;&gt;"",TEXT(A234,"dddd"),"")</f>
        <v/>
      </c>
      <c r="F234">
        <f>IF(BD_Carga!C235&lt;&gt;"",BD_Carga!C235,"")</f>
        <v/>
      </c>
      <c r="G234">
        <f>IF(BD_Carga!D235&lt;&gt;"",BD_Carga!D235,"")</f>
        <v/>
      </c>
      <c r="H234">
        <f>IF(BD_Carga!Q235&lt;&gt;"",BD_Carga!Q235,"")</f>
        <v/>
      </c>
      <c r="I234">
        <f>IF(BD_Carga!R235&lt;&gt;"",BD_Carga!R235,"")</f>
        <v/>
      </c>
      <c r="J234">
        <f>IF(BD_Carga!S235&lt;&gt;"",BD_Carga!S235,"")</f>
        <v/>
      </c>
      <c r="K234" s="4">
        <f>IF(BD_Carga!E235&lt;&gt;"",BD_Carga!E235,0)</f>
        <v/>
      </c>
      <c r="L234" s="4">
        <f>IF(BD_Carga!F235&lt;&gt;"",BD_Carga!F235,0)</f>
        <v/>
      </c>
      <c r="M234" s="4">
        <f>IF(BD_Carga!G235&lt;&gt;"",BD_Carga!G235,0)</f>
        <v/>
      </c>
      <c r="N234" s="4">
        <f>IF(BD_Carga!H235&lt;&gt;"",BD_Carga!H235,0)</f>
        <v/>
      </c>
      <c r="O234" s="4">
        <f>IF(BD_Carga!I235&lt;&gt;"",BD_Carga!I235,0)</f>
        <v/>
      </c>
      <c r="P234" s="4">
        <f>IF(BD_Carga!J235&lt;&gt;"",BD_Carga!J235,0)</f>
        <v/>
      </c>
      <c r="Q234" s="5">
        <f>IF(BD_Carga!K235&lt;&gt;"",BD_Carga!K235,0)</f>
        <v/>
      </c>
      <c r="R234" s="5">
        <f>IF(BD_Carga!L235&lt;&gt;"",BD_Carga!L235,0)</f>
        <v/>
      </c>
      <c r="S234">
        <f>IF(BD_Carga!N235&lt;&gt;"",BD_Carga!N235,0)</f>
        <v/>
      </c>
      <c r="T234">
        <f>IF(BD_Carga!O235&lt;&gt;"",BD_Carga!O235,0)</f>
        <v/>
      </c>
      <c r="U234">
        <f>IF(BD_Carga!P235&lt;&gt;"",BD_Carga!P235,0)</f>
        <v/>
      </c>
      <c r="V234">
        <f>IF(BD_Carga!U235&lt;&gt;"",BD_Carga!U235,0)</f>
        <v/>
      </c>
      <c r="W234">
        <f>IF(BD_Carga!T235&lt;&gt;"",BD_Carga!T235,0)</f>
        <v/>
      </c>
      <c r="X234">
        <f>IF(BD_Carga!W235&lt;&gt;"",BD_Carga!W235,0)</f>
        <v/>
      </c>
      <c r="Y234">
        <f>IF(BD_Carga!X235&lt;&gt;"",BD_Carga!X235,0)</f>
        <v/>
      </c>
      <c r="Z234">
        <f>IF(BD_Carga!Y235&lt;&gt;"",BD_Carga!Y235,0)</f>
        <v/>
      </c>
      <c r="AA234">
        <f>IF(BD_Carga!Z235&lt;&gt;"",BD_Carga!Z235,0)</f>
        <v/>
      </c>
      <c r="AB234">
        <f>IF(BD_Carga!AA235&lt;&gt;"",BD_Carga!AA235,0)</f>
        <v/>
      </c>
      <c r="AC234" s="6">
        <f t="array" ref="AC234">IFERROR((L234-AVERAGEIF($G$2:$G$462,G234,$L$2:$L$462))/_xlfn.STDEV.P(IF($G$2:$G$462=G234,$L$2:$L$462)),0)</f>
        <v/>
      </c>
      <c r="AD234" s="6">
        <f t="array" ref="AD234">IFERROR((M234-AVERAGEIF($G$2:$G$462,G234,$M$2:$M$462))/_xlfn.STDEV.P(IF($G$2:$G$462=G234,$M$2:$M$462)),0)</f>
        <v/>
      </c>
      <c r="AE234" s="6">
        <f t="array" ref="AE234">IFERROR((N234-AVERAGEIF($G$2:$G$462,G234,$N$2:$N$462))/_xlfn.STDEV.P(IF($G$2:$G$462=G234,$N$2:$N$462)),0)</f>
        <v/>
      </c>
      <c r="AF234" s="6">
        <f t="array" ref="AF234">IFERROR((O234-AVERAGEIF($G$2:$G$462,G234,$O$2:$O$462))/_xlfn.STDEV.P(IF($G$2:$G$462=G234,$O$2:$O$462)),0)</f>
        <v/>
      </c>
      <c r="AG234" s="6">
        <f t="array" ref="AG234">IFERROR((P234-AVERAGEIF($G$2:$G$462,G234,$P$2:$P$462))/_xlfn.STDEV.P(IF($G$2:$G$462=G234,$P$2:$P$462)),0)</f>
        <v/>
      </c>
      <c r="AH234" s="6">
        <f t="array" ref="AH234">IFERROR((R234-AVERAGEIF($G$2:$G$462,G234,$R$2:$R$462))/_xlfn.STDEV.P(IF($G$2:$G$462=G234,$R$2:$R$462)),0)</f>
        <v/>
      </c>
      <c r="AI234" s="6">
        <f>IFERROR((AC234+AD234+AE234+AF234+AG234+AH234)/6,0)</f>
        <v/>
      </c>
    </row>
    <row r="235">
      <c r="A235" s="2">
        <f>IF(BD_Carga!A236&lt;&gt;"",BD_Carga!A236,"")</f>
        <v/>
      </c>
      <c r="B235">
        <f>IF(A235&lt;&gt;"",YEAR(A235),"")</f>
        <v/>
      </c>
      <c r="C235">
        <f>IF(A235&lt;&gt;"",MONTH(A235),"")</f>
        <v/>
      </c>
      <c r="D235">
        <f>IF(A235&lt;&gt;"",_xlfn.ISOWEEKNUM(A235),"")</f>
        <v/>
      </c>
      <c r="E235">
        <f>IF(A235&lt;&gt;"",TEXT(A235,"dddd"),"")</f>
        <v/>
      </c>
      <c r="F235">
        <f>IF(BD_Carga!C236&lt;&gt;"",BD_Carga!C236,"")</f>
        <v/>
      </c>
      <c r="G235">
        <f>IF(BD_Carga!D236&lt;&gt;"",BD_Carga!D236,"")</f>
        <v/>
      </c>
      <c r="H235">
        <f>IF(BD_Carga!Q236&lt;&gt;"",BD_Carga!Q236,"")</f>
        <v/>
      </c>
      <c r="I235">
        <f>IF(BD_Carga!R236&lt;&gt;"",BD_Carga!R236,"")</f>
        <v/>
      </c>
      <c r="J235">
        <f>IF(BD_Carga!S236&lt;&gt;"",BD_Carga!S236,"")</f>
        <v/>
      </c>
      <c r="K235" s="4">
        <f>IF(BD_Carga!E236&lt;&gt;"",BD_Carga!E236,0)</f>
        <v/>
      </c>
      <c r="L235" s="4">
        <f>IF(BD_Carga!F236&lt;&gt;"",BD_Carga!F236,0)</f>
        <v/>
      </c>
      <c r="M235" s="4">
        <f>IF(BD_Carga!G236&lt;&gt;"",BD_Carga!G236,0)</f>
        <v/>
      </c>
      <c r="N235" s="4">
        <f>IF(BD_Carga!H236&lt;&gt;"",BD_Carga!H236,0)</f>
        <v/>
      </c>
      <c r="O235" s="4">
        <f>IF(BD_Carga!I236&lt;&gt;"",BD_Carga!I236,0)</f>
        <v/>
      </c>
      <c r="P235" s="4">
        <f>IF(BD_Carga!J236&lt;&gt;"",BD_Carga!J236,0)</f>
        <v/>
      </c>
      <c r="Q235" s="5">
        <f>IF(BD_Carga!K236&lt;&gt;"",BD_Carga!K236,0)</f>
        <v/>
      </c>
      <c r="R235" s="5">
        <f>IF(BD_Carga!L236&lt;&gt;"",BD_Carga!L236,0)</f>
        <v/>
      </c>
      <c r="S235">
        <f>IF(BD_Carga!N236&lt;&gt;"",BD_Carga!N236,0)</f>
        <v/>
      </c>
      <c r="T235">
        <f>IF(BD_Carga!O236&lt;&gt;"",BD_Carga!O236,0)</f>
        <v/>
      </c>
      <c r="U235">
        <f>IF(BD_Carga!P236&lt;&gt;"",BD_Carga!P236,0)</f>
        <v/>
      </c>
      <c r="V235">
        <f>IF(BD_Carga!U236&lt;&gt;"",BD_Carga!U236,0)</f>
        <v/>
      </c>
      <c r="W235">
        <f>IF(BD_Carga!T236&lt;&gt;"",BD_Carga!T236,0)</f>
        <v/>
      </c>
      <c r="X235">
        <f>IF(BD_Carga!W236&lt;&gt;"",BD_Carga!W236,0)</f>
        <v/>
      </c>
      <c r="Y235">
        <f>IF(BD_Carga!X236&lt;&gt;"",BD_Carga!X236,0)</f>
        <v/>
      </c>
      <c r="Z235">
        <f>IF(BD_Carga!Y236&lt;&gt;"",BD_Carga!Y236,0)</f>
        <v/>
      </c>
      <c r="AA235">
        <f>IF(BD_Carga!Z236&lt;&gt;"",BD_Carga!Z236,0)</f>
        <v/>
      </c>
      <c r="AB235">
        <f>IF(BD_Carga!AA236&lt;&gt;"",BD_Carga!AA236,0)</f>
        <v/>
      </c>
      <c r="AC235" s="6">
        <f t="array" ref="AC235">IFERROR((L235-AVERAGEIF($G$2:$G$462,G235,$L$2:$L$462))/_xlfn.STDEV.P(IF($G$2:$G$462=G235,$L$2:$L$462)),0)</f>
        <v/>
      </c>
      <c r="AD235" s="6">
        <f t="array" ref="AD235">IFERROR((M235-AVERAGEIF($G$2:$G$462,G235,$M$2:$M$462))/_xlfn.STDEV.P(IF($G$2:$G$462=G235,$M$2:$M$462)),0)</f>
        <v/>
      </c>
      <c r="AE235" s="6">
        <f t="array" ref="AE235">IFERROR((N235-AVERAGEIF($G$2:$G$462,G235,$N$2:$N$462))/_xlfn.STDEV.P(IF($G$2:$G$462=G235,$N$2:$N$462)),0)</f>
        <v/>
      </c>
      <c r="AF235" s="6">
        <f t="array" ref="AF235">IFERROR((O235-AVERAGEIF($G$2:$G$462,G235,$O$2:$O$462))/_xlfn.STDEV.P(IF($G$2:$G$462=G235,$O$2:$O$462)),0)</f>
        <v/>
      </c>
      <c r="AG235" s="6">
        <f t="array" ref="AG235">IFERROR((P235-AVERAGEIF($G$2:$G$462,G235,$P$2:$P$462))/_xlfn.STDEV.P(IF($G$2:$G$462=G235,$P$2:$P$462)),0)</f>
        <v/>
      </c>
      <c r="AH235" s="6">
        <f t="array" ref="AH235">IFERROR((R235-AVERAGEIF($G$2:$G$462,G235,$R$2:$R$462))/_xlfn.STDEV.P(IF($G$2:$G$462=G235,$R$2:$R$462)),0)</f>
        <v/>
      </c>
      <c r="AI235" s="6">
        <f>IFERROR((AC235+AD235+AE235+AF235+AG235+AH235)/6,0)</f>
        <v/>
      </c>
    </row>
    <row r="236">
      <c r="A236" s="2">
        <f>IF(BD_Carga!A237&lt;&gt;"",BD_Carga!A237,"")</f>
        <v/>
      </c>
      <c r="B236">
        <f>IF(A236&lt;&gt;"",YEAR(A236),"")</f>
        <v/>
      </c>
      <c r="C236">
        <f>IF(A236&lt;&gt;"",MONTH(A236),"")</f>
        <v/>
      </c>
      <c r="D236">
        <f>IF(A236&lt;&gt;"",_xlfn.ISOWEEKNUM(A236),"")</f>
        <v/>
      </c>
      <c r="E236">
        <f>IF(A236&lt;&gt;"",TEXT(A236,"dddd"),"")</f>
        <v/>
      </c>
      <c r="F236">
        <f>IF(BD_Carga!C237&lt;&gt;"",BD_Carga!C237,"")</f>
        <v/>
      </c>
      <c r="G236">
        <f>IF(BD_Carga!D237&lt;&gt;"",BD_Carga!D237,"")</f>
        <v/>
      </c>
      <c r="H236">
        <f>IF(BD_Carga!Q237&lt;&gt;"",BD_Carga!Q237,"")</f>
        <v/>
      </c>
      <c r="I236">
        <f>IF(BD_Carga!R237&lt;&gt;"",BD_Carga!R237,"")</f>
        <v/>
      </c>
      <c r="J236">
        <f>IF(BD_Carga!S237&lt;&gt;"",BD_Carga!S237,"")</f>
        <v/>
      </c>
      <c r="K236" s="4">
        <f>IF(BD_Carga!E237&lt;&gt;"",BD_Carga!E237,0)</f>
        <v/>
      </c>
      <c r="L236" s="4">
        <f>IF(BD_Carga!F237&lt;&gt;"",BD_Carga!F237,0)</f>
        <v/>
      </c>
      <c r="M236" s="4">
        <f>IF(BD_Carga!G237&lt;&gt;"",BD_Carga!G237,0)</f>
        <v/>
      </c>
      <c r="N236" s="4">
        <f>IF(BD_Carga!H237&lt;&gt;"",BD_Carga!H237,0)</f>
        <v/>
      </c>
      <c r="O236" s="4">
        <f>IF(BD_Carga!I237&lt;&gt;"",BD_Carga!I237,0)</f>
        <v/>
      </c>
      <c r="P236" s="4">
        <f>IF(BD_Carga!J237&lt;&gt;"",BD_Carga!J237,0)</f>
        <v/>
      </c>
      <c r="Q236" s="5">
        <f>IF(BD_Carga!K237&lt;&gt;"",BD_Carga!K237,0)</f>
        <v/>
      </c>
      <c r="R236" s="5">
        <f>IF(BD_Carga!L237&lt;&gt;"",BD_Carga!L237,0)</f>
        <v/>
      </c>
      <c r="S236">
        <f>IF(BD_Carga!N237&lt;&gt;"",BD_Carga!N237,0)</f>
        <v/>
      </c>
      <c r="T236">
        <f>IF(BD_Carga!O237&lt;&gt;"",BD_Carga!O237,0)</f>
        <v/>
      </c>
      <c r="U236">
        <f>IF(BD_Carga!P237&lt;&gt;"",BD_Carga!P237,0)</f>
        <v/>
      </c>
      <c r="V236">
        <f>IF(BD_Carga!U237&lt;&gt;"",BD_Carga!U237,0)</f>
        <v/>
      </c>
      <c r="W236">
        <f>IF(BD_Carga!T237&lt;&gt;"",BD_Carga!T237,0)</f>
        <v/>
      </c>
      <c r="X236">
        <f>IF(BD_Carga!W237&lt;&gt;"",BD_Carga!W237,0)</f>
        <v/>
      </c>
      <c r="Y236">
        <f>IF(BD_Carga!X237&lt;&gt;"",BD_Carga!X237,0)</f>
        <v/>
      </c>
      <c r="Z236">
        <f>IF(BD_Carga!Y237&lt;&gt;"",BD_Carga!Y237,0)</f>
        <v/>
      </c>
      <c r="AA236">
        <f>IF(BD_Carga!Z237&lt;&gt;"",BD_Carga!Z237,0)</f>
        <v/>
      </c>
      <c r="AB236">
        <f>IF(BD_Carga!AA237&lt;&gt;"",BD_Carga!AA237,0)</f>
        <v/>
      </c>
      <c r="AC236" s="6">
        <f t="array" ref="AC236">IFERROR((L236-AVERAGEIF($G$2:$G$462,G236,$L$2:$L$462))/_xlfn.STDEV.P(IF($G$2:$G$462=G236,$L$2:$L$462)),0)</f>
        <v/>
      </c>
      <c r="AD236" s="6">
        <f t="array" ref="AD236">IFERROR((M236-AVERAGEIF($G$2:$G$462,G236,$M$2:$M$462))/_xlfn.STDEV.P(IF($G$2:$G$462=G236,$M$2:$M$462)),0)</f>
        <v/>
      </c>
      <c r="AE236" s="6">
        <f t="array" ref="AE236">IFERROR((N236-AVERAGEIF($G$2:$G$462,G236,$N$2:$N$462))/_xlfn.STDEV.P(IF($G$2:$G$462=G236,$N$2:$N$462)),0)</f>
        <v/>
      </c>
      <c r="AF236" s="6">
        <f t="array" ref="AF236">IFERROR((O236-AVERAGEIF($G$2:$G$462,G236,$O$2:$O$462))/_xlfn.STDEV.P(IF($G$2:$G$462=G236,$O$2:$O$462)),0)</f>
        <v/>
      </c>
      <c r="AG236" s="6">
        <f t="array" ref="AG236">IFERROR((P236-AVERAGEIF($G$2:$G$462,G236,$P$2:$P$462))/_xlfn.STDEV.P(IF($G$2:$G$462=G236,$P$2:$P$462)),0)</f>
        <v/>
      </c>
      <c r="AH236" s="6">
        <f t="array" ref="AH236">IFERROR((R236-AVERAGEIF($G$2:$G$462,G236,$R$2:$R$462))/_xlfn.STDEV.P(IF($G$2:$G$462=G236,$R$2:$R$462)),0)</f>
        <v/>
      </c>
      <c r="AI236" s="6">
        <f>IFERROR((AC236+AD236+AE236+AF236+AG236+AH236)/6,0)</f>
        <v/>
      </c>
    </row>
    <row r="237">
      <c r="A237" s="2">
        <f>IF(BD_Carga!A238&lt;&gt;"",BD_Carga!A238,"")</f>
        <v/>
      </c>
      <c r="B237">
        <f>IF(A237&lt;&gt;"",YEAR(A237),"")</f>
        <v/>
      </c>
      <c r="C237">
        <f>IF(A237&lt;&gt;"",MONTH(A237),"")</f>
        <v/>
      </c>
      <c r="D237">
        <f>IF(A237&lt;&gt;"",_xlfn.ISOWEEKNUM(A237),"")</f>
        <v/>
      </c>
      <c r="E237">
        <f>IF(A237&lt;&gt;"",TEXT(A237,"dddd"),"")</f>
        <v/>
      </c>
      <c r="F237">
        <f>IF(BD_Carga!C238&lt;&gt;"",BD_Carga!C238,"")</f>
        <v/>
      </c>
      <c r="G237">
        <f>IF(BD_Carga!D238&lt;&gt;"",BD_Carga!D238,"")</f>
        <v/>
      </c>
      <c r="H237">
        <f>IF(BD_Carga!Q238&lt;&gt;"",BD_Carga!Q238,"")</f>
        <v/>
      </c>
      <c r="I237">
        <f>IF(BD_Carga!R238&lt;&gt;"",BD_Carga!R238,"")</f>
        <v/>
      </c>
      <c r="J237">
        <f>IF(BD_Carga!S238&lt;&gt;"",BD_Carga!S238,"")</f>
        <v/>
      </c>
      <c r="K237" s="4">
        <f>IF(BD_Carga!E238&lt;&gt;"",BD_Carga!E238,0)</f>
        <v/>
      </c>
      <c r="L237" s="4">
        <f>IF(BD_Carga!F238&lt;&gt;"",BD_Carga!F238,0)</f>
        <v/>
      </c>
      <c r="M237" s="4">
        <f>IF(BD_Carga!G238&lt;&gt;"",BD_Carga!G238,0)</f>
        <v/>
      </c>
      <c r="N237" s="4">
        <f>IF(BD_Carga!H238&lt;&gt;"",BD_Carga!H238,0)</f>
        <v/>
      </c>
      <c r="O237" s="4">
        <f>IF(BD_Carga!I238&lt;&gt;"",BD_Carga!I238,0)</f>
        <v/>
      </c>
      <c r="P237" s="4">
        <f>IF(BD_Carga!J238&lt;&gt;"",BD_Carga!J238,0)</f>
        <v/>
      </c>
      <c r="Q237" s="5">
        <f>IF(BD_Carga!K238&lt;&gt;"",BD_Carga!K238,0)</f>
        <v/>
      </c>
      <c r="R237" s="5">
        <f>IF(BD_Carga!L238&lt;&gt;"",BD_Carga!L238,0)</f>
        <v/>
      </c>
      <c r="S237">
        <f>IF(BD_Carga!N238&lt;&gt;"",BD_Carga!N238,0)</f>
        <v/>
      </c>
      <c r="T237">
        <f>IF(BD_Carga!O238&lt;&gt;"",BD_Carga!O238,0)</f>
        <v/>
      </c>
      <c r="U237">
        <f>IF(BD_Carga!P238&lt;&gt;"",BD_Carga!P238,0)</f>
        <v/>
      </c>
      <c r="V237">
        <f>IF(BD_Carga!U238&lt;&gt;"",BD_Carga!U238,0)</f>
        <v/>
      </c>
      <c r="W237">
        <f>IF(BD_Carga!T238&lt;&gt;"",BD_Carga!T238,0)</f>
        <v/>
      </c>
      <c r="X237">
        <f>IF(BD_Carga!W238&lt;&gt;"",BD_Carga!W238,0)</f>
        <v/>
      </c>
      <c r="Y237">
        <f>IF(BD_Carga!X238&lt;&gt;"",BD_Carga!X238,0)</f>
        <v/>
      </c>
      <c r="Z237">
        <f>IF(BD_Carga!Y238&lt;&gt;"",BD_Carga!Y238,0)</f>
        <v/>
      </c>
      <c r="AA237">
        <f>IF(BD_Carga!Z238&lt;&gt;"",BD_Carga!Z238,0)</f>
        <v/>
      </c>
      <c r="AB237">
        <f>IF(BD_Carga!AA238&lt;&gt;"",BD_Carga!AA238,0)</f>
        <v/>
      </c>
      <c r="AC237" s="6">
        <f t="array" ref="AC237">IFERROR((L237-AVERAGEIF($G$2:$G$462,G237,$L$2:$L$462))/_xlfn.STDEV.P(IF($G$2:$G$462=G237,$L$2:$L$462)),0)</f>
        <v/>
      </c>
      <c r="AD237" s="6">
        <f t="array" ref="AD237">IFERROR((M237-AVERAGEIF($G$2:$G$462,G237,$M$2:$M$462))/_xlfn.STDEV.P(IF($G$2:$G$462=G237,$M$2:$M$462)),0)</f>
        <v/>
      </c>
      <c r="AE237" s="6">
        <f t="array" ref="AE237">IFERROR((N237-AVERAGEIF($G$2:$G$462,G237,$N$2:$N$462))/_xlfn.STDEV.P(IF($G$2:$G$462=G237,$N$2:$N$462)),0)</f>
        <v/>
      </c>
      <c r="AF237" s="6">
        <f t="array" ref="AF237">IFERROR((O237-AVERAGEIF($G$2:$G$462,G237,$O$2:$O$462))/_xlfn.STDEV.P(IF($G$2:$G$462=G237,$O$2:$O$462)),0)</f>
        <v/>
      </c>
      <c r="AG237" s="6">
        <f t="array" ref="AG237">IFERROR((P237-AVERAGEIF($G$2:$G$462,G237,$P$2:$P$462))/_xlfn.STDEV.P(IF($G$2:$G$462=G237,$P$2:$P$462)),0)</f>
        <v/>
      </c>
      <c r="AH237" s="6">
        <f t="array" ref="AH237">IFERROR((R237-AVERAGEIF($G$2:$G$462,G237,$R$2:$R$462))/_xlfn.STDEV.P(IF($G$2:$G$462=G237,$R$2:$R$462)),0)</f>
        <v/>
      </c>
      <c r="AI237" s="6">
        <f>IFERROR((AC237+AD237+AE237+AF237+AG237+AH237)/6,0)</f>
        <v/>
      </c>
    </row>
    <row r="238">
      <c r="A238" s="2">
        <f>IF(BD_Carga!A239&lt;&gt;"",BD_Carga!A239,"")</f>
        <v/>
      </c>
      <c r="B238">
        <f>IF(A238&lt;&gt;"",YEAR(A238),"")</f>
        <v/>
      </c>
      <c r="C238">
        <f>IF(A238&lt;&gt;"",MONTH(A238),"")</f>
        <v/>
      </c>
      <c r="D238">
        <f>IF(A238&lt;&gt;"",_xlfn.ISOWEEKNUM(A238),"")</f>
        <v/>
      </c>
      <c r="E238">
        <f>IF(A238&lt;&gt;"",TEXT(A238,"dddd"),"")</f>
        <v/>
      </c>
      <c r="F238">
        <f>IF(BD_Carga!C239&lt;&gt;"",BD_Carga!C239,"")</f>
        <v/>
      </c>
      <c r="G238">
        <f>IF(BD_Carga!D239&lt;&gt;"",BD_Carga!D239,"")</f>
        <v/>
      </c>
      <c r="H238">
        <f>IF(BD_Carga!Q239&lt;&gt;"",BD_Carga!Q239,"")</f>
        <v/>
      </c>
      <c r="I238">
        <f>IF(BD_Carga!R239&lt;&gt;"",BD_Carga!R239,"")</f>
        <v/>
      </c>
      <c r="J238">
        <f>IF(BD_Carga!S239&lt;&gt;"",BD_Carga!S239,"")</f>
        <v/>
      </c>
      <c r="K238" s="4">
        <f>IF(BD_Carga!E239&lt;&gt;"",BD_Carga!E239,0)</f>
        <v/>
      </c>
      <c r="L238" s="4">
        <f>IF(BD_Carga!F239&lt;&gt;"",BD_Carga!F239,0)</f>
        <v/>
      </c>
      <c r="M238" s="4">
        <f>IF(BD_Carga!G239&lt;&gt;"",BD_Carga!G239,0)</f>
        <v/>
      </c>
      <c r="N238" s="4">
        <f>IF(BD_Carga!H239&lt;&gt;"",BD_Carga!H239,0)</f>
        <v/>
      </c>
      <c r="O238" s="4">
        <f>IF(BD_Carga!I239&lt;&gt;"",BD_Carga!I239,0)</f>
        <v/>
      </c>
      <c r="P238" s="4">
        <f>IF(BD_Carga!J239&lt;&gt;"",BD_Carga!J239,0)</f>
        <v/>
      </c>
      <c r="Q238" s="5">
        <f>IF(BD_Carga!K239&lt;&gt;"",BD_Carga!K239,0)</f>
        <v/>
      </c>
      <c r="R238" s="5">
        <f>IF(BD_Carga!L239&lt;&gt;"",BD_Carga!L239,0)</f>
        <v/>
      </c>
      <c r="S238">
        <f>IF(BD_Carga!N239&lt;&gt;"",BD_Carga!N239,0)</f>
        <v/>
      </c>
      <c r="T238">
        <f>IF(BD_Carga!O239&lt;&gt;"",BD_Carga!O239,0)</f>
        <v/>
      </c>
      <c r="U238">
        <f>IF(BD_Carga!P239&lt;&gt;"",BD_Carga!P239,0)</f>
        <v/>
      </c>
      <c r="V238">
        <f>IF(BD_Carga!U239&lt;&gt;"",BD_Carga!U239,0)</f>
        <v/>
      </c>
      <c r="W238">
        <f>IF(BD_Carga!T239&lt;&gt;"",BD_Carga!T239,0)</f>
        <v/>
      </c>
      <c r="X238">
        <f>IF(BD_Carga!W239&lt;&gt;"",BD_Carga!W239,0)</f>
        <v/>
      </c>
      <c r="Y238">
        <f>IF(BD_Carga!X239&lt;&gt;"",BD_Carga!X239,0)</f>
        <v/>
      </c>
      <c r="Z238">
        <f>IF(BD_Carga!Y239&lt;&gt;"",BD_Carga!Y239,0)</f>
        <v/>
      </c>
      <c r="AA238">
        <f>IF(BD_Carga!Z239&lt;&gt;"",BD_Carga!Z239,0)</f>
        <v/>
      </c>
      <c r="AB238">
        <f>IF(BD_Carga!AA239&lt;&gt;"",BD_Carga!AA239,0)</f>
        <v/>
      </c>
      <c r="AC238" s="6">
        <f t="array" ref="AC238">IFERROR((L238-AVERAGEIF($G$2:$G$462,G238,$L$2:$L$462))/_xlfn.STDEV.P(IF($G$2:$G$462=G238,$L$2:$L$462)),0)</f>
        <v/>
      </c>
      <c r="AD238" s="6">
        <f t="array" ref="AD238">IFERROR((M238-AVERAGEIF($G$2:$G$462,G238,$M$2:$M$462))/_xlfn.STDEV.P(IF($G$2:$G$462=G238,$M$2:$M$462)),0)</f>
        <v/>
      </c>
      <c r="AE238" s="6">
        <f t="array" ref="AE238">IFERROR((N238-AVERAGEIF($G$2:$G$462,G238,$N$2:$N$462))/_xlfn.STDEV.P(IF($G$2:$G$462=G238,$N$2:$N$462)),0)</f>
        <v/>
      </c>
      <c r="AF238" s="6">
        <f t="array" ref="AF238">IFERROR((O238-AVERAGEIF($G$2:$G$462,G238,$O$2:$O$462))/_xlfn.STDEV.P(IF($G$2:$G$462=G238,$O$2:$O$462)),0)</f>
        <v/>
      </c>
      <c r="AG238" s="6">
        <f t="array" ref="AG238">IFERROR((P238-AVERAGEIF($G$2:$G$462,G238,$P$2:$P$462))/_xlfn.STDEV.P(IF($G$2:$G$462=G238,$P$2:$P$462)),0)</f>
        <v/>
      </c>
      <c r="AH238" s="6">
        <f t="array" ref="AH238">IFERROR((R238-AVERAGEIF($G$2:$G$462,G238,$R$2:$R$462))/_xlfn.STDEV.P(IF($G$2:$G$462=G238,$R$2:$R$462)),0)</f>
        <v/>
      </c>
      <c r="AI238" s="6">
        <f>IFERROR((AC238+AD238+AE238+AF238+AG238+AH238)/6,0)</f>
        <v/>
      </c>
    </row>
    <row r="239">
      <c r="A239" s="2">
        <f>IF(BD_Carga!A240&lt;&gt;"",BD_Carga!A240,"")</f>
        <v/>
      </c>
      <c r="B239">
        <f>IF(A239&lt;&gt;"",YEAR(A239),"")</f>
        <v/>
      </c>
      <c r="C239">
        <f>IF(A239&lt;&gt;"",MONTH(A239),"")</f>
        <v/>
      </c>
      <c r="D239">
        <f>IF(A239&lt;&gt;"",_xlfn.ISOWEEKNUM(A239),"")</f>
        <v/>
      </c>
      <c r="E239">
        <f>IF(A239&lt;&gt;"",TEXT(A239,"dddd"),"")</f>
        <v/>
      </c>
      <c r="F239">
        <f>IF(BD_Carga!C240&lt;&gt;"",BD_Carga!C240,"")</f>
        <v/>
      </c>
      <c r="G239">
        <f>IF(BD_Carga!D240&lt;&gt;"",BD_Carga!D240,"")</f>
        <v/>
      </c>
      <c r="H239">
        <f>IF(BD_Carga!Q240&lt;&gt;"",BD_Carga!Q240,"")</f>
        <v/>
      </c>
      <c r="I239">
        <f>IF(BD_Carga!R240&lt;&gt;"",BD_Carga!R240,"")</f>
        <v/>
      </c>
      <c r="J239">
        <f>IF(BD_Carga!S240&lt;&gt;"",BD_Carga!S240,"")</f>
        <v/>
      </c>
      <c r="K239" s="4">
        <f>IF(BD_Carga!E240&lt;&gt;"",BD_Carga!E240,0)</f>
        <v/>
      </c>
      <c r="L239" s="4">
        <f>IF(BD_Carga!F240&lt;&gt;"",BD_Carga!F240,0)</f>
        <v/>
      </c>
      <c r="M239" s="4">
        <f>IF(BD_Carga!G240&lt;&gt;"",BD_Carga!G240,0)</f>
        <v/>
      </c>
      <c r="N239" s="4">
        <f>IF(BD_Carga!H240&lt;&gt;"",BD_Carga!H240,0)</f>
        <v/>
      </c>
      <c r="O239" s="4">
        <f>IF(BD_Carga!I240&lt;&gt;"",BD_Carga!I240,0)</f>
        <v/>
      </c>
      <c r="P239" s="4">
        <f>IF(BD_Carga!J240&lt;&gt;"",BD_Carga!J240,0)</f>
        <v/>
      </c>
      <c r="Q239" s="5">
        <f>IF(BD_Carga!K240&lt;&gt;"",BD_Carga!K240,0)</f>
        <v/>
      </c>
      <c r="R239" s="5">
        <f>IF(BD_Carga!L240&lt;&gt;"",BD_Carga!L240,0)</f>
        <v/>
      </c>
      <c r="S239">
        <f>IF(BD_Carga!N240&lt;&gt;"",BD_Carga!N240,0)</f>
        <v/>
      </c>
      <c r="T239">
        <f>IF(BD_Carga!O240&lt;&gt;"",BD_Carga!O240,0)</f>
        <v/>
      </c>
      <c r="U239">
        <f>IF(BD_Carga!P240&lt;&gt;"",BD_Carga!P240,0)</f>
        <v/>
      </c>
      <c r="V239">
        <f>IF(BD_Carga!U240&lt;&gt;"",BD_Carga!U240,0)</f>
        <v/>
      </c>
      <c r="W239">
        <f>IF(BD_Carga!T240&lt;&gt;"",BD_Carga!T240,0)</f>
        <v/>
      </c>
      <c r="X239">
        <f>IF(BD_Carga!W240&lt;&gt;"",BD_Carga!W240,0)</f>
        <v/>
      </c>
      <c r="Y239">
        <f>IF(BD_Carga!X240&lt;&gt;"",BD_Carga!X240,0)</f>
        <v/>
      </c>
      <c r="Z239">
        <f>IF(BD_Carga!Y240&lt;&gt;"",BD_Carga!Y240,0)</f>
        <v/>
      </c>
      <c r="AA239">
        <f>IF(BD_Carga!Z240&lt;&gt;"",BD_Carga!Z240,0)</f>
        <v/>
      </c>
      <c r="AB239">
        <f>IF(BD_Carga!AA240&lt;&gt;"",BD_Carga!AA240,0)</f>
        <v/>
      </c>
      <c r="AC239" s="6">
        <f t="array" ref="AC239">IFERROR((L239-AVERAGEIF($G$2:$G$462,G239,$L$2:$L$462))/_xlfn.STDEV.P(IF($G$2:$G$462=G239,$L$2:$L$462)),0)</f>
        <v/>
      </c>
      <c r="AD239" s="6">
        <f t="array" ref="AD239">IFERROR((M239-AVERAGEIF($G$2:$G$462,G239,$M$2:$M$462))/_xlfn.STDEV.P(IF($G$2:$G$462=G239,$M$2:$M$462)),0)</f>
        <v/>
      </c>
      <c r="AE239" s="6">
        <f t="array" ref="AE239">IFERROR((N239-AVERAGEIF($G$2:$G$462,G239,$N$2:$N$462))/_xlfn.STDEV.P(IF($G$2:$G$462=G239,$N$2:$N$462)),0)</f>
        <v/>
      </c>
      <c r="AF239" s="6">
        <f t="array" ref="AF239">IFERROR((O239-AVERAGEIF($G$2:$G$462,G239,$O$2:$O$462))/_xlfn.STDEV.P(IF($G$2:$G$462=G239,$O$2:$O$462)),0)</f>
        <v/>
      </c>
      <c r="AG239" s="6">
        <f t="array" ref="AG239">IFERROR((P239-AVERAGEIF($G$2:$G$462,G239,$P$2:$P$462))/_xlfn.STDEV.P(IF($G$2:$G$462=G239,$P$2:$P$462)),0)</f>
        <v/>
      </c>
      <c r="AH239" s="6">
        <f t="array" ref="AH239">IFERROR((R239-AVERAGEIF($G$2:$G$462,G239,$R$2:$R$462))/_xlfn.STDEV.P(IF($G$2:$G$462=G239,$R$2:$R$462)),0)</f>
        <v/>
      </c>
      <c r="AI239" s="6">
        <f>IFERROR((AC239+AD239+AE239+AF239+AG239+AH239)/6,0)</f>
        <v/>
      </c>
    </row>
    <row r="240">
      <c r="A240" s="2">
        <f>IF(BD_Carga!A241&lt;&gt;"",BD_Carga!A241,"")</f>
        <v/>
      </c>
      <c r="B240">
        <f>IF(A240&lt;&gt;"",YEAR(A240),"")</f>
        <v/>
      </c>
      <c r="C240">
        <f>IF(A240&lt;&gt;"",MONTH(A240),"")</f>
        <v/>
      </c>
      <c r="D240">
        <f>IF(A240&lt;&gt;"",_xlfn.ISOWEEKNUM(A240),"")</f>
        <v/>
      </c>
      <c r="E240">
        <f>IF(A240&lt;&gt;"",TEXT(A240,"dddd"),"")</f>
        <v/>
      </c>
      <c r="F240">
        <f>IF(BD_Carga!C241&lt;&gt;"",BD_Carga!C241,"")</f>
        <v/>
      </c>
      <c r="G240">
        <f>IF(BD_Carga!D241&lt;&gt;"",BD_Carga!D241,"")</f>
        <v/>
      </c>
      <c r="H240">
        <f>IF(BD_Carga!Q241&lt;&gt;"",BD_Carga!Q241,"")</f>
        <v/>
      </c>
      <c r="I240">
        <f>IF(BD_Carga!R241&lt;&gt;"",BD_Carga!R241,"")</f>
        <v/>
      </c>
      <c r="J240">
        <f>IF(BD_Carga!S241&lt;&gt;"",BD_Carga!S241,"")</f>
        <v/>
      </c>
      <c r="K240" s="4">
        <f>IF(BD_Carga!E241&lt;&gt;"",BD_Carga!E241,0)</f>
        <v/>
      </c>
      <c r="L240" s="4">
        <f>IF(BD_Carga!F241&lt;&gt;"",BD_Carga!F241,0)</f>
        <v/>
      </c>
      <c r="M240" s="4">
        <f>IF(BD_Carga!G241&lt;&gt;"",BD_Carga!G241,0)</f>
        <v/>
      </c>
      <c r="N240" s="4">
        <f>IF(BD_Carga!H241&lt;&gt;"",BD_Carga!H241,0)</f>
        <v/>
      </c>
      <c r="O240" s="4">
        <f>IF(BD_Carga!I241&lt;&gt;"",BD_Carga!I241,0)</f>
        <v/>
      </c>
      <c r="P240" s="4">
        <f>IF(BD_Carga!J241&lt;&gt;"",BD_Carga!J241,0)</f>
        <v/>
      </c>
      <c r="Q240" s="5">
        <f>IF(BD_Carga!K241&lt;&gt;"",BD_Carga!K241,0)</f>
        <v/>
      </c>
      <c r="R240" s="5">
        <f>IF(BD_Carga!L241&lt;&gt;"",BD_Carga!L241,0)</f>
        <v/>
      </c>
      <c r="S240">
        <f>IF(BD_Carga!N241&lt;&gt;"",BD_Carga!N241,0)</f>
        <v/>
      </c>
      <c r="T240">
        <f>IF(BD_Carga!O241&lt;&gt;"",BD_Carga!O241,0)</f>
        <v/>
      </c>
      <c r="U240">
        <f>IF(BD_Carga!P241&lt;&gt;"",BD_Carga!P241,0)</f>
        <v/>
      </c>
      <c r="V240">
        <f>IF(BD_Carga!U241&lt;&gt;"",BD_Carga!U241,0)</f>
        <v/>
      </c>
      <c r="W240">
        <f>IF(BD_Carga!T241&lt;&gt;"",BD_Carga!T241,0)</f>
        <v/>
      </c>
      <c r="X240">
        <f>IF(BD_Carga!W241&lt;&gt;"",BD_Carga!W241,0)</f>
        <v/>
      </c>
      <c r="Y240">
        <f>IF(BD_Carga!X241&lt;&gt;"",BD_Carga!X241,0)</f>
        <v/>
      </c>
      <c r="Z240">
        <f>IF(BD_Carga!Y241&lt;&gt;"",BD_Carga!Y241,0)</f>
        <v/>
      </c>
      <c r="AA240">
        <f>IF(BD_Carga!Z241&lt;&gt;"",BD_Carga!Z241,0)</f>
        <v/>
      </c>
      <c r="AB240">
        <f>IF(BD_Carga!AA241&lt;&gt;"",BD_Carga!AA241,0)</f>
        <v/>
      </c>
      <c r="AC240" s="6">
        <f t="array" ref="AC240">IFERROR((L240-AVERAGEIF($G$2:$G$462,G240,$L$2:$L$462))/_xlfn.STDEV.P(IF($G$2:$G$462=G240,$L$2:$L$462)),0)</f>
        <v/>
      </c>
      <c r="AD240" s="6">
        <f t="array" ref="AD240">IFERROR((M240-AVERAGEIF($G$2:$G$462,G240,$M$2:$M$462))/_xlfn.STDEV.P(IF($G$2:$G$462=G240,$M$2:$M$462)),0)</f>
        <v/>
      </c>
      <c r="AE240" s="6">
        <f t="array" ref="AE240">IFERROR((N240-AVERAGEIF($G$2:$G$462,G240,$N$2:$N$462))/_xlfn.STDEV.P(IF($G$2:$G$462=G240,$N$2:$N$462)),0)</f>
        <v/>
      </c>
      <c r="AF240" s="6">
        <f t="array" ref="AF240">IFERROR((O240-AVERAGEIF($G$2:$G$462,G240,$O$2:$O$462))/_xlfn.STDEV.P(IF($G$2:$G$462=G240,$O$2:$O$462)),0)</f>
        <v/>
      </c>
      <c r="AG240" s="6">
        <f t="array" ref="AG240">IFERROR((P240-AVERAGEIF($G$2:$G$462,G240,$P$2:$P$462))/_xlfn.STDEV.P(IF($G$2:$G$462=G240,$P$2:$P$462)),0)</f>
        <v/>
      </c>
      <c r="AH240" s="6">
        <f t="array" ref="AH240">IFERROR((R240-AVERAGEIF($G$2:$G$462,G240,$R$2:$R$462))/_xlfn.STDEV.P(IF($G$2:$G$462=G240,$R$2:$R$462)),0)</f>
        <v/>
      </c>
      <c r="AI240" s="6">
        <f>IFERROR((AC240+AD240+AE240+AF240+AG240+AH240)/6,0)</f>
        <v/>
      </c>
    </row>
    <row r="241">
      <c r="A241" s="2">
        <f>IF(BD_Carga!A242&lt;&gt;"",BD_Carga!A242,"")</f>
        <v/>
      </c>
      <c r="B241">
        <f>IF(A241&lt;&gt;"",YEAR(A241),"")</f>
        <v/>
      </c>
      <c r="C241">
        <f>IF(A241&lt;&gt;"",MONTH(A241),"")</f>
        <v/>
      </c>
      <c r="D241">
        <f>IF(A241&lt;&gt;"",_xlfn.ISOWEEKNUM(A241),"")</f>
        <v/>
      </c>
      <c r="E241">
        <f>IF(A241&lt;&gt;"",TEXT(A241,"dddd"),"")</f>
        <v/>
      </c>
      <c r="F241">
        <f>IF(BD_Carga!C242&lt;&gt;"",BD_Carga!C242,"")</f>
        <v/>
      </c>
      <c r="G241">
        <f>IF(BD_Carga!D242&lt;&gt;"",BD_Carga!D242,"")</f>
        <v/>
      </c>
      <c r="H241">
        <f>IF(BD_Carga!Q242&lt;&gt;"",BD_Carga!Q242,"")</f>
        <v/>
      </c>
      <c r="I241">
        <f>IF(BD_Carga!R242&lt;&gt;"",BD_Carga!R242,"")</f>
        <v/>
      </c>
      <c r="J241">
        <f>IF(BD_Carga!S242&lt;&gt;"",BD_Carga!S242,"")</f>
        <v/>
      </c>
      <c r="K241" s="4">
        <f>IF(BD_Carga!E242&lt;&gt;"",BD_Carga!E242,0)</f>
        <v/>
      </c>
      <c r="L241" s="4">
        <f>IF(BD_Carga!F242&lt;&gt;"",BD_Carga!F242,0)</f>
        <v/>
      </c>
      <c r="M241" s="4">
        <f>IF(BD_Carga!G242&lt;&gt;"",BD_Carga!G242,0)</f>
        <v/>
      </c>
      <c r="N241" s="4">
        <f>IF(BD_Carga!H242&lt;&gt;"",BD_Carga!H242,0)</f>
        <v/>
      </c>
      <c r="O241" s="4">
        <f>IF(BD_Carga!I242&lt;&gt;"",BD_Carga!I242,0)</f>
        <v/>
      </c>
      <c r="P241" s="4">
        <f>IF(BD_Carga!J242&lt;&gt;"",BD_Carga!J242,0)</f>
        <v/>
      </c>
      <c r="Q241" s="5">
        <f>IF(BD_Carga!K242&lt;&gt;"",BD_Carga!K242,0)</f>
        <v/>
      </c>
      <c r="R241" s="5">
        <f>IF(BD_Carga!L242&lt;&gt;"",BD_Carga!L242,0)</f>
        <v/>
      </c>
      <c r="S241">
        <f>IF(BD_Carga!N242&lt;&gt;"",BD_Carga!N242,0)</f>
        <v/>
      </c>
      <c r="T241">
        <f>IF(BD_Carga!O242&lt;&gt;"",BD_Carga!O242,0)</f>
        <v/>
      </c>
      <c r="U241">
        <f>IF(BD_Carga!P242&lt;&gt;"",BD_Carga!P242,0)</f>
        <v/>
      </c>
      <c r="V241">
        <f>IF(BD_Carga!U242&lt;&gt;"",BD_Carga!U242,0)</f>
        <v/>
      </c>
      <c r="W241">
        <f>IF(BD_Carga!T242&lt;&gt;"",BD_Carga!T242,0)</f>
        <v/>
      </c>
      <c r="X241">
        <f>IF(BD_Carga!W242&lt;&gt;"",BD_Carga!W242,0)</f>
        <v/>
      </c>
      <c r="Y241">
        <f>IF(BD_Carga!X242&lt;&gt;"",BD_Carga!X242,0)</f>
        <v/>
      </c>
      <c r="Z241">
        <f>IF(BD_Carga!Y242&lt;&gt;"",BD_Carga!Y242,0)</f>
        <v/>
      </c>
      <c r="AA241">
        <f>IF(BD_Carga!Z242&lt;&gt;"",BD_Carga!Z242,0)</f>
        <v/>
      </c>
      <c r="AB241">
        <f>IF(BD_Carga!AA242&lt;&gt;"",BD_Carga!AA242,0)</f>
        <v/>
      </c>
      <c r="AC241" s="6">
        <f t="array" ref="AC241">IFERROR((L241-AVERAGEIF($G$2:$G$462,G241,$L$2:$L$462))/_xlfn.STDEV.P(IF($G$2:$G$462=G241,$L$2:$L$462)),0)</f>
        <v/>
      </c>
      <c r="AD241" s="6">
        <f t="array" ref="AD241">IFERROR((M241-AVERAGEIF($G$2:$G$462,G241,$M$2:$M$462))/_xlfn.STDEV.P(IF($G$2:$G$462=G241,$M$2:$M$462)),0)</f>
        <v/>
      </c>
      <c r="AE241" s="6">
        <f t="array" ref="AE241">IFERROR((N241-AVERAGEIF($G$2:$G$462,G241,$N$2:$N$462))/_xlfn.STDEV.P(IF($G$2:$G$462=G241,$N$2:$N$462)),0)</f>
        <v/>
      </c>
      <c r="AF241" s="6">
        <f t="array" ref="AF241">IFERROR((O241-AVERAGEIF($G$2:$G$462,G241,$O$2:$O$462))/_xlfn.STDEV.P(IF($G$2:$G$462=G241,$O$2:$O$462)),0)</f>
        <v/>
      </c>
      <c r="AG241" s="6">
        <f t="array" ref="AG241">IFERROR((P241-AVERAGEIF($G$2:$G$462,G241,$P$2:$P$462))/_xlfn.STDEV.P(IF($G$2:$G$462=G241,$P$2:$P$462)),0)</f>
        <v/>
      </c>
      <c r="AH241" s="6">
        <f t="array" ref="AH241">IFERROR((R241-AVERAGEIF($G$2:$G$462,G241,$R$2:$R$462))/_xlfn.STDEV.P(IF($G$2:$G$462=G241,$R$2:$R$462)),0)</f>
        <v/>
      </c>
      <c r="AI241" s="6">
        <f>IFERROR((AC241+AD241+AE241+AF241+AG241+AH241)/6,0)</f>
        <v/>
      </c>
    </row>
    <row r="242">
      <c r="A242" s="2">
        <f>IF(BD_Carga!A243&lt;&gt;"",BD_Carga!A243,"")</f>
        <v/>
      </c>
      <c r="B242">
        <f>IF(A242&lt;&gt;"",YEAR(A242),"")</f>
        <v/>
      </c>
      <c r="C242">
        <f>IF(A242&lt;&gt;"",MONTH(A242),"")</f>
        <v/>
      </c>
      <c r="D242">
        <f>IF(A242&lt;&gt;"",_xlfn.ISOWEEKNUM(A242),"")</f>
        <v/>
      </c>
      <c r="E242">
        <f>IF(A242&lt;&gt;"",TEXT(A242,"dddd"),"")</f>
        <v/>
      </c>
      <c r="F242">
        <f>IF(BD_Carga!C243&lt;&gt;"",BD_Carga!C243,"")</f>
        <v/>
      </c>
      <c r="G242">
        <f>IF(BD_Carga!D243&lt;&gt;"",BD_Carga!D243,"")</f>
        <v/>
      </c>
      <c r="H242">
        <f>IF(BD_Carga!Q243&lt;&gt;"",BD_Carga!Q243,"")</f>
        <v/>
      </c>
      <c r="I242">
        <f>IF(BD_Carga!R243&lt;&gt;"",BD_Carga!R243,"")</f>
        <v/>
      </c>
      <c r="J242">
        <f>IF(BD_Carga!S243&lt;&gt;"",BD_Carga!S243,"")</f>
        <v/>
      </c>
      <c r="K242" s="4">
        <f>IF(BD_Carga!E243&lt;&gt;"",BD_Carga!E243,0)</f>
        <v/>
      </c>
      <c r="L242" s="4">
        <f>IF(BD_Carga!F243&lt;&gt;"",BD_Carga!F243,0)</f>
        <v/>
      </c>
      <c r="M242" s="4">
        <f>IF(BD_Carga!G243&lt;&gt;"",BD_Carga!G243,0)</f>
        <v/>
      </c>
      <c r="N242" s="4">
        <f>IF(BD_Carga!H243&lt;&gt;"",BD_Carga!H243,0)</f>
        <v/>
      </c>
      <c r="O242" s="4">
        <f>IF(BD_Carga!I243&lt;&gt;"",BD_Carga!I243,0)</f>
        <v/>
      </c>
      <c r="P242" s="4">
        <f>IF(BD_Carga!J243&lt;&gt;"",BD_Carga!J243,0)</f>
        <v/>
      </c>
      <c r="Q242" s="5">
        <f>IF(BD_Carga!K243&lt;&gt;"",BD_Carga!K243,0)</f>
        <v/>
      </c>
      <c r="R242" s="5">
        <f>IF(BD_Carga!L243&lt;&gt;"",BD_Carga!L243,0)</f>
        <v/>
      </c>
      <c r="S242">
        <f>IF(BD_Carga!N243&lt;&gt;"",BD_Carga!N243,0)</f>
        <v/>
      </c>
      <c r="T242">
        <f>IF(BD_Carga!O243&lt;&gt;"",BD_Carga!O243,0)</f>
        <v/>
      </c>
      <c r="U242">
        <f>IF(BD_Carga!P243&lt;&gt;"",BD_Carga!P243,0)</f>
        <v/>
      </c>
      <c r="V242">
        <f>IF(BD_Carga!U243&lt;&gt;"",BD_Carga!U243,0)</f>
        <v/>
      </c>
      <c r="W242">
        <f>IF(BD_Carga!T243&lt;&gt;"",BD_Carga!T243,0)</f>
        <v/>
      </c>
      <c r="X242">
        <f>IF(BD_Carga!W243&lt;&gt;"",BD_Carga!W243,0)</f>
        <v/>
      </c>
      <c r="Y242">
        <f>IF(BD_Carga!X243&lt;&gt;"",BD_Carga!X243,0)</f>
        <v/>
      </c>
      <c r="Z242">
        <f>IF(BD_Carga!Y243&lt;&gt;"",BD_Carga!Y243,0)</f>
        <v/>
      </c>
      <c r="AA242">
        <f>IF(BD_Carga!Z243&lt;&gt;"",BD_Carga!Z243,0)</f>
        <v/>
      </c>
      <c r="AB242">
        <f>IF(BD_Carga!AA243&lt;&gt;"",BD_Carga!AA243,0)</f>
        <v/>
      </c>
      <c r="AC242" s="6">
        <f t="array" ref="AC242">IFERROR((L242-AVERAGEIF($G$2:$G$462,G242,$L$2:$L$462))/_xlfn.STDEV.P(IF($G$2:$G$462=G242,$L$2:$L$462)),0)</f>
        <v/>
      </c>
      <c r="AD242" s="6">
        <f t="array" ref="AD242">IFERROR((M242-AVERAGEIF($G$2:$G$462,G242,$M$2:$M$462))/_xlfn.STDEV.P(IF($G$2:$G$462=G242,$M$2:$M$462)),0)</f>
        <v/>
      </c>
      <c r="AE242" s="6">
        <f t="array" ref="AE242">IFERROR((N242-AVERAGEIF($G$2:$G$462,G242,$N$2:$N$462))/_xlfn.STDEV.P(IF($G$2:$G$462=G242,$N$2:$N$462)),0)</f>
        <v/>
      </c>
      <c r="AF242" s="6">
        <f t="array" ref="AF242">IFERROR((O242-AVERAGEIF($G$2:$G$462,G242,$O$2:$O$462))/_xlfn.STDEV.P(IF($G$2:$G$462=G242,$O$2:$O$462)),0)</f>
        <v/>
      </c>
      <c r="AG242" s="6">
        <f t="array" ref="AG242">IFERROR((P242-AVERAGEIF($G$2:$G$462,G242,$P$2:$P$462))/_xlfn.STDEV.P(IF($G$2:$G$462=G242,$P$2:$P$462)),0)</f>
        <v/>
      </c>
      <c r="AH242" s="6">
        <f t="array" ref="AH242">IFERROR((R242-AVERAGEIF($G$2:$G$462,G242,$R$2:$R$462))/_xlfn.STDEV.P(IF($G$2:$G$462=G242,$R$2:$R$462)),0)</f>
        <v/>
      </c>
      <c r="AI242" s="6">
        <f>IFERROR((AC242+AD242+AE242+AF242+AG242+AH242)/6,0)</f>
        <v/>
      </c>
    </row>
    <row r="243">
      <c r="A243" s="2">
        <f>IF(BD_Carga!A244&lt;&gt;"",BD_Carga!A244,"")</f>
        <v/>
      </c>
      <c r="B243">
        <f>IF(A243&lt;&gt;"",YEAR(A243),"")</f>
        <v/>
      </c>
      <c r="C243">
        <f>IF(A243&lt;&gt;"",MONTH(A243),"")</f>
        <v/>
      </c>
      <c r="D243">
        <f>IF(A243&lt;&gt;"",_xlfn.ISOWEEKNUM(A243),"")</f>
        <v/>
      </c>
      <c r="E243">
        <f>IF(A243&lt;&gt;"",TEXT(A243,"dddd"),"")</f>
        <v/>
      </c>
      <c r="F243">
        <f>IF(BD_Carga!C244&lt;&gt;"",BD_Carga!C244,"")</f>
        <v/>
      </c>
      <c r="G243">
        <f>IF(BD_Carga!D244&lt;&gt;"",BD_Carga!D244,"")</f>
        <v/>
      </c>
      <c r="H243">
        <f>IF(BD_Carga!Q244&lt;&gt;"",BD_Carga!Q244,"")</f>
        <v/>
      </c>
      <c r="I243">
        <f>IF(BD_Carga!R244&lt;&gt;"",BD_Carga!R244,"")</f>
        <v/>
      </c>
      <c r="J243">
        <f>IF(BD_Carga!S244&lt;&gt;"",BD_Carga!S244,"")</f>
        <v/>
      </c>
      <c r="K243" s="4">
        <f>IF(BD_Carga!E244&lt;&gt;"",BD_Carga!E244,0)</f>
        <v/>
      </c>
      <c r="L243" s="4">
        <f>IF(BD_Carga!F244&lt;&gt;"",BD_Carga!F244,0)</f>
        <v/>
      </c>
      <c r="M243" s="4">
        <f>IF(BD_Carga!G244&lt;&gt;"",BD_Carga!G244,0)</f>
        <v/>
      </c>
      <c r="N243" s="4">
        <f>IF(BD_Carga!H244&lt;&gt;"",BD_Carga!H244,0)</f>
        <v/>
      </c>
      <c r="O243" s="4">
        <f>IF(BD_Carga!I244&lt;&gt;"",BD_Carga!I244,0)</f>
        <v/>
      </c>
      <c r="P243" s="4">
        <f>IF(BD_Carga!J244&lt;&gt;"",BD_Carga!J244,0)</f>
        <v/>
      </c>
      <c r="Q243" s="5">
        <f>IF(BD_Carga!K244&lt;&gt;"",BD_Carga!K244,0)</f>
        <v/>
      </c>
      <c r="R243" s="5">
        <f>IF(BD_Carga!L244&lt;&gt;"",BD_Carga!L244,0)</f>
        <v/>
      </c>
      <c r="S243">
        <f>IF(BD_Carga!N244&lt;&gt;"",BD_Carga!N244,0)</f>
        <v/>
      </c>
      <c r="T243">
        <f>IF(BD_Carga!O244&lt;&gt;"",BD_Carga!O244,0)</f>
        <v/>
      </c>
      <c r="U243">
        <f>IF(BD_Carga!P244&lt;&gt;"",BD_Carga!P244,0)</f>
        <v/>
      </c>
      <c r="V243">
        <f>IF(BD_Carga!U244&lt;&gt;"",BD_Carga!U244,0)</f>
        <v/>
      </c>
      <c r="W243">
        <f>IF(BD_Carga!T244&lt;&gt;"",BD_Carga!T244,0)</f>
        <v/>
      </c>
      <c r="X243">
        <f>IF(BD_Carga!W244&lt;&gt;"",BD_Carga!W244,0)</f>
        <v/>
      </c>
      <c r="Y243">
        <f>IF(BD_Carga!X244&lt;&gt;"",BD_Carga!X244,0)</f>
        <v/>
      </c>
      <c r="Z243">
        <f>IF(BD_Carga!Y244&lt;&gt;"",BD_Carga!Y244,0)</f>
        <v/>
      </c>
      <c r="AA243">
        <f>IF(BD_Carga!Z244&lt;&gt;"",BD_Carga!Z244,0)</f>
        <v/>
      </c>
      <c r="AB243">
        <f>IF(BD_Carga!AA244&lt;&gt;"",BD_Carga!AA244,0)</f>
        <v/>
      </c>
      <c r="AC243" s="6">
        <f t="array" ref="AC243">IFERROR((L243-AVERAGEIF($G$2:$G$462,G243,$L$2:$L$462))/_xlfn.STDEV.P(IF($G$2:$G$462=G243,$L$2:$L$462)),0)</f>
        <v/>
      </c>
      <c r="AD243" s="6">
        <f t="array" ref="AD243">IFERROR((M243-AVERAGEIF($G$2:$G$462,G243,$M$2:$M$462))/_xlfn.STDEV.P(IF($G$2:$G$462=G243,$M$2:$M$462)),0)</f>
        <v/>
      </c>
      <c r="AE243" s="6">
        <f t="array" ref="AE243">IFERROR((N243-AVERAGEIF($G$2:$G$462,G243,$N$2:$N$462))/_xlfn.STDEV.P(IF($G$2:$G$462=G243,$N$2:$N$462)),0)</f>
        <v/>
      </c>
      <c r="AF243" s="6">
        <f t="array" ref="AF243">IFERROR((O243-AVERAGEIF($G$2:$G$462,G243,$O$2:$O$462))/_xlfn.STDEV.P(IF($G$2:$G$462=G243,$O$2:$O$462)),0)</f>
        <v/>
      </c>
      <c r="AG243" s="6">
        <f t="array" ref="AG243">IFERROR((P243-AVERAGEIF($G$2:$G$462,G243,$P$2:$P$462))/_xlfn.STDEV.P(IF($G$2:$G$462=G243,$P$2:$P$462)),0)</f>
        <v/>
      </c>
      <c r="AH243" s="6">
        <f t="array" ref="AH243">IFERROR((R243-AVERAGEIF($G$2:$G$462,G243,$R$2:$R$462))/_xlfn.STDEV.P(IF($G$2:$G$462=G243,$R$2:$R$462)),0)</f>
        <v/>
      </c>
      <c r="AI243" s="6">
        <f>IFERROR((AC243+AD243+AE243+AF243+AG243+AH243)/6,0)</f>
        <v/>
      </c>
    </row>
    <row r="244">
      <c r="A244" s="2">
        <f>IF(BD_Carga!A245&lt;&gt;"",BD_Carga!A245,"")</f>
        <v/>
      </c>
      <c r="B244">
        <f>IF(A244&lt;&gt;"",YEAR(A244),"")</f>
        <v/>
      </c>
      <c r="C244">
        <f>IF(A244&lt;&gt;"",MONTH(A244),"")</f>
        <v/>
      </c>
      <c r="D244">
        <f>IF(A244&lt;&gt;"",_xlfn.ISOWEEKNUM(A244),"")</f>
        <v/>
      </c>
      <c r="E244">
        <f>IF(A244&lt;&gt;"",TEXT(A244,"dddd"),"")</f>
        <v/>
      </c>
      <c r="F244">
        <f>IF(BD_Carga!C245&lt;&gt;"",BD_Carga!C245,"")</f>
        <v/>
      </c>
      <c r="G244">
        <f>IF(BD_Carga!D245&lt;&gt;"",BD_Carga!D245,"")</f>
        <v/>
      </c>
      <c r="H244">
        <f>IF(BD_Carga!Q245&lt;&gt;"",BD_Carga!Q245,"")</f>
        <v/>
      </c>
      <c r="I244">
        <f>IF(BD_Carga!R245&lt;&gt;"",BD_Carga!R245,"")</f>
        <v/>
      </c>
      <c r="J244">
        <f>IF(BD_Carga!S245&lt;&gt;"",BD_Carga!S245,"")</f>
        <v/>
      </c>
      <c r="K244" s="4">
        <f>IF(BD_Carga!E245&lt;&gt;"",BD_Carga!E245,0)</f>
        <v/>
      </c>
      <c r="L244" s="4">
        <f>IF(BD_Carga!F245&lt;&gt;"",BD_Carga!F245,0)</f>
        <v/>
      </c>
      <c r="M244" s="4">
        <f>IF(BD_Carga!G245&lt;&gt;"",BD_Carga!G245,0)</f>
        <v/>
      </c>
      <c r="N244" s="4">
        <f>IF(BD_Carga!H245&lt;&gt;"",BD_Carga!H245,0)</f>
        <v/>
      </c>
      <c r="O244" s="4">
        <f>IF(BD_Carga!I245&lt;&gt;"",BD_Carga!I245,0)</f>
        <v/>
      </c>
      <c r="P244" s="4">
        <f>IF(BD_Carga!J245&lt;&gt;"",BD_Carga!J245,0)</f>
        <v/>
      </c>
      <c r="Q244" s="5">
        <f>IF(BD_Carga!K245&lt;&gt;"",BD_Carga!K245,0)</f>
        <v/>
      </c>
      <c r="R244" s="5">
        <f>IF(BD_Carga!L245&lt;&gt;"",BD_Carga!L245,0)</f>
        <v/>
      </c>
      <c r="S244">
        <f>IF(BD_Carga!N245&lt;&gt;"",BD_Carga!N245,0)</f>
        <v/>
      </c>
      <c r="T244">
        <f>IF(BD_Carga!O245&lt;&gt;"",BD_Carga!O245,0)</f>
        <v/>
      </c>
      <c r="U244">
        <f>IF(BD_Carga!P245&lt;&gt;"",BD_Carga!P245,0)</f>
        <v/>
      </c>
      <c r="V244">
        <f>IF(BD_Carga!U245&lt;&gt;"",BD_Carga!U245,0)</f>
        <v/>
      </c>
      <c r="W244">
        <f>IF(BD_Carga!T245&lt;&gt;"",BD_Carga!T245,0)</f>
        <v/>
      </c>
      <c r="X244">
        <f>IF(BD_Carga!W245&lt;&gt;"",BD_Carga!W245,0)</f>
        <v/>
      </c>
      <c r="Y244">
        <f>IF(BD_Carga!X245&lt;&gt;"",BD_Carga!X245,0)</f>
        <v/>
      </c>
      <c r="Z244">
        <f>IF(BD_Carga!Y245&lt;&gt;"",BD_Carga!Y245,0)</f>
        <v/>
      </c>
      <c r="AA244">
        <f>IF(BD_Carga!Z245&lt;&gt;"",BD_Carga!Z245,0)</f>
        <v/>
      </c>
      <c r="AB244">
        <f>IF(BD_Carga!AA245&lt;&gt;"",BD_Carga!AA245,0)</f>
        <v/>
      </c>
      <c r="AC244" s="6">
        <f t="array" ref="AC244">IFERROR((L244-AVERAGEIF($G$2:$G$462,G244,$L$2:$L$462))/_xlfn.STDEV.P(IF($G$2:$G$462=G244,$L$2:$L$462)),0)</f>
        <v/>
      </c>
      <c r="AD244" s="6">
        <f t="array" ref="AD244">IFERROR((M244-AVERAGEIF($G$2:$G$462,G244,$M$2:$M$462))/_xlfn.STDEV.P(IF($G$2:$G$462=G244,$M$2:$M$462)),0)</f>
        <v/>
      </c>
      <c r="AE244" s="6">
        <f t="array" ref="AE244">IFERROR((N244-AVERAGEIF($G$2:$G$462,G244,$N$2:$N$462))/_xlfn.STDEV.P(IF($G$2:$G$462=G244,$N$2:$N$462)),0)</f>
        <v/>
      </c>
      <c r="AF244" s="6">
        <f t="array" ref="AF244">IFERROR((O244-AVERAGEIF($G$2:$G$462,G244,$O$2:$O$462))/_xlfn.STDEV.P(IF($G$2:$G$462=G244,$O$2:$O$462)),0)</f>
        <v/>
      </c>
      <c r="AG244" s="6">
        <f t="array" ref="AG244">IFERROR((P244-AVERAGEIF($G$2:$G$462,G244,$P$2:$P$462))/_xlfn.STDEV.P(IF($G$2:$G$462=G244,$P$2:$P$462)),0)</f>
        <v/>
      </c>
      <c r="AH244" s="6">
        <f t="array" ref="AH244">IFERROR((R244-AVERAGEIF($G$2:$G$462,G244,$R$2:$R$462))/_xlfn.STDEV.P(IF($G$2:$G$462=G244,$R$2:$R$462)),0)</f>
        <v/>
      </c>
      <c r="AI244" s="6">
        <f>IFERROR((AC244+AD244+AE244+AF244+AG244+AH244)/6,0)</f>
        <v/>
      </c>
    </row>
    <row r="245">
      <c r="A245" s="2">
        <f>IF(BD_Carga!A246&lt;&gt;"",BD_Carga!A246,"")</f>
        <v/>
      </c>
      <c r="B245">
        <f>IF(A245&lt;&gt;"",YEAR(A245),"")</f>
        <v/>
      </c>
      <c r="C245">
        <f>IF(A245&lt;&gt;"",MONTH(A245),"")</f>
        <v/>
      </c>
      <c r="D245">
        <f>IF(A245&lt;&gt;"",_xlfn.ISOWEEKNUM(A245),"")</f>
        <v/>
      </c>
      <c r="E245">
        <f>IF(A245&lt;&gt;"",TEXT(A245,"dddd"),"")</f>
        <v/>
      </c>
      <c r="F245">
        <f>IF(BD_Carga!C246&lt;&gt;"",BD_Carga!C246,"")</f>
        <v/>
      </c>
      <c r="G245">
        <f>IF(BD_Carga!D246&lt;&gt;"",BD_Carga!D246,"")</f>
        <v/>
      </c>
      <c r="H245">
        <f>IF(BD_Carga!Q246&lt;&gt;"",BD_Carga!Q246,"")</f>
        <v/>
      </c>
      <c r="I245">
        <f>IF(BD_Carga!R246&lt;&gt;"",BD_Carga!R246,"")</f>
        <v/>
      </c>
      <c r="J245">
        <f>IF(BD_Carga!S246&lt;&gt;"",BD_Carga!S246,"")</f>
        <v/>
      </c>
      <c r="K245" s="4">
        <f>IF(BD_Carga!E246&lt;&gt;"",BD_Carga!E246,0)</f>
        <v/>
      </c>
      <c r="L245" s="4">
        <f>IF(BD_Carga!F246&lt;&gt;"",BD_Carga!F246,0)</f>
        <v/>
      </c>
      <c r="M245" s="4">
        <f>IF(BD_Carga!G246&lt;&gt;"",BD_Carga!G246,0)</f>
        <v/>
      </c>
      <c r="N245" s="4">
        <f>IF(BD_Carga!H246&lt;&gt;"",BD_Carga!H246,0)</f>
        <v/>
      </c>
      <c r="O245" s="4">
        <f>IF(BD_Carga!I246&lt;&gt;"",BD_Carga!I246,0)</f>
        <v/>
      </c>
      <c r="P245" s="4">
        <f>IF(BD_Carga!J246&lt;&gt;"",BD_Carga!J246,0)</f>
        <v/>
      </c>
      <c r="Q245" s="5">
        <f>IF(BD_Carga!K246&lt;&gt;"",BD_Carga!K246,0)</f>
        <v/>
      </c>
      <c r="R245" s="5">
        <f>IF(BD_Carga!L246&lt;&gt;"",BD_Carga!L246,0)</f>
        <v/>
      </c>
      <c r="S245">
        <f>IF(BD_Carga!N246&lt;&gt;"",BD_Carga!N246,0)</f>
        <v/>
      </c>
      <c r="T245">
        <f>IF(BD_Carga!O246&lt;&gt;"",BD_Carga!O246,0)</f>
        <v/>
      </c>
      <c r="U245">
        <f>IF(BD_Carga!P246&lt;&gt;"",BD_Carga!P246,0)</f>
        <v/>
      </c>
      <c r="V245">
        <f>IF(BD_Carga!U246&lt;&gt;"",BD_Carga!U246,0)</f>
        <v/>
      </c>
      <c r="W245">
        <f>IF(BD_Carga!T246&lt;&gt;"",BD_Carga!T246,0)</f>
        <v/>
      </c>
      <c r="X245">
        <f>IF(BD_Carga!W246&lt;&gt;"",BD_Carga!W246,0)</f>
        <v/>
      </c>
      <c r="Y245">
        <f>IF(BD_Carga!X246&lt;&gt;"",BD_Carga!X246,0)</f>
        <v/>
      </c>
      <c r="Z245">
        <f>IF(BD_Carga!Y246&lt;&gt;"",BD_Carga!Y246,0)</f>
        <v/>
      </c>
      <c r="AA245">
        <f>IF(BD_Carga!Z246&lt;&gt;"",BD_Carga!Z246,0)</f>
        <v/>
      </c>
      <c r="AB245">
        <f>IF(BD_Carga!AA246&lt;&gt;"",BD_Carga!AA246,0)</f>
        <v/>
      </c>
      <c r="AC245" s="6">
        <f t="array" ref="AC245">IFERROR((L245-AVERAGEIF($G$2:$G$462,G245,$L$2:$L$462))/_xlfn.STDEV.P(IF($G$2:$G$462=G245,$L$2:$L$462)),0)</f>
        <v/>
      </c>
      <c r="AD245" s="6">
        <f t="array" ref="AD245">IFERROR((M245-AVERAGEIF($G$2:$G$462,G245,$M$2:$M$462))/_xlfn.STDEV.P(IF($G$2:$G$462=G245,$M$2:$M$462)),0)</f>
        <v/>
      </c>
      <c r="AE245" s="6">
        <f t="array" ref="AE245">IFERROR((N245-AVERAGEIF($G$2:$G$462,G245,$N$2:$N$462))/_xlfn.STDEV.P(IF($G$2:$G$462=G245,$N$2:$N$462)),0)</f>
        <v/>
      </c>
      <c r="AF245" s="6">
        <f t="array" ref="AF245">IFERROR((O245-AVERAGEIF($G$2:$G$462,G245,$O$2:$O$462))/_xlfn.STDEV.P(IF($G$2:$G$462=G245,$O$2:$O$462)),0)</f>
        <v/>
      </c>
      <c r="AG245" s="6">
        <f t="array" ref="AG245">IFERROR((P245-AVERAGEIF($G$2:$G$462,G245,$P$2:$P$462))/_xlfn.STDEV.P(IF($G$2:$G$462=G245,$P$2:$P$462)),0)</f>
        <v/>
      </c>
      <c r="AH245" s="6">
        <f t="array" ref="AH245">IFERROR((R245-AVERAGEIF($G$2:$G$462,G245,$R$2:$R$462))/_xlfn.STDEV.P(IF($G$2:$G$462=G245,$R$2:$R$462)),0)</f>
        <v/>
      </c>
      <c r="AI245" s="6">
        <f>IFERROR((AC245+AD245+AE245+AF245+AG245+AH245)/6,0)</f>
        <v/>
      </c>
    </row>
    <row r="246">
      <c r="A246" s="2">
        <f>IF(BD_Carga!A247&lt;&gt;"",BD_Carga!A247,"")</f>
        <v/>
      </c>
      <c r="B246">
        <f>IF(A246&lt;&gt;"",YEAR(A246),"")</f>
        <v/>
      </c>
      <c r="C246">
        <f>IF(A246&lt;&gt;"",MONTH(A246),"")</f>
        <v/>
      </c>
      <c r="D246">
        <f>IF(A246&lt;&gt;"",_xlfn.ISOWEEKNUM(A246),"")</f>
        <v/>
      </c>
      <c r="E246">
        <f>IF(A246&lt;&gt;"",TEXT(A246,"dddd"),"")</f>
        <v/>
      </c>
      <c r="F246">
        <f>IF(BD_Carga!C247&lt;&gt;"",BD_Carga!C247,"")</f>
        <v/>
      </c>
      <c r="G246">
        <f>IF(BD_Carga!D247&lt;&gt;"",BD_Carga!D247,"")</f>
        <v/>
      </c>
      <c r="H246">
        <f>IF(BD_Carga!Q247&lt;&gt;"",BD_Carga!Q247,"")</f>
        <v/>
      </c>
      <c r="I246">
        <f>IF(BD_Carga!R247&lt;&gt;"",BD_Carga!R247,"")</f>
        <v/>
      </c>
      <c r="J246">
        <f>IF(BD_Carga!S247&lt;&gt;"",BD_Carga!S247,"")</f>
        <v/>
      </c>
      <c r="K246" s="4">
        <f>IF(BD_Carga!E247&lt;&gt;"",BD_Carga!E247,0)</f>
        <v/>
      </c>
      <c r="L246" s="4">
        <f>IF(BD_Carga!F247&lt;&gt;"",BD_Carga!F247,0)</f>
        <v/>
      </c>
      <c r="M246" s="4">
        <f>IF(BD_Carga!G247&lt;&gt;"",BD_Carga!G247,0)</f>
        <v/>
      </c>
      <c r="N246" s="4">
        <f>IF(BD_Carga!H247&lt;&gt;"",BD_Carga!H247,0)</f>
        <v/>
      </c>
      <c r="O246" s="4">
        <f>IF(BD_Carga!I247&lt;&gt;"",BD_Carga!I247,0)</f>
        <v/>
      </c>
      <c r="P246" s="4">
        <f>IF(BD_Carga!J247&lt;&gt;"",BD_Carga!J247,0)</f>
        <v/>
      </c>
      <c r="Q246" s="5">
        <f>IF(BD_Carga!K247&lt;&gt;"",BD_Carga!K247,0)</f>
        <v/>
      </c>
      <c r="R246" s="5">
        <f>IF(BD_Carga!L247&lt;&gt;"",BD_Carga!L247,0)</f>
        <v/>
      </c>
      <c r="S246">
        <f>IF(BD_Carga!N247&lt;&gt;"",BD_Carga!N247,0)</f>
        <v/>
      </c>
      <c r="T246">
        <f>IF(BD_Carga!O247&lt;&gt;"",BD_Carga!O247,0)</f>
        <v/>
      </c>
      <c r="U246">
        <f>IF(BD_Carga!P247&lt;&gt;"",BD_Carga!P247,0)</f>
        <v/>
      </c>
      <c r="V246">
        <f>IF(BD_Carga!U247&lt;&gt;"",BD_Carga!U247,0)</f>
        <v/>
      </c>
      <c r="W246">
        <f>IF(BD_Carga!T247&lt;&gt;"",BD_Carga!T247,0)</f>
        <v/>
      </c>
      <c r="X246">
        <f>IF(BD_Carga!W247&lt;&gt;"",BD_Carga!W247,0)</f>
        <v/>
      </c>
      <c r="Y246">
        <f>IF(BD_Carga!X247&lt;&gt;"",BD_Carga!X247,0)</f>
        <v/>
      </c>
      <c r="Z246">
        <f>IF(BD_Carga!Y247&lt;&gt;"",BD_Carga!Y247,0)</f>
        <v/>
      </c>
      <c r="AA246">
        <f>IF(BD_Carga!Z247&lt;&gt;"",BD_Carga!Z247,0)</f>
        <v/>
      </c>
      <c r="AB246">
        <f>IF(BD_Carga!AA247&lt;&gt;"",BD_Carga!AA247,0)</f>
        <v/>
      </c>
      <c r="AC246" s="6">
        <f t="array" ref="AC246">IFERROR((L246-AVERAGEIF($G$2:$G$462,G246,$L$2:$L$462))/_xlfn.STDEV.P(IF($G$2:$G$462=G246,$L$2:$L$462)),0)</f>
        <v/>
      </c>
      <c r="AD246" s="6">
        <f t="array" ref="AD246">IFERROR((M246-AVERAGEIF($G$2:$G$462,G246,$M$2:$M$462))/_xlfn.STDEV.P(IF($G$2:$G$462=G246,$M$2:$M$462)),0)</f>
        <v/>
      </c>
      <c r="AE246" s="6">
        <f t="array" ref="AE246">IFERROR((N246-AVERAGEIF($G$2:$G$462,G246,$N$2:$N$462))/_xlfn.STDEV.P(IF($G$2:$G$462=G246,$N$2:$N$462)),0)</f>
        <v/>
      </c>
      <c r="AF246" s="6">
        <f t="array" ref="AF246">IFERROR((O246-AVERAGEIF($G$2:$G$462,G246,$O$2:$O$462))/_xlfn.STDEV.P(IF($G$2:$G$462=G246,$O$2:$O$462)),0)</f>
        <v/>
      </c>
      <c r="AG246" s="6">
        <f t="array" ref="AG246">IFERROR((P246-AVERAGEIF($G$2:$G$462,G246,$P$2:$P$462))/_xlfn.STDEV.P(IF($G$2:$G$462=G246,$P$2:$P$462)),0)</f>
        <v/>
      </c>
      <c r="AH246" s="6">
        <f t="array" ref="AH246">IFERROR((R246-AVERAGEIF($G$2:$G$462,G246,$R$2:$R$462))/_xlfn.STDEV.P(IF($G$2:$G$462=G246,$R$2:$R$462)),0)</f>
        <v/>
      </c>
      <c r="AI246" s="6">
        <f>IFERROR((AC246+AD246+AE246+AF246+AG246+AH246)/6,0)</f>
        <v/>
      </c>
    </row>
    <row r="247">
      <c r="A247" s="2">
        <f>IF(BD_Carga!A248&lt;&gt;"",BD_Carga!A248,"")</f>
        <v/>
      </c>
      <c r="B247">
        <f>IF(A247&lt;&gt;"",YEAR(A247),"")</f>
        <v/>
      </c>
      <c r="C247">
        <f>IF(A247&lt;&gt;"",MONTH(A247),"")</f>
        <v/>
      </c>
      <c r="D247">
        <f>IF(A247&lt;&gt;"",_xlfn.ISOWEEKNUM(A247),"")</f>
        <v/>
      </c>
      <c r="E247">
        <f>IF(A247&lt;&gt;"",TEXT(A247,"dddd"),"")</f>
        <v/>
      </c>
      <c r="F247">
        <f>IF(BD_Carga!C248&lt;&gt;"",BD_Carga!C248,"")</f>
        <v/>
      </c>
      <c r="G247">
        <f>IF(BD_Carga!D248&lt;&gt;"",BD_Carga!D248,"")</f>
        <v/>
      </c>
      <c r="H247">
        <f>IF(BD_Carga!Q248&lt;&gt;"",BD_Carga!Q248,"")</f>
        <v/>
      </c>
      <c r="I247">
        <f>IF(BD_Carga!R248&lt;&gt;"",BD_Carga!R248,"")</f>
        <v/>
      </c>
      <c r="J247">
        <f>IF(BD_Carga!S248&lt;&gt;"",BD_Carga!S248,"")</f>
        <v/>
      </c>
      <c r="K247" s="4">
        <f>IF(BD_Carga!E248&lt;&gt;"",BD_Carga!E248,0)</f>
        <v/>
      </c>
      <c r="L247" s="4">
        <f>IF(BD_Carga!F248&lt;&gt;"",BD_Carga!F248,0)</f>
        <v/>
      </c>
      <c r="M247" s="4">
        <f>IF(BD_Carga!G248&lt;&gt;"",BD_Carga!G248,0)</f>
        <v/>
      </c>
      <c r="N247" s="4">
        <f>IF(BD_Carga!H248&lt;&gt;"",BD_Carga!H248,0)</f>
        <v/>
      </c>
      <c r="O247" s="4">
        <f>IF(BD_Carga!I248&lt;&gt;"",BD_Carga!I248,0)</f>
        <v/>
      </c>
      <c r="P247" s="4">
        <f>IF(BD_Carga!J248&lt;&gt;"",BD_Carga!J248,0)</f>
        <v/>
      </c>
      <c r="Q247" s="5">
        <f>IF(BD_Carga!K248&lt;&gt;"",BD_Carga!K248,0)</f>
        <v/>
      </c>
      <c r="R247" s="5">
        <f>IF(BD_Carga!L248&lt;&gt;"",BD_Carga!L248,0)</f>
        <v/>
      </c>
      <c r="S247">
        <f>IF(BD_Carga!N248&lt;&gt;"",BD_Carga!N248,0)</f>
        <v/>
      </c>
      <c r="T247">
        <f>IF(BD_Carga!O248&lt;&gt;"",BD_Carga!O248,0)</f>
        <v/>
      </c>
      <c r="U247">
        <f>IF(BD_Carga!P248&lt;&gt;"",BD_Carga!P248,0)</f>
        <v/>
      </c>
      <c r="V247">
        <f>IF(BD_Carga!U248&lt;&gt;"",BD_Carga!U248,0)</f>
        <v/>
      </c>
      <c r="W247">
        <f>IF(BD_Carga!T248&lt;&gt;"",BD_Carga!T248,0)</f>
        <v/>
      </c>
      <c r="X247">
        <f>IF(BD_Carga!W248&lt;&gt;"",BD_Carga!W248,0)</f>
        <v/>
      </c>
      <c r="Y247">
        <f>IF(BD_Carga!X248&lt;&gt;"",BD_Carga!X248,0)</f>
        <v/>
      </c>
      <c r="Z247">
        <f>IF(BD_Carga!Y248&lt;&gt;"",BD_Carga!Y248,0)</f>
        <v/>
      </c>
      <c r="AA247">
        <f>IF(BD_Carga!Z248&lt;&gt;"",BD_Carga!Z248,0)</f>
        <v/>
      </c>
      <c r="AB247">
        <f>IF(BD_Carga!AA248&lt;&gt;"",BD_Carga!AA248,0)</f>
        <v/>
      </c>
      <c r="AC247" s="6">
        <f t="array" ref="AC247">IFERROR((L247-AVERAGEIF($G$2:$G$462,G247,$L$2:$L$462))/_xlfn.STDEV.P(IF($G$2:$G$462=G247,$L$2:$L$462)),0)</f>
        <v/>
      </c>
      <c r="AD247" s="6">
        <f t="array" ref="AD247">IFERROR((M247-AVERAGEIF($G$2:$G$462,G247,$M$2:$M$462))/_xlfn.STDEV.P(IF($G$2:$G$462=G247,$M$2:$M$462)),0)</f>
        <v/>
      </c>
      <c r="AE247" s="6">
        <f t="array" ref="AE247">IFERROR((N247-AVERAGEIF($G$2:$G$462,G247,$N$2:$N$462))/_xlfn.STDEV.P(IF($G$2:$G$462=G247,$N$2:$N$462)),0)</f>
        <v/>
      </c>
      <c r="AF247" s="6">
        <f t="array" ref="AF247">IFERROR((O247-AVERAGEIF($G$2:$G$462,G247,$O$2:$O$462))/_xlfn.STDEV.P(IF($G$2:$G$462=G247,$O$2:$O$462)),0)</f>
        <v/>
      </c>
      <c r="AG247" s="6">
        <f t="array" ref="AG247">IFERROR((P247-AVERAGEIF($G$2:$G$462,G247,$P$2:$P$462))/_xlfn.STDEV.P(IF($G$2:$G$462=G247,$P$2:$P$462)),0)</f>
        <v/>
      </c>
      <c r="AH247" s="6">
        <f t="array" ref="AH247">IFERROR((R247-AVERAGEIF($G$2:$G$462,G247,$R$2:$R$462))/_xlfn.STDEV.P(IF($G$2:$G$462=G247,$R$2:$R$462)),0)</f>
        <v/>
      </c>
      <c r="AI247" s="6">
        <f>IFERROR((AC247+AD247+AE247+AF247+AG247+AH247)/6,0)</f>
        <v/>
      </c>
    </row>
    <row r="248">
      <c r="A248" s="2">
        <f>IF(BD_Carga!A249&lt;&gt;"",BD_Carga!A249,"")</f>
        <v/>
      </c>
      <c r="B248">
        <f>IF(A248&lt;&gt;"",YEAR(A248),"")</f>
        <v/>
      </c>
      <c r="C248">
        <f>IF(A248&lt;&gt;"",MONTH(A248),"")</f>
        <v/>
      </c>
      <c r="D248">
        <f>IF(A248&lt;&gt;"",_xlfn.ISOWEEKNUM(A248),"")</f>
        <v/>
      </c>
      <c r="E248">
        <f>IF(A248&lt;&gt;"",TEXT(A248,"dddd"),"")</f>
        <v/>
      </c>
      <c r="F248">
        <f>IF(BD_Carga!C249&lt;&gt;"",BD_Carga!C249,"")</f>
        <v/>
      </c>
      <c r="G248">
        <f>IF(BD_Carga!D249&lt;&gt;"",BD_Carga!D249,"")</f>
        <v/>
      </c>
      <c r="H248">
        <f>IF(BD_Carga!Q249&lt;&gt;"",BD_Carga!Q249,"")</f>
        <v/>
      </c>
      <c r="I248">
        <f>IF(BD_Carga!R249&lt;&gt;"",BD_Carga!R249,"")</f>
        <v/>
      </c>
      <c r="J248">
        <f>IF(BD_Carga!S249&lt;&gt;"",BD_Carga!S249,"")</f>
        <v/>
      </c>
      <c r="K248" s="4">
        <f>IF(BD_Carga!E249&lt;&gt;"",BD_Carga!E249,0)</f>
        <v/>
      </c>
      <c r="L248" s="4">
        <f>IF(BD_Carga!F249&lt;&gt;"",BD_Carga!F249,0)</f>
        <v/>
      </c>
      <c r="M248" s="4">
        <f>IF(BD_Carga!G249&lt;&gt;"",BD_Carga!G249,0)</f>
        <v/>
      </c>
      <c r="N248" s="4">
        <f>IF(BD_Carga!H249&lt;&gt;"",BD_Carga!H249,0)</f>
        <v/>
      </c>
      <c r="O248" s="4">
        <f>IF(BD_Carga!I249&lt;&gt;"",BD_Carga!I249,0)</f>
        <v/>
      </c>
      <c r="P248" s="4">
        <f>IF(BD_Carga!J249&lt;&gt;"",BD_Carga!J249,0)</f>
        <v/>
      </c>
      <c r="Q248" s="5">
        <f>IF(BD_Carga!K249&lt;&gt;"",BD_Carga!K249,0)</f>
        <v/>
      </c>
      <c r="R248" s="5">
        <f>IF(BD_Carga!L249&lt;&gt;"",BD_Carga!L249,0)</f>
        <v/>
      </c>
      <c r="S248">
        <f>IF(BD_Carga!N249&lt;&gt;"",BD_Carga!N249,0)</f>
        <v/>
      </c>
      <c r="T248">
        <f>IF(BD_Carga!O249&lt;&gt;"",BD_Carga!O249,0)</f>
        <v/>
      </c>
      <c r="U248">
        <f>IF(BD_Carga!P249&lt;&gt;"",BD_Carga!P249,0)</f>
        <v/>
      </c>
      <c r="V248">
        <f>IF(BD_Carga!U249&lt;&gt;"",BD_Carga!U249,0)</f>
        <v/>
      </c>
      <c r="W248">
        <f>IF(BD_Carga!T249&lt;&gt;"",BD_Carga!T249,0)</f>
        <v/>
      </c>
      <c r="X248">
        <f>IF(BD_Carga!W249&lt;&gt;"",BD_Carga!W249,0)</f>
        <v/>
      </c>
      <c r="Y248">
        <f>IF(BD_Carga!X249&lt;&gt;"",BD_Carga!X249,0)</f>
        <v/>
      </c>
      <c r="Z248">
        <f>IF(BD_Carga!Y249&lt;&gt;"",BD_Carga!Y249,0)</f>
        <v/>
      </c>
      <c r="AA248">
        <f>IF(BD_Carga!Z249&lt;&gt;"",BD_Carga!Z249,0)</f>
        <v/>
      </c>
      <c r="AB248">
        <f>IF(BD_Carga!AA249&lt;&gt;"",BD_Carga!AA249,0)</f>
        <v/>
      </c>
      <c r="AC248" s="6">
        <f t="array" ref="AC248">IFERROR((L248-AVERAGEIF($G$2:$G$462,G248,$L$2:$L$462))/_xlfn.STDEV.P(IF($G$2:$G$462=G248,$L$2:$L$462)),0)</f>
        <v/>
      </c>
      <c r="AD248" s="6">
        <f t="array" ref="AD248">IFERROR((M248-AVERAGEIF($G$2:$G$462,G248,$M$2:$M$462))/_xlfn.STDEV.P(IF($G$2:$G$462=G248,$M$2:$M$462)),0)</f>
        <v/>
      </c>
      <c r="AE248" s="6">
        <f t="array" ref="AE248">IFERROR((N248-AVERAGEIF($G$2:$G$462,G248,$N$2:$N$462))/_xlfn.STDEV.P(IF($G$2:$G$462=G248,$N$2:$N$462)),0)</f>
        <v/>
      </c>
      <c r="AF248" s="6">
        <f t="array" ref="AF248">IFERROR((O248-AVERAGEIF($G$2:$G$462,G248,$O$2:$O$462))/_xlfn.STDEV.P(IF($G$2:$G$462=G248,$O$2:$O$462)),0)</f>
        <v/>
      </c>
      <c r="AG248" s="6">
        <f t="array" ref="AG248">IFERROR((P248-AVERAGEIF($G$2:$G$462,G248,$P$2:$P$462))/_xlfn.STDEV.P(IF($G$2:$G$462=G248,$P$2:$P$462)),0)</f>
        <v/>
      </c>
      <c r="AH248" s="6">
        <f t="array" ref="AH248">IFERROR((R248-AVERAGEIF($G$2:$G$462,G248,$R$2:$R$462))/_xlfn.STDEV.P(IF($G$2:$G$462=G248,$R$2:$R$462)),0)</f>
        <v/>
      </c>
      <c r="AI248" s="6">
        <f>IFERROR((AC248+AD248+AE248+AF248+AG248+AH248)/6,0)</f>
        <v/>
      </c>
    </row>
    <row r="249">
      <c r="A249" s="2">
        <f>IF(BD_Carga!A250&lt;&gt;"",BD_Carga!A250,"")</f>
        <v/>
      </c>
      <c r="B249">
        <f>IF(A249&lt;&gt;"",YEAR(A249),"")</f>
        <v/>
      </c>
      <c r="C249">
        <f>IF(A249&lt;&gt;"",MONTH(A249),"")</f>
        <v/>
      </c>
      <c r="D249">
        <f>IF(A249&lt;&gt;"",_xlfn.ISOWEEKNUM(A249),"")</f>
        <v/>
      </c>
      <c r="E249">
        <f>IF(A249&lt;&gt;"",TEXT(A249,"dddd"),"")</f>
        <v/>
      </c>
      <c r="F249">
        <f>IF(BD_Carga!C250&lt;&gt;"",BD_Carga!C250,"")</f>
        <v/>
      </c>
      <c r="G249">
        <f>IF(BD_Carga!D250&lt;&gt;"",BD_Carga!D250,"")</f>
        <v/>
      </c>
      <c r="H249">
        <f>IF(BD_Carga!Q250&lt;&gt;"",BD_Carga!Q250,"")</f>
        <v/>
      </c>
      <c r="I249">
        <f>IF(BD_Carga!R250&lt;&gt;"",BD_Carga!R250,"")</f>
        <v/>
      </c>
      <c r="J249">
        <f>IF(BD_Carga!S250&lt;&gt;"",BD_Carga!S250,"")</f>
        <v/>
      </c>
      <c r="K249" s="4">
        <f>IF(BD_Carga!E250&lt;&gt;"",BD_Carga!E250,0)</f>
        <v/>
      </c>
      <c r="L249" s="4">
        <f>IF(BD_Carga!F250&lt;&gt;"",BD_Carga!F250,0)</f>
        <v/>
      </c>
      <c r="M249" s="4">
        <f>IF(BD_Carga!G250&lt;&gt;"",BD_Carga!G250,0)</f>
        <v/>
      </c>
      <c r="N249" s="4">
        <f>IF(BD_Carga!H250&lt;&gt;"",BD_Carga!H250,0)</f>
        <v/>
      </c>
      <c r="O249" s="4">
        <f>IF(BD_Carga!I250&lt;&gt;"",BD_Carga!I250,0)</f>
        <v/>
      </c>
      <c r="P249" s="4">
        <f>IF(BD_Carga!J250&lt;&gt;"",BD_Carga!J250,0)</f>
        <v/>
      </c>
      <c r="Q249" s="5">
        <f>IF(BD_Carga!K250&lt;&gt;"",BD_Carga!K250,0)</f>
        <v/>
      </c>
      <c r="R249" s="5">
        <f>IF(BD_Carga!L250&lt;&gt;"",BD_Carga!L250,0)</f>
        <v/>
      </c>
      <c r="S249">
        <f>IF(BD_Carga!N250&lt;&gt;"",BD_Carga!N250,0)</f>
        <v/>
      </c>
      <c r="T249">
        <f>IF(BD_Carga!O250&lt;&gt;"",BD_Carga!O250,0)</f>
        <v/>
      </c>
      <c r="U249">
        <f>IF(BD_Carga!P250&lt;&gt;"",BD_Carga!P250,0)</f>
        <v/>
      </c>
      <c r="V249">
        <f>IF(BD_Carga!U250&lt;&gt;"",BD_Carga!U250,0)</f>
        <v/>
      </c>
      <c r="W249">
        <f>IF(BD_Carga!T250&lt;&gt;"",BD_Carga!T250,0)</f>
        <v/>
      </c>
      <c r="X249">
        <f>IF(BD_Carga!W250&lt;&gt;"",BD_Carga!W250,0)</f>
        <v/>
      </c>
      <c r="Y249">
        <f>IF(BD_Carga!X250&lt;&gt;"",BD_Carga!X250,0)</f>
        <v/>
      </c>
      <c r="Z249">
        <f>IF(BD_Carga!Y250&lt;&gt;"",BD_Carga!Y250,0)</f>
        <v/>
      </c>
      <c r="AA249">
        <f>IF(BD_Carga!Z250&lt;&gt;"",BD_Carga!Z250,0)</f>
        <v/>
      </c>
      <c r="AB249">
        <f>IF(BD_Carga!AA250&lt;&gt;"",BD_Carga!AA250,0)</f>
        <v/>
      </c>
      <c r="AC249" s="6">
        <f t="array" ref="AC249">IFERROR((L249-AVERAGEIF($G$2:$G$462,G249,$L$2:$L$462))/_xlfn.STDEV.P(IF($G$2:$G$462=G249,$L$2:$L$462)),0)</f>
        <v/>
      </c>
      <c r="AD249" s="6">
        <f t="array" ref="AD249">IFERROR((M249-AVERAGEIF($G$2:$G$462,G249,$M$2:$M$462))/_xlfn.STDEV.P(IF($G$2:$G$462=G249,$M$2:$M$462)),0)</f>
        <v/>
      </c>
      <c r="AE249" s="6">
        <f t="array" ref="AE249">IFERROR((N249-AVERAGEIF($G$2:$G$462,G249,$N$2:$N$462))/_xlfn.STDEV.P(IF($G$2:$G$462=G249,$N$2:$N$462)),0)</f>
        <v/>
      </c>
      <c r="AF249" s="6">
        <f t="array" ref="AF249">IFERROR((O249-AVERAGEIF($G$2:$G$462,G249,$O$2:$O$462))/_xlfn.STDEV.P(IF($G$2:$G$462=G249,$O$2:$O$462)),0)</f>
        <v/>
      </c>
      <c r="AG249" s="6">
        <f t="array" ref="AG249">IFERROR((P249-AVERAGEIF($G$2:$G$462,G249,$P$2:$P$462))/_xlfn.STDEV.P(IF($G$2:$G$462=G249,$P$2:$P$462)),0)</f>
        <v/>
      </c>
      <c r="AH249" s="6">
        <f t="array" ref="AH249">IFERROR((R249-AVERAGEIF($G$2:$G$462,G249,$R$2:$R$462))/_xlfn.STDEV.P(IF($G$2:$G$462=G249,$R$2:$R$462)),0)</f>
        <v/>
      </c>
      <c r="AI249" s="6">
        <f>IFERROR((AC249+AD249+AE249+AF249+AG249+AH249)/6,0)</f>
        <v/>
      </c>
    </row>
    <row r="250">
      <c r="A250" s="2">
        <f>IF(BD_Carga!A251&lt;&gt;"",BD_Carga!A251,"")</f>
        <v/>
      </c>
      <c r="B250">
        <f>IF(A250&lt;&gt;"",YEAR(A250),"")</f>
        <v/>
      </c>
      <c r="C250">
        <f>IF(A250&lt;&gt;"",MONTH(A250),"")</f>
        <v/>
      </c>
      <c r="D250">
        <f>IF(A250&lt;&gt;"",_xlfn.ISOWEEKNUM(A250),"")</f>
        <v/>
      </c>
      <c r="E250">
        <f>IF(A250&lt;&gt;"",TEXT(A250,"dddd"),"")</f>
        <v/>
      </c>
      <c r="F250">
        <f>IF(BD_Carga!C251&lt;&gt;"",BD_Carga!C251,"")</f>
        <v/>
      </c>
      <c r="G250">
        <f>IF(BD_Carga!D251&lt;&gt;"",BD_Carga!D251,"")</f>
        <v/>
      </c>
      <c r="H250">
        <f>IF(BD_Carga!Q251&lt;&gt;"",BD_Carga!Q251,"")</f>
        <v/>
      </c>
      <c r="I250">
        <f>IF(BD_Carga!R251&lt;&gt;"",BD_Carga!R251,"")</f>
        <v/>
      </c>
      <c r="J250">
        <f>IF(BD_Carga!S251&lt;&gt;"",BD_Carga!S251,"")</f>
        <v/>
      </c>
      <c r="K250" s="4">
        <f>IF(BD_Carga!E251&lt;&gt;"",BD_Carga!E251,0)</f>
        <v/>
      </c>
      <c r="L250" s="4">
        <f>IF(BD_Carga!F251&lt;&gt;"",BD_Carga!F251,0)</f>
        <v/>
      </c>
      <c r="M250" s="4">
        <f>IF(BD_Carga!G251&lt;&gt;"",BD_Carga!G251,0)</f>
        <v/>
      </c>
      <c r="N250" s="4">
        <f>IF(BD_Carga!H251&lt;&gt;"",BD_Carga!H251,0)</f>
        <v/>
      </c>
      <c r="O250" s="4">
        <f>IF(BD_Carga!I251&lt;&gt;"",BD_Carga!I251,0)</f>
        <v/>
      </c>
      <c r="P250" s="4">
        <f>IF(BD_Carga!J251&lt;&gt;"",BD_Carga!J251,0)</f>
        <v/>
      </c>
      <c r="Q250" s="5">
        <f>IF(BD_Carga!K251&lt;&gt;"",BD_Carga!K251,0)</f>
        <v/>
      </c>
      <c r="R250" s="5">
        <f>IF(BD_Carga!L251&lt;&gt;"",BD_Carga!L251,0)</f>
        <v/>
      </c>
      <c r="S250">
        <f>IF(BD_Carga!N251&lt;&gt;"",BD_Carga!N251,0)</f>
        <v/>
      </c>
      <c r="T250">
        <f>IF(BD_Carga!O251&lt;&gt;"",BD_Carga!O251,0)</f>
        <v/>
      </c>
      <c r="U250">
        <f>IF(BD_Carga!P251&lt;&gt;"",BD_Carga!P251,0)</f>
        <v/>
      </c>
      <c r="V250">
        <f>IF(BD_Carga!U251&lt;&gt;"",BD_Carga!U251,0)</f>
        <v/>
      </c>
      <c r="W250">
        <f>IF(BD_Carga!T251&lt;&gt;"",BD_Carga!T251,0)</f>
        <v/>
      </c>
      <c r="X250">
        <f>IF(BD_Carga!W251&lt;&gt;"",BD_Carga!W251,0)</f>
        <v/>
      </c>
      <c r="Y250">
        <f>IF(BD_Carga!X251&lt;&gt;"",BD_Carga!X251,0)</f>
        <v/>
      </c>
      <c r="Z250">
        <f>IF(BD_Carga!Y251&lt;&gt;"",BD_Carga!Y251,0)</f>
        <v/>
      </c>
      <c r="AA250">
        <f>IF(BD_Carga!Z251&lt;&gt;"",BD_Carga!Z251,0)</f>
        <v/>
      </c>
      <c r="AB250">
        <f>IF(BD_Carga!AA251&lt;&gt;"",BD_Carga!AA251,0)</f>
        <v/>
      </c>
      <c r="AC250" s="6">
        <f t="array" ref="AC250">IFERROR((L250-AVERAGEIF($G$2:$G$462,G250,$L$2:$L$462))/_xlfn.STDEV.P(IF($G$2:$G$462=G250,$L$2:$L$462)),0)</f>
        <v/>
      </c>
      <c r="AD250" s="6">
        <f t="array" ref="AD250">IFERROR((M250-AVERAGEIF($G$2:$G$462,G250,$M$2:$M$462))/_xlfn.STDEV.P(IF($G$2:$G$462=G250,$M$2:$M$462)),0)</f>
        <v/>
      </c>
      <c r="AE250" s="6">
        <f t="array" ref="AE250">IFERROR((N250-AVERAGEIF($G$2:$G$462,G250,$N$2:$N$462))/_xlfn.STDEV.P(IF($G$2:$G$462=G250,$N$2:$N$462)),0)</f>
        <v/>
      </c>
      <c r="AF250" s="6">
        <f t="array" ref="AF250">IFERROR((O250-AVERAGEIF($G$2:$G$462,G250,$O$2:$O$462))/_xlfn.STDEV.P(IF($G$2:$G$462=G250,$O$2:$O$462)),0)</f>
        <v/>
      </c>
      <c r="AG250" s="6">
        <f t="array" ref="AG250">IFERROR((P250-AVERAGEIF($G$2:$G$462,G250,$P$2:$P$462))/_xlfn.STDEV.P(IF($G$2:$G$462=G250,$P$2:$P$462)),0)</f>
        <v/>
      </c>
      <c r="AH250" s="6">
        <f t="array" ref="AH250">IFERROR((R250-AVERAGEIF($G$2:$G$462,G250,$R$2:$R$462))/_xlfn.STDEV.P(IF($G$2:$G$462=G250,$R$2:$R$462)),0)</f>
        <v/>
      </c>
      <c r="AI250" s="6">
        <f>IFERROR((AC250+AD250+AE250+AF250+AG250+AH250)/6,0)</f>
        <v/>
      </c>
    </row>
    <row r="251">
      <c r="A251" s="2">
        <f>IF(BD_Carga!A252&lt;&gt;"",BD_Carga!A252,"")</f>
        <v/>
      </c>
      <c r="B251">
        <f>IF(A251&lt;&gt;"",YEAR(A251),"")</f>
        <v/>
      </c>
      <c r="C251">
        <f>IF(A251&lt;&gt;"",MONTH(A251),"")</f>
        <v/>
      </c>
      <c r="D251">
        <f>IF(A251&lt;&gt;"",_xlfn.ISOWEEKNUM(A251),"")</f>
        <v/>
      </c>
      <c r="E251">
        <f>IF(A251&lt;&gt;"",TEXT(A251,"dddd"),"")</f>
        <v/>
      </c>
      <c r="F251">
        <f>IF(BD_Carga!C252&lt;&gt;"",BD_Carga!C252,"")</f>
        <v/>
      </c>
      <c r="G251">
        <f>IF(BD_Carga!D252&lt;&gt;"",BD_Carga!D252,"")</f>
        <v/>
      </c>
      <c r="H251">
        <f>IF(BD_Carga!Q252&lt;&gt;"",BD_Carga!Q252,"")</f>
        <v/>
      </c>
      <c r="I251">
        <f>IF(BD_Carga!R252&lt;&gt;"",BD_Carga!R252,"")</f>
        <v/>
      </c>
      <c r="J251">
        <f>IF(BD_Carga!S252&lt;&gt;"",BD_Carga!S252,"")</f>
        <v/>
      </c>
      <c r="K251" s="4">
        <f>IF(BD_Carga!E252&lt;&gt;"",BD_Carga!E252,0)</f>
        <v/>
      </c>
      <c r="L251" s="4">
        <f>IF(BD_Carga!F252&lt;&gt;"",BD_Carga!F252,0)</f>
        <v/>
      </c>
      <c r="M251" s="4">
        <f>IF(BD_Carga!G252&lt;&gt;"",BD_Carga!G252,0)</f>
        <v/>
      </c>
      <c r="N251" s="4">
        <f>IF(BD_Carga!H252&lt;&gt;"",BD_Carga!H252,0)</f>
        <v/>
      </c>
      <c r="O251" s="4">
        <f>IF(BD_Carga!I252&lt;&gt;"",BD_Carga!I252,0)</f>
        <v/>
      </c>
      <c r="P251" s="4">
        <f>IF(BD_Carga!J252&lt;&gt;"",BD_Carga!J252,0)</f>
        <v/>
      </c>
      <c r="Q251" s="5">
        <f>IF(BD_Carga!K252&lt;&gt;"",BD_Carga!K252,0)</f>
        <v/>
      </c>
      <c r="R251" s="5">
        <f>IF(BD_Carga!L252&lt;&gt;"",BD_Carga!L252,0)</f>
        <v/>
      </c>
      <c r="S251">
        <f>IF(BD_Carga!N252&lt;&gt;"",BD_Carga!N252,0)</f>
        <v/>
      </c>
      <c r="T251">
        <f>IF(BD_Carga!O252&lt;&gt;"",BD_Carga!O252,0)</f>
        <v/>
      </c>
      <c r="U251">
        <f>IF(BD_Carga!P252&lt;&gt;"",BD_Carga!P252,0)</f>
        <v/>
      </c>
      <c r="V251">
        <f>IF(BD_Carga!U252&lt;&gt;"",BD_Carga!U252,0)</f>
        <v/>
      </c>
      <c r="W251">
        <f>IF(BD_Carga!T252&lt;&gt;"",BD_Carga!T252,0)</f>
        <v/>
      </c>
      <c r="X251">
        <f>IF(BD_Carga!W252&lt;&gt;"",BD_Carga!W252,0)</f>
        <v/>
      </c>
      <c r="Y251">
        <f>IF(BD_Carga!X252&lt;&gt;"",BD_Carga!X252,0)</f>
        <v/>
      </c>
      <c r="Z251">
        <f>IF(BD_Carga!Y252&lt;&gt;"",BD_Carga!Y252,0)</f>
        <v/>
      </c>
      <c r="AA251">
        <f>IF(BD_Carga!Z252&lt;&gt;"",BD_Carga!Z252,0)</f>
        <v/>
      </c>
      <c r="AB251">
        <f>IF(BD_Carga!AA252&lt;&gt;"",BD_Carga!AA252,0)</f>
        <v/>
      </c>
      <c r="AC251" s="6">
        <f t="array" ref="AC251">IFERROR((L251-AVERAGEIF($G$2:$G$462,G251,$L$2:$L$462))/_xlfn.STDEV.P(IF($G$2:$G$462=G251,$L$2:$L$462)),0)</f>
        <v/>
      </c>
      <c r="AD251" s="6">
        <f t="array" ref="AD251">IFERROR((M251-AVERAGEIF($G$2:$G$462,G251,$M$2:$M$462))/_xlfn.STDEV.P(IF($G$2:$G$462=G251,$M$2:$M$462)),0)</f>
        <v/>
      </c>
      <c r="AE251" s="6">
        <f t="array" ref="AE251">IFERROR((N251-AVERAGEIF($G$2:$G$462,G251,$N$2:$N$462))/_xlfn.STDEV.P(IF($G$2:$G$462=G251,$N$2:$N$462)),0)</f>
        <v/>
      </c>
      <c r="AF251" s="6">
        <f t="array" ref="AF251">IFERROR((O251-AVERAGEIF($G$2:$G$462,G251,$O$2:$O$462))/_xlfn.STDEV.P(IF($G$2:$G$462=G251,$O$2:$O$462)),0)</f>
        <v/>
      </c>
      <c r="AG251" s="6">
        <f t="array" ref="AG251">IFERROR((P251-AVERAGEIF($G$2:$G$462,G251,$P$2:$P$462))/_xlfn.STDEV.P(IF($G$2:$G$462=G251,$P$2:$P$462)),0)</f>
        <v/>
      </c>
      <c r="AH251" s="6">
        <f t="array" ref="AH251">IFERROR((R251-AVERAGEIF($G$2:$G$462,G251,$R$2:$R$462))/_xlfn.STDEV.P(IF($G$2:$G$462=G251,$R$2:$R$462)),0)</f>
        <v/>
      </c>
      <c r="AI251" s="6">
        <f>IFERROR((AC251+AD251+AE251+AF251+AG251+AH251)/6,0)</f>
        <v/>
      </c>
    </row>
    <row r="252">
      <c r="A252" s="2">
        <f>IF(BD_Carga!A253&lt;&gt;"",BD_Carga!A253,"")</f>
        <v/>
      </c>
      <c r="B252">
        <f>IF(A252&lt;&gt;"",YEAR(A252),"")</f>
        <v/>
      </c>
      <c r="C252">
        <f>IF(A252&lt;&gt;"",MONTH(A252),"")</f>
        <v/>
      </c>
      <c r="D252">
        <f>IF(A252&lt;&gt;"",_xlfn.ISOWEEKNUM(A252),"")</f>
        <v/>
      </c>
      <c r="E252">
        <f>IF(A252&lt;&gt;"",TEXT(A252,"dddd"),"")</f>
        <v/>
      </c>
      <c r="F252">
        <f>IF(BD_Carga!C253&lt;&gt;"",BD_Carga!C253,"")</f>
        <v/>
      </c>
      <c r="G252">
        <f>IF(BD_Carga!D253&lt;&gt;"",BD_Carga!D253,"")</f>
        <v/>
      </c>
      <c r="H252">
        <f>IF(BD_Carga!Q253&lt;&gt;"",BD_Carga!Q253,"")</f>
        <v/>
      </c>
      <c r="I252">
        <f>IF(BD_Carga!R253&lt;&gt;"",BD_Carga!R253,"")</f>
        <v/>
      </c>
      <c r="J252">
        <f>IF(BD_Carga!S253&lt;&gt;"",BD_Carga!S253,"")</f>
        <v/>
      </c>
      <c r="K252" s="4">
        <f>IF(BD_Carga!E253&lt;&gt;"",BD_Carga!E253,0)</f>
        <v/>
      </c>
      <c r="L252" s="4">
        <f>IF(BD_Carga!F253&lt;&gt;"",BD_Carga!F253,0)</f>
        <v/>
      </c>
      <c r="M252" s="4">
        <f>IF(BD_Carga!G253&lt;&gt;"",BD_Carga!G253,0)</f>
        <v/>
      </c>
      <c r="N252" s="4">
        <f>IF(BD_Carga!H253&lt;&gt;"",BD_Carga!H253,0)</f>
        <v/>
      </c>
      <c r="O252" s="4">
        <f>IF(BD_Carga!I253&lt;&gt;"",BD_Carga!I253,0)</f>
        <v/>
      </c>
      <c r="P252" s="4">
        <f>IF(BD_Carga!J253&lt;&gt;"",BD_Carga!J253,0)</f>
        <v/>
      </c>
      <c r="Q252" s="5">
        <f>IF(BD_Carga!K253&lt;&gt;"",BD_Carga!K253,0)</f>
        <v/>
      </c>
      <c r="R252" s="5">
        <f>IF(BD_Carga!L253&lt;&gt;"",BD_Carga!L253,0)</f>
        <v/>
      </c>
      <c r="S252">
        <f>IF(BD_Carga!N253&lt;&gt;"",BD_Carga!N253,0)</f>
        <v/>
      </c>
      <c r="T252">
        <f>IF(BD_Carga!O253&lt;&gt;"",BD_Carga!O253,0)</f>
        <v/>
      </c>
      <c r="U252">
        <f>IF(BD_Carga!P253&lt;&gt;"",BD_Carga!P253,0)</f>
        <v/>
      </c>
      <c r="V252">
        <f>IF(BD_Carga!U253&lt;&gt;"",BD_Carga!U253,0)</f>
        <v/>
      </c>
      <c r="W252">
        <f>IF(BD_Carga!T253&lt;&gt;"",BD_Carga!T253,0)</f>
        <v/>
      </c>
      <c r="X252">
        <f>IF(BD_Carga!W253&lt;&gt;"",BD_Carga!W253,0)</f>
        <v/>
      </c>
      <c r="Y252">
        <f>IF(BD_Carga!X253&lt;&gt;"",BD_Carga!X253,0)</f>
        <v/>
      </c>
      <c r="Z252">
        <f>IF(BD_Carga!Y253&lt;&gt;"",BD_Carga!Y253,0)</f>
        <v/>
      </c>
      <c r="AA252">
        <f>IF(BD_Carga!Z253&lt;&gt;"",BD_Carga!Z253,0)</f>
        <v/>
      </c>
      <c r="AB252">
        <f>IF(BD_Carga!AA253&lt;&gt;"",BD_Carga!AA253,0)</f>
        <v/>
      </c>
      <c r="AC252" s="6">
        <f t="array" ref="AC252">IFERROR((L252-AVERAGEIF($G$2:$G$462,G252,$L$2:$L$462))/_xlfn.STDEV.P(IF($G$2:$G$462=G252,$L$2:$L$462)),0)</f>
        <v/>
      </c>
      <c r="AD252" s="6">
        <f t="array" ref="AD252">IFERROR((M252-AVERAGEIF($G$2:$G$462,G252,$M$2:$M$462))/_xlfn.STDEV.P(IF($G$2:$G$462=G252,$M$2:$M$462)),0)</f>
        <v/>
      </c>
      <c r="AE252" s="6">
        <f t="array" ref="AE252">IFERROR((N252-AVERAGEIF($G$2:$G$462,G252,$N$2:$N$462))/_xlfn.STDEV.P(IF($G$2:$G$462=G252,$N$2:$N$462)),0)</f>
        <v/>
      </c>
      <c r="AF252" s="6">
        <f t="array" ref="AF252">IFERROR((O252-AVERAGEIF($G$2:$G$462,G252,$O$2:$O$462))/_xlfn.STDEV.P(IF($G$2:$G$462=G252,$O$2:$O$462)),0)</f>
        <v/>
      </c>
      <c r="AG252" s="6">
        <f t="array" ref="AG252">IFERROR((P252-AVERAGEIF($G$2:$G$462,G252,$P$2:$P$462))/_xlfn.STDEV.P(IF($G$2:$G$462=G252,$P$2:$P$462)),0)</f>
        <v/>
      </c>
      <c r="AH252" s="6">
        <f t="array" ref="AH252">IFERROR((R252-AVERAGEIF($G$2:$G$462,G252,$R$2:$R$462))/_xlfn.STDEV.P(IF($G$2:$G$462=G252,$R$2:$R$462)),0)</f>
        <v/>
      </c>
      <c r="AI252" s="6">
        <f>IFERROR((AC252+AD252+AE252+AF252+AG252+AH252)/6,0)</f>
        <v/>
      </c>
    </row>
    <row r="253">
      <c r="A253" s="2">
        <f>IF(BD_Carga!A254&lt;&gt;"",BD_Carga!A254,"")</f>
        <v/>
      </c>
      <c r="B253">
        <f>IF(A253&lt;&gt;"",YEAR(A253),"")</f>
        <v/>
      </c>
      <c r="C253">
        <f>IF(A253&lt;&gt;"",MONTH(A253),"")</f>
        <v/>
      </c>
      <c r="D253">
        <f>IF(A253&lt;&gt;"",_xlfn.ISOWEEKNUM(A253),"")</f>
        <v/>
      </c>
      <c r="E253">
        <f>IF(A253&lt;&gt;"",TEXT(A253,"dddd"),"")</f>
        <v/>
      </c>
      <c r="F253">
        <f>IF(BD_Carga!C254&lt;&gt;"",BD_Carga!C254,"")</f>
        <v/>
      </c>
      <c r="G253">
        <f>IF(BD_Carga!D254&lt;&gt;"",BD_Carga!D254,"")</f>
        <v/>
      </c>
      <c r="H253">
        <f>IF(BD_Carga!Q254&lt;&gt;"",BD_Carga!Q254,"")</f>
        <v/>
      </c>
      <c r="I253">
        <f>IF(BD_Carga!R254&lt;&gt;"",BD_Carga!R254,"")</f>
        <v/>
      </c>
      <c r="J253">
        <f>IF(BD_Carga!S254&lt;&gt;"",BD_Carga!S254,"")</f>
        <v/>
      </c>
      <c r="K253" s="4">
        <f>IF(BD_Carga!E254&lt;&gt;"",BD_Carga!E254,0)</f>
        <v/>
      </c>
      <c r="L253" s="4">
        <f>IF(BD_Carga!F254&lt;&gt;"",BD_Carga!F254,0)</f>
        <v/>
      </c>
      <c r="M253" s="4">
        <f>IF(BD_Carga!G254&lt;&gt;"",BD_Carga!G254,0)</f>
        <v/>
      </c>
      <c r="N253" s="4">
        <f>IF(BD_Carga!H254&lt;&gt;"",BD_Carga!H254,0)</f>
        <v/>
      </c>
      <c r="O253" s="4">
        <f>IF(BD_Carga!I254&lt;&gt;"",BD_Carga!I254,0)</f>
        <v/>
      </c>
      <c r="P253" s="4">
        <f>IF(BD_Carga!J254&lt;&gt;"",BD_Carga!J254,0)</f>
        <v/>
      </c>
      <c r="Q253" s="5">
        <f>IF(BD_Carga!K254&lt;&gt;"",BD_Carga!K254,0)</f>
        <v/>
      </c>
      <c r="R253" s="5">
        <f>IF(BD_Carga!L254&lt;&gt;"",BD_Carga!L254,0)</f>
        <v/>
      </c>
      <c r="S253">
        <f>IF(BD_Carga!N254&lt;&gt;"",BD_Carga!N254,0)</f>
        <v/>
      </c>
      <c r="T253">
        <f>IF(BD_Carga!O254&lt;&gt;"",BD_Carga!O254,0)</f>
        <v/>
      </c>
      <c r="U253">
        <f>IF(BD_Carga!P254&lt;&gt;"",BD_Carga!P254,0)</f>
        <v/>
      </c>
      <c r="V253">
        <f>IF(BD_Carga!U254&lt;&gt;"",BD_Carga!U254,0)</f>
        <v/>
      </c>
      <c r="W253">
        <f>IF(BD_Carga!T254&lt;&gt;"",BD_Carga!T254,0)</f>
        <v/>
      </c>
      <c r="X253">
        <f>IF(BD_Carga!W254&lt;&gt;"",BD_Carga!W254,0)</f>
        <v/>
      </c>
      <c r="Y253">
        <f>IF(BD_Carga!X254&lt;&gt;"",BD_Carga!X254,0)</f>
        <v/>
      </c>
      <c r="Z253">
        <f>IF(BD_Carga!Y254&lt;&gt;"",BD_Carga!Y254,0)</f>
        <v/>
      </c>
      <c r="AA253">
        <f>IF(BD_Carga!Z254&lt;&gt;"",BD_Carga!Z254,0)</f>
        <v/>
      </c>
      <c r="AB253">
        <f>IF(BD_Carga!AA254&lt;&gt;"",BD_Carga!AA254,0)</f>
        <v/>
      </c>
      <c r="AC253" s="6">
        <f t="array" ref="AC253">IFERROR((L253-AVERAGEIF($G$2:$G$462,G253,$L$2:$L$462))/_xlfn.STDEV.P(IF($G$2:$G$462=G253,$L$2:$L$462)),0)</f>
        <v/>
      </c>
      <c r="AD253" s="6">
        <f t="array" ref="AD253">IFERROR((M253-AVERAGEIF($G$2:$G$462,G253,$M$2:$M$462))/_xlfn.STDEV.P(IF($G$2:$G$462=G253,$M$2:$M$462)),0)</f>
        <v/>
      </c>
      <c r="AE253" s="6">
        <f t="array" ref="AE253">IFERROR((N253-AVERAGEIF($G$2:$G$462,G253,$N$2:$N$462))/_xlfn.STDEV.P(IF($G$2:$G$462=G253,$N$2:$N$462)),0)</f>
        <v/>
      </c>
      <c r="AF253" s="6">
        <f t="array" ref="AF253">IFERROR((O253-AVERAGEIF($G$2:$G$462,G253,$O$2:$O$462))/_xlfn.STDEV.P(IF($G$2:$G$462=G253,$O$2:$O$462)),0)</f>
        <v/>
      </c>
      <c r="AG253" s="6">
        <f t="array" ref="AG253">IFERROR((P253-AVERAGEIF($G$2:$G$462,G253,$P$2:$P$462))/_xlfn.STDEV.P(IF($G$2:$G$462=G253,$P$2:$P$462)),0)</f>
        <v/>
      </c>
      <c r="AH253" s="6">
        <f t="array" ref="AH253">IFERROR((R253-AVERAGEIF($G$2:$G$462,G253,$R$2:$R$462))/_xlfn.STDEV.P(IF($G$2:$G$462=G253,$R$2:$R$462)),0)</f>
        <v/>
      </c>
      <c r="AI253" s="6">
        <f>IFERROR((AC253+AD253+AE253+AF253+AG253+AH253)/6,0)</f>
        <v/>
      </c>
    </row>
    <row r="254">
      <c r="A254" s="2">
        <f>IF(BD_Carga!A255&lt;&gt;"",BD_Carga!A255,"")</f>
        <v/>
      </c>
      <c r="B254">
        <f>IF(A254&lt;&gt;"",YEAR(A254),"")</f>
        <v/>
      </c>
      <c r="C254">
        <f>IF(A254&lt;&gt;"",MONTH(A254),"")</f>
        <v/>
      </c>
      <c r="D254">
        <f>IF(A254&lt;&gt;"",_xlfn.ISOWEEKNUM(A254),"")</f>
        <v/>
      </c>
      <c r="E254">
        <f>IF(A254&lt;&gt;"",TEXT(A254,"dddd"),"")</f>
        <v/>
      </c>
      <c r="F254">
        <f>IF(BD_Carga!C255&lt;&gt;"",BD_Carga!C255,"")</f>
        <v/>
      </c>
      <c r="G254">
        <f>IF(BD_Carga!D255&lt;&gt;"",BD_Carga!D255,"")</f>
        <v/>
      </c>
      <c r="H254">
        <f>IF(BD_Carga!Q255&lt;&gt;"",BD_Carga!Q255,"")</f>
        <v/>
      </c>
      <c r="I254">
        <f>IF(BD_Carga!R255&lt;&gt;"",BD_Carga!R255,"")</f>
        <v/>
      </c>
      <c r="J254">
        <f>IF(BD_Carga!S255&lt;&gt;"",BD_Carga!S255,"")</f>
        <v/>
      </c>
      <c r="K254" s="4">
        <f>IF(BD_Carga!E255&lt;&gt;"",BD_Carga!E255,0)</f>
        <v/>
      </c>
      <c r="L254" s="4">
        <f>IF(BD_Carga!F255&lt;&gt;"",BD_Carga!F255,0)</f>
        <v/>
      </c>
      <c r="M254" s="4">
        <f>IF(BD_Carga!G255&lt;&gt;"",BD_Carga!G255,0)</f>
        <v/>
      </c>
      <c r="N254" s="4">
        <f>IF(BD_Carga!H255&lt;&gt;"",BD_Carga!H255,0)</f>
        <v/>
      </c>
      <c r="O254" s="4">
        <f>IF(BD_Carga!I255&lt;&gt;"",BD_Carga!I255,0)</f>
        <v/>
      </c>
      <c r="P254" s="4">
        <f>IF(BD_Carga!J255&lt;&gt;"",BD_Carga!J255,0)</f>
        <v/>
      </c>
      <c r="Q254" s="5">
        <f>IF(BD_Carga!K255&lt;&gt;"",BD_Carga!K255,0)</f>
        <v/>
      </c>
      <c r="R254" s="5">
        <f>IF(BD_Carga!L255&lt;&gt;"",BD_Carga!L255,0)</f>
        <v/>
      </c>
      <c r="S254">
        <f>IF(BD_Carga!N255&lt;&gt;"",BD_Carga!N255,0)</f>
        <v/>
      </c>
      <c r="T254">
        <f>IF(BD_Carga!O255&lt;&gt;"",BD_Carga!O255,0)</f>
        <v/>
      </c>
      <c r="U254">
        <f>IF(BD_Carga!P255&lt;&gt;"",BD_Carga!P255,0)</f>
        <v/>
      </c>
      <c r="V254">
        <f>IF(BD_Carga!U255&lt;&gt;"",BD_Carga!U255,0)</f>
        <v/>
      </c>
      <c r="W254">
        <f>IF(BD_Carga!T255&lt;&gt;"",BD_Carga!T255,0)</f>
        <v/>
      </c>
      <c r="X254">
        <f>IF(BD_Carga!W255&lt;&gt;"",BD_Carga!W255,0)</f>
        <v/>
      </c>
      <c r="Y254">
        <f>IF(BD_Carga!X255&lt;&gt;"",BD_Carga!X255,0)</f>
        <v/>
      </c>
      <c r="Z254">
        <f>IF(BD_Carga!Y255&lt;&gt;"",BD_Carga!Y255,0)</f>
        <v/>
      </c>
      <c r="AA254">
        <f>IF(BD_Carga!Z255&lt;&gt;"",BD_Carga!Z255,0)</f>
        <v/>
      </c>
      <c r="AB254">
        <f>IF(BD_Carga!AA255&lt;&gt;"",BD_Carga!AA255,0)</f>
        <v/>
      </c>
      <c r="AC254" s="6">
        <f t="array" ref="AC254">IFERROR((L254-AVERAGEIF($G$2:$G$462,G254,$L$2:$L$462))/_xlfn.STDEV.P(IF($G$2:$G$462=G254,$L$2:$L$462)),0)</f>
        <v/>
      </c>
      <c r="AD254" s="6">
        <f t="array" ref="AD254">IFERROR((M254-AVERAGEIF($G$2:$G$462,G254,$M$2:$M$462))/_xlfn.STDEV.P(IF($G$2:$G$462=G254,$M$2:$M$462)),0)</f>
        <v/>
      </c>
      <c r="AE254" s="6">
        <f t="array" ref="AE254">IFERROR((N254-AVERAGEIF($G$2:$G$462,G254,$N$2:$N$462))/_xlfn.STDEV.P(IF($G$2:$G$462=G254,$N$2:$N$462)),0)</f>
        <v/>
      </c>
      <c r="AF254" s="6">
        <f t="array" ref="AF254">IFERROR((O254-AVERAGEIF($G$2:$G$462,G254,$O$2:$O$462))/_xlfn.STDEV.P(IF($G$2:$G$462=G254,$O$2:$O$462)),0)</f>
        <v/>
      </c>
      <c r="AG254" s="6">
        <f t="array" ref="AG254">IFERROR((P254-AVERAGEIF($G$2:$G$462,G254,$P$2:$P$462))/_xlfn.STDEV.P(IF($G$2:$G$462=G254,$P$2:$P$462)),0)</f>
        <v/>
      </c>
      <c r="AH254" s="6">
        <f t="array" ref="AH254">IFERROR((R254-AVERAGEIF($G$2:$G$462,G254,$R$2:$R$462))/_xlfn.STDEV.P(IF($G$2:$G$462=G254,$R$2:$R$462)),0)</f>
        <v/>
      </c>
      <c r="AI254" s="6">
        <f>IFERROR((AC254+AD254+AE254+AF254+AG254+AH254)/6,0)</f>
        <v/>
      </c>
    </row>
    <row r="255">
      <c r="A255" s="2">
        <f>IF(BD_Carga!A256&lt;&gt;"",BD_Carga!A256,"")</f>
        <v/>
      </c>
      <c r="B255">
        <f>IF(A255&lt;&gt;"",YEAR(A255),"")</f>
        <v/>
      </c>
      <c r="C255">
        <f>IF(A255&lt;&gt;"",MONTH(A255),"")</f>
        <v/>
      </c>
      <c r="D255">
        <f>IF(A255&lt;&gt;"",_xlfn.ISOWEEKNUM(A255),"")</f>
        <v/>
      </c>
      <c r="E255">
        <f>IF(A255&lt;&gt;"",TEXT(A255,"dddd"),"")</f>
        <v/>
      </c>
      <c r="F255">
        <f>IF(BD_Carga!C256&lt;&gt;"",BD_Carga!C256,"")</f>
        <v/>
      </c>
      <c r="G255">
        <f>IF(BD_Carga!D256&lt;&gt;"",BD_Carga!D256,"")</f>
        <v/>
      </c>
      <c r="H255">
        <f>IF(BD_Carga!Q256&lt;&gt;"",BD_Carga!Q256,"")</f>
        <v/>
      </c>
      <c r="I255">
        <f>IF(BD_Carga!R256&lt;&gt;"",BD_Carga!R256,"")</f>
        <v/>
      </c>
      <c r="J255">
        <f>IF(BD_Carga!S256&lt;&gt;"",BD_Carga!S256,"")</f>
        <v/>
      </c>
      <c r="K255" s="4">
        <f>IF(BD_Carga!E256&lt;&gt;"",BD_Carga!E256,0)</f>
        <v/>
      </c>
      <c r="L255" s="4">
        <f>IF(BD_Carga!F256&lt;&gt;"",BD_Carga!F256,0)</f>
        <v/>
      </c>
      <c r="M255" s="4">
        <f>IF(BD_Carga!G256&lt;&gt;"",BD_Carga!G256,0)</f>
        <v/>
      </c>
      <c r="N255" s="4">
        <f>IF(BD_Carga!H256&lt;&gt;"",BD_Carga!H256,0)</f>
        <v/>
      </c>
      <c r="O255" s="4">
        <f>IF(BD_Carga!I256&lt;&gt;"",BD_Carga!I256,0)</f>
        <v/>
      </c>
      <c r="P255" s="4">
        <f>IF(BD_Carga!J256&lt;&gt;"",BD_Carga!J256,0)</f>
        <v/>
      </c>
      <c r="Q255" s="5">
        <f>IF(BD_Carga!K256&lt;&gt;"",BD_Carga!K256,0)</f>
        <v/>
      </c>
      <c r="R255" s="5">
        <f>IF(BD_Carga!L256&lt;&gt;"",BD_Carga!L256,0)</f>
        <v/>
      </c>
      <c r="S255">
        <f>IF(BD_Carga!N256&lt;&gt;"",BD_Carga!N256,0)</f>
        <v/>
      </c>
      <c r="T255">
        <f>IF(BD_Carga!O256&lt;&gt;"",BD_Carga!O256,0)</f>
        <v/>
      </c>
      <c r="U255">
        <f>IF(BD_Carga!P256&lt;&gt;"",BD_Carga!P256,0)</f>
        <v/>
      </c>
      <c r="V255">
        <f>IF(BD_Carga!U256&lt;&gt;"",BD_Carga!U256,0)</f>
        <v/>
      </c>
      <c r="W255">
        <f>IF(BD_Carga!T256&lt;&gt;"",BD_Carga!T256,0)</f>
        <v/>
      </c>
      <c r="X255">
        <f>IF(BD_Carga!W256&lt;&gt;"",BD_Carga!W256,0)</f>
        <v/>
      </c>
      <c r="Y255">
        <f>IF(BD_Carga!X256&lt;&gt;"",BD_Carga!X256,0)</f>
        <v/>
      </c>
      <c r="Z255">
        <f>IF(BD_Carga!Y256&lt;&gt;"",BD_Carga!Y256,0)</f>
        <v/>
      </c>
      <c r="AA255">
        <f>IF(BD_Carga!Z256&lt;&gt;"",BD_Carga!Z256,0)</f>
        <v/>
      </c>
      <c r="AB255">
        <f>IF(BD_Carga!AA256&lt;&gt;"",BD_Carga!AA256,0)</f>
        <v/>
      </c>
      <c r="AC255" s="6">
        <f t="array" ref="AC255">IFERROR((L255-AVERAGEIF($G$2:$G$462,G255,$L$2:$L$462))/_xlfn.STDEV.P(IF($G$2:$G$462=G255,$L$2:$L$462)),0)</f>
        <v/>
      </c>
      <c r="AD255" s="6">
        <f t="array" ref="AD255">IFERROR((M255-AVERAGEIF($G$2:$G$462,G255,$M$2:$M$462))/_xlfn.STDEV.P(IF($G$2:$G$462=G255,$M$2:$M$462)),0)</f>
        <v/>
      </c>
      <c r="AE255" s="6">
        <f t="array" ref="AE255">IFERROR((N255-AVERAGEIF($G$2:$G$462,G255,$N$2:$N$462))/_xlfn.STDEV.P(IF($G$2:$G$462=G255,$N$2:$N$462)),0)</f>
        <v/>
      </c>
      <c r="AF255" s="6">
        <f t="array" ref="AF255">IFERROR((O255-AVERAGEIF($G$2:$G$462,G255,$O$2:$O$462))/_xlfn.STDEV.P(IF($G$2:$G$462=G255,$O$2:$O$462)),0)</f>
        <v/>
      </c>
      <c r="AG255" s="6">
        <f t="array" ref="AG255">IFERROR((P255-AVERAGEIF($G$2:$G$462,G255,$P$2:$P$462))/_xlfn.STDEV.P(IF($G$2:$G$462=G255,$P$2:$P$462)),0)</f>
        <v/>
      </c>
      <c r="AH255" s="6">
        <f t="array" ref="AH255">IFERROR((R255-AVERAGEIF($G$2:$G$462,G255,$R$2:$R$462))/_xlfn.STDEV.P(IF($G$2:$G$462=G255,$R$2:$R$462)),0)</f>
        <v/>
      </c>
      <c r="AI255" s="6">
        <f>IFERROR((AC255+AD255+AE255+AF255+AG255+AH255)/6,0)</f>
        <v/>
      </c>
    </row>
    <row r="256">
      <c r="A256" s="2">
        <f>IF(BD_Carga!A257&lt;&gt;"",BD_Carga!A257,"")</f>
        <v/>
      </c>
      <c r="B256">
        <f>IF(A256&lt;&gt;"",YEAR(A256),"")</f>
        <v/>
      </c>
      <c r="C256">
        <f>IF(A256&lt;&gt;"",MONTH(A256),"")</f>
        <v/>
      </c>
      <c r="D256">
        <f>IF(A256&lt;&gt;"",_xlfn.ISOWEEKNUM(A256),"")</f>
        <v/>
      </c>
      <c r="E256">
        <f>IF(A256&lt;&gt;"",TEXT(A256,"dddd"),"")</f>
        <v/>
      </c>
      <c r="F256">
        <f>IF(BD_Carga!C257&lt;&gt;"",BD_Carga!C257,"")</f>
        <v/>
      </c>
      <c r="G256">
        <f>IF(BD_Carga!D257&lt;&gt;"",BD_Carga!D257,"")</f>
        <v/>
      </c>
      <c r="H256">
        <f>IF(BD_Carga!Q257&lt;&gt;"",BD_Carga!Q257,"")</f>
        <v/>
      </c>
      <c r="I256">
        <f>IF(BD_Carga!R257&lt;&gt;"",BD_Carga!R257,"")</f>
        <v/>
      </c>
      <c r="J256">
        <f>IF(BD_Carga!S257&lt;&gt;"",BD_Carga!S257,"")</f>
        <v/>
      </c>
      <c r="K256" s="4">
        <f>IF(BD_Carga!E257&lt;&gt;"",BD_Carga!E257,0)</f>
        <v/>
      </c>
      <c r="L256" s="4">
        <f>IF(BD_Carga!F257&lt;&gt;"",BD_Carga!F257,0)</f>
        <v/>
      </c>
      <c r="M256" s="4">
        <f>IF(BD_Carga!G257&lt;&gt;"",BD_Carga!G257,0)</f>
        <v/>
      </c>
      <c r="N256" s="4">
        <f>IF(BD_Carga!H257&lt;&gt;"",BD_Carga!H257,0)</f>
        <v/>
      </c>
      <c r="O256" s="4">
        <f>IF(BD_Carga!I257&lt;&gt;"",BD_Carga!I257,0)</f>
        <v/>
      </c>
      <c r="P256" s="4">
        <f>IF(BD_Carga!J257&lt;&gt;"",BD_Carga!J257,0)</f>
        <v/>
      </c>
      <c r="Q256" s="5">
        <f>IF(BD_Carga!K257&lt;&gt;"",BD_Carga!K257,0)</f>
        <v/>
      </c>
      <c r="R256" s="5">
        <f>IF(BD_Carga!L257&lt;&gt;"",BD_Carga!L257,0)</f>
        <v/>
      </c>
      <c r="S256">
        <f>IF(BD_Carga!N257&lt;&gt;"",BD_Carga!N257,0)</f>
        <v/>
      </c>
      <c r="T256">
        <f>IF(BD_Carga!O257&lt;&gt;"",BD_Carga!O257,0)</f>
        <v/>
      </c>
      <c r="U256">
        <f>IF(BD_Carga!P257&lt;&gt;"",BD_Carga!P257,0)</f>
        <v/>
      </c>
      <c r="V256">
        <f>IF(BD_Carga!U257&lt;&gt;"",BD_Carga!U257,0)</f>
        <v/>
      </c>
      <c r="W256">
        <f>IF(BD_Carga!T257&lt;&gt;"",BD_Carga!T257,0)</f>
        <v/>
      </c>
      <c r="X256">
        <f>IF(BD_Carga!W257&lt;&gt;"",BD_Carga!W257,0)</f>
        <v/>
      </c>
      <c r="Y256">
        <f>IF(BD_Carga!X257&lt;&gt;"",BD_Carga!X257,0)</f>
        <v/>
      </c>
      <c r="Z256">
        <f>IF(BD_Carga!Y257&lt;&gt;"",BD_Carga!Y257,0)</f>
        <v/>
      </c>
      <c r="AA256">
        <f>IF(BD_Carga!Z257&lt;&gt;"",BD_Carga!Z257,0)</f>
        <v/>
      </c>
      <c r="AB256">
        <f>IF(BD_Carga!AA257&lt;&gt;"",BD_Carga!AA257,0)</f>
        <v/>
      </c>
      <c r="AC256" s="6">
        <f t="array" ref="AC256">IFERROR((L256-AVERAGEIF($G$2:$G$462,G256,$L$2:$L$462))/_xlfn.STDEV.P(IF($G$2:$G$462=G256,$L$2:$L$462)),0)</f>
        <v/>
      </c>
      <c r="AD256" s="6">
        <f t="array" ref="AD256">IFERROR((M256-AVERAGEIF($G$2:$G$462,G256,$M$2:$M$462))/_xlfn.STDEV.P(IF($G$2:$G$462=G256,$M$2:$M$462)),0)</f>
        <v/>
      </c>
      <c r="AE256" s="6">
        <f t="array" ref="AE256">IFERROR((N256-AVERAGEIF($G$2:$G$462,G256,$N$2:$N$462))/_xlfn.STDEV.P(IF($G$2:$G$462=G256,$N$2:$N$462)),0)</f>
        <v/>
      </c>
      <c r="AF256" s="6">
        <f t="array" ref="AF256">IFERROR((O256-AVERAGEIF($G$2:$G$462,G256,$O$2:$O$462))/_xlfn.STDEV.P(IF($G$2:$G$462=G256,$O$2:$O$462)),0)</f>
        <v/>
      </c>
      <c r="AG256" s="6">
        <f t="array" ref="AG256">IFERROR((P256-AVERAGEIF($G$2:$G$462,G256,$P$2:$P$462))/_xlfn.STDEV.P(IF($G$2:$G$462=G256,$P$2:$P$462)),0)</f>
        <v/>
      </c>
      <c r="AH256" s="6">
        <f t="array" ref="AH256">IFERROR((R256-AVERAGEIF($G$2:$G$462,G256,$R$2:$R$462))/_xlfn.STDEV.P(IF($G$2:$G$462=G256,$R$2:$R$462)),0)</f>
        <v/>
      </c>
      <c r="AI256" s="6">
        <f>IFERROR((AC256+AD256+AE256+AF256+AG256+AH256)/6,0)</f>
        <v/>
      </c>
    </row>
    <row r="257">
      <c r="A257" s="2">
        <f>IF(BD_Carga!A258&lt;&gt;"",BD_Carga!A258,"")</f>
        <v/>
      </c>
      <c r="B257">
        <f>IF(A257&lt;&gt;"",YEAR(A257),"")</f>
        <v/>
      </c>
      <c r="C257">
        <f>IF(A257&lt;&gt;"",MONTH(A257),"")</f>
        <v/>
      </c>
      <c r="D257">
        <f>IF(A257&lt;&gt;"",_xlfn.ISOWEEKNUM(A257),"")</f>
        <v/>
      </c>
      <c r="E257">
        <f>IF(A257&lt;&gt;"",TEXT(A257,"dddd"),"")</f>
        <v/>
      </c>
      <c r="F257">
        <f>IF(BD_Carga!C258&lt;&gt;"",BD_Carga!C258,"")</f>
        <v/>
      </c>
      <c r="G257">
        <f>IF(BD_Carga!D258&lt;&gt;"",BD_Carga!D258,"")</f>
        <v/>
      </c>
      <c r="H257">
        <f>IF(BD_Carga!Q258&lt;&gt;"",BD_Carga!Q258,"")</f>
        <v/>
      </c>
      <c r="I257">
        <f>IF(BD_Carga!R258&lt;&gt;"",BD_Carga!R258,"")</f>
        <v/>
      </c>
      <c r="J257">
        <f>IF(BD_Carga!S258&lt;&gt;"",BD_Carga!S258,"")</f>
        <v/>
      </c>
      <c r="K257" s="4">
        <f>IF(BD_Carga!E258&lt;&gt;"",BD_Carga!E258,0)</f>
        <v/>
      </c>
      <c r="L257" s="4">
        <f>IF(BD_Carga!F258&lt;&gt;"",BD_Carga!F258,0)</f>
        <v/>
      </c>
      <c r="M257" s="4">
        <f>IF(BD_Carga!G258&lt;&gt;"",BD_Carga!G258,0)</f>
        <v/>
      </c>
      <c r="N257" s="4">
        <f>IF(BD_Carga!H258&lt;&gt;"",BD_Carga!H258,0)</f>
        <v/>
      </c>
      <c r="O257" s="4">
        <f>IF(BD_Carga!I258&lt;&gt;"",BD_Carga!I258,0)</f>
        <v/>
      </c>
      <c r="P257" s="4">
        <f>IF(BD_Carga!J258&lt;&gt;"",BD_Carga!J258,0)</f>
        <v/>
      </c>
      <c r="Q257" s="5">
        <f>IF(BD_Carga!K258&lt;&gt;"",BD_Carga!K258,0)</f>
        <v/>
      </c>
      <c r="R257" s="5">
        <f>IF(BD_Carga!L258&lt;&gt;"",BD_Carga!L258,0)</f>
        <v/>
      </c>
      <c r="S257">
        <f>IF(BD_Carga!N258&lt;&gt;"",BD_Carga!N258,0)</f>
        <v/>
      </c>
      <c r="T257">
        <f>IF(BD_Carga!O258&lt;&gt;"",BD_Carga!O258,0)</f>
        <v/>
      </c>
      <c r="U257">
        <f>IF(BD_Carga!P258&lt;&gt;"",BD_Carga!P258,0)</f>
        <v/>
      </c>
      <c r="V257">
        <f>IF(BD_Carga!U258&lt;&gt;"",BD_Carga!U258,0)</f>
        <v/>
      </c>
      <c r="W257">
        <f>IF(BD_Carga!T258&lt;&gt;"",BD_Carga!T258,0)</f>
        <v/>
      </c>
      <c r="X257">
        <f>IF(BD_Carga!W258&lt;&gt;"",BD_Carga!W258,0)</f>
        <v/>
      </c>
      <c r="Y257">
        <f>IF(BD_Carga!X258&lt;&gt;"",BD_Carga!X258,0)</f>
        <v/>
      </c>
      <c r="Z257">
        <f>IF(BD_Carga!Y258&lt;&gt;"",BD_Carga!Y258,0)</f>
        <v/>
      </c>
      <c r="AA257">
        <f>IF(BD_Carga!Z258&lt;&gt;"",BD_Carga!Z258,0)</f>
        <v/>
      </c>
      <c r="AB257">
        <f>IF(BD_Carga!AA258&lt;&gt;"",BD_Carga!AA258,0)</f>
        <v/>
      </c>
      <c r="AC257" s="6">
        <f t="array" ref="AC257">IFERROR((L257-AVERAGEIF($G$2:$G$462,G257,$L$2:$L$462))/_xlfn.STDEV.P(IF($G$2:$G$462=G257,$L$2:$L$462)),0)</f>
        <v/>
      </c>
      <c r="AD257" s="6">
        <f t="array" ref="AD257">IFERROR((M257-AVERAGEIF($G$2:$G$462,G257,$M$2:$M$462))/_xlfn.STDEV.P(IF($G$2:$G$462=G257,$M$2:$M$462)),0)</f>
        <v/>
      </c>
      <c r="AE257" s="6">
        <f t="array" ref="AE257">IFERROR((N257-AVERAGEIF($G$2:$G$462,G257,$N$2:$N$462))/_xlfn.STDEV.P(IF($G$2:$G$462=G257,$N$2:$N$462)),0)</f>
        <v/>
      </c>
      <c r="AF257" s="6">
        <f t="array" ref="AF257">IFERROR((O257-AVERAGEIF($G$2:$G$462,G257,$O$2:$O$462))/_xlfn.STDEV.P(IF($G$2:$G$462=G257,$O$2:$O$462)),0)</f>
        <v/>
      </c>
      <c r="AG257" s="6">
        <f t="array" ref="AG257">IFERROR((P257-AVERAGEIF($G$2:$G$462,G257,$P$2:$P$462))/_xlfn.STDEV.P(IF($G$2:$G$462=G257,$P$2:$P$462)),0)</f>
        <v/>
      </c>
      <c r="AH257" s="6">
        <f t="array" ref="AH257">IFERROR((R257-AVERAGEIF($G$2:$G$462,G257,$R$2:$R$462))/_xlfn.STDEV.P(IF($G$2:$G$462=G257,$R$2:$R$462)),0)</f>
        <v/>
      </c>
      <c r="AI257" s="6">
        <f>IFERROR((AC257+AD257+AE257+AF257+AG257+AH257)/6,0)</f>
        <v/>
      </c>
    </row>
    <row r="258">
      <c r="A258" s="2">
        <f>IF(BD_Carga!A259&lt;&gt;"",BD_Carga!A259,"")</f>
        <v/>
      </c>
      <c r="B258">
        <f>IF(A258&lt;&gt;"",YEAR(A258),"")</f>
        <v/>
      </c>
      <c r="C258">
        <f>IF(A258&lt;&gt;"",MONTH(A258),"")</f>
        <v/>
      </c>
      <c r="D258">
        <f>IF(A258&lt;&gt;"",_xlfn.ISOWEEKNUM(A258),"")</f>
        <v/>
      </c>
      <c r="E258">
        <f>IF(A258&lt;&gt;"",TEXT(A258,"dddd"),"")</f>
        <v/>
      </c>
      <c r="F258">
        <f>IF(BD_Carga!C259&lt;&gt;"",BD_Carga!C259,"")</f>
        <v/>
      </c>
      <c r="G258">
        <f>IF(BD_Carga!D259&lt;&gt;"",BD_Carga!D259,"")</f>
        <v/>
      </c>
      <c r="H258">
        <f>IF(BD_Carga!Q259&lt;&gt;"",BD_Carga!Q259,"")</f>
        <v/>
      </c>
      <c r="I258">
        <f>IF(BD_Carga!R259&lt;&gt;"",BD_Carga!R259,"")</f>
        <v/>
      </c>
      <c r="J258">
        <f>IF(BD_Carga!S259&lt;&gt;"",BD_Carga!S259,"")</f>
        <v/>
      </c>
      <c r="K258" s="4">
        <f>IF(BD_Carga!E259&lt;&gt;"",BD_Carga!E259,0)</f>
        <v/>
      </c>
      <c r="L258" s="4">
        <f>IF(BD_Carga!F259&lt;&gt;"",BD_Carga!F259,0)</f>
        <v/>
      </c>
      <c r="M258" s="4">
        <f>IF(BD_Carga!G259&lt;&gt;"",BD_Carga!G259,0)</f>
        <v/>
      </c>
      <c r="N258" s="4">
        <f>IF(BD_Carga!H259&lt;&gt;"",BD_Carga!H259,0)</f>
        <v/>
      </c>
      <c r="O258" s="4">
        <f>IF(BD_Carga!I259&lt;&gt;"",BD_Carga!I259,0)</f>
        <v/>
      </c>
      <c r="P258" s="4">
        <f>IF(BD_Carga!J259&lt;&gt;"",BD_Carga!J259,0)</f>
        <v/>
      </c>
      <c r="Q258" s="5">
        <f>IF(BD_Carga!K259&lt;&gt;"",BD_Carga!K259,0)</f>
        <v/>
      </c>
      <c r="R258" s="5">
        <f>IF(BD_Carga!L259&lt;&gt;"",BD_Carga!L259,0)</f>
        <v/>
      </c>
      <c r="S258">
        <f>IF(BD_Carga!N259&lt;&gt;"",BD_Carga!N259,0)</f>
        <v/>
      </c>
      <c r="T258">
        <f>IF(BD_Carga!O259&lt;&gt;"",BD_Carga!O259,0)</f>
        <v/>
      </c>
      <c r="U258">
        <f>IF(BD_Carga!P259&lt;&gt;"",BD_Carga!P259,0)</f>
        <v/>
      </c>
      <c r="V258">
        <f>IF(BD_Carga!U259&lt;&gt;"",BD_Carga!U259,0)</f>
        <v/>
      </c>
      <c r="W258">
        <f>IF(BD_Carga!T259&lt;&gt;"",BD_Carga!T259,0)</f>
        <v/>
      </c>
      <c r="X258">
        <f>IF(BD_Carga!W259&lt;&gt;"",BD_Carga!W259,0)</f>
        <v/>
      </c>
      <c r="Y258">
        <f>IF(BD_Carga!X259&lt;&gt;"",BD_Carga!X259,0)</f>
        <v/>
      </c>
      <c r="Z258">
        <f>IF(BD_Carga!Y259&lt;&gt;"",BD_Carga!Y259,0)</f>
        <v/>
      </c>
      <c r="AA258">
        <f>IF(BD_Carga!Z259&lt;&gt;"",BD_Carga!Z259,0)</f>
        <v/>
      </c>
      <c r="AB258">
        <f>IF(BD_Carga!AA259&lt;&gt;"",BD_Carga!AA259,0)</f>
        <v/>
      </c>
      <c r="AC258" s="6">
        <f t="array" ref="AC258">IFERROR((L258-AVERAGEIF($G$2:$G$462,G258,$L$2:$L$462))/_xlfn.STDEV.P(IF($G$2:$G$462=G258,$L$2:$L$462)),0)</f>
        <v/>
      </c>
      <c r="AD258" s="6">
        <f t="array" ref="AD258">IFERROR((M258-AVERAGEIF($G$2:$G$462,G258,$M$2:$M$462))/_xlfn.STDEV.P(IF($G$2:$G$462=G258,$M$2:$M$462)),0)</f>
        <v/>
      </c>
      <c r="AE258" s="6">
        <f t="array" ref="AE258">IFERROR((N258-AVERAGEIF($G$2:$G$462,G258,$N$2:$N$462))/_xlfn.STDEV.P(IF($G$2:$G$462=G258,$N$2:$N$462)),0)</f>
        <v/>
      </c>
      <c r="AF258" s="6">
        <f t="array" ref="AF258">IFERROR((O258-AVERAGEIF($G$2:$G$462,G258,$O$2:$O$462))/_xlfn.STDEV.P(IF($G$2:$G$462=G258,$O$2:$O$462)),0)</f>
        <v/>
      </c>
      <c r="AG258" s="6">
        <f t="array" ref="AG258">IFERROR((P258-AVERAGEIF($G$2:$G$462,G258,$P$2:$P$462))/_xlfn.STDEV.P(IF($G$2:$G$462=G258,$P$2:$P$462)),0)</f>
        <v/>
      </c>
      <c r="AH258" s="6">
        <f t="array" ref="AH258">IFERROR((R258-AVERAGEIF($G$2:$G$462,G258,$R$2:$R$462))/_xlfn.STDEV.P(IF($G$2:$G$462=G258,$R$2:$R$462)),0)</f>
        <v/>
      </c>
      <c r="AI258" s="6">
        <f>IFERROR((AC258+AD258+AE258+AF258+AG258+AH258)/6,0)</f>
        <v/>
      </c>
    </row>
    <row r="259">
      <c r="A259" s="2">
        <f>IF(BD_Carga!A260&lt;&gt;"",BD_Carga!A260,"")</f>
        <v/>
      </c>
      <c r="B259">
        <f>IF(A259&lt;&gt;"",YEAR(A259),"")</f>
        <v/>
      </c>
      <c r="C259">
        <f>IF(A259&lt;&gt;"",MONTH(A259),"")</f>
        <v/>
      </c>
      <c r="D259">
        <f>IF(A259&lt;&gt;"",_xlfn.ISOWEEKNUM(A259),"")</f>
        <v/>
      </c>
      <c r="E259">
        <f>IF(A259&lt;&gt;"",TEXT(A259,"dddd"),"")</f>
        <v/>
      </c>
      <c r="F259">
        <f>IF(BD_Carga!C260&lt;&gt;"",BD_Carga!C260,"")</f>
        <v/>
      </c>
      <c r="G259">
        <f>IF(BD_Carga!D260&lt;&gt;"",BD_Carga!D260,"")</f>
        <v/>
      </c>
      <c r="H259">
        <f>IF(BD_Carga!Q260&lt;&gt;"",BD_Carga!Q260,"")</f>
        <v/>
      </c>
      <c r="I259">
        <f>IF(BD_Carga!R260&lt;&gt;"",BD_Carga!R260,"")</f>
        <v/>
      </c>
      <c r="J259">
        <f>IF(BD_Carga!S260&lt;&gt;"",BD_Carga!S260,"")</f>
        <v/>
      </c>
      <c r="K259" s="4">
        <f>IF(BD_Carga!E260&lt;&gt;"",BD_Carga!E260,0)</f>
        <v/>
      </c>
      <c r="L259" s="4">
        <f>IF(BD_Carga!F260&lt;&gt;"",BD_Carga!F260,0)</f>
        <v/>
      </c>
      <c r="M259" s="4">
        <f>IF(BD_Carga!G260&lt;&gt;"",BD_Carga!G260,0)</f>
        <v/>
      </c>
      <c r="N259" s="4">
        <f>IF(BD_Carga!H260&lt;&gt;"",BD_Carga!H260,0)</f>
        <v/>
      </c>
      <c r="O259" s="4">
        <f>IF(BD_Carga!I260&lt;&gt;"",BD_Carga!I260,0)</f>
        <v/>
      </c>
      <c r="P259" s="4">
        <f>IF(BD_Carga!J260&lt;&gt;"",BD_Carga!J260,0)</f>
        <v/>
      </c>
      <c r="Q259" s="5">
        <f>IF(BD_Carga!K260&lt;&gt;"",BD_Carga!K260,0)</f>
        <v/>
      </c>
      <c r="R259" s="5">
        <f>IF(BD_Carga!L260&lt;&gt;"",BD_Carga!L260,0)</f>
        <v/>
      </c>
      <c r="S259">
        <f>IF(BD_Carga!N260&lt;&gt;"",BD_Carga!N260,0)</f>
        <v/>
      </c>
      <c r="T259">
        <f>IF(BD_Carga!O260&lt;&gt;"",BD_Carga!O260,0)</f>
        <v/>
      </c>
      <c r="U259">
        <f>IF(BD_Carga!P260&lt;&gt;"",BD_Carga!P260,0)</f>
        <v/>
      </c>
      <c r="V259">
        <f>IF(BD_Carga!U260&lt;&gt;"",BD_Carga!U260,0)</f>
        <v/>
      </c>
      <c r="W259">
        <f>IF(BD_Carga!T260&lt;&gt;"",BD_Carga!T260,0)</f>
        <v/>
      </c>
      <c r="X259">
        <f>IF(BD_Carga!W260&lt;&gt;"",BD_Carga!W260,0)</f>
        <v/>
      </c>
      <c r="Y259">
        <f>IF(BD_Carga!X260&lt;&gt;"",BD_Carga!X260,0)</f>
        <v/>
      </c>
      <c r="Z259">
        <f>IF(BD_Carga!Y260&lt;&gt;"",BD_Carga!Y260,0)</f>
        <v/>
      </c>
      <c r="AA259">
        <f>IF(BD_Carga!Z260&lt;&gt;"",BD_Carga!Z260,0)</f>
        <v/>
      </c>
      <c r="AB259">
        <f>IF(BD_Carga!AA260&lt;&gt;"",BD_Carga!AA260,0)</f>
        <v/>
      </c>
      <c r="AC259" s="6">
        <f t="array" ref="AC259">IFERROR((L259-AVERAGEIF($G$2:$G$462,G259,$L$2:$L$462))/_xlfn.STDEV.P(IF($G$2:$G$462=G259,$L$2:$L$462)),0)</f>
        <v/>
      </c>
      <c r="AD259" s="6">
        <f t="array" ref="AD259">IFERROR((M259-AVERAGEIF($G$2:$G$462,G259,$M$2:$M$462))/_xlfn.STDEV.P(IF($G$2:$G$462=G259,$M$2:$M$462)),0)</f>
        <v/>
      </c>
      <c r="AE259" s="6">
        <f t="array" ref="AE259">IFERROR((N259-AVERAGEIF($G$2:$G$462,G259,$N$2:$N$462))/_xlfn.STDEV.P(IF($G$2:$G$462=G259,$N$2:$N$462)),0)</f>
        <v/>
      </c>
      <c r="AF259" s="6">
        <f t="array" ref="AF259">IFERROR((O259-AVERAGEIF($G$2:$G$462,G259,$O$2:$O$462))/_xlfn.STDEV.P(IF($G$2:$G$462=G259,$O$2:$O$462)),0)</f>
        <v/>
      </c>
      <c r="AG259" s="6">
        <f t="array" ref="AG259">IFERROR((P259-AVERAGEIF($G$2:$G$462,G259,$P$2:$P$462))/_xlfn.STDEV.P(IF($G$2:$G$462=G259,$P$2:$P$462)),0)</f>
        <v/>
      </c>
      <c r="AH259" s="6">
        <f t="array" ref="AH259">IFERROR((R259-AVERAGEIF($G$2:$G$462,G259,$R$2:$R$462))/_xlfn.STDEV.P(IF($G$2:$G$462=G259,$R$2:$R$462)),0)</f>
        <v/>
      </c>
      <c r="AI259" s="6">
        <f>IFERROR((AC259+AD259+AE259+AF259+AG259+AH259)/6,0)</f>
        <v/>
      </c>
    </row>
    <row r="260">
      <c r="A260" s="2">
        <f>IF(BD_Carga!A261&lt;&gt;"",BD_Carga!A261,"")</f>
        <v/>
      </c>
      <c r="B260">
        <f>IF(A260&lt;&gt;"",YEAR(A260),"")</f>
        <v/>
      </c>
      <c r="C260">
        <f>IF(A260&lt;&gt;"",MONTH(A260),"")</f>
        <v/>
      </c>
      <c r="D260">
        <f>IF(A260&lt;&gt;"",_xlfn.ISOWEEKNUM(A260),"")</f>
        <v/>
      </c>
      <c r="E260">
        <f>IF(A260&lt;&gt;"",TEXT(A260,"dddd"),"")</f>
        <v/>
      </c>
      <c r="F260">
        <f>IF(BD_Carga!C261&lt;&gt;"",BD_Carga!C261,"")</f>
        <v/>
      </c>
      <c r="G260">
        <f>IF(BD_Carga!D261&lt;&gt;"",BD_Carga!D261,"")</f>
        <v/>
      </c>
      <c r="H260">
        <f>IF(BD_Carga!Q261&lt;&gt;"",BD_Carga!Q261,"")</f>
        <v/>
      </c>
      <c r="I260">
        <f>IF(BD_Carga!R261&lt;&gt;"",BD_Carga!R261,"")</f>
        <v/>
      </c>
      <c r="J260">
        <f>IF(BD_Carga!S261&lt;&gt;"",BD_Carga!S261,"")</f>
        <v/>
      </c>
      <c r="K260" s="4">
        <f>IF(BD_Carga!E261&lt;&gt;"",BD_Carga!E261,0)</f>
        <v/>
      </c>
      <c r="L260" s="4">
        <f>IF(BD_Carga!F261&lt;&gt;"",BD_Carga!F261,0)</f>
        <v/>
      </c>
      <c r="M260" s="4">
        <f>IF(BD_Carga!G261&lt;&gt;"",BD_Carga!G261,0)</f>
        <v/>
      </c>
      <c r="N260" s="4">
        <f>IF(BD_Carga!H261&lt;&gt;"",BD_Carga!H261,0)</f>
        <v/>
      </c>
      <c r="O260" s="4">
        <f>IF(BD_Carga!I261&lt;&gt;"",BD_Carga!I261,0)</f>
        <v/>
      </c>
      <c r="P260" s="4">
        <f>IF(BD_Carga!J261&lt;&gt;"",BD_Carga!J261,0)</f>
        <v/>
      </c>
      <c r="Q260" s="5">
        <f>IF(BD_Carga!K261&lt;&gt;"",BD_Carga!K261,0)</f>
        <v/>
      </c>
      <c r="R260" s="5">
        <f>IF(BD_Carga!L261&lt;&gt;"",BD_Carga!L261,0)</f>
        <v/>
      </c>
      <c r="S260">
        <f>IF(BD_Carga!N261&lt;&gt;"",BD_Carga!N261,0)</f>
        <v/>
      </c>
      <c r="T260">
        <f>IF(BD_Carga!O261&lt;&gt;"",BD_Carga!O261,0)</f>
        <v/>
      </c>
      <c r="U260">
        <f>IF(BD_Carga!P261&lt;&gt;"",BD_Carga!P261,0)</f>
        <v/>
      </c>
      <c r="V260">
        <f>IF(BD_Carga!U261&lt;&gt;"",BD_Carga!U261,0)</f>
        <v/>
      </c>
      <c r="W260">
        <f>IF(BD_Carga!T261&lt;&gt;"",BD_Carga!T261,0)</f>
        <v/>
      </c>
      <c r="X260">
        <f>IF(BD_Carga!W261&lt;&gt;"",BD_Carga!W261,0)</f>
        <v/>
      </c>
      <c r="Y260">
        <f>IF(BD_Carga!X261&lt;&gt;"",BD_Carga!X261,0)</f>
        <v/>
      </c>
      <c r="Z260">
        <f>IF(BD_Carga!Y261&lt;&gt;"",BD_Carga!Y261,0)</f>
        <v/>
      </c>
      <c r="AA260">
        <f>IF(BD_Carga!Z261&lt;&gt;"",BD_Carga!Z261,0)</f>
        <v/>
      </c>
      <c r="AB260">
        <f>IF(BD_Carga!AA261&lt;&gt;"",BD_Carga!AA261,0)</f>
        <v/>
      </c>
      <c r="AC260" s="6">
        <f t="array" ref="AC260">IFERROR((L260-AVERAGEIF($G$2:$G$462,G260,$L$2:$L$462))/_xlfn.STDEV.P(IF($G$2:$G$462=G260,$L$2:$L$462)),0)</f>
        <v/>
      </c>
      <c r="AD260" s="6">
        <f t="array" ref="AD260">IFERROR((M260-AVERAGEIF($G$2:$G$462,G260,$M$2:$M$462))/_xlfn.STDEV.P(IF($G$2:$G$462=G260,$M$2:$M$462)),0)</f>
        <v/>
      </c>
      <c r="AE260" s="6">
        <f t="array" ref="AE260">IFERROR((N260-AVERAGEIF($G$2:$G$462,G260,$N$2:$N$462))/_xlfn.STDEV.P(IF($G$2:$G$462=G260,$N$2:$N$462)),0)</f>
        <v/>
      </c>
      <c r="AF260" s="6">
        <f t="array" ref="AF260">IFERROR((O260-AVERAGEIF($G$2:$G$462,G260,$O$2:$O$462))/_xlfn.STDEV.P(IF($G$2:$G$462=G260,$O$2:$O$462)),0)</f>
        <v/>
      </c>
      <c r="AG260" s="6">
        <f t="array" ref="AG260">IFERROR((P260-AVERAGEIF($G$2:$G$462,G260,$P$2:$P$462))/_xlfn.STDEV.P(IF($G$2:$G$462=G260,$P$2:$P$462)),0)</f>
        <v/>
      </c>
      <c r="AH260" s="6">
        <f t="array" ref="AH260">IFERROR((R260-AVERAGEIF($G$2:$G$462,G260,$R$2:$R$462))/_xlfn.STDEV.P(IF($G$2:$G$462=G260,$R$2:$R$462)),0)</f>
        <v/>
      </c>
      <c r="AI260" s="6">
        <f>IFERROR((AC260+AD260+AE260+AF260+AG260+AH260)/6,0)</f>
        <v/>
      </c>
    </row>
    <row r="261">
      <c r="A261" s="2">
        <f>IF(BD_Carga!A262&lt;&gt;"",BD_Carga!A262,"")</f>
        <v/>
      </c>
      <c r="B261">
        <f>IF(A261&lt;&gt;"",YEAR(A261),"")</f>
        <v/>
      </c>
      <c r="C261">
        <f>IF(A261&lt;&gt;"",MONTH(A261),"")</f>
        <v/>
      </c>
      <c r="D261">
        <f>IF(A261&lt;&gt;"",_xlfn.ISOWEEKNUM(A261),"")</f>
        <v/>
      </c>
      <c r="E261">
        <f>IF(A261&lt;&gt;"",TEXT(A261,"dddd"),"")</f>
        <v/>
      </c>
      <c r="F261">
        <f>IF(BD_Carga!C262&lt;&gt;"",BD_Carga!C262,"")</f>
        <v/>
      </c>
      <c r="G261">
        <f>IF(BD_Carga!D262&lt;&gt;"",BD_Carga!D262,"")</f>
        <v/>
      </c>
      <c r="H261">
        <f>IF(BD_Carga!Q262&lt;&gt;"",BD_Carga!Q262,"")</f>
        <v/>
      </c>
      <c r="I261">
        <f>IF(BD_Carga!R262&lt;&gt;"",BD_Carga!R262,"")</f>
        <v/>
      </c>
      <c r="J261">
        <f>IF(BD_Carga!S262&lt;&gt;"",BD_Carga!S262,"")</f>
        <v/>
      </c>
      <c r="K261" s="4">
        <f>IF(BD_Carga!E262&lt;&gt;"",BD_Carga!E262,0)</f>
        <v/>
      </c>
      <c r="L261" s="4">
        <f>IF(BD_Carga!F262&lt;&gt;"",BD_Carga!F262,0)</f>
        <v/>
      </c>
      <c r="M261" s="4">
        <f>IF(BD_Carga!G262&lt;&gt;"",BD_Carga!G262,0)</f>
        <v/>
      </c>
      <c r="N261" s="4">
        <f>IF(BD_Carga!H262&lt;&gt;"",BD_Carga!H262,0)</f>
        <v/>
      </c>
      <c r="O261" s="4">
        <f>IF(BD_Carga!I262&lt;&gt;"",BD_Carga!I262,0)</f>
        <v/>
      </c>
      <c r="P261" s="4">
        <f>IF(BD_Carga!J262&lt;&gt;"",BD_Carga!J262,0)</f>
        <v/>
      </c>
      <c r="Q261" s="5">
        <f>IF(BD_Carga!K262&lt;&gt;"",BD_Carga!K262,0)</f>
        <v/>
      </c>
      <c r="R261" s="5">
        <f>IF(BD_Carga!L262&lt;&gt;"",BD_Carga!L262,0)</f>
        <v/>
      </c>
      <c r="S261">
        <f>IF(BD_Carga!N262&lt;&gt;"",BD_Carga!N262,0)</f>
        <v/>
      </c>
      <c r="T261">
        <f>IF(BD_Carga!O262&lt;&gt;"",BD_Carga!O262,0)</f>
        <v/>
      </c>
      <c r="U261">
        <f>IF(BD_Carga!P262&lt;&gt;"",BD_Carga!P262,0)</f>
        <v/>
      </c>
      <c r="V261">
        <f>IF(BD_Carga!U262&lt;&gt;"",BD_Carga!U262,0)</f>
        <v/>
      </c>
      <c r="W261">
        <f>IF(BD_Carga!T262&lt;&gt;"",BD_Carga!T262,0)</f>
        <v/>
      </c>
      <c r="X261">
        <f>IF(BD_Carga!W262&lt;&gt;"",BD_Carga!W262,0)</f>
        <v/>
      </c>
      <c r="Y261">
        <f>IF(BD_Carga!X262&lt;&gt;"",BD_Carga!X262,0)</f>
        <v/>
      </c>
      <c r="Z261">
        <f>IF(BD_Carga!Y262&lt;&gt;"",BD_Carga!Y262,0)</f>
        <v/>
      </c>
      <c r="AA261">
        <f>IF(BD_Carga!Z262&lt;&gt;"",BD_Carga!Z262,0)</f>
        <v/>
      </c>
      <c r="AB261">
        <f>IF(BD_Carga!AA262&lt;&gt;"",BD_Carga!AA262,0)</f>
        <v/>
      </c>
      <c r="AC261" s="6">
        <f t="array" ref="AC261">IFERROR((L261-AVERAGEIF($G$2:$G$462,G261,$L$2:$L$462))/_xlfn.STDEV.P(IF($G$2:$G$462=G261,$L$2:$L$462)),0)</f>
        <v/>
      </c>
      <c r="AD261" s="6">
        <f t="array" ref="AD261">IFERROR((M261-AVERAGEIF($G$2:$G$462,G261,$M$2:$M$462))/_xlfn.STDEV.P(IF($G$2:$G$462=G261,$M$2:$M$462)),0)</f>
        <v/>
      </c>
      <c r="AE261" s="6">
        <f t="array" ref="AE261">IFERROR((N261-AVERAGEIF($G$2:$G$462,G261,$N$2:$N$462))/_xlfn.STDEV.P(IF($G$2:$G$462=G261,$N$2:$N$462)),0)</f>
        <v/>
      </c>
      <c r="AF261" s="6">
        <f t="array" ref="AF261">IFERROR((O261-AVERAGEIF($G$2:$G$462,G261,$O$2:$O$462))/_xlfn.STDEV.P(IF($G$2:$G$462=G261,$O$2:$O$462)),0)</f>
        <v/>
      </c>
      <c r="AG261" s="6">
        <f t="array" ref="AG261">IFERROR((P261-AVERAGEIF($G$2:$G$462,G261,$P$2:$P$462))/_xlfn.STDEV.P(IF($G$2:$G$462=G261,$P$2:$P$462)),0)</f>
        <v/>
      </c>
      <c r="AH261" s="6">
        <f t="array" ref="AH261">IFERROR((R261-AVERAGEIF($G$2:$G$462,G261,$R$2:$R$462))/_xlfn.STDEV.P(IF($G$2:$G$462=G261,$R$2:$R$462)),0)</f>
        <v/>
      </c>
      <c r="AI261" s="6">
        <f>IFERROR((AC261+AD261+AE261+AF261+AG261+AH261)/6,0)</f>
        <v/>
      </c>
    </row>
    <row r="262">
      <c r="A262" s="2">
        <f>IF(BD_Carga!A263&lt;&gt;"",BD_Carga!A263,"")</f>
        <v/>
      </c>
      <c r="B262">
        <f>IF(A262&lt;&gt;"",YEAR(A262),"")</f>
        <v/>
      </c>
      <c r="C262">
        <f>IF(A262&lt;&gt;"",MONTH(A262),"")</f>
        <v/>
      </c>
      <c r="D262">
        <f>IF(A262&lt;&gt;"",_xlfn.ISOWEEKNUM(A262),"")</f>
        <v/>
      </c>
      <c r="E262">
        <f>IF(A262&lt;&gt;"",TEXT(A262,"dddd"),"")</f>
        <v/>
      </c>
      <c r="F262">
        <f>IF(BD_Carga!C263&lt;&gt;"",BD_Carga!C263,"")</f>
        <v/>
      </c>
      <c r="G262">
        <f>IF(BD_Carga!D263&lt;&gt;"",BD_Carga!D263,"")</f>
        <v/>
      </c>
      <c r="H262">
        <f>IF(BD_Carga!Q263&lt;&gt;"",BD_Carga!Q263,"")</f>
        <v/>
      </c>
      <c r="I262">
        <f>IF(BD_Carga!R263&lt;&gt;"",BD_Carga!R263,"")</f>
        <v/>
      </c>
      <c r="J262">
        <f>IF(BD_Carga!S263&lt;&gt;"",BD_Carga!S263,"")</f>
        <v/>
      </c>
      <c r="K262" s="4">
        <f>IF(BD_Carga!E263&lt;&gt;"",BD_Carga!E263,0)</f>
        <v/>
      </c>
      <c r="L262" s="4">
        <f>IF(BD_Carga!F263&lt;&gt;"",BD_Carga!F263,0)</f>
        <v/>
      </c>
      <c r="M262" s="4">
        <f>IF(BD_Carga!G263&lt;&gt;"",BD_Carga!G263,0)</f>
        <v/>
      </c>
      <c r="N262" s="4">
        <f>IF(BD_Carga!H263&lt;&gt;"",BD_Carga!H263,0)</f>
        <v/>
      </c>
      <c r="O262" s="4">
        <f>IF(BD_Carga!I263&lt;&gt;"",BD_Carga!I263,0)</f>
        <v/>
      </c>
      <c r="P262" s="4">
        <f>IF(BD_Carga!J263&lt;&gt;"",BD_Carga!J263,0)</f>
        <v/>
      </c>
      <c r="Q262" s="5">
        <f>IF(BD_Carga!K263&lt;&gt;"",BD_Carga!K263,0)</f>
        <v/>
      </c>
      <c r="R262" s="5">
        <f>IF(BD_Carga!L263&lt;&gt;"",BD_Carga!L263,0)</f>
        <v/>
      </c>
      <c r="S262">
        <f>IF(BD_Carga!N263&lt;&gt;"",BD_Carga!N263,0)</f>
        <v/>
      </c>
      <c r="T262">
        <f>IF(BD_Carga!O263&lt;&gt;"",BD_Carga!O263,0)</f>
        <v/>
      </c>
      <c r="U262">
        <f>IF(BD_Carga!P263&lt;&gt;"",BD_Carga!P263,0)</f>
        <v/>
      </c>
      <c r="V262">
        <f>IF(BD_Carga!U263&lt;&gt;"",BD_Carga!U263,0)</f>
        <v/>
      </c>
      <c r="W262">
        <f>IF(BD_Carga!T263&lt;&gt;"",BD_Carga!T263,0)</f>
        <v/>
      </c>
      <c r="X262">
        <f>IF(BD_Carga!W263&lt;&gt;"",BD_Carga!W263,0)</f>
        <v/>
      </c>
      <c r="Y262">
        <f>IF(BD_Carga!X263&lt;&gt;"",BD_Carga!X263,0)</f>
        <v/>
      </c>
      <c r="Z262">
        <f>IF(BD_Carga!Y263&lt;&gt;"",BD_Carga!Y263,0)</f>
        <v/>
      </c>
      <c r="AA262">
        <f>IF(BD_Carga!Z263&lt;&gt;"",BD_Carga!Z263,0)</f>
        <v/>
      </c>
      <c r="AB262">
        <f>IF(BD_Carga!AA263&lt;&gt;"",BD_Carga!AA263,0)</f>
        <v/>
      </c>
      <c r="AC262" s="6">
        <f t="array" ref="AC262">IFERROR((L262-AVERAGEIF($G$2:$G$462,G262,$L$2:$L$462))/_xlfn.STDEV.P(IF($G$2:$G$462=G262,$L$2:$L$462)),0)</f>
        <v/>
      </c>
      <c r="AD262" s="6">
        <f t="array" ref="AD262">IFERROR((M262-AVERAGEIF($G$2:$G$462,G262,$M$2:$M$462))/_xlfn.STDEV.P(IF($G$2:$G$462=G262,$M$2:$M$462)),0)</f>
        <v/>
      </c>
      <c r="AE262" s="6">
        <f t="array" ref="AE262">IFERROR((N262-AVERAGEIF($G$2:$G$462,G262,$N$2:$N$462))/_xlfn.STDEV.P(IF($G$2:$G$462=G262,$N$2:$N$462)),0)</f>
        <v/>
      </c>
      <c r="AF262" s="6">
        <f t="array" ref="AF262">IFERROR((O262-AVERAGEIF($G$2:$G$462,G262,$O$2:$O$462))/_xlfn.STDEV.P(IF($G$2:$G$462=G262,$O$2:$O$462)),0)</f>
        <v/>
      </c>
      <c r="AG262" s="6">
        <f t="array" ref="AG262">IFERROR((P262-AVERAGEIF($G$2:$G$462,G262,$P$2:$P$462))/_xlfn.STDEV.P(IF($G$2:$G$462=G262,$P$2:$P$462)),0)</f>
        <v/>
      </c>
      <c r="AH262" s="6">
        <f t="array" ref="AH262">IFERROR((R262-AVERAGEIF($G$2:$G$462,G262,$R$2:$R$462))/_xlfn.STDEV.P(IF($G$2:$G$462=G262,$R$2:$R$462)),0)</f>
        <v/>
      </c>
      <c r="AI262" s="6">
        <f>IFERROR((AC262+AD262+AE262+AF262+AG262+AH262)/6,0)</f>
        <v/>
      </c>
    </row>
    <row r="263">
      <c r="A263" s="2">
        <f>IF(BD_Carga!A264&lt;&gt;"",BD_Carga!A264,"")</f>
        <v/>
      </c>
      <c r="B263">
        <f>IF(A263&lt;&gt;"",YEAR(A263),"")</f>
        <v/>
      </c>
      <c r="C263">
        <f>IF(A263&lt;&gt;"",MONTH(A263),"")</f>
        <v/>
      </c>
      <c r="D263">
        <f>IF(A263&lt;&gt;"",_xlfn.ISOWEEKNUM(A263),"")</f>
        <v/>
      </c>
      <c r="E263">
        <f>IF(A263&lt;&gt;"",TEXT(A263,"dddd"),"")</f>
        <v/>
      </c>
      <c r="F263">
        <f>IF(BD_Carga!C264&lt;&gt;"",BD_Carga!C264,"")</f>
        <v/>
      </c>
      <c r="G263">
        <f>IF(BD_Carga!D264&lt;&gt;"",BD_Carga!D264,"")</f>
        <v/>
      </c>
      <c r="H263">
        <f>IF(BD_Carga!Q264&lt;&gt;"",BD_Carga!Q264,"")</f>
        <v/>
      </c>
      <c r="I263">
        <f>IF(BD_Carga!R264&lt;&gt;"",BD_Carga!R264,"")</f>
        <v/>
      </c>
      <c r="J263">
        <f>IF(BD_Carga!S264&lt;&gt;"",BD_Carga!S264,"")</f>
        <v/>
      </c>
      <c r="K263" s="4">
        <f>IF(BD_Carga!E264&lt;&gt;"",BD_Carga!E264,0)</f>
        <v/>
      </c>
      <c r="L263" s="4">
        <f>IF(BD_Carga!F264&lt;&gt;"",BD_Carga!F264,0)</f>
        <v/>
      </c>
      <c r="M263" s="4">
        <f>IF(BD_Carga!G264&lt;&gt;"",BD_Carga!G264,0)</f>
        <v/>
      </c>
      <c r="N263" s="4">
        <f>IF(BD_Carga!H264&lt;&gt;"",BD_Carga!H264,0)</f>
        <v/>
      </c>
      <c r="O263" s="4">
        <f>IF(BD_Carga!I264&lt;&gt;"",BD_Carga!I264,0)</f>
        <v/>
      </c>
      <c r="P263" s="4">
        <f>IF(BD_Carga!J264&lt;&gt;"",BD_Carga!J264,0)</f>
        <v/>
      </c>
      <c r="Q263" s="5">
        <f>IF(BD_Carga!K264&lt;&gt;"",BD_Carga!K264,0)</f>
        <v/>
      </c>
      <c r="R263" s="5">
        <f>IF(BD_Carga!L264&lt;&gt;"",BD_Carga!L264,0)</f>
        <v/>
      </c>
      <c r="S263">
        <f>IF(BD_Carga!N264&lt;&gt;"",BD_Carga!N264,0)</f>
        <v/>
      </c>
      <c r="T263">
        <f>IF(BD_Carga!O264&lt;&gt;"",BD_Carga!O264,0)</f>
        <v/>
      </c>
      <c r="U263">
        <f>IF(BD_Carga!P264&lt;&gt;"",BD_Carga!P264,0)</f>
        <v/>
      </c>
      <c r="V263">
        <f>IF(BD_Carga!U264&lt;&gt;"",BD_Carga!U264,0)</f>
        <v/>
      </c>
      <c r="W263">
        <f>IF(BD_Carga!T264&lt;&gt;"",BD_Carga!T264,0)</f>
        <v/>
      </c>
      <c r="X263">
        <f>IF(BD_Carga!W264&lt;&gt;"",BD_Carga!W264,0)</f>
        <v/>
      </c>
      <c r="Y263">
        <f>IF(BD_Carga!X264&lt;&gt;"",BD_Carga!X264,0)</f>
        <v/>
      </c>
      <c r="Z263">
        <f>IF(BD_Carga!Y264&lt;&gt;"",BD_Carga!Y264,0)</f>
        <v/>
      </c>
      <c r="AA263">
        <f>IF(BD_Carga!Z264&lt;&gt;"",BD_Carga!Z264,0)</f>
        <v/>
      </c>
      <c r="AB263">
        <f>IF(BD_Carga!AA264&lt;&gt;"",BD_Carga!AA264,0)</f>
        <v/>
      </c>
      <c r="AC263" s="6">
        <f t="array" ref="AC263">IFERROR((L263-AVERAGEIF($G$2:$G$462,G263,$L$2:$L$462))/_xlfn.STDEV.P(IF($G$2:$G$462=G263,$L$2:$L$462)),0)</f>
        <v/>
      </c>
      <c r="AD263" s="6">
        <f t="array" ref="AD263">IFERROR((M263-AVERAGEIF($G$2:$G$462,G263,$M$2:$M$462))/_xlfn.STDEV.P(IF($G$2:$G$462=G263,$M$2:$M$462)),0)</f>
        <v/>
      </c>
      <c r="AE263" s="6">
        <f t="array" ref="AE263">IFERROR((N263-AVERAGEIF($G$2:$G$462,G263,$N$2:$N$462))/_xlfn.STDEV.P(IF($G$2:$G$462=G263,$N$2:$N$462)),0)</f>
        <v/>
      </c>
      <c r="AF263" s="6">
        <f t="array" ref="AF263">IFERROR((O263-AVERAGEIF($G$2:$G$462,G263,$O$2:$O$462))/_xlfn.STDEV.P(IF($G$2:$G$462=G263,$O$2:$O$462)),0)</f>
        <v/>
      </c>
      <c r="AG263" s="6">
        <f t="array" ref="AG263">IFERROR((P263-AVERAGEIF($G$2:$G$462,G263,$P$2:$P$462))/_xlfn.STDEV.P(IF($G$2:$G$462=G263,$P$2:$P$462)),0)</f>
        <v/>
      </c>
      <c r="AH263" s="6">
        <f t="array" ref="AH263">IFERROR((R263-AVERAGEIF($G$2:$G$462,G263,$R$2:$R$462))/_xlfn.STDEV.P(IF($G$2:$G$462=G263,$R$2:$R$462)),0)</f>
        <v/>
      </c>
      <c r="AI263" s="6">
        <f>IFERROR((AC263+AD263+AE263+AF263+AG263+AH263)/6,0)</f>
        <v/>
      </c>
    </row>
    <row r="264">
      <c r="A264" s="2">
        <f>IF(BD_Carga!A265&lt;&gt;"",BD_Carga!A265,"")</f>
        <v/>
      </c>
      <c r="B264">
        <f>IF(A264&lt;&gt;"",YEAR(A264),"")</f>
        <v/>
      </c>
      <c r="C264">
        <f>IF(A264&lt;&gt;"",MONTH(A264),"")</f>
        <v/>
      </c>
      <c r="D264">
        <f>IF(A264&lt;&gt;"",_xlfn.ISOWEEKNUM(A264),"")</f>
        <v/>
      </c>
      <c r="E264">
        <f>IF(A264&lt;&gt;"",TEXT(A264,"dddd"),"")</f>
        <v/>
      </c>
      <c r="F264">
        <f>IF(BD_Carga!C265&lt;&gt;"",BD_Carga!C265,"")</f>
        <v/>
      </c>
      <c r="G264">
        <f>IF(BD_Carga!D265&lt;&gt;"",BD_Carga!D265,"")</f>
        <v/>
      </c>
      <c r="H264">
        <f>IF(BD_Carga!Q265&lt;&gt;"",BD_Carga!Q265,"")</f>
        <v/>
      </c>
      <c r="I264">
        <f>IF(BD_Carga!R265&lt;&gt;"",BD_Carga!R265,"")</f>
        <v/>
      </c>
      <c r="J264">
        <f>IF(BD_Carga!S265&lt;&gt;"",BD_Carga!S265,"")</f>
        <v/>
      </c>
      <c r="K264" s="4">
        <f>IF(BD_Carga!E265&lt;&gt;"",BD_Carga!E265,0)</f>
        <v/>
      </c>
      <c r="L264" s="4">
        <f>IF(BD_Carga!F265&lt;&gt;"",BD_Carga!F265,0)</f>
        <v/>
      </c>
      <c r="M264" s="4">
        <f>IF(BD_Carga!G265&lt;&gt;"",BD_Carga!G265,0)</f>
        <v/>
      </c>
      <c r="N264" s="4">
        <f>IF(BD_Carga!H265&lt;&gt;"",BD_Carga!H265,0)</f>
        <v/>
      </c>
      <c r="O264" s="4">
        <f>IF(BD_Carga!I265&lt;&gt;"",BD_Carga!I265,0)</f>
        <v/>
      </c>
      <c r="P264" s="4">
        <f>IF(BD_Carga!J265&lt;&gt;"",BD_Carga!J265,0)</f>
        <v/>
      </c>
      <c r="Q264" s="5">
        <f>IF(BD_Carga!K265&lt;&gt;"",BD_Carga!K265,0)</f>
        <v/>
      </c>
      <c r="R264" s="5">
        <f>IF(BD_Carga!L265&lt;&gt;"",BD_Carga!L265,0)</f>
        <v/>
      </c>
      <c r="S264">
        <f>IF(BD_Carga!N265&lt;&gt;"",BD_Carga!N265,0)</f>
        <v/>
      </c>
      <c r="T264">
        <f>IF(BD_Carga!O265&lt;&gt;"",BD_Carga!O265,0)</f>
        <v/>
      </c>
      <c r="U264">
        <f>IF(BD_Carga!P265&lt;&gt;"",BD_Carga!P265,0)</f>
        <v/>
      </c>
      <c r="V264">
        <f>IF(BD_Carga!U265&lt;&gt;"",BD_Carga!U265,0)</f>
        <v/>
      </c>
      <c r="W264">
        <f>IF(BD_Carga!T265&lt;&gt;"",BD_Carga!T265,0)</f>
        <v/>
      </c>
      <c r="X264">
        <f>IF(BD_Carga!W265&lt;&gt;"",BD_Carga!W265,0)</f>
        <v/>
      </c>
      <c r="Y264">
        <f>IF(BD_Carga!X265&lt;&gt;"",BD_Carga!X265,0)</f>
        <v/>
      </c>
      <c r="Z264">
        <f>IF(BD_Carga!Y265&lt;&gt;"",BD_Carga!Y265,0)</f>
        <v/>
      </c>
      <c r="AA264">
        <f>IF(BD_Carga!Z265&lt;&gt;"",BD_Carga!Z265,0)</f>
        <v/>
      </c>
      <c r="AB264">
        <f>IF(BD_Carga!AA265&lt;&gt;"",BD_Carga!AA265,0)</f>
        <v/>
      </c>
      <c r="AC264" s="6">
        <f t="array" ref="AC264">IFERROR((L264-AVERAGEIF($G$2:$G$462,G264,$L$2:$L$462))/_xlfn.STDEV.P(IF($G$2:$G$462=G264,$L$2:$L$462)),0)</f>
        <v/>
      </c>
      <c r="AD264" s="6">
        <f t="array" ref="AD264">IFERROR((M264-AVERAGEIF($G$2:$G$462,G264,$M$2:$M$462))/_xlfn.STDEV.P(IF($G$2:$G$462=G264,$M$2:$M$462)),0)</f>
        <v/>
      </c>
      <c r="AE264" s="6">
        <f t="array" ref="AE264">IFERROR((N264-AVERAGEIF($G$2:$G$462,G264,$N$2:$N$462))/_xlfn.STDEV.P(IF($G$2:$G$462=G264,$N$2:$N$462)),0)</f>
        <v/>
      </c>
      <c r="AF264" s="6">
        <f t="array" ref="AF264">IFERROR((O264-AVERAGEIF($G$2:$G$462,G264,$O$2:$O$462))/_xlfn.STDEV.P(IF($G$2:$G$462=G264,$O$2:$O$462)),0)</f>
        <v/>
      </c>
      <c r="AG264" s="6">
        <f t="array" ref="AG264">IFERROR((P264-AVERAGEIF($G$2:$G$462,G264,$P$2:$P$462))/_xlfn.STDEV.P(IF($G$2:$G$462=G264,$P$2:$P$462)),0)</f>
        <v/>
      </c>
      <c r="AH264" s="6">
        <f t="array" ref="AH264">IFERROR((R264-AVERAGEIF($G$2:$G$462,G264,$R$2:$R$462))/_xlfn.STDEV.P(IF($G$2:$G$462=G264,$R$2:$R$462)),0)</f>
        <v/>
      </c>
      <c r="AI264" s="6">
        <f>IFERROR((AC264+AD264+AE264+AF264+AG264+AH264)/6,0)</f>
        <v/>
      </c>
    </row>
    <row r="265">
      <c r="A265" s="2">
        <f>IF(BD_Carga!A266&lt;&gt;"",BD_Carga!A266,"")</f>
        <v/>
      </c>
      <c r="B265">
        <f>IF(A265&lt;&gt;"",YEAR(A265),"")</f>
        <v/>
      </c>
      <c r="C265">
        <f>IF(A265&lt;&gt;"",MONTH(A265),"")</f>
        <v/>
      </c>
      <c r="D265">
        <f>IF(A265&lt;&gt;"",_xlfn.ISOWEEKNUM(A265),"")</f>
        <v/>
      </c>
      <c r="E265">
        <f>IF(A265&lt;&gt;"",TEXT(A265,"dddd"),"")</f>
        <v/>
      </c>
      <c r="F265">
        <f>IF(BD_Carga!C266&lt;&gt;"",BD_Carga!C266,"")</f>
        <v/>
      </c>
      <c r="G265">
        <f>IF(BD_Carga!D266&lt;&gt;"",BD_Carga!D266,"")</f>
        <v/>
      </c>
      <c r="H265">
        <f>IF(BD_Carga!Q266&lt;&gt;"",BD_Carga!Q266,"")</f>
        <v/>
      </c>
      <c r="I265">
        <f>IF(BD_Carga!R266&lt;&gt;"",BD_Carga!R266,"")</f>
        <v/>
      </c>
      <c r="J265">
        <f>IF(BD_Carga!S266&lt;&gt;"",BD_Carga!S266,"")</f>
        <v/>
      </c>
      <c r="K265" s="4">
        <f>IF(BD_Carga!E266&lt;&gt;"",BD_Carga!E266,0)</f>
        <v/>
      </c>
      <c r="L265" s="4">
        <f>IF(BD_Carga!F266&lt;&gt;"",BD_Carga!F266,0)</f>
        <v/>
      </c>
      <c r="M265" s="4">
        <f>IF(BD_Carga!G266&lt;&gt;"",BD_Carga!G266,0)</f>
        <v/>
      </c>
      <c r="N265" s="4">
        <f>IF(BD_Carga!H266&lt;&gt;"",BD_Carga!H266,0)</f>
        <v/>
      </c>
      <c r="O265" s="4">
        <f>IF(BD_Carga!I266&lt;&gt;"",BD_Carga!I266,0)</f>
        <v/>
      </c>
      <c r="P265" s="4">
        <f>IF(BD_Carga!J266&lt;&gt;"",BD_Carga!J266,0)</f>
        <v/>
      </c>
      <c r="Q265" s="5">
        <f>IF(BD_Carga!K266&lt;&gt;"",BD_Carga!K266,0)</f>
        <v/>
      </c>
      <c r="R265" s="5">
        <f>IF(BD_Carga!L266&lt;&gt;"",BD_Carga!L266,0)</f>
        <v/>
      </c>
      <c r="S265">
        <f>IF(BD_Carga!N266&lt;&gt;"",BD_Carga!N266,0)</f>
        <v/>
      </c>
      <c r="T265">
        <f>IF(BD_Carga!O266&lt;&gt;"",BD_Carga!O266,0)</f>
        <v/>
      </c>
      <c r="U265">
        <f>IF(BD_Carga!P266&lt;&gt;"",BD_Carga!P266,0)</f>
        <v/>
      </c>
      <c r="V265">
        <f>IF(BD_Carga!U266&lt;&gt;"",BD_Carga!U266,0)</f>
        <v/>
      </c>
      <c r="W265">
        <f>IF(BD_Carga!T266&lt;&gt;"",BD_Carga!T266,0)</f>
        <v/>
      </c>
      <c r="X265">
        <f>IF(BD_Carga!W266&lt;&gt;"",BD_Carga!W266,0)</f>
        <v/>
      </c>
      <c r="Y265">
        <f>IF(BD_Carga!X266&lt;&gt;"",BD_Carga!X266,0)</f>
        <v/>
      </c>
      <c r="Z265">
        <f>IF(BD_Carga!Y266&lt;&gt;"",BD_Carga!Y266,0)</f>
        <v/>
      </c>
      <c r="AA265">
        <f>IF(BD_Carga!Z266&lt;&gt;"",BD_Carga!Z266,0)</f>
        <v/>
      </c>
      <c r="AB265">
        <f>IF(BD_Carga!AA266&lt;&gt;"",BD_Carga!AA266,0)</f>
        <v/>
      </c>
      <c r="AC265" s="6">
        <f t="array" ref="AC265">IFERROR((L265-AVERAGEIF($G$2:$G$462,G265,$L$2:$L$462))/_xlfn.STDEV.P(IF($G$2:$G$462=G265,$L$2:$L$462)),0)</f>
        <v/>
      </c>
      <c r="AD265" s="6">
        <f t="array" ref="AD265">IFERROR((M265-AVERAGEIF($G$2:$G$462,G265,$M$2:$M$462))/_xlfn.STDEV.P(IF($G$2:$G$462=G265,$M$2:$M$462)),0)</f>
        <v/>
      </c>
      <c r="AE265" s="6">
        <f t="array" ref="AE265">IFERROR((N265-AVERAGEIF($G$2:$G$462,G265,$N$2:$N$462))/_xlfn.STDEV.P(IF($G$2:$G$462=G265,$N$2:$N$462)),0)</f>
        <v/>
      </c>
      <c r="AF265" s="6">
        <f t="array" ref="AF265">IFERROR((O265-AVERAGEIF($G$2:$G$462,G265,$O$2:$O$462))/_xlfn.STDEV.P(IF($G$2:$G$462=G265,$O$2:$O$462)),0)</f>
        <v/>
      </c>
      <c r="AG265" s="6">
        <f t="array" ref="AG265">IFERROR((P265-AVERAGEIF($G$2:$G$462,G265,$P$2:$P$462))/_xlfn.STDEV.P(IF($G$2:$G$462=G265,$P$2:$P$462)),0)</f>
        <v/>
      </c>
      <c r="AH265" s="6">
        <f t="array" ref="AH265">IFERROR((R265-AVERAGEIF($G$2:$G$462,G265,$R$2:$R$462))/_xlfn.STDEV.P(IF($G$2:$G$462=G265,$R$2:$R$462)),0)</f>
        <v/>
      </c>
      <c r="AI265" s="6">
        <f>IFERROR((AC265+AD265+AE265+AF265+AG265+AH265)/6,0)</f>
        <v/>
      </c>
    </row>
    <row r="266">
      <c r="A266" s="2">
        <f>IF(BD_Carga!A267&lt;&gt;"",BD_Carga!A267,"")</f>
        <v/>
      </c>
      <c r="B266">
        <f>IF(A266&lt;&gt;"",YEAR(A266),"")</f>
        <v/>
      </c>
      <c r="C266">
        <f>IF(A266&lt;&gt;"",MONTH(A266),"")</f>
        <v/>
      </c>
      <c r="D266">
        <f>IF(A266&lt;&gt;"",_xlfn.ISOWEEKNUM(A266),"")</f>
        <v/>
      </c>
      <c r="E266">
        <f>IF(A266&lt;&gt;"",TEXT(A266,"dddd"),"")</f>
        <v/>
      </c>
      <c r="F266">
        <f>IF(BD_Carga!C267&lt;&gt;"",BD_Carga!C267,"")</f>
        <v/>
      </c>
      <c r="G266">
        <f>IF(BD_Carga!D267&lt;&gt;"",BD_Carga!D267,"")</f>
        <v/>
      </c>
      <c r="H266">
        <f>IF(BD_Carga!Q267&lt;&gt;"",BD_Carga!Q267,"")</f>
        <v/>
      </c>
      <c r="I266">
        <f>IF(BD_Carga!R267&lt;&gt;"",BD_Carga!R267,"")</f>
        <v/>
      </c>
      <c r="J266">
        <f>IF(BD_Carga!S267&lt;&gt;"",BD_Carga!S267,"")</f>
        <v/>
      </c>
      <c r="K266" s="4">
        <f>IF(BD_Carga!E267&lt;&gt;"",BD_Carga!E267,0)</f>
        <v/>
      </c>
      <c r="L266" s="4">
        <f>IF(BD_Carga!F267&lt;&gt;"",BD_Carga!F267,0)</f>
        <v/>
      </c>
      <c r="M266" s="4">
        <f>IF(BD_Carga!G267&lt;&gt;"",BD_Carga!G267,0)</f>
        <v/>
      </c>
      <c r="N266" s="4">
        <f>IF(BD_Carga!H267&lt;&gt;"",BD_Carga!H267,0)</f>
        <v/>
      </c>
      <c r="O266" s="4">
        <f>IF(BD_Carga!I267&lt;&gt;"",BD_Carga!I267,0)</f>
        <v/>
      </c>
      <c r="P266" s="4">
        <f>IF(BD_Carga!J267&lt;&gt;"",BD_Carga!J267,0)</f>
        <v/>
      </c>
      <c r="Q266" s="5">
        <f>IF(BD_Carga!K267&lt;&gt;"",BD_Carga!K267,0)</f>
        <v/>
      </c>
      <c r="R266" s="5">
        <f>IF(BD_Carga!L267&lt;&gt;"",BD_Carga!L267,0)</f>
        <v/>
      </c>
      <c r="S266">
        <f>IF(BD_Carga!N267&lt;&gt;"",BD_Carga!N267,0)</f>
        <v/>
      </c>
      <c r="T266">
        <f>IF(BD_Carga!O267&lt;&gt;"",BD_Carga!O267,0)</f>
        <v/>
      </c>
      <c r="U266">
        <f>IF(BD_Carga!P267&lt;&gt;"",BD_Carga!P267,0)</f>
        <v/>
      </c>
      <c r="V266">
        <f>IF(BD_Carga!U267&lt;&gt;"",BD_Carga!U267,0)</f>
        <v/>
      </c>
      <c r="W266">
        <f>IF(BD_Carga!T267&lt;&gt;"",BD_Carga!T267,0)</f>
        <v/>
      </c>
      <c r="X266">
        <f>IF(BD_Carga!W267&lt;&gt;"",BD_Carga!W267,0)</f>
        <v/>
      </c>
      <c r="Y266">
        <f>IF(BD_Carga!X267&lt;&gt;"",BD_Carga!X267,0)</f>
        <v/>
      </c>
      <c r="Z266">
        <f>IF(BD_Carga!Y267&lt;&gt;"",BD_Carga!Y267,0)</f>
        <v/>
      </c>
      <c r="AA266">
        <f>IF(BD_Carga!Z267&lt;&gt;"",BD_Carga!Z267,0)</f>
        <v/>
      </c>
      <c r="AB266">
        <f>IF(BD_Carga!AA267&lt;&gt;"",BD_Carga!AA267,0)</f>
        <v/>
      </c>
      <c r="AC266" s="6">
        <f t="array" ref="AC266">IFERROR((L266-AVERAGEIF($G$2:$G$462,G266,$L$2:$L$462))/_xlfn.STDEV.P(IF($G$2:$G$462=G266,$L$2:$L$462)),0)</f>
        <v/>
      </c>
      <c r="AD266" s="6">
        <f t="array" ref="AD266">IFERROR((M266-AVERAGEIF($G$2:$G$462,G266,$M$2:$M$462))/_xlfn.STDEV.P(IF($G$2:$G$462=G266,$M$2:$M$462)),0)</f>
        <v/>
      </c>
      <c r="AE266" s="6">
        <f t="array" ref="AE266">IFERROR((N266-AVERAGEIF($G$2:$G$462,G266,$N$2:$N$462))/_xlfn.STDEV.P(IF($G$2:$G$462=G266,$N$2:$N$462)),0)</f>
        <v/>
      </c>
      <c r="AF266" s="6">
        <f t="array" ref="AF266">IFERROR((O266-AVERAGEIF($G$2:$G$462,G266,$O$2:$O$462))/_xlfn.STDEV.P(IF($G$2:$G$462=G266,$O$2:$O$462)),0)</f>
        <v/>
      </c>
      <c r="AG266" s="6">
        <f t="array" ref="AG266">IFERROR((P266-AVERAGEIF($G$2:$G$462,G266,$P$2:$P$462))/_xlfn.STDEV.P(IF($G$2:$G$462=G266,$P$2:$P$462)),0)</f>
        <v/>
      </c>
      <c r="AH266" s="6">
        <f t="array" ref="AH266">IFERROR((R266-AVERAGEIF($G$2:$G$462,G266,$R$2:$R$462))/_xlfn.STDEV.P(IF($G$2:$G$462=G266,$R$2:$R$462)),0)</f>
        <v/>
      </c>
      <c r="AI266" s="6">
        <f>IFERROR((AC266+AD266+AE266+AF266+AG266+AH266)/6,0)</f>
        <v/>
      </c>
    </row>
    <row r="267">
      <c r="A267" s="2">
        <f>IF(BD_Carga!A268&lt;&gt;"",BD_Carga!A268,"")</f>
        <v/>
      </c>
      <c r="B267">
        <f>IF(A267&lt;&gt;"",YEAR(A267),"")</f>
        <v/>
      </c>
      <c r="C267">
        <f>IF(A267&lt;&gt;"",MONTH(A267),"")</f>
        <v/>
      </c>
      <c r="D267">
        <f>IF(A267&lt;&gt;"",_xlfn.ISOWEEKNUM(A267),"")</f>
        <v/>
      </c>
      <c r="E267">
        <f>IF(A267&lt;&gt;"",TEXT(A267,"dddd"),"")</f>
        <v/>
      </c>
      <c r="F267">
        <f>IF(BD_Carga!C268&lt;&gt;"",BD_Carga!C268,"")</f>
        <v/>
      </c>
      <c r="G267">
        <f>IF(BD_Carga!D268&lt;&gt;"",BD_Carga!D268,"")</f>
        <v/>
      </c>
      <c r="H267">
        <f>IF(BD_Carga!Q268&lt;&gt;"",BD_Carga!Q268,"")</f>
        <v/>
      </c>
      <c r="I267">
        <f>IF(BD_Carga!R268&lt;&gt;"",BD_Carga!R268,"")</f>
        <v/>
      </c>
      <c r="J267">
        <f>IF(BD_Carga!S268&lt;&gt;"",BD_Carga!S268,"")</f>
        <v/>
      </c>
      <c r="K267" s="4">
        <f>IF(BD_Carga!E268&lt;&gt;"",BD_Carga!E268,0)</f>
        <v/>
      </c>
      <c r="L267" s="4">
        <f>IF(BD_Carga!F268&lt;&gt;"",BD_Carga!F268,0)</f>
        <v/>
      </c>
      <c r="M267" s="4">
        <f>IF(BD_Carga!G268&lt;&gt;"",BD_Carga!G268,0)</f>
        <v/>
      </c>
      <c r="N267" s="4">
        <f>IF(BD_Carga!H268&lt;&gt;"",BD_Carga!H268,0)</f>
        <v/>
      </c>
      <c r="O267" s="4">
        <f>IF(BD_Carga!I268&lt;&gt;"",BD_Carga!I268,0)</f>
        <v/>
      </c>
      <c r="P267" s="4">
        <f>IF(BD_Carga!J268&lt;&gt;"",BD_Carga!J268,0)</f>
        <v/>
      </c>
      <c r="Q267" s="5">
        <f>IF(BD_Carga!K268&lt;&gt;"",BD_Carga!K268,0)</f>
        <v/>
      </c>
      <c r="R267" s="5">
        <f>IF(BD_Carga!L268&lt;&gt;"",BD_Carga!L268,0)</f>
        <v/>
      </c>
      <c r="S267">
        <f>IF(BD_Carga!N268&lt;&gt;"",BD_Carga!N268,0)</f>
        <v/>
      </c>
      <c r="T267">
        <f>IF(BD_Carga!O268&lt;&gt;"",BD_Carga!O268,0)</f>
        <v/>
      </c>
      <c r="U267">
        <f>IF(BD_Carga!P268&lt;&gt;"",BD_Carga!P268,0)</f>
        <v/>
      </c>
      <c r="V267">
        <f>IF(BD_Carga!U268&lt;&gt;"",BD_Carga!U268,0)</f>
        <v/>
      </c>
      <c r="W267">
        <f>IF(BD_Carga!T268&lt;&gt;"",BD_Carga!T268,0)</f>
        <v/>
      </c>
      <c r="X267">
        <f>IF(BD_Carga!W268&lt;&gt;"",BD_Carga!W268,0)</f>
        <v/>
      </c>
      <c r="Y267">
        <f>IF(BD_Carga!X268&lt;&gt;"",BD_Carga!X268,0)</f>
        <v/>
      </c>
      <c r="Z267">
        <f>IF(BD_Carga!Y268&lt;&gt;"",BD_Carga!Y268,0)</f>
        <v/>
      </c>
      <c r="AA267">
        <f>IF(BD_Carga!Z268&lt;&gt;"",BD_Carga!Z268,0)</f>
        <v/>
      </c>
      <c r="AB267">
        <f>IF(BD_Carga!AA268&lt;&gt;"",BD_Carga!AA268,0)</f>
        <v/>
      </c>
      <c r="AC267" s="6">
        <f t="array" ref="AC267">IFERROR((L267-AVERAGEIF($G$2:$G$462,G267,$L$2:$L$462))/_xlfn.STDEV.P(IF($G$2:$G$462=G267,$L$2:$L$462)),0)</f>
        <v/>
      </c>
      <c r="AD267" s="6">
        <f t="array" ref="AD267">IFERROR((M267-AVERAGEIF($G$2:$G$462,G267,$M$2:$M$462))/_xlfn.STDEV.P(IF($G$2:$G$462=G267,$M$2:$M$462)),0)</f>
        <v/>
      </c>
      <c r="AE267" s="6">
        <f t="array" ref="AE267">IFERROR((N267-AVERAGEIF($G$2:$G$462,G267,$N$2:$N$462))/_xlfn.STDEV.P(IF($G$2:$G$462=G267,$N$2:$N$462)),0)</f>
        <v/>
      </c>
      <c r="AF267" s="6">
        <f t="array" ref="AF267">IFERROR((O267-AVERAGEIF($G$2:$G$462,G267,$O$2:$O$462))/_xlfn.STDEV.P(IF($G$2:$G$462=G267,$O$2:$O$462)),0)</f>
        <v/>
      </c>
      <c r="AG267" s="6">
        <f t="array" ref="AG267">IFERROR((P267-AVERAGEIF($G$2:$G$462,G267,$P$2:$P$462))/_xlfn.STDEV.P(IF($G$2:$G$462=G267,$P$2:$P$462)),0)</f>
        <v/>
      </c>
      <c r="AH267" s="6">
        <f t="array" ref="AH267">IFERROR((R267-AVERAGEIF($G$2:$G$462,G267,$R$2:$R$462))/_xlfn.STDEV.P(IF($G$2:$G$462=G267,$R$2:$R$462)),0)</f>
        <v/>
      </c>
      <c r="AI267" s="6">
        <f>IFERROR((AC267+AD267+AE267+AF267+AG267+AH267)/6,0)</f>
        <v/>
      </c>
    </row>
    <row r="268">
      <c r="A268" s="2">
        <f>IF(BD_Carga!A269&lt;&gt;"",BD_Carga!A269,"")</f>
        <v/>
      </c>
      <c r="B268">
        <f>IF(A268&lt;&gt;"",YEAR(A268),"")</f>
        <v/>
      </c>
      <c r="C268">
        <f>IF(A268&lt;&gt;"",MONTH(A268),"")</f>
        <v/>
      </c>
      <c r="D268">
        <f>IF(A268&lt;&gt;"",_xlfn.ISOWEEKNUM(A268),"")</f>
        <v/>
      </c>
      <c r="E268">
        <f>IF(A268&lt;&gt;"",TEXT(A268,"dddd"),"")</f>
        <v/>
      </c>
      <c r="F268">
        <f>IF(BD_Carga!C269&lt;&gt;"",BD_Carga!C269,"")</f>
        <v/>
      </c>
      <c r="G268">
        <f>IF(BD_Carga!D269&lt;&gt;"",BD_Carga!D269,"")</f>
        <v/>
      </c>
      <c r="H268">
        <f>IF(BD_Carga!Q269&lt;&gt;"",BD_Carga!Q269,"")</f>
        <v/>
      </c>
      <c r="I268">
        <f>IF(BD_Carga!R269&lt;&gt;"",BD_Carga!R269,"")</f>
        <v/>
      </c>
      <c r="J268">
        <f>IF(BD_Carga!S269&lt;&gt;"",BD_Carga!S269,"")</f>
        <v/>
      </c>
      <c r="K268" s="4">
        <f>IF(BD_Carga!E269&lt;&gt;"",BD_Carga!E269,0)</f>
        <v/>
      </c>
      <c r="L268" s="4">
        <f>IF(BD_Carga!F269&lt;&gt;"",BD_Carga!F269,0)</f>
        <v/>
      </c>
      <c r="M268" s="4">
        <f>IF(BD_Carga!G269&lt;&gt;"",BD_Carga!G269,0)</f>
        <v/>
      </c>
      <c r="N268" s="4">
        <f>IF(BD_Carga!H269&lt;&gt;"",BD_Carga!H269,0)</f>
        <v/>
      </c>
      <c r="O268" s="4">
        <f>IF(BD_Carga!I269&lt;&gt;"",BD_Carga!I269,0)</f>
        <v/>
      </c>
      <c r="P268" s="4">
        <f>IF(BD_Carga!J269&lt;&gt;"",BD_Carga!J269,0)</f>
        <v/>
      </c>
      <c r="Q268" s="5">
        <f>IF(BD_Carga!K269&lt;&gt;"",BD_Carga!K269,0)</f>
        <v/>
      </c>
      <c r="R268" s="5">
        <f>IF(BD_Carga!L269&lt;&gt;"",BD_Carga!L269,0)</f>
        <v/>
      </c>
      <c r="S268">
        <f>IF(BD_Carga!N269&lt;&gt;"",BD_Carga!N269,0)</f>
        <v/>
      </c>
      <c r="T268">
        <f>IF(BD_Carga!O269&lt;&gt;"",BD_Carga!O269,0)</f>
        <v/>
      </c>
      <c r="U268">
        <f>IF(BD_Carga!P269&lt;&gt;"",BD_Carga!P269,0)</f>
        <v/>
      </c>
      <c r="V268">
        <f>IF(BD_Carga!U269&lt;&gt;"",BD_Carga!U269,0)</f>
        <v/>
      </c>
      <c r="W268">
        <f>IF(BD_Carga!T269&lt;&gt;"",BD_Carga!T269,0)</f>
        <v/>
      </c>
      <c r="X268">
        <f>IF(BD_Carga!W269&lt;&gt;"",BD_Carga!W269,0)</f>
        <v/>
      </c>
      <c r="Y268">
        <f>IF(BD_Carga!X269&lt;&gt;"",BD_Carga!X269,0)</f>
        <v/>
      </c>
      <c r="Z268">
        <f>IF(BD_Carga!Y269&lt;&gt;"",BD_Carga!Y269,0)</f>
        <v/>
      </c>
      <c r="AA268">
        <f>IF(BD_Carga!Z269&lt;&gt;"",BD_Carga!Z269,0)</f>
        <v/>
      </c>
      <c r="AB268">
        <f>IF(BD_Carga!AA269&lt;&gt;"",BD_Carga!AA269,0)</f>
        <v/>
      </c>
      <c r="AC268" s="6">
        <f t="array" ref="AC268">IFERROR((L268-AVERAGEIF($G$2:$G$462,G268,$L$2:$L$462))/_xlfn.STDEV.P(IF($G$2:$G$462=G268,$L$2:$L$462)),0)</f>
        <v/>
      </c>
      <c r="AD268" s="6">
        <f t="array" ref="AD268">IFERROR((M268-AVERAGEIF($G$2:$G$462,G268,$M$2:$M$462))/_xlfn.STDEV.P(IF($G$2:$G$462=G268,$M$2:$M$462)),0)</f>
        <v/>
      </c>
      <c r="AE268" s="6">
        <f t="array" ref="AE268">IFERROR((N268-AVERAGEIF($G$2:$G$462,G268,$N$2:$N$462))/_xlfn.STDEV.P(IF($G$2:$G$462=G268,$N$2:$N$462)),0)</f>
        <v/>
      </c>
      <c r="AF268" s="6">
        <f t="array" ref="AF268">IFERROR((O268-AVERAGEIF($G$2:$G$462,G268,$O$2:$O$462))/_xlfn.STDEV.P(IF($G$2:$G$462=G268,$O$2:$O$462)),0)</f>
        <v/>
      </c>
      <c r="AG268" s="6">
        <f t="array" ref="AG268">IFERROR((P268-AVERAGEIF($G$2:$G$462,G268,$P$2:$P$462))/_xlfn.STDEV.P(IF($G$2:$G$462=G268,$P$2:$P$462)),0)</f>
        <v/>
      </c>
      <c r="AH268" s="6">
        <f t="array" ref="AH268">IFERROR((R268-AVERAGEIF($G$2:$G$462,G268,$R$2:$R$462))/_xlfn.STDEV.P(IF($G$2:$G$462=G268,$R$2:$R$462)),0)</f>
        <v/>
      </c>
      <c r="AI268" s="6">
        <f>IFERROR((AC268+AD268+AE268+AF268+AG268+AH268)/6,0)</f>
        <v/>
      </c>
    </row>
    <row r="269">
      <c r="A269" s="2">
        <f>IF(BD_Carga!A270&lt;&gt;"",BD_Carga!A270,"")</f>
        <v/>
      </c>
      <c r="B269">
        <f>IF(A269&lt;&gt;"",YEAR(A269),"")</f>
        <v/>
      </c>
      <c r="C269">
        <f>IF(A269&lt;&gt;"",MONTH(A269),"")</f>
        <v/>
      </c>
      <c r="D269">
        <f>IF(A269&lt;&gt;"",_xlfn.ISOWEEKNUM(A269),"")</f>
        <v/>
      </c>
      <c r="E269">
        <f>IF(A269&lt;&gt;"",TEXT(A269,"dddd"),"")</f>
        <v/>
      </c>
      <c r="F269">
        <f>IF(BD_Carga!C270&lt;&gt;"",BD_Carga!C270,"")</f>
        <v/>
      </c>
      <c r="G269">
        <f>IF(BD_Carga!D270&lt;&gt;"",BD_Carga!D270,"")</f>
        <v/>
      </c>
      <c r="H269">
        <f>IF(BD_Carga!Q270&lt;&gt;"",BD_Carga!Q270,"")</f>
        <v/>
      </c>
      <c r="I269">
        <f>IF(BD_Carga!R270&lt;&gt;"",BD_Carga!R270,"")</f>
        <v/>
      </c>
      <c r="J269">
        <f>IF(BD_Carga!S270&lt;&gt;"",BD_Carga!S270,"")</f>
        <v/>
      </c>
      <c r="K269" s="4">
        <f>IF(BD_Carga!E270&lt;&gt;"",BD_Carga!E270,0)</f>
        <v/>
      </c>
      <c r="L269" s="4">
        <f>IF(BD_Carga!F270&lt;&gt;"",BD_Carga!F270,0)</f>
        <v/>
      </c>
      <c r="M269" s="4">
        <f>IF(BD_Carga!G270&lt;&gt;"",BD_Carga!G270,0)</f>
        <v/>
      </c>
      <c r="N269" s="4">
        <f>IF(BD_Carga!H270&lt;&gt;"",BD_Carga!H270,0)</f>
        <v/>
      </c>
      <c r="O269" s="4">
        <f>IF(BD_Carga!I270&lt;&gt;"",BD_Carga!I270,0)</f>
        <v/>
      </c>
      <c r="P269" s="4">
        <f>IF(BD_Carga!J270&lt;&gt;"",BD_Carga!J270,0)</f>
        <v/>
      </c>
      <c r="Q269" s="5">
        <f>IF(BD_Carga!K270&lt;&gt;"",BD_Carga!K270,0)</f>
        <v/>
      </c>
      <c r="R269" s="5">
        <f>IF(BD_Carga!L270&lt;&gt;"",BD_Carga!L270,0)</f>
        <v/>
      </c>
      <c r="S269">
        <f>IF(BD_Carga!N270&lt;&gt;"",BD_Carga!N270,0)</f>
        <v/>
      </c>
      <c r="T269">
        <f>IF(BD_Carga!O270&lt;&gt;"",BD_Carga!O270,0)</f>
        <v/>
      </c>
      <c r="U269">
        <f>IF(BD_Carga!P270&lt;&gt;"",BD_Carga!P270,0)</f>
        <v/>
      </c>
      <c r="V269">
        <f>IF(BD_Carga!U270&lt;&gt;"",BD_Carga!U270,0)</f>
        <v/>
      </c>
      <c r="W269">
        <f>IF(BD_Carga!T270&lt;&gt;"",BD_Carga!T270,0)</f>
        <v/>
      </c>
      <c r="X269">
        <f>IF(BD_Carga!W270&lt;&gt;"",BD_Carga!W270,0)</f>
        <v/>
      </c>
      <c r="Y269">
        <f>IF(BD_Carga!X270&lt;&gt;"",BD_Carga!X270,0)</f>
        <v/>
      </c>
      <c r="Z269">
        <f>IF(BD_Carga!Y270&lt;&gt;"",BD_Carga!Y270,0)</f>
        <v/>
      </c>
      <c r="AA269">
        <f>IF(BD_Carga!Z270&lt;&gt;"",BD_Carga!Z270,0)</f>
        <v/>
      </c>
      <c r="AB269">
        <f>IF(BD_Carga!AA270&lt;&gt;"",BD_Carga!AA270,0)</f>
        <v/>
      </c>
      <c r="AC269" s="6">
        <f t="array" ref="AC269">IFERROR((L269-AVERAGEIF($G$2:$G$462,G269,$L$2:$L$462))/_xlfn.STDEV.P(IF($G$2:$G$462=G269,$L$2:$L$462)),0)</f>
        <v/>
      </c>
      <c r="AD269" s="6">
        <f t="array" ref="AD269">IFERROR((M269-AVERAGEIF($G$2:$G$462,G269,$M$2:$M$462))/_xlfn.STDEV.P(IF($G$2:$G$462=G269,$M$2:$M$462)),0)</f>
        <v/>
      </c>
      <c r="AE269" s="6">
        <f t="array" ref="AE269">IFERROR((N269-AVERAGEIF($G$2:$G$462,G269,$N$2:$N$462))/_xlfn.STDEV.P(IF($G$2:$G$462=G269,$N$2:$N$462)),0)</f>
        <v/>
      </c>
      <c r="AF269" s="6">
        <f t="array" ref="AF269">IFERROR((O269-AVERAGEIF($G$2:$G$462,G269,$O$2:$O$462))/_xlfn.STDEV.P(IF($G$2:$G$462=G269,$O$2:$O$462)),0)</f>
        <v/>
      </c>
      <c r="AG269" s="6">
        <f t="array" ref="AG269">IFERROR((P269-AVERAGEIF($G$2:$G$462,G269,$P$2:$P$462))/_xlfn.STDEV.P(IF($G$2:$G$462=G269,$P$2:$P$462)),0)</f>
        <v/>
      </c>
      <c r="AH269" s="6">
        <f t="array" ref="AH269">IFERROR((R269-AVERAGEIF($G$2:$G$462,G269,$R$2:$R$462))/_xlfn.STDEV.P(IF($G$2:$G$462=G269,$R$2:$R$462)),0)</f>
        <v/>
      </c>
      <c r="AI269" s="6">
        <f>IFERROR((AC269+AD269+AE269+AF269+AG269+AH269)/6,0)</f>
        <v/>
      </c>
    </row>
    <row r="270">
      <c r="A270" s="2">
        <f>IF(BD_Carga!A271&lt;&gt;"",BD_Carga!A271,"")</f>
        <v/>
      </c>
      <c r="B270">
        <f>IF(A270&lt;&gt;"",YEAR(A270),"")</f>
        <v/>
      </c>
      <c r="C270">
        <f>IF(A270&lt;&gt;"",MONTH(A270),"")</f>
        <v/>
      </c>
      <c r="D270">
        <f>IF(A270&lt;&gt;"",_xlfn.ISOWEEKNUM(A270),"")</f>
        <v/>
      </c>
      <c r="E270">
        <f>IF(A270&lt;&gt;"",TEXT(A270,"dddd"),"")</f>
        <v/>
      </c>
      <c r="F270">
        <f>IF(BD_Carga!C271&lt;&gt;"",BD_Carga!C271,"")</f>
        <v/>
      </c>
      <c r="G270">
        <f>IF(BD_Carga!D271&lt;&gt;"",BD_Carga!D271,"")</f>
        <v/>
      </c>
      <c r="H270">
        <f>IF(BD_Carga!Q271&lt;&gt;"",BD_Carga!Q271,"")</f>
        <v/>
      </c>
      <c r="I270">
        <f>IF(BD_Carga!R271&lt;&gt;"",BD_Carga!R271,"")</f>
        <v/>
      </c>
      <c r="J270">
        <f>IF(BD_Carga!S271&lt;&gt;"",BD_Carga!S271,"")</f>
        <v/>
      </c>
      <c r="K270" s="4">
        <f>IF(BD_Carga!E271&lt;&gt;"",BD_Carga!E271,0)</f>
        <v/>
      </c>
      <c r="L270" s="4">
        <f>IF(BD_Carga!F271&lt;&gt;"",BD_Carga!F271,0)</f>
        <v/>
      </c>
      <c r="M270" s="4">
        <f>IF(BD_Carga!G271&lt;&gt;"",BD_Carga!G271,0)</f>
        <v/>
      </c>
      <c r="N270" s="4">
        <f>IF(BD_Carga!H271&lt;&gt;"",BD_Carga!H271,0)</f>
        <v/>
      </c>
      <c r="O270" s="4">
        <f>IF(BD_Carga!I271&lt;&gt;"",BD_Carga!I271,0)</f>
        <v/>
      </c>
      <c r="P270" s="4">
        <f>IF(BD_Carga!J271&lt;&gt;"",BD_Carga!J271,0)</f>
        <v/>
      </c>
      <c r="Q270" s="5">
        <f>IF(BD_Carga!K271&lt;&gt;"",BD_Carga!K271,0)</f>
        <v/>
      </c>
      <c r="R270" s="5">
        <f>IF(BD_Carga!L271&lt;&gt;"",BD_Carga!L271,0)</f>
        <v/>
      </c>
      <c r="S270">
        <f>IF(BD_Carga!N271&lt;&gt;"",BD_Carga!N271,0)</f>
        <v/>
      </c>
      <c r="T270">
        <f>IF(BD_Carga!O271&lt;&gt;"",BD_Carga!O271,0)</f>
        <v/>
      </c>
      <c r="U270">
        <f>IF(BD_Carga!P271&lt;&gt;"",BD_Carga!P271,0)</f>
        <v/>
      </c>
      <c r="V270">
        <f>IF(BD_Carga!U271&lt;&gt;"",BD_Carga!U271,0)</f>
        <v/>
      </c>
      <c r="W270">
        <f>IF(BD_Carga!T271&lt;&gt;"",BD_Carga!T271,0)</f>
        <v/>
      </c>
      <c r="X270">
        <f>IF(BD_Carga!W271&lt;&gt;"",BD_Carga!W271,0)</f>
        <v/>
      </c>
      <c r="Y270">
        <f>IF(BD_Carga!X271&lt;&gt;"",BD_Carga!X271,0)</f>
        <v/>
      </c>
      <c r="Z270">
        <f>IF(BD_Carga!Y271&lt;&gt;"",BD_Carga!Y271,0)</f>
        <v/>
      </c>
      <c r="AA270">
        <f>IF(BD_Carga!Z271&lt;&gt;"",BD_Carga!Z271,0)</f>
        <v/>
      </c>
      <c r="AB270">
        <f>IF(BD_Carga!AA271&lt;&gt;"",BD_Carga!AA271,0)</f>
        <v/>
      </c>
      <c r="AC270" s="6">
        <f t="array" ref="AC270">IFERROR((L270-AVERAGEIF($G$2:$G$462,G270,$L$2:$L$462))/_xlfn.STDEV.P(IF($G$2:$G$462=G270,$L$2:$L$462)),0)</f>
        <v/>
      </c>
      <c r="AD270" s="6">
        <f t="array" ref="AD270">IFERROR((M270-AVERAGEIF($G$2:$G$462,G270,$M$2:$M$462))/_xlfn.STDEV.P(IF($G$2:$G$462=G270,$M$2:$M$462)),0)</f>
        <v/>
      </c>
      <c r="AE270" s="6">
        <f t="array" ref="AE270">IFERROR((N270-AVERAGEIF($G$2:$G$462,G270,$N$2:$N$462))/_xlfn.STDEV.P(IF($G$2:$G$462=G270,$N$2:$N$462)),0)</f>
        <v/>
      </c>
      <c r="AF270" s="6">
        <f t="array" ref="AF270">IFERROR((O270-AVERAGEIF($G$2:$G$462,G270,$O$2:$O$462))/_xlfn.STDEV.P(IF($G$2:$G$462=G270,$O$2:$O$462)),0)</f>
        <v/>
      </c>
      <c r="AG270" s="6">
        <f t="array" ref="AG270">IFERROR((P270-AVERAGEIF($G$2:$G$462,G270,$P$2:$P$462))/_xlfn.STDEV.P(IF($G$2:$G$462=G270,$P$2:$P$462)),0)</f>
        <v/>
      </c>
      <c r="AH270" s="6">
        <f t="array" ref="AH270">IFERROR((R270-AVERAGEIF($G$2:$G$462,G270,$R$2:$R$462))/_xlfn.STDEV.P(IF($G$2:$G$462=G270,$R$2:$R$462)),0)</f>
        <v/>
      </c>
      <c r="AI270" s="6">
        <f>IFERROR((AC270+AD270+AE270+AF270+AG270+AH270)/6,0)</f>
        <v/>
      </c>
    </row>
    <row r="271">
      <c r="A271" s="2">
        <f>IF(BD_Carga!A272&lt;&gt;"",BD_Carga!A272,"")</f>
        <v/>
      </c>
      <c r="B271">
        <f>IF(A271&lt;&gt;"",YEAR(A271),"")</f>
        <v/>
      </c>
      <c r="C271">
        <f>IF(A271&lt;&gt;"",MONTH(A271),"")</f>
        <v/>
      </c>
      <c r="D271">
        <f>IF(A271&lt;&gt;"",_xlfn.ISOWEEKNUM(A271),"")</f>
        <v/>
      </c>
      <c r="E271">
        <f>IF(A271&lt;&gt;"",TEXT(A271,"dddd"),"")</f>
        <v/>
      </c>
      <c r="F271">
        <f>IF(BD_Carga!C272&lt;&gt;"",BD_Carga!C272,"")</f>
        <v/>
      </c>
      <c r="G271">
        <f>IF(BD_Carga!D272&lt;&gt;"",BD_Carga!D272,"")</f>
        <v/>
      </c>
      <c r="H271">
        <f>IF(BD_Carga!Q272&lt;&gt;"",BD_Carga!Q272,"")</f>
        <v/>
      </c>
      <c r="I271">
        <f>IF(BD_Carga!R272&lt;&gt;"",BD_Carga!R272,"")</f>
        <v/>
      </c>
      <c r="J271">
        <f>IF(BD_Carga!S272&lt;&gt;"",BD_Carga!S272,"")</f>
        <v/>
      </c>
      <c r="K271" s="4">
        <f>IF(BD_Carga!E272&lt;&gt;"",BD_Carga!E272,0)</f>
        <v/>
      </c>
      <c r="L271" s="4">
        <f>IF(BD_Carga!F272&lt;&gt;"",BD_Carga!F272,0)</f>
        <v/>
      </c>
      <c r="M271" s="4">
        <f>IF(BD_Carga!G272&lt;&gt;"",BD_Carga!G272,0)</f>
        <v/>
      </c>
      <c r="N271" s="4">
        <f>IF(BD_Carga!H272&lt;&gt;"",BD_Carga!H272,0)</f>
        <v/>
      </c>
      <c r="O271" s="4">
        <f>IF(BD_Carga!I272&lt;&gt;"",BD_Carga!I272,0)</f>
        <v/>
      </c>
      <c r="P271" s="4">
        <f>IF(BD_Carga!J272&lt;&gt;"",BD_Carga!J272,0)</f>
        <v/>
      </c>
      <c r="Q271" s="5">
        <f>IF(BD_Carga!K272&lt;&gt;"",BD_Carga!K272,0)</f>
        <v/>
      </c>
      <c r="R271" s="5">
        <f>IF(BD_Carga!L272&lt;&gt;"",BD_Carga!L272,0)</f>
        <v/>
      </c>
      <c r="S271">
        <f>IF(BD_Carga!N272&lt;&gt;"",BD_Carga!N272,0)</f>
        <v/>
      </c>
      <c r="T271">
        <f>IF(BD_Carga!O272&lt;&gt;"",BD_Carga!O272,0)</f>
        <v/>
      </c>
      <c r="U271">
        <f>IF(BD_Carga!P272&lt;&gt;"",BD_Carga!P272,0)</f>
        <v/>
      </c>
      <c r="V271">
        <f>IF(BD_Carga!U272&lt;&gt;"",BD_Carga!U272,0)</f>
        <v/>
      </c>
      <c r="W271">
        <f>IF(BD_Carga!T272&lt;&gt;"",BD_Carga!T272,0)</f>
        <v/>
      </c>
      <c r="X271">
        <f>IF(BD_Carga!W272&lt;&gt;"",BD_Carga!W272,0)</f>
        <v/>
      </c>
      <c r="Y271">
        <f>IF(BD_Carga!X272&lt;&gt;"",BD_Carga!X272,0)</f>
        <v/>
      </c>
      <c r="Z271">
        <f>IF(BD_Carga!Y272&lt;&gt;"",BD_Carga!Y272,0)</f>
        <v/>
      </c>
      <c r="AA271">
        <f>IF(BD_Carga!Z272&lt;&gt;"",BD_Carga!Z272,0)</f>
        <v/>
      </c>
      <c r="AB271">
        <f>IF(BD_Carga!AA272&lt;&gt;"",BD_Carga!AA272,0)</f>
        <v/>
      </c>
      <c r="AC271" s="6">
        <f t="array" ref="AC271">IFERROR((L271-AVERAGEIF($G$2:$G$462,G271,$L$2:$L$462))/_xlfn.STDEV.P(IF($G$2:$G$462=G271,$L$2:$L$462)),0)</f>
        <v/>
      </c>
      <c r="AD271" s="6">
        <f t="array" ref="AD271">IFERROR((M271-AVERAGEIF($G$2:$G$462,G271,$M$2:$M$462))/_xlfn.STDEV.P(IF($G$2:$G$462=G271,$M$2:$M$462)),0)</f>
        <v/>
      </c>
      <c r="AE271" s="6">
        <f t="array" ref="AE271">IFERROR((N271-AVERAGEIF($G$2:$G$462,G271,$N$2:$N$462))/_xlfn.STDEV.P(IF($G$2:$G$462=G271,$N$2:$N$462)),0)</f>
        <v/>
      </c>
      <c r="AF271" s="6">
        <f t="array" ref="AF271">IFERROR((O271-AVERAGEIF($G$2:$G$462,G271,$O$2:$O$462))/_xlfn.STDEV.P(IF($G$2:$G$462=G271,$O$2:$O$462)),0)</f>
        <v/>
      </c>
      <c r="AG271" s="6">
        <f t="array" ref="AG271">IFERROR((P271-AVERAGEIF($G$2:$G$462,G271,$P$2:$P$462))/_xlfn.STDEV.P(IF($G$2:$G$462=G271,$P$2:$P$462)),0)</f>
        <v/>
      </c>
      <c r="AH271" s="6">
        <f t="array" ref="AH271">IFERROR((R271-AVERAGEIF($G$2:$G$462,G271,$R$2:$R$462))/_xlfn.STDEV.P(IF($G$2:$G$462=G271,$R$2:$R$462)),0)</f>
        <v/>
      </c>
      <c r="AI271" s="6">
        <f>IFERROR((AC271+AD271+AE271+AF271+AG271+AH271)/6,0)</f>
        <v/>
      </c>
    </row>
    <row r="272">
      <c r="A272" s="2">
        <f>IF(BD_Carga!A273&lt;&gt;"",BD_Carga!A273,"")</f>
        <v/>
      </c>
      <c r="B272">
        <f>IF(A272&lt;&gt;"",YEAR(A272),"")</f>
        <v/>
      </c>
      <c r="C272">
        <f>IF(A272&lt;&gt;"",MONTH(A272),"")</f>
        <v/>
      </c>
      <c r="D272">
        <f>IF(A272&lt;&gt;"",_xlfn.ISOWEEKNUM(A272),"")</f>
        <v/>
      </c>
      <c r="E272">
        <f>IF(A272&lt;&gt;"",TEXT(A272,"dddd"),"")</f>
        <v/>
      </c>
      <c r="F272">
        <f>IF(BD_Carga!C273&lt;&gt;"",BD_Carga!C273,"")</f>
        <v/>
      </c>
      <c r="G272">
        <f>IF(BD_Carga!D273&lt;&gt;"",BD_Carga!D273,"")</f>
        <v/>
      </c>
      <c r="H272">
        <f>IF(BD_Carga!Q273&lt;&gt;"",BD_Carga!Q273,"")</f>
        <v/>
      </c>
      <c r="I272">
        <f>IF(BD_Carga!R273&lt;&gt;"",BD_Carga!R273,"")</f>
        <v/>
      </c>
      <c r="J272">
        <f>IF(BD_Carga!S273&lt;&gt;"",BD_Carga!S273,"")</f>
        <v/>
      </c>
      <c r="K272" s="4">
        <f>IF(BD_Carga!E273&lt;&gt;"",BD_Carga!E273,0)</f>
        <v/>
      </c>
      <c r="L272" s="4">
        <f>IF(BD_Carga!F273&lt;&gt;"",BD_Carga!F273,0)</f>
        <v/>
      </c>
      <c r="M272" s="4">
        <f>IF(BD_Carga!G273&lt;&gt;"",BD_Carga!G273,0)</f>
        <v/>
      </c>
      <c r="N272" s="4">
        <f>IF(BD_Carga!H273&lt;&gt;"",BD_Carga!H273,0)</f>
        <v/>
      </c>
      <c r="O272" s="4">
        <f>IF(BD_Carga!I273&lt;&gt;"",BD_Carga!I273,0)</f>
        <v/>
      </c>
      <c r="P272" s="4">
        <f>IF(BD_Carga!J273&lt;&gt;"",BD_Carga!J273,0)</f>
        <v/>
      </c>
      <c r="Q272" s="5">
        <f>IF(BD_Carga!K273&lt;&gt;"",BD_Carga!K273,0)</f>
        <v/>
      </c>
      <c r="R272" s="5">
        <f>IF(BD_Carga!L273&lt;&gt;"",BD_Carga!L273,0)</f>
        <v/>
      </c>
      <c r="S272">
        <f>IF(BD_Carga!N273&lt;&gt;"",BD_Carga!N273,0)</f>
        <v/>
      </c>
      <c r="T272">
        <f>IF(BD_Carga!O273&lt;&gt;"",BD_Carga!O273,0)</f>
        <v/>
      </c>
      <c r="U272">
        <f>IF(BD_Carga!P273&lt;&gt;"",BD_Carga!P273,0)</f>
        <v/>
      </c>
      <c r="V272">
        <f>IF(BD_Carga!U273&lt;&gt;"",BD_Carga!U273,0)</f>
        <v/>
      </c>
      <c r="W272">
        <f>IF(BD_Carga!T273&lt;&gt;"",BD_Carga!T273,0)</f>
        <v/>
      </c>
      <c r="X272">
        <f>IF(BD_Carga!W273&lt;&gt;"",BD_Carga!W273,0)</f>
        <v/>
      </c>
      <c r="Y272">
        <f>IF(BD_Carga!X273&lt;&gt;"",BD_Carga!X273,0)</f>
        <v/>
      </c>
      <c r="Z272">
        <f>IF(BD_Carga!Y273&lt;&gt;"",BD_Carga!Y273,0)</f>
        <v/>
      </c>
      <c r="AA272">
        <f>IF(BD_Carga!Z273&lt;&gt;"",BD_Carga!Z273,0)</f>
        <v/>
      </c>
      <c r="AB272">
        <f>IF(BD_Carga!AA273&lt;&gt;"",BD_Carga!AA273,0)</f>
        <v/>
      </c>
      <c r="AC272" s="6">
        <f t="array" ref="AC272">IFERROR((L272-AVERAGEIF($G$2:$G$462,G272,$L$2:$L$462))/_xlfn.STDEV.P(IF($G$2:$G$462=G272,$L$2:$L$462)),0)</f>
        <v/>
      </c>
      <c r="AD272" s="6">
        <f t="array" ref="AD272">IFERROR((M272-AVERAGEIF($G$2:$G$462,G272,$M$2:$M$462))/_xlfn.STDEV.P(IF($G$2:$G$462=G272,$M$2:$M$462)),0)</f>
        <v/>
      </c>
      <c r="AE272" s="6">
        <f t="array" ref="AE272">IFERROR((N272-AVERAGEIF($G$2:$G$462,G272,$N$2:$N$462))/_xlfn.STDEV.P(IF($G$2:$G$462=G272,$N$2:$N$462)),0)</f>
        <v/>
      </c>
      <c r="AF272" s="6">
        <f t="array" ref="AF272">IFERROR((O272-AVERAGEIF($G$2:$G$462,G272,$O$2:$O$462))/_xlfn.STDEV.P(IF($G$2:$G$462=G272,$O$2:$O$462)),0)</f>
        <v/>
      </c>
      <c r="AG272" s="6">
        <f t="array" ref="AG272">IFERROR((P272-AVERAGEIF($G$2:$G$462,G272,$P$2:$P$462))/_xlfn.STDEV.P(IF($G$2:$G$462=G272,$P$2:$P$462)),0)</f>
        <v/>
      </c>
      <c r="AH272" s="6">
        <f t="array" ref="AH272">IFERROR((R272-AVERAGEIF($G$2:$G$462,G272,$R$2:$R$462))/_xlfn.STDEV.P(IF($G$2:$G$462=G272,$R$2:$R$462)),0)</f>
        <v/>
      </c>
      <c r="AI272" s="6">
        <f>IFERROR((AC272+AD272+AE272+AF272+AG272+AH272)/6,0)</f>
        <v/>
      </c>
    </row>
    <row r="273">
      <c r="A273" s="2">
        <f>IF(BD_Carga!A274&lt;&gt;"",BD_Carga!A274,"")</f>
        <v/>
      </c>
      <c r="B273">
        <f>IF(A273&lt;&gt;"",YEAR(A273),"")</f>
        <v/>
      </c>
      <c r="C273">
        <f>IF(A273&lt;&gt;"",MONTH(A273),"")</f>
        <v/>
      </c>
      <c r="D273">
        <f>IF(A273&lt;&gt;"",_xlfn.ISOWEEKNUM(A273),"")</f>
        <v/>
      </c>
      <c r="E273">
        <f>IF(A273&lt;&gt;"",TEXT(A273,"dddd"),"")</f>
        <v/>
      </c>
      <c r="F273">
        <f>IF(BD_Carga!C274&lt;&gt;"",BD_Carga!C274,"")</f>
        <v/>
      </c>
      <c r="G273">
        <f>IF(BD_Carga!D274&lt;&gt;"",BD_Carga!D274,"")</f>
        <v/>
      </c>
      <c r="H273">
        <f>IF(BD_Carga!Q274&lt;&gt;"",BD_Carga!Q274,"")</f>
        <v/>
      </c>
      <c r="I273">
        <f>IF(BD_Carga!R274&lt;&gt;"",BD_Carga!R274,"")</f>
        <v/>
      </c>
      <c r="J273">
        <f>IF(BD_Carga!S274&lt;&gt;"",BD_Carga!S274,"")</f>
        <v/>
      </c>
      <c r="K273" s="4">
        <f>IF(BD_Carga!E274&lt;&gt;"",BD_Carga!E274,0)</f>
        <v/>
      </c>
      <c r="L273" s="4">
        <f>IF(BD_Carga!F274&lt;&gt;"",BD_Carga!F274,0)</f>
        <v/>
      </c>
      <c r="M273" s="4">
        <f>IF(BD_Carga!G274&lt;&gt;"",BD_Carga!G274,0)</f>
        <v/>
      </c>
      <c r="N273" s="4">
        <f>IF(BD_Carga!H274&lt;&gt;"",BD_Carga!H274,0)</f>
        <v/>
      </c>
      <c r="O273" s="4">
        <f>IF(BD_Carga!I274&lt;&gt;"",BD_Carga!I274,0)</f>
        <v/>
      </c>
      <c r="P273" s="4">
        <f>IF(BD_Carga!J274&lt;&gt;"",BD_Carga!J274,0)</f>
        <v/>
      </c>
      <c r="Q273" s="5">
        <f>IF(BD_Carga!K274&lt;&gt;"",BD_Carga!K274,0)</f>
        <v/>
      </c>
      <c r="R273" s="5">
        <f>IF(BD_Carga!L274&lt;&gt;"",BD_Carga!L274,0)</f>
        <v/>
      </c>
      <c r="S273">
        <f>IF(BD_Carga!N274&lt;&gt;"",BD_Carga!N274,0)</f>
        <v/>
      </c>
      <c r="T273">
        <f>IF(BD_Carga!O274&lt;&gt;"",BD_Carga!O274,0)</f>
        <v/>
      </c>
      <c r="U273">
        <f>IF(BD_Carga!P274&lt;&gt;"",BD_Carga!P274,0)</f>
        <v/>
      </c>
      <c r="V273">
        <f>IF(BD_Carga!U274&lt;&gt;"",BD_Carga!U274,0)</f>
        <v/>
      </c>
      <c r="W273">
        <f>IF(BD_Carga!T274&lt;&gt;"",BD_Carga!T274,0)</f>
        <v/>
      </c>
      <c r="X273">
        <f>IF(BD_Carga!W274&lt;&gt;"",BD_Carga!W274,0)</f>
        <v/>
      </c>
      <c r="Y273">
        <f>IF(BD_Carga!X274&lt;&gt;"",BD_Carga!X274,0)</f>
        <v/>
      </c>
      <c r="Z273">
        <f>IF(BD_Carga!Y274&lt;&gt;"",BD_Carga!Y274,0)</f>
        <v/>
      </c>
      <c r="AA273">
        <f>IF(BD_Carga!Z274&lt;&gt;"",BD_Carga!Z274,0)</f>
        <v/>
      </c>
      <c r="AB273">
        <f>IF(BD_Carga!AA274&lt;&gt;"",BD_Carga!AA274,0)</f>
        <v/>
      </c>
      <c r="AC273" s="6">
        <f t="array" ref="AC273">IFERROR((L273-AVERAGEIF($G$2:$G$462,G273,$L$2:$L$462))/_xlfn.STDEV.P(IF($G$2:$G$462=G273,$L$2:$L$462)),0)</f>
        <v/>
      </c>
      <c r="AD273" s="6">
        <f t="array" ref="AD273">IFERROR((M273-AVERAGEIF($G$2:$G$462,G273,$M$2:$M$462))/_xlfn.STDEV.P(IF($G$2:$G$462=G273,$M$2:$M$462)),0)</f>
        <v/>
      </c>
      <c r="AE273" s="6">
        <f t="array" ref="AE273">IFERROR((N273-AVERAGEIF($G$2:$G$462,G273,$N$2:$N$462))/_xlfn.STDEV.P(IF($G$2:$G$462=G273,$N$2:$N$462)),0)</f>
        <v/>
      </c>
      <c r="AF273" s="6">
        <f t="array" ref="AF273">IFERROR((O273-AVERAGEIF($G$2:$G$462,G273,$O$2:$O$462))/_xlfn.STDEV.P(IF($G$2:$G$462=G273,$O$2:$O$462)),0)</f>
        <v/>
      </c>
      <c r="AG273" s="6">
        <f t="array" ref="AG273">IFERROR((P273-AVERAGEIF($G$2:$G$462,G273,$P$2:$P$462))/_xlfn.STDEV.P(IF($G$2:$G$462=G273,$P$2:$P$462)),0)</f>
        <v/>
      </c>
      <c r="AH273" s="6">
        <f t="array" ref="AH273">IFERROR((R273-AVERAGEIF($G$2:$G$462,G273,$R$2:$R$462))/_xlfn.STDEV.P(IF($G$2:$G$462=G273,$R$2:$R$462)),0)</f>
        <v/>
      </c>
      <c r="AI273" s="6">
        <f>IFERROR((AC273+AD273+AE273+AF273+AG273+AH273)/6,0)</f>
        <v/>
      </c>
    </row>
    <row r="274">
      <c r="A274" s="2">
        <f>IF(BD_Carga!A275&lt;&gt;"",BD_Carga!A275,"")</f>
        <v/>
      </c>
      <c r="B274">
        <f>IF(A274&lt;&gt;"",YEAR(A274),"")</f>
        <v/>
      </c>
      <c r="C274">
        <f>IF(A274&lt;&gt;"",MONTH(A274),"")</f>
        <v/>
      </c>
      <c r="D274">
        <f>IF(A274&lt;&gt;"",_xlfn.ISOWEEKNUM(A274),"")</f>
        <v/>
      </c>
      <c r="E274">
        <f>IF(A274&lt;&gt;"",TEXT(A274,"dddd"),"")</f>
        <v/>
      </c>
      <c r="F274">
        <f>IF(BD_Carga!C275&lt;&gt;"",BD_Carga!C275,"")</f>
        <v/>
      </c>
      <c r="G274">
        <f>IF(BD_Carga!D275&lt;&gt;"",BD_Carga!D275,"")</f>
        <v/>
      </c>
      <c r="H274">
        <f>IF(BD_Carga!Q275&lt;&gt;"",BD_Carga!Q275,"")</f>
        <v/>
      </c>
      <c r="I274">
        <f>IF(BD_Carga!R275&lt;&gt;"",BD_Carga!R275,"")</f>
        <v/>
      </c>
      <c r="J274">
        <f>IF(BD_Carga!S275&lt;&gt;"",BD_Carga!S275,"")</f>
        <v/>
      </c>
      <c r="K274" s="4">
        <f>IF(BD_Carga!E275&lt;&gt;"",BD_Carga!E275,0)</f>
        <v/>
      </c>
      <c r="L274" s="4">
        <f>IF(BD_Carga!F275&lt;&gt;"",BD_Carga!F275,0)</f>
        <v/>
      </c>
      <c r="M274" s="4">
        <f>IF(BD_Carga!G275&lt;&gt;"",BD_Carga!G275,0)</f>
        <v/>
      </c>
      <c r="N274" s="4">
        <f>IF(BD_Carga!H275&lt;&gt;"",BD_Carga!H275,0)</f>
        <v/>
      </c>
      <c r="O274" s="4">
        <f>IF(BD_Carga!I275&lt;&gt;"",BD_Carga!I275,0)</f>
        <v/>
      </c>
      <c r="P274" s="4">
        <f>IF(BD_Carga!J275&lt;&gt;"",BD_Carga!J275,0)</f>
        <v/>
      </c>
      <c r="Q274" s="5">
        <f>IF(BD_Carga!K275&lt;&gt;"",BD_Carga!K275,0)</f>
        <v/>
      </c>
      <c r="R274" s="5">
        <f>IF(BD_Carga!L275&lt;&gt;"",BD_Carga!L275,0)</f>
        <v/>
      </c>
      <c r="S274">
        <f>IF(BD_Carga!N275&lt;&gt;"",BD_Carga!N275,0)</f>
        <v/>
      </c>
      <c r="T274">
        <f>IF(BD_Carga!O275&lt;&gt;"",BD_Carga!O275,0)</f>
        <v/>
      </c>
      <c r="U274">
        <f>IF(BD_Carga!P275&lt;&gt;"",BD_Carga!P275,0)</f>
        <v/>
      </c>
      <c r="V274">
        <f>IF(BD_Carga!U275&lt;&gt;"",BD_Carga!U275,0)</f>
        <v/>
      </c>
      <c r="W274">
        <f>IF(BD_Carga!T275&lt;&gt;"",BD_Carga!T275,0)</f>
        <v/>
      </c>
      <c r="X274">
        <f>IF(BD_Carga!W275&lt;&gt;"",BD_Carga!W275,0)</f>
        <v/>
      </c>
      <c r="Y274">
        <f>IF(BD_Carga!X275&lt;&gt;"",BD_Carga!X275,0)</f>
        <v/>
      </c>
      <c r="Z274">
        <f>IF(BD_Carga!Y275&lt;&gt;"",BD_Carga!Y275,0)</f>
        <v/>
      </c>
      <c r="AA274">
        <f>IF(BD_Carga!Z275&lt;&gt;"",BD_Carga!Z275,0)</f>
        <v/>
      </c>
      <c r="AB274">
        <f>IF(BD_Carga!AA275&lt;&gt;"",BD_Carga!AA275,0)</f>
        <v/>
      </c>
      <c r="AC274" s="6">
        <f t="array" ref="AC274">IFERROR((L274-AVERAGEIF($G$2:$G$462,G274,$L$2:$L$462))/_xlfn.STDEV.P(IF($G$2:$G$462=G274,$L$2:$L$462)),0)</f>
        <v/>
      </c>
      <c r="AD274" s="6">
        <f t="array" ref="AD274">IFERROR((M274-AVERAGEIF($G$2:$G$462,G274,$M$2:$M$462))/_xlfn.STDEV.P(IF($G$2:$G$462=G274,$M$2:$M$462)),0)</f>
        <v/>
      </c>
      <c r="AE274" s="6">
        <f t="array" ref="AE274">IFERROR((N274-AVERAGEIF($G$2:$G$462,G274,$N$2:$N$462))/_xlfn.STDEV.P(IF($G$2:$G$462=G274,$N$2:$N$462)),0)</f>
        <v/>
      </c>
      <c r="AF274" s="6">
        <f t="array" ref="AF274">IFERROR((O274-AVERAGEIF($G$2:$G$462,G274,$O$2:$O$462))/_xlfn.STDEV.P(IF($G$2:$G$462=G274,$O$2:$O$462)),0)</f>
        <v/>
      </c>
      <c r="AG274" s="6">
        <f t="array" ref="AG274">IFERROR((P274-AVERAGEIF($G$2:$G$462,G274,$P$2:$P$462))/_xlfn.STDEV.P(IF($G$2:$G$462=G274,$P$2:$P$462)),0)</f>
        <v/>
      </c>
      <c r="AH274" s="6">
        <f t="array" ref="AH274">IFERROR((R274-AVERAGEIF($G$2:$G$462,G274,$R$2:$R$462))/_xlfn.STDEV.P(IF($G$2:$G$462=G274,$R$2:$R$462)),0)</f>
        <v/>
      </c>
      <c r="AI274" s="6">
        <f>IFERROR((AC274+AD274+AE274+AF274+AG274+AH274)/6,0)</f>
        <v/>
      </c>
    </row>
    <row r="275">
      <c r="A275" s="2">
        <f>IF(BD_Carga!A276&lt;&gt;"",BD_Carga!A276,"")</f>
        <v/>
      </c>
      <c r="B275">
        <f>IF(A275&lt;&gt;"",YEAR(A275),"")</f>
        <v/>
      </c>
      <c r="C275">
        <f>IF(A275&lt;&gt;"",MONTH(A275),"")</f>
        <v/>
      </c>
      <c r="D275">
        <f>IF(A275&lt;&gt;"",_xlfn.ISOWEEKNUM(A275),"")</f>
        <v/>
      </c>
      <c r="E275">
        <f>IF(A275&lt;&gt;"",TEXT(A275,"dddd"),"")</f>
        <v/>
      </c>
      <c r="F275">
        <f>IF(BD_Carga!C276&lt;&gt;"",BD_Carga!C276,"")</f>
        <v/>
      </c>
      <c r="G275">
        <f>IF(BD_Carga!D276&lt;&gt;"",BD_Carga!D276,"")</f>
        <v/>
      </c>
      <c r="H275">
        <f>IF(BD_Carga!Q276&lt;&gt;"",BD_Carga!Q276,"")</f>
        <v/>
      </c>
      <c r="I275">
        <f>IF(BD_Carga!R276&lt;&gt;"",BD_Carga!R276,"")</f>
        <v/>
      </c>
      <c r="J275">
        <f>IF(BD_Carga!S276&lt;&gt;"",BD_Carga!S276,"")</f>
        <v/>
      </c>
      <c r="K275" s="4">
        <f>IF(BD_Carga!E276&lt;&gt;"",BD_Carga!E276,0)</f>
        <v/>
      </c>
      <c r="L275" s="4">
        <f>IF(BD_Carga!F276&lt;&gt;"",BD_Carga!F276,0)</f>
        <v/>
      </c>
      <c r="M275" s="4">
        <f>IF(BD_Carga!G276&lt;&gt;"",BD_Carga!G276,0)</f>
        <v/>
      </c>
      <c r="N275" s="4">
        <f>IF(BD_Carga!H276&lt;&gt;"",BD_Carga!H276,0)</f>
        <v/>
      </c>
      <c r="O275" s="4">
        <f>IF(BD_Carga!I276&lt;&gt;"",BD_Carga!I276,0)</f>
        <v/>
      </c>
      <c r="P275" s="4">
        <f>IF(BD_Carga!J276&lt;&gt;"",BD_Carga!J276,0)</f>
        <v/>
      </c>
      <c r="Q275" s="5">
        <f>IF(BD_Carga!K276&lt;&gt;"",BD_Carga!K276,0)</f>
        <v/>
      </c>
      <c r="R275" s="5">
        <f>IF(BD_Carga!L276&lt;&gt;"",BD_Carga!L276,0)</f>
        <v/>
      </c>
      <c r="S275">
        <f>IF(BD_Carga!N276&lt;&gt;"",BD_Carga!N276,0)</f>
        <v/>
      </c>
      <c r="T275">
        <f>IF(BD_Carga!O276&lt;&gt;"",BD_Carga!O276,0)</f>
        <v/>
      </c>
      <c r="U275">
        <f>IF(BD_Carga!P276&lt;&gt;"",BD_Carga!P276,0)</f>
        <v/>
      </c>
      <c r="V275">
        <f>IF(BD_Carga!U276&lt;&gt;"",BD_Carga!U276,0)</f>
        <v/>
      </c>
      <c r="W275">
        <f>IF(BD_Carga!T276&lt;&gt;"",BD_Carga!T276,0)</f>
        <v/>
      </c>
      <c r="X275">
        <f>IF(BD_Carga!W276&lt;&gt;"",BD_Carga!W276,0)</f>
        <v/>
      </c>
      <c r="Y275">
        <f>IF(BD_Carga!X276&lt;&gt;"",BD_Carga!X276,0)</f>
        <v/>
      </c>
      <c r="Z275">
        <f>IF(BD_Carga!Y276&lt;&gt;"",BD_Carga!Y276,0)</f>
        <v/>
      </c>
      <c r="AA275">
        <f>IF(BD_Carga!Z276&lt;&gt;"",BD_Carga!Z276,0)</f>
        <v/>
      </c>
      <c r="AB275">
        <f>IF(BD_Carga!AA276&lt;&gt;"",BD_Carga!AA276,0)</f>
        <v/>
      </c>
      <c r="AC275" s="6">
        <f t="array" ref="AC275">IFERROR((L275-AVERAGEIF($G$2:$G$462,G275,$L$2:$L$462))/_xlfn.STDEV.P(IF($G$2:$G$462=G275,$L$2:$L$462)),0)</f>
        <v/>
      </c>
      <c r="AD275" s="6">
        <f t="array" ref="AD275">IFERROR((M275-AVERAGEIF($G$2:$G$462,G275,$M$2:$M$462))/_xlfn.STDEV.P(IF($G$2:$G$462=G275,$M$2:$M$462)),0)</f>
        <v/>
      </c>
      <c r="AE275" s="6">
        <f t="array" ref="AE275">IFERROR((N275-AVERAGEIF($G$2:$G$462,G275,$N$2:$N$462))/_xlfn.STDEV.P(IF($G$2:$G$462=G275,$N$2:$N$462)),0)</f>
        <v/>
      </c>
      <c r="AF275" s="6">
        <f t="array" ref="AF275">IFERROR((O275-AVERAGEIF($G$2:$G$462,G275,$O$2:$O$462))/_xlfn.STDEV.P(IF($G$2:$G$462=G275,$O$2:$O$462)),0)</f>
        <v/>
      </c>
      <c r="AG275" s="6">
        <f t="array" ref="AG275">IFERROR((P275-AVERAGEIF($G$2:$G$462,G275,$P$2:$P$462))/_xlfn.STDEV.P(IF($G$2:$G$462=G275,$P$2:$P$462)),0)</f>
        <v/>
      </c>
      <c r="AH275" s="6">
        <f t="array" ref="AH275">IFERROR((R275-AVERAGEIF($G$2:$G$462,G275,$R$2:$R$462))/_xlfn.STDEV.P(IF($G$2:$G$462=G275,$R$2:$R$462)),0)</f>
        <v/>
      </c>
      <c r="AI275" s="6">
        <f>IFERROR((AC275+AD275+AE275+AF275+AG275+AH275)/6,0)</f>
        <v/>
      </c>
    </row>
    <row r="276">
      <c r="A276" s="2">
        <f>IF(BD_Carga!A277&lt;&gt;"",BD_Carga!A277,"")</f>
        <v/>
      </c>
      <c r="B276">
        <f>IF(A276&lt;&gt;"",YEAR(A276),"")</f>
        <v/>
      </c>
      <c r="C276">
        <f>IF(A276&lt;&gt;"",MONTH(A276),"")</f>
        <v/>
      </c>
      <c r="D276">
        <f>IF(A276&lt;&gt;"",_xlfn.ISOWEEKNUM(A276),"")</f>
        <v/>
      </c>
      <c r="E276">
        <f>IF(A276&lt;&gt;"",TEXT(A276,"dddd"),"")</f>
        <v/>
      </c>
      <c r="F276">
        <f>IF(BD_Carga!C277&lt;&gt;"",BD_Carga!C277,"")</f>
        <v/>
      </c>
      <c r="G276">
        <f>IF(BD_Carga!D277&lt;&gt;"",BD_Carga!D277,"")</f>
        <v/>
      </c>
      <c r="H276">
        <f>IF(BD_Carga!Q277&lt;&gt;"",BD_Carga!Q277,"")</f>
        <v/>
      </c>
      <c r="I276">
        <f>IF(BD_Carga!R277&lt;&gt;"",BD_Carga!R277,"")</f>
        <v/>
      </c>
      <c r="J276">
        <f>IF(BD_Carga!S277&lt;&gt;"",BD_Carga!S277,"")</f>
        <v/>
      </c>
      <c r="K276" s="4">
        <f>IF(BD_Carga!E277&lt;&gt;"",BD_Carga!E277,0)</f>
        <v/>
      </c>
      <c r="L276" s="4">
        <f>IF(BD_Carga!F277&lt;&gt;"",BD_Carga!F277,0)</f>
        <v/>
      </c>
      <c r="M276" s="4">
        <f>IF(BD_Carga!G277&lt;&gt;"",BD_Carga!G277,0)</f>
        <v/>
      </c>
      <c r="N276" s="4">
        <f>IF(BD_Carga!H277&lt;&gt;"",BD_Carga!H277,0)</f>
        <v/>
      </c>
      <c r="O276" s="4">
        <f>IF(BD_Carga!I277&lt;&gt;"",BD_Carga!I277,0)</f>
        <v/>
      </c>
      <c r="P276" s="4">
        <f>IF(BD_Carga!J277&lt;&gt;"",BD_Carga!J277,0)</f>
        <v/>
      </c>
      <c r="Q276" s="5">
        <f>IF(BD_Carga!K277&lt;&gt;"",BD_Carga!K277,0)</f>
        <v/>
      </c>
      <c r="R276" s="5">
        <f>IF(BD_Carga!L277&lt;&gt;"",BD_Carga!L277,0)</f>
        <v/>
      </c>
      <c r="S276">
        <f>IF(BD_Carga!N277&lt;&gt;"",BD_Carga!N277,0)</f>
        <v/>
      </c>
      <c r="T276">
        <f>IF(BD_Carga!O277&lt;&gt;"",BD_Carga!O277,0)</f>
        <v/>
      </c>
      <c r="U276">
        <f>IF(BD_Carga!P277&lt;&gt;"",BD_Carga!P277,0)</f>
        <v/>
      </c>
      <c r="V276">
        <f>IF(BD_Carga!U277&lt;&gt;"",BD_Carga!U277,0)</f>
        <v/>
      </c>
      <c r="W276">
        <f>IF(BD_Carga!T277&lt;&gt;"",BD_Carga!T277,0)</f>
        <v/>
      </c>
      <c r="X276">
        <f>IF(BD_Carga!W277&lt;&gt;"",BD_Carga!W277,0)</f>
        <v/>
      </c>
      <c r="Y276">
        <f>IF(BD_Carga!X277&lt;&gt;"",BD_Carga!X277,0)</f>
        <v/>
      </c>
      <c r="Z276">
        <f>IF(BD_Carga!Y277&lt;&gt;"",BD_Carga!Y277,0)</f>
        <v/>
      </c>
      <c r="AA276">
        <f>IF(BD_Carga!Z277&lt;&gt;"",BD_Carga!Z277,0)</f>
        <v/>
      </c>
      <c r="AB276">
        <f>IF(BD_Carga!AA277&lt;&gt;"",BD_Carga!AA277,0)</f>
        <v/>
      </c>
      <c r="AC276" s="6">
        <f t="array" ref="AC276">IFERROR((L276-AVERAGEIF($G$2:$G$462,G276,$L$2:$L$462))/_xlfn.STDEV.P(IF($G$2:$G$462=G276,$L$2:$L$462)),0)</f>
        <v/>
      </c>
      <c r="AD276" s="6">
        <f t="array" ref="AD276">IFERROR((M276-AVERAGEIF($G$2:$G$462,G276,$M$2:$M$462))/_xlfn.STDEV.P(IF($G$2:$G$462=G276,$M$2:$M$462)),0)</f>
        <v/>
      </c>
      <c r="AE276" s="6">
        <f t="array" ref="AE276">IFERROR((N276-AVERAGEIF($G$2:$G$462,G276,$N$2:$N$462))/_xlfn.STDEV.P(IF($G$2:$G$462=G276,$N$2:$N$462)),0)</f>
        <v/>
      </c>
      <c r="AF276" s="6">
        <f t="array" ref="AF276">IFERROR((O276-AVERAGEIF($G$2:$G$462,G276,$O$2:$O$462))/_xlfn.STDEV.P(IF($G$2:$G$462=G276,$O$2:$O$462)),0)</f>
        <v/>
      </c>
      <c r="AG276" s="6">
        <f t="array" ref="AG276">IFERROR((P276-AVERAGEIF($G$2:$G$462,G276,$P$2:$P$462))/_xlfn.STDEV.P(IF($G$2:$G$462=G276,$P$2:$P$462)),0)</f>
        <v/>
      </c>
      <c r="AH276" s="6">
        <f t="array" ref="AH276">IFERROR((R276-AVERAGEIF($G$2:$G$462,G276,$R$2:$R$462))/_xlfn.STDEV.P(IF($G$2:$G$462=G276,$R$2:$R$462)),0)</f>
        <v/>
      </c>
      <c r="AI276" s="6">
        <f>IFERROR((AC276+AD276+AE276+AF276+AG276+AH276)/6,0)</f>
        <v/>
      </c>
    </row>
    <row r="277">
      <c r="A277" s="2">
        <f>IF(BD_Carga!A278&lt;&gt;"",BD_Carga!A278,"")</f>
        <v/>
      </c>
      <c r="B277">
        <f>IF(A277&lt;&gt;"",YEAR(A277),"")</f>
        <v/>
      </c>
      <c r="C277">
        <f>IF(A277&lt;&gt;"",MONTH(A277),"")</f>
        <v/>
      </c>
      <c r="D277">
        <f>IF(A277&lt;&gt;"",_xlfn.ISOWEEKNUM(A277),"")</f>
        <v/>
      </c>
      <c r="E277">
        <f>IF(A277&lt;&gt;"",TEXT(A277,"dddd"),"")</f>
        <v/>
      </c>
      <c r="F277">
        <f>IF(BD_Carga!C278&lt;&gt;"",BD_Carga!C278,"")</f>
        <v/>
      </c>
      <c r="G277">
        <f>IF(BD_Carga!D278&lt;&gt;"",BD_Carga!D278,"")</f>
        <v/>
      </c>
      <c r="H277">
        <f>IF(BD_Carga!Q278&lt;&gt;"",BD_Carga!Q278,"")</f>
        <v/>
      </c>
      <c r="I277">
        <f>IF(BD_Carga!R278&lt;&gt;"",BD_Carga!R278,"")</f>
        <v/>
      </c>
      <c r="J277">
        <f>IF(BD_Carga!S278&lt;&gt;"",BD_Carga!S278,"")</f>
        <v/>
      </c>
      <c r="K277" s="4">
        <f>IF(BD_Carga!E278&lt;&gt;"",BD_Carga!E278,0)</f>
        <v/>
      </c>
      <c r="L277" s="4">
        <f>IF(BD_Carga!F278&lt;&gt;"",BD_Carga!F278,0)</f>
        <v/>
      </c>
      <c r="M277" s="4">
        <f>IF(BD_Carga!G278&lt;&gt;"",BD_Carga!G278,0)</f>
        <v/>
      </c>
      <c r="N277" s="4">
        <f>IF(BD_Carga!H278&lt;&gt;"",BD_Carga!H278,0)</f>
        <v/>
      </c>
      <c r="O277" s="4">
        <f>IF(BD_Carga!I278&lt;&gt;"",BD_Carga!I278,0)</f>
        <v/>
      </c>
      <c r="P277" s="4">
        <f>IF(BD_Carga!J278&lt;&gt;"",BD_Carga!J278,0)</f>
        <v/>
      </c>
      <c r="Q277" s="5">
        <f>IF(BD_Carga!K278&lt;&gt;"",BD_Carga!K278,0)</f>
        <v/>
      </c>
      <c r="R277" s="5">
        <f>IF(BD_Carga!L278&lt;&gt;"",BD_Carga!L278,0)</f>
        <v/>
      </c>
      <c r="S277">
        <f>IF(BD_Carga!N278&lt;&gt;"",BD_Carga!N278,0)</f>
        <v/>
      </c>
      <c r="T277">
        <f>IF(BD_Carga!O278&lt;&gt;"",BD_Carga!O278,0)</f>
        <v/>
      </c>
      <c r="U277">
        <f>IF(BD_Carga!P278&lt;&gt;"",BD_Carga!P278,0)</f>
        <v/>
      </c>
      <c r="V277">
        <f>IF(BD_Carga!U278&lt;&gt;"",BD_Carga!U278,0)</f>
        <v/>
      </c>
      <c r="W277">
        <f>IF(BD_Carga!T278&lt;&gt;"",BD_Carga!T278,0)</f>
        <v/>
      </c>
      <c r="X277">
        <f>IF(BD_Carga!W278&lt;&gt;"",BD_Carga!W278,0)</f>
        <v/>
      </c>
      <c r="Y277">
        <f>IF(BD_Carga!X278&lt;&gt;"",BD_Carga!X278,0)</f>
        <v/>
      </c>
      <c r="Z277">
        <f>IF(BD_Carga!Y278&lt;&gt;"",BD_Carga!Y278,0)</f>
        <v/>
      </c>
      <c r="AA277">
        <f>IF(BD_Carga!Z278&lt;&gt;"",BD_Carga!Z278,0)</f>
        <v/>
      </c>
      <c r="AB277">
        <f>IF(BD_Carga!AA278&lt;&gt;"",BD_Carga!AA278,0)</f>
        <v/>
      </c>
      <c r="AC277" s="6">
        <f t="array" ref="AC277">IFERROR((L277-AVERAGEIF($G$2:$G$462,G277,$L$2:$L$462))/_xlfn.STDEV.P(IF($G$2:$G$462=G277,$L$2:$L$462)),0)</f>
        <v/>
      </c>
      <c r="AD277" s="6">
        <f t="array" ref="AD277">IFERROR((M277-AVERAGEIF($G$2:$G$462,G277,$M$2:$M$462))/_xlfn.STDEV.P(IF($G$2:$G$462=G277,$M$2:$M$462)),0)</f>
        <v/>
      </c>
      <c r="AE277" s="6">
        <f t="array" ref="AE277">IFERROR((N277-AVERAGEIF($G$2:$G$462,G277,$N$2:$N$462))/_xlfn.STDEV.P(IF($G$2:$G$462=G277,$N$2:$N$462)),0)</f>
        <v/>
      </c>
      <c r="AF277" s="6">
        <f t="array" ref="AF277">IFERROR((O277-AVERAGEIF($G$2:$G$462,G277,$O$2:$O$462))/_xlfn.STDEV.P(IF($G$2:$G$462=G277,$O$2:$O$462)),0)</f>
        <v/>
      </c>
      <c r="AG277" s="6">
        <f t="array" ref="AG277">IFERROR((P277-AVERAGEIF($G$2:$G$462,G277,$P$2:$P$462))/_xlfn.STDEV.P(IF($G$2:$G$462=G277,$P$2:$P$462)),0)</f>
        <v/>
      </c>
      <c r="AH277" s="6">
        <f t="array" ref="AH277">IFERROR((R277-AVERAGEIF($G$2:$G$462,G277,$R$2:$R$462))/_xlfn.STDEV.P(IF($G$2:$G$462=G277,$R$2:$R$462)),0)</f>
        <v/>
      </c>
      <c r="AI277" s="6">
        <f>IFERROR((AC277+AD277+AE277+AF277+AG277+AH277)/6,0)</f>
        <v/>
      </c>
    </row>
    <row r="278">
      <c r="A278" s="2">
        <f>IF(BD_Carga!A279&lt;&gt;"",BD_Carga!A279,"")</f>
        <v/>
      </c>
      <c r="B278">
        <f>IF(A278&lt;&gt;"",YEAR(A278),"")</f>
        <v/>
      </c>
      <c r="C278">
        <f>IF(A278&lt;&gt;"",MONTH(A278),"")</f>
        <v/>
      </c>
      <c r="D278">
        <f>IF(A278&lt;&gt;"",_xlfn.ISOWEEKNUM(A278),"")</f>
        <v/>
      </c>
      <c r="E278">
        <f>IF(A278&lt;&gt;"",TEXT(A278,"dddd"),"")</f>
        <v/>
      </c>
      <c r="F278">
        <f>IF(BD_Carga!C279&lt;&gt;"",BD_Carga!C279,"")</f>
        <v/>
      </c>
      <c r="G278">
        <f>IF(BD_Carga!D279&lt;&gt;"",BD_Carga!D279,"")</f>
        <v/>
      </c>
      <c r="H278">
        <f>IF(BD_Carga!Q279&lt;&gt;"",BD_Carga!Q279,"")</f>
        <v/>
      </c>
      <c r="I278">
        <f>IF(BD_Carga!R279&lt;&gt;"",BD_Carga!R279,"")</f>
        <v/>
      </c>
      <c r="J278">
        <f>IF(BD_Carga!S279&lt;&gt;"",BD_Carga!S279,"")</f>
        <v/>
      </c>
      <c r="K278" s="4">
        <f>IF(BD_Carga!E279&lt;&gt;"",BD_Carga!E279,0)</f>
        <v/>
      </c>
      <c r="L278" s="4">
        <f>IF(BD_Carga!F279&lt;&gt;"",BD_Carga!F279,0)</f>
        <v/>
      </c>
      <c r="M278" s="4">
        <f>IF(BD_Carga!G279&lt;&gt;"",BD_Carga!G279,0)</f>
        <v/>
      </c>
      <c r="N278" s="4">
        <f>IF(BD_Carga!H279&lt;&gt;"",BD_Carga!H279,0)</f>
        <v/>
      </c>
      <c r="O278" s="4">
        <f>IF(BD_Carga!I279&lt;&gt;"",BD_Carga!I279,0)</f>
        <v/>
      </c>
      <c r="P278" s="4">
        <f>IF(BD_Carga!J279&lt;&gt;"",BD_Carga!J279,0)</f>
        <v/>
      </c>
      <c r="Q278" s="5">
        <f>IF(BD_Carga!K279&lt;&gt;"",BD_Carga!K279,0)</f>
        <v/>
      </c>
      <c r="R278" s="5">
        <f>IF(BD_Carga!L279&lt;&gt;"",BD_Carga!L279,0)</f>
        <v/>
      </c>
      <c r="S278">
        <f>IF(BD_Carga!N279&lt;&gt;"",BD_Carga!N279,0)</f>
        <v/>
      </c>
      <c r="T278">
        <f>IF(BD_Carga!O279&lt;&gt;"",BD_Carga!O279,0)</f>
        <v/>
      </c>
      <c r="U278">
        <f>IF(BD_Carga!P279&lt;&gt;"",BD_Carga!P279,0)</f>
        <v/>
      </c>
      <c r="V278">
        <f>IF(BD_Carga!U279&lt;&gt;"",BD_Carga!U279,0)</f>
        <v/>
      </c>
      <c r="W278">
        <f>IF(BD_Carga!T279&lt;&gt;"",BD_Carga!T279,0)</f>
        <v/>
      </c>
      <c r="X278">
        <f>IF(BD_Carga!W279&lt;&gt;"",BD_Carga!W279,0)</f>
        <v/>
      </c>
      <c r="Y278">
        <f>IF(BD_Carga!X279&lt;&gt;"",BD_Carga!X279,0)</f>
        <v/>
      </c>
      <c r="Z278">
        <f>IF(BD_Carga!Y279&lt;&gt;"",BD_Carga!Y279,0)</f>
        <v/>
      </c>
      <c r="AA278">
        <f>IF(BD_Carga!Z279&lt;&gt;"",BD_Carga!Z279,0)</f>
        <v/>
      </c>
      <c r="AB278">
        <f>IF(BD_Carga!AA279&lt;&gt;"",BD_Carga!AA279,0)</f>
        <v/>
      </c>
      <c r="AC278" s="6">
        <f t="array" ref="AC278">IFERROR((L278-AVERAGEIF($G$2:$G$462,G278,$L$2:$L$462))/_xlfn.STDEV.P(IF($G$2:$G$462=G278,$L$2:$L$462)),0)</f>
        <v/>
      </c>
      <c r="AD278" s="6">
        <f t="array" ref="AD278">IFERROR((M278-AVERAGEIF($G$2:$G$462,G278,$M$2:$M$462))/_xlfn.STDEV.P(IF($G$2:$G$462=G278,$M$2:$M$462)),0)</f>
        <v/>
      </c>
      <c r="AE278" s="6">
        <f t="array" ref="AE278">IFERROR((N278-AVERAGEIF($G$2:$G$462,G278,$N$2:$N$462))/_xlfn.STDEV.P(IF($G$2:$G$462=G278,$N$2:$N$462)),0)</f>
        <v/>
      </c>
      <c r="AF278" s="6">
        <f t="array" ref="AF278">IFERROR((O278-AVERAGEIF($G$2:$G$462,G278,$O$2:$O$462))/_xlfn.STDEV.P(IF($G$2:$G$462=G278,$O$2:$O$462)),0)</f>
        <v/>
      </c>
      <c r="AG278" s="6">
        <f t="array" ref="AG278">IFERROR((P278-AVERAGEIF($G$2:$G$462,G278,$P$2:$P$462))/_xlfn.STDEV.P(IF($G$2:$G$462=G278,$P$2:$P$462)),0)</f>
        <v/>
      </c>
      <c r="AH278" s="6">
        <f t="array" ref="AH278">IFERROR((R278-AVERAGEIF($G$2:$G$462,G278,$R$2:$R$462))/_xlfn.STDEV.P(IF($G$2:$G$462=G278,$R$2:$R$462)),0)</f>
        <v/>
      </c>
      <c r="AI278" s="6">
        <f>IFERROR((AC278+AD278+AE278+AF278+AG278+AH278)/6,0)</f>
        <v/>
      </c>
    </row>
    <row r="279">
      <c r="A279" s="2">
        <f>IF(BD_Carga!A280&lt;&gt;"",BD_Carga!A280,"")</f>
        <v/>
      </c>
      <c r="B279">
        <f>IF(A279&lt;&gt;"",YEAR(A279),"")</f>
        <v/>
      </c>
      <c r="C279">
        <f>IF(A279&lt;&gt;"",MONTH(A279),"")</f>
        <v/>
      </c>
      <c r="D279">
        <f>IF(A279&lt;&gt;"",_xlfn.ISOWEEKNUM(A279),"")</f>
        <v/>
      </c>
      <c r="E279">
        <f>IF(A279&lt;&gt;"",TEXT(A279,"dddd"),"")</f>
        <v/>
      </c>
      <c r="F279">
        <f>IF(BD_Carga!C280&lt;&gt;"",BD_Carga!C280,"")</f>
        <v/>
      </c>
      <c r="G279">
        <f>IF(BD_Carga!D280&lt;&gt;"",BD_Carga!D280,"")</f>
        <v/>
      </c>
      <c r="H279">
        <f>IF(BD_Carga!Q280&lt;&gt;"",BD_Carga!Q280,"")</f>
        <v/>
      </c>
      <c r="I279">
        <f>IF(BD_Carga!R280&lt;&gt;"",BD_Carga!R280,"")</f>
        <v/>
      </c>
      <c r="J279">
        <f>IF(BD_Carga!S280&lt;&gt;"",BD_Carga!S280,"")</f>
        <v/>
      </c>
      <c r="K279" s="4">
        <f>IF(BD_Carga!E280&lt;&gt;"",BD_Carga!E280,0)</f>
        <v/>
      </c>
      <c r="L279" s="4">
        <f>IF(BD_Carga!F280&lt;&gt;"",BD_Carga!F280,0)</f>
        <v/>
      </c>
      <c r="M279" s="4">
        <f>IF(BD_Carga!G280&lt;&gt;"",BD_Carga!G280,0)</f>
        <v/>
      </c>
      <c r="N279" s="4">
        <f>IF(BD_Carga!H280&lt;&gt;"",BD_Carga!H280,0)</f>
        <v/>
      </c>
      <c r="O279" s="4">
        <f>IF(BD_Carga!I280&lt;&gt;"",BD_Carga!I280,0)</f>
        <v/>
      </c>
      <c r="P279" s="4">
        <f>IF(BD_Carga!J280&lt;&gt;"",BD_Carga!J280,0)</f>
        <v/>
      </c>
      <c r="Q279" s="5">
        <f>IF(BD_Carga!K280&lt;&gt;"",BD_Carga!K280,0)</f>
        <v/>
      </c>
      <c r="R279" s="5">
        <f>IF(BD_Carga!L280&lt;&gt;"",BD_Carga!L280,0)</f>
        <v/>
      </c>
      <c r="S279">
        <f>IF(BD_Carga!N280&lt;&gt;"",BD_Carga!N280,0)</f>
        <v/>
      </c>
      <c r="T279">
        <f>IF(BD_Carga!O280&lt;&gt;"",BD_Carga!O280,0)</f>
        <v/>
      </c>
      <c r="U279">
        <f>IF(BD_Carga!P280&lt;&gt;"",BD_Carga!P280,0)</f>
        <v/>
      </c>
      <c r="V279">
        <f>IF(BD_Carga!U280&lt;&gt;"",BD_Carga!U280,0)</f>
        <v/>
      </c>
      <c r="W279">
        <f>IF(BD_Carga!T280&lt;&gt;"",BD_Carga!T280,0)</f>
        <v/>
      </c>
      <c r="X279">
        <f>IF(BD_Carga!W280&lt;&gt;"",BD_Carga!W280,0)</f>
        <v/>
      </c>
      <c r="Y279">
        <f>IF(BD_Carga!X280&lt;&gt;"",BD_Carga!X280,0)</f>
        <v/>
      </c>
      <c r="Z279">
        <f>IF(BD_Carga!Y280&lt;&gt;"",BD_Carga!Y280,0)</f>
        <v/>
      </c>
      <c r="AA279">
        <f>IF(BD_Carga!Z280&lt;&gt;"",BD_Carga!Z280,0)</f>
        <v/>
      </c>
      <c r="AB279">
        <f>IF(BD_Carga!AA280&lt;&gt;"",BD_Carga!AA280,0)</f>
        <v/>
      </c>
      <c r="AC279" s="6">
        <f t="array" ref="AC279">IFERROR((L279-AVERAGEIF($G$2:$G$462,G279,$L$2:$L$462))/_xlfn.STDEV.P(IF($G$2:$G$462=G279,$L$2:$L$462)),0)</f>
        <v/>
      </c>
      <c r="AD279" s="6">
        <f t="array" ref="AD279">IFERROR((M279-AVERAGEIF($G$2:$G$462,G279,$M$2:$M$462))/_xlfn.STDEV.P(IF($G$2:$G$462=G279,$M$2:$M$462)),0)</f>
        <v/>
      </c>
      <c r="AE279" s="6">
        <f t="array" ref="AE279">IFERROR((N279-AVERAGEIF($G$2:$G$462,G279,$N$2:$N$462))/_xlfn.STDEV.P(IF($G$2:$G$462=G279,$N$2:$N$462)),0)</f>
        <v/>
      </c>
      <c r="AF279" s="6">
        <f t="array" ref="AF279">IFERROR((O279-AVERAGEIF($G$2:$G$462,G279,$O$2:$O$462))/_xlfn.STDEV.P(IF($G$2:$G$462=G279,$O$2:$O$462)),0)</f>
        <v/>
      </c>
      <c r="AG279" s="6">
        <f t="array" ref="AG279">IFERROR((P279-AVERAGEIF($G$2:$G$462,G279,$P$2:$P$462))/_xlfn.STDEV.P(IF($G$2:$G$462=G279,$P$2:$P$462)),0)</f>
        <v/>
      </c>
      <c r="AH279" s="6">
        <f t="array" ref="AH279">IFERROR((R279-AVERAGEIF($G$2:$G$462,G279,$R$2:$R$462))/_xlfn.STDEV.P(IF($G$2:$G$462=G279,$R$2:$R$462)),0)</f>
        <v/>
      </c>
      <c r="AI279" s="6">
        <f>IFERROR((AC279+AD279+AE279+AF279+AG279+AH279)/6,0)</f>
        <v/>
      </c>
    </row>
    <row r="280">
      <c r="A280" s="2">
        <f>IF(BD_Carga!A281&lt;&gt;"",BD_Carga!A281,"")</f>
        <v/>
      </c>
      <c r="B280">
        <f>IF(A280&lt;&gt;"",YEAR(A280),"")</f>
        <v/>
      </c>
      <c r="C280">
        <f>IF(A280&lt;&gt;"",MONTH(A280),"")</f>
        <v/>
      </c>
      <c r="D280">
        <f>IF(A280&lt;&gt;"",_xlfn.ISOWEEKNUM(A280),"")</f>
        <v/>
      </c>
      <c r="E280">
        <f>IF(A280&lt;&gt;"",TEXT(A280,"dddd"),"")</f>
        <v/>
      </c>
      <c r="F280">
        <f>IF(BD_Carga!C281&lt;&gt;"",BD_Carga!C281,"")</f>
        <v/>
      </c>
      <c r="G280">
        <f>IF(BD_Carga!D281&lt;&gt;"",BD_Carga!D281,"")</f>
        <v/>
      </c>
      <c r="H280">
        <f>IF(BD_Carga!Q281&lt;&gt;"",BD_Carga!Q281,"")</f>
        <v/>
      </c>
      <c r="I280">
        <f>IF(BD_Carga!R281&lt;&gt;"",BD_Carga!R281,"")</f>
        <v/>
      </c>
      <c r="J280">
        <f>IF(BD_Carga!S281&lt;&gt;"",BD_Carga!S281,"")</f>
        <v/>
      </c>
      <c r="K280" s="4">
        <f>IF(BD_Carga!E281&lt;&gt;"",BD_Carga!E281,0)</f>
        <v/>
      </c>
      <c r="L280" s="4">
        <f>IF(BD_Carga!F281&lt;&gt;"",BD_Carga!F281,0)</f>
        <v/>
      </c>
      <c r="M280" s="4">
        <f>IF(BD_Carga!G281&lt;&gt;"",BD_Carga!G281,0)</f>
        <v/>
      </c>
      <c r="N280" s="4">
        <f>IF(BD_Carga!H281&lt;&gt;"",BD_Carga!H281,0)</f>
        <v/>
      </c>
      <c r="O280" s="4">
        <f>IF(BD_Carga!I281&lt;&gt;"",BD_Carga!I281,0)</f>
        <v/>
      </c>
      <c r="P280" s="4">
        <f>IF(BD_Carga!J281&lt;&gt;"",BD_Carga!J281,0)</f>
        <v/>
      </c>
      <c r="Q280" s="5">
        <f>IF(BD_Carga!K281&lt;&gt;"",BD_Carga!K281,0)</f>
        <v/>
      </c>
      <c r="R280" s="5">
        <f>IF(BD_Carga!L281&lt;&gt;"",BD_Carga!L281,0)</f>
        <v/>
      </c>
      <c r="S280">
        <f>IF(BD_Carga!N281&lt;&gt;"",BD_Carga!N281,0)</f>
        <v/>
      </c>
      <c r="T280">
        <f>IF(BD_Carga!O281&lt;&gt;"",BD_Carga!O281,0)</f>
        <v/>
      </c>
      <c r="U280">
        <f>IF(BD_Carga!P281&lt;&gt;"",BD_Carga!P281,0)</f>
        <v/>
      </c>
      <c r="V280">
        <f>IF(BD_Carga!U281&lt;&gt;"",BD_Carga!U281,0)</f>
        <v/>
      </c>
      <c r="W280">
        <f>IF(BD_Carga!T281&lt;&gt;"",BD_Carga!T281,0)</f>
        <v/>
      </c>
      <c r="X280">
        <f>IF(BD_Carga!W281&lt;&gt;"",BD_Carga!W281,0)</f>
        <v/>
      </c>
      <c r="Y280">
        <f>IF(BD_Carga!X281&lt;&gt;"",BD_Carga!X281,0)</f>
        <v/>
      </c>
      <c r="Z280">
        <f>IF(BD_Carga!Y281&lt;&gt;"",BD_Carga!Y281,0)</f>
        <v/>
      </c>
      <c r="AA280">
        <f>IF(BD_Carga!Z281&lt;&gt;"",BD_Carga!Z281,0)</f>
        <v/>
      </c>
      <c r="AB280">
        <f>IF(BD_Carga!AA281&lt;&gt;"",BD_Carga!AA281,0)</f>
        <v/>
      </c>
      <c r="AC280" s="6">
        <f t="array" ref="AC280">IFERROR((L280-AVERAGEIF($G$2:$G$462,G280,$L$2:$L$462))/_xlfn.STDEV.P(IF($G$2:$G$462=G280,$L$2:$L$462)),0)</f>
        <v/>
      </c>
      <c r="AD280" s="6">
        <f t="array" ref="AD280">IFERROR((M280-AVERAGEIF($G$2:$G$462,G280,$M$2:$M$462))/_xlfn.STDEV.P(IF($G$2:$G$462=G280,$M$2:$M$462)),0)</f>
        <v/>
      </c>
      <c r="AE280" s="6">
        <f t="array" ref="AE280">IFERROR((N280-AVERAGEIF($G$2:$G$462,G280,$N$2:$N$462))/_xlfn.STDEV.P(IF($G$2:$G$462=G280,$N$2:$N$462)),0)</f>
        <v/>
      </c>
      <c r="AF280" s="6">
        <f t="array" ref="AF280">IFERROR((O280-AVERAGEIF($G$2:$G$462,G280,$O$2:$O$462))/_xlfn.STDEV.P(IF($G$2:$G$462=G280,$O$2:$O$462)),0)</f>
        <v/>
      </c>
      <c r="AG280" s="6">
        <f t="array" ref="AG280">IFERROR((P280-AVERAGEIF($G$2:$G$462,G280,$P$2:$P$462))/_xlfn.STDEV.P(IF($G$2:$G$462=G280,$P$2:$P$462)),0)</f>
        <v/>
      </c>
      <c r="AH280" s="6">
        <f t="array" ref="AH280">IFERROR((R280-AVERAGEIF($G$2:$G$462,G280,$R$2:$R$462))/_xlfn.STDEV.P(IF($G$2:$G$462=G280,$R$2:$R$462)),0)</f>
        <v/>
      </c>
      <c r="AI280" s="6">
        <f>IFERROR((AC280+AD280+AE280+AF280+AG280+AH280)/6,0)</f>
        <v/>
      </c>
    </row>
    <row r="281">
      <c r="A281" s="2">
        <f>IF(BD_Carga!A282&lt;&gt;"",BD_Carga!A282,"")</f>
        <v/>
      </c>
      <c r="B281">
        <f>IF(A281&lt;&gt;"",YEAR(A281),"")</f>
        <v/>
      </c>
      <c r="C281">
        <f>IF(A281&lt;&gt;"",MONTH(A281),"")</f>
        <v/>
      </c>
      <c r="D281">
        <f>IF(A281&lt;&gt;"",_xlfn.ISOWEEKNUM(A281),"")</f>
        <v/>
      </c>
      <c r="E281">
        <f>IF(A281&lt;&gt;"",TEXT(A281,"dddd"),"")</f>
        <v/>
      </c>
      <c r="F281">
        <f>IF(BD_Carga!C282&lt;&gt;"",BD_Carga!C282,"")</f>
        <v/>
      </c>
      <c r="G281">
        <f>IF(BD_Carga!D282&lt;&gt;"",BD_Carga!D282,"")</f>
        <v/>
      </c>
      <c r="H281">
        <f>IF(BD_Carga!Q282&lt;&gt;"",BD_Carga!Q282,"")</f>
        <v/>
      </c>
      <c r="I281">
        <f>IF(BD_Carga!R282&lt;&gt;"",BD_Carga!R282,"")</f>
        <v/>
      </c>
      <c r="J281">
        <f>IF(BD_Carga!S282&lt;&gt;"",BD_Carga!S282,"")</f>
        <v/>
      </c>
      <c r="K281" s="4">
        <f>IF(BD_Carga!E282&lt;&gt;"",BD_Carga!E282,0)</f>
        <v/>
      </c>
      <c r="L281" s="4">
        <f>IF(BD_Carga!F282&lt;&gt;"",BD_Carga!F282,0)</f>
        <v/>
      </c>
      <c r="M281" s="4">
        <f>IF(BD_Carga!G282&lt;&gt;"",BD_Carga!G282,0)</f>
        <v/>
      </c>
      <c r="N281" s="4">
        <f>IF(BD_Carga!H282&lt;&gt;"",BD_Carga!H282,0)</f>
        <v/>
      </c>
      <c r="O281" s="4">
        <f>IF(BD_Carga!I282&lt;&gt;"",BD_Carga!I282,0)</f>
        <v/>
      </c>
      <c r="P281" s="4">
        <f>IF(BD_Carga!J282&lt;&gt;"",BD_Carga!J282,0)</f>
        <v/>
      </c>
      <c r="Q281" s="5">
        <f>IF(BD_Carga!K282&lt;&gt;"",BD_Carga!K282,0)</f>
        <v/>
      </c>
      <c r="R281" s="5">
        <f>IF(BD_Carga!L282&lt;&gt;"",BD_Carga!L282,0)</f>
        <v/>
      </c>
      <c r="S281">
        <f>IF(BD_Carga!N282&lt;&gt;"",BD_Carga!N282,0)</f>
        <v/>
      </c>
      <c r="T281">
        <f>IF(BD_Carga!O282&lt;&gt;"",BD_Carga!O282,0)</f>
        <v/>
      </c>
      <c r="U281">
        <f>IF(BD_Carga!P282&lt;&gt;"",BD_Carga!P282,0)</f>
        <v/>
      </c>
      <c r="V281">
        <f>IF(BD_Carga!U282&lt;&gt;"",BD_Carga!U282,0)</f>
        <v/>
      </c>
      <c r="W281">
        <f>IF(BD_Carga!T282&lt;&gt;"",BD_Carga!T282,0)</f>
        <v/>
      </c>
      <c r="X281">
        <f>IF(BD_Carga!W282&lt;&gt;"",BD_Carga!W282,0)</f>
        <v/>
      </c>
      <c r="Y281">
        <f>IF(BD_Carga!X282&lt;&gt;"",BD_Carga!X282,0)</f>
        <v/>
      </c>
      <c r="Z281">
        <f>IF(BD_Carga!Y282&lt;&gt;"",BD_Carga!Y282,0)</f>
        <v/>
      </c>
      <c r="AA281">
        <f>IF(BD_Carga!Z282&lt;&gt;"",BD_Carga!Z282,0)</f>
        <v/>
      </c>
      <c r="AB281">
        <f>IF(BD_Carga!AA282&lt;&gt;"",BD_Carga!AA282,0)</f>
        <v/>
      </c>
      <c r="AC281" s="6">
        <f t="array" ref="AC281">IFERROR((L281-AVERAGEIF($G$2:$G$462,G281,$L$2:$L$462))/_xlfn.STDEV.P(IF($G$2:$G$462=G281,$L$2:$L$462)),0)</f>
        <v/>
      </c>
      <c r="AD281" s="6">
        <f t="array" ref="AD281">IFERROR((M281-AVERAGEIF($G$2:$G$462,G281,$M$2:$M$462))/_xlfn.STDEV.P(IF($G$2:$G$462=G281,$M$2:$M$462)),0)</f>
        <v/>
      </c>
      <c r="AE281" s="6">
        <f t="array" ref="AE281">IFERROR((N281-AVERAGEIF($G$2:$G$462,G281,$N$2:$N$462))/_xlfn.STDEV.P(IF($G$2:$G$462=G281,$N$2:$N$462)),0)</f>
        <v/>
      </c>
      <c r="AF281" s="6">
        <f t="array" ref="AF281">IFERROR((O281-AVERAGEIF($G$2:$G$462,G281,$O$2:$O$462))/_xlfn.STDEV.P(IF($G$2:$G$462=G281,$O$2:$O$462)),0)</f>
        <v/>
      </c>
      <c r="AG281" s="6">
        <f t="array" ref="AG281">IFERROR((P281-AVERAGEIF($G$2:$G$462,G281,$P$2:$P$462))/_xlfn.STDEV.P(IF($G$2:$G$462=G281,$P$2:$P$462)),0)</f>
        <v/>
      </c>
      <c r="AH281" s="6">
        <f t="array" ref="AH281">IFERROR((R281-AVERAGEIF($G$2:$G$462,G281,$R$2:$R$462))/_xlfn.STDEV.P(IF($G$2:$G$462=G281,$R$2:$R$462)),0)</f>
        <v/>
      </c>
      <c r="AI281" s="6">
        <f>IFERROR((AC281+AD281+AE281+AF281+AG281+AH281)/6,0)</f>
        <v/>
      </c>
    </row>
    <row r="282">
      <c r="A282" s="2">
        <f>IF(BD_Carga!A283&lt;&gt;"",BD_Carga!A283,"")</f>
        <v/>
      </c>
      <c r="B282">
        <f>IF(A282&lt;&gt;"",YEAR(A282),"")</f>
        <v/>
      </c>
      <c r="C282">
        <f>IF(A282&lt;&gt;"",MONTH(A282),"")</f>
        <v/>
      </c>
      <c r="D282">
        <f>IF(A282&lt;&gt;"",_xlfn.ISOWEEKNUM(A282),"")</f>
        <v/>
      </c>
      <c r="E282">
        <f>IF(A282&lt;&gt;"",TEXT(A282,"dddd"),"")</f>
        <v/>
      </c>
      <c r="F282">
        <f>IF(BD_Carga!C283&lt;&gt;"",BD_Carga!C283,"")</f>
        <v/>
      </c>
      <c r="G282">
        <f>IF(BD_Carga!D283&lt;&gt;"",BD_Carga!D283,"")</f>
        <v/>
      </c>
      <c r="H282">
        <f>IF(BD_Carga!Q283&lt;&gt;"",BD_Carga!Q283,"")</f>
        <v/>
      </c>
      <c r="I282">
        <f>IF(BD_Carga!R283&lt;&gt;"",BD_Carga!R283,"")</f>
        <v/>
      </c>
      <c r="J282">
        <f>IF(BD_Carga!S283&lt;&gt;"",BD_Carga!S283,"")</f>
        <v/>
      </c>
      <c r="K282" s="4">
        <f>IF(BD_Carga!E283&lt;&gt;"",BD_Carga!E283,0)</f>
        <v/>
      </c>
      <c r="L282" s="4">
        <f>IF(BD_Carga!F283&lt;&gt;"",BD_Carga!F283,0)</f>
        <v/>
      </c>
      <c r="M282" s="4">
        <f>IF(BD_Carga!G283&lt;&gt;"",BD_Carga!G283,0)</f>
        <v/>
      </c>
      <c r="N282" s="4">
        <f>IF(BD_Carga!H283&lt;&gt;"",BD_Carga!H283,0)</f>
        <v/>
      </c>
      <c r="O282" s="4">
        <f>IF(BD_Carga!I283&lt;&gt;"",BD_Carga!I283,0)</f>
        <v/>
      </c>
      <c r="P282" s="4">
        <f>IF(BD_Carga!J283&lt;&gt;"",BD_Carga!J283,0)</f>
        <v/>
      </c>
      <c r="Q282" s="5">
        <f>IF(BD_Carga!K283&lt;&gt;"",BD_Carga!K283,0)</f>
        <v/>
      </c>
      <c r="R282" s="5">
        <f>IF(BD_Carga!L283&lt;&gt;"",BD_Carga!L283,0)</f>
        <v/>
      </c>
      <c r="S282">
        <f>IF(BD_Carga!N283&lt;&gt;"",BD_Carga!N283,0)</f>
        <v/>
      </c>
      <c r="T282">
        <f>IF(BD_Carga!O283&lt;&gt;"",BD_Carga!O283,0)</f>
        <v/>
      </c>
      <c r="U282">
        <f>IF(BD_Carga!P283&lt;&gt;"",BD_Carga!P283,0)</f>
        <v/>
      </c>
      <c r="V282">
        <f>IF(BD_Carga!U283&lt;&gt;"",BD_Carga!U283,0)</f>
        <v/>
      </c>
      <c r="W282">
        <f>IF(BD_Carga!T283&lt;&gt;"",BD_Carga!T283,0)</f>
        <v/>
      </c>
      <c r="X282">
        <f>IF(BD_Carga!W283&lt;&gt;"",BD_Carga!W283,0)</f>
        <v/>
      </c>
      <c r="Y282">
        <f>IF(BD_Carga!X283&lt;&gt;"",BD_Carga!X283,0)</f>
        <v/>
      </c>
      <c r="Z282">
        <f>IF(BD_Carga!Y283&lt;&gt;"",BD_Carga!Y283,0)</f>
        <v/>
      </c>
      <c r="AA282">
        <f>IF(BD_Carga!Z283&lt;&gt;"",BD_Carga!Z283,0)</f>
        <v/>
      </c>
      <c r="AB282">
        <f>IF(BD_Carga!AA283&lt;&gt;"",BD_Carga!AA283,0)</f>
        <v/>
      </c>
      <c r="AC282" s="6">
        <f t="array" ref="AC282">IFERROR((L282-AVERAGEIF($G$2:$G$462,G282,$L$2:$L$462))/_xlfn.STDEV.P(IF($G$2:$G$462=G282,$L$2:$L$462)),0)</f>
        <v/>
      </c>
      <c r="AD282" s="6">
        <f t="array" ref="AD282">IFERROR((M282-AVERAGEIF($G$2:$G$462,G282,$M$2:$M$462))/_xlfn.STDEV.P(IF($G$2:$G$462=G282,$M$2:$M$462)),0)</f>
        <v/>
      </c>
      <c r="AE282" s="6">
        <f t="array" ref="AE282">IFERROR((N282-AVERAGEIF($G$2:$G$462,G282,$N$2:$N$462))/_xlfn.STDEV.P(IF($G$2:$G$462=G282,$N$2:$N$462)),0)</f>
        <v/>
      </c>
      <c r="AF282" s="6">
        <f t="array" ref="AF282">IFERROR((O282-AVERAGEIF($G$2:$G$462,G282,$O$2:$O$462))/_xlfn.STDEV.P(IF($G$2:$G$462=G282,$O$2:$O$462)),0)</f>
        <v/>
      </c>
      <c r="AG282" s="6">
        <f t="array" ref="AG282">IFERROR((P282-AVERAGEIF($G$2:$G$462,G282,$P$2:$P$462))/_xlfn.STDEV.P(IF($G$2:$G$462=G282,$P$2:$P$462)),0)</f>
        <v/>
      </c>
      <c r="AH282" s="6">
        <f t="array" ref="AH282">IFERROR((R282-AVERAGEIF($G$2:$G$462,G282,$R$2:$R$462))/_xlfn.STDEV.P(IF($G$2:$G$462=G282,$R$2:$R$462)),0)</f>
        <v/>
      </c>
      <c r="AI282" s="6">
        <f>IFERROR((AC282+AD282+AE282+AF282+AG282+AH282)/6,0)</f>
        <v/>
      </c>
    </row>
    <row r="283">
      <c r="A283" s="2">
        <f>IF(BD_Carga!A284&lt;&gt;"",BD_Carga!A284,"")</f>
        <v/>
      </c>
      <c r="B283">
        <f>IF(A283&lt;&gt;"",YEAR(A283),"")</f>
        <v/>
      </c>
      <c r="C283">
        <f>IF(A283&lt;&gt;"",MONTH(A283),"")</f>
        <v/>
      </c>
      <c r="D283">
        <f>IF(A283&lt;&gt;"",_xlfn.ISOWEEKNUM(A283),"")</f>
        <v/>
      </c>
      <c r="E283">
        <f>IF(A283&lt;&gt;"",TEXT(A283,"dddd"),"")</f>
        <v/>
      </c>
      <c r="F283">
        <f>IF(BD_Carga!C284&lt;&gt;"",BD_Carga!C284,"")</f>
        <v/>
      </c>
      <c r="G283">
        <f>IF(BD_Carga!D284&lt;&gt;"",BD_Carga!D284,"")</f>
        <v/>
      </c>
      <c r="H283">
        <f>IF(BD_Carga!Q284&lt;&gt;"",BD_Carga!Q284,"")</f>
        <v/>
      </c>
      <c r="I283">
        <f>IF(BD_Carga!R284&lt;&gt;"",BD_Carga!R284,"")</f>
        <v/>
      </c>
      <c r="J283">
        <f>IF(BD_Carga!S284&lt;&gt;"",BD_Carga!S284,"")</f>
        <v/>
      </c>
      <c r="K283" s="4">
        <f>IF(BD_Carga!E284&lt;&gt;"",BD_Carga!E284,0)</f>
        <v/>
      </c>
      <c r="L283" s="4">
        <f>IF(BD_Carga!F284&lt;&gt;"",BD_Carga!F284,0)</f>
        <v/>
      </c>
      <c r="M283" s="4">
        <f>IF(BD_Carga!G284&lt;&gt;"",BD_Carga!G284,0)</f>
        <v/>
      </c>
      <c r="N283" s="4">
        <f>IF(BD_Carga!H284&lt;&gt;"",BD_Carga!H284,0)</f>
        <v/>
      </c>
      <c r="O283" s="4">
        <f>IF(BD_Carga!I284&lt;&gt;"",BD_Carga!I284,0)</f>
        <v/>
      </c>
      <c r="P283" s="4">
        <f>IF(BD_Carga!J284&lt;&gt;"",BD_Carga!J284,0)</f>
        <v/>
      </c>
      <c r="Q283" s="5">
        <f>IF(BD_Carga!K284&lt;&gt;"",BD_Carga!K284,0)</f>
        <v/>
      </c>
      <c r="R283" s="5">
        <f>IF(BD_Carga!L284&lt;&gt;"",BD_Carga!L284,0)</f>
        <v/>
      </c>
      <c r="S283">
        <f>IF(BD_Carga!N284&lt;&gt;"",BD_Carga!N284,0)</f>
        <v/>
      </c>
      <c r="T283">
        <f>IF(BD_Carga!O284&lt;&gt;"",BD_Carga!O284,0)</f>
        <v/>
      </c>
      <c r="U283">
        <f>IF(BD_Carga!P284&lt;&gt;"",BD_Carga!P284,0)</f>
        <v/>
      </c>
      <c r="V283">
        <f>IF(BD_Carga!U284&lt;&gt;"",BD_Carga!U284,0)</f>
        <v/>
      </c>
      <c r="W283">
        <f>IF(BD_Carga!T284&lt;&gt;"",BD_Carga!T284,0)</f>
        <v/>
      </c>
      <c r="X283">
        <f>IF(BD_Carga!W284&lt;&gt;"",BD_Carga!W284,0)</f>
        <v/>
      </c>
      <c r="Y283">
        <f>IF(BD_Carga!X284&lt;&gt;"",BD_Carga!X284,0)</f>
        <v/>
      </c>
      <c r="Z283">
        <f>IF(BD_Carga!Y284&lt;&gt;"",BD_Carga!Y284,0)</f>
        <v/>
      </c>
      <c r="AA283">
        <f>IF(BD_Carga!Z284&lt;&gt;"",BD_Carga!Z284,0)</f>
        <v/>
      </c>
      <c r="AB283">
        <f>IF(BD_Carga!AA284&lt;&gt;"",BD_Carga!AA284,0)</f>
        <v/>
      </c>
      <c r="AC283" s="6">
        <f t="array" ref="AC283">IFERROR((L283-AVERAGEIF($G$2:$G$462,G283,$L$2:$L$462))/_xlfn.STDEV.P(IF($G$2:$G$462=G283,$L$2:$L$462)),0)</f>
        <v/>
      </c>
      <c r="AD283" s="6">
        <f t="array" ref="AD283">IFERROR((M283-AVERAGEIF($G$2:$G$462,G283,$M$2:$M$462))/_xlfn.STDEV.P(IF($G$2:$G$462=G283,$M$2:$M$462)),0)</f>
        <v/>
      </c>
      <c r="AE283" s="6">
        <f t="array" ref="AE283">IFERROR((N283-AVERAGEIF($G$2:$G$462,G283,$N$2:$N$462))/_xlfn.STDEV.P(IF($G$2:$G$462=G283,$N$2:$N$462)),0)</f>
        <v/>
      </c>
      <c r="AF283" s="6">
        <f t="array" ref="AF283">IFERROR((O283-AVERAGEIF($G$2:$G$462,G283,$O$2:$O$462))/_xlfn.STDEV.P(IF($G$2:$G$462=G283,$O$2:$O$462)),0)</f>
        <v/>
      </c>
      <c r="AG283" s="6">
        <f t="array" ref="AG283">IFERROR((P283-AVERAGEIF($G$2:$G$462,G283,$P$2:$P$462))/_xlfn.STDEV.P(IF($G$2:$G$462=G283,$P$2:$P$462)),0)</f>
        <v/>
      </c>
      <c r="AH283" s="6">
        <f t="array" ref="AH283">IFERROR((R283-AVERAGEIF($G$2:$G$462,G283,$R$2:$R$462))/_xlfn.STDEV.P(IF($G$2:$G$462=G283,$R$2:$R$462)),0)</f>
        <v/>
      </c>
      <c r="AI283" s="6">
        <f>IFERROR((AC283+AD283+AE283+AF283+AG283+AH283)/6,0)</f>
        <v/>
      </c>
    </row>
    <row r="284">
      <c r="A284" s="2">
        <f>IF(BD_Carga!A285&lt;&gt;"",BD_Carga!A285,"")</f>
        <v/>
      </c>
      <c r="B284">
        <f>IF(A284&lt;&gt;"",YEAR(A284),"")</f>
        <v/>
      </c>
      <c r="C284">
        <f>IF(A284&lt;&gt;"",MONTH(A284),"")</f>
        <v/>
      </c>
      <c r="D284">
        <f>IF(A284&lt;&gt;"",_xlfn.ISOWEEKNUM(A284),"")</f>
        <v/>
      </c>
      <c r="E284">
        <f>IF(A284&lt;&gt;"",TEXT(A284,"dddd"),"")</f>
        <v/>
      </c>
      <c r="F284">
        <f>IF(BD_Carga!C285&lt;&gt;"",BD_Carga!C285,"")</f>
        <v/>
      </c>
      <c r="G284">
        <f>IF(BD_Carga!D285&lt;&gt;"",BD_Carga!D285,"")</f>
        <v/>
      </c>
      <c r="H284">
        <f>IF(BD_Carga!Q285&lt;&gt;"",BD_Carga!Q285,"")</f>
        <v/>
      </c>
      <c r="I284">
        <f>IF(BD_Carga!R285&lt;&gt;"",BD_Carga!R285,"")</f>
        <v/>
      </c>
      <c r="J284">
        <f>IF(BD_Carga!S285&lt;&gt;"",BD_Carga!S285,"")</f>
        <v/>
      </c>
      <c r="K284" s="4">
        <f>IF(BD_Carga!E285&lt;&gt;"",BD_Carga!E285,0)</f>
        <v/>
      </c>
      <c r="L284" s="4">
        <f>IF(BD_Carga!F285&lt;&gt;"",BD_Carga!F285,0)</f>
        <v/>
      </c>
      <c r="M284" s="4">
        <f>IF(BD_Carga!G285&lt;&gt;"",BD_Carga!G285,0)</f>
        <v/>
      </c>
      <c r="N284" s="4">
        <f>IF(BD_Carga!H285&lt;&gt;"",BD_Carga!H285,0)</f>
        <v/>
      </c>
      <c r="O284" s="4">
        <f>IF(BD_Carga!I285&lt;&gt;"",BD_Carga!I285,0)</f>
        <v/>
      </c>
      <c r="P284" s="4">
        <f>IF(BD_Carga!J285&lt;&gt;"",BD_Carga!J285,0)</f>
        <v/>
      </c>
      <c r="Q284" s="5">
        <f>IF(BD_Carga!K285&lt;&gt;"",BD_Carga!K285,0)</f>
        <v/>
      </c>
      <c r="R284" s="5">
        <f>IF(BD_Carga!L285&lt;&gt;"",BD_Carga!L285,0)</f>
        <v/>
      </c>
      <c r="S284">
        <f>IF(BD_Carga!N285&lt;&gt;"",BD_Carga!N285,0)</f>
        <v/>
      </c>
      <c r="T284">
        <f>IF(BD_Carga!O285&lt;&gt;"",BD_Carga!O285,0)</f>
        <v/>
      </c>
      <c r="U284">
        <f>IF(BD_Carga!P285&lt;&gt;"",BD_Carga!P285,0)</f>
        <v/>
      </c>
      <c r="V284">
        <f>IF(BD_Carga!U285&lt;&gt;"",BD_Carga!U285,0)</f>
        <v/>
      </c>
      <c r="W284">
        <f>IF(BD_Carga!T285&lt;&gt;"",BD_Carga!T285,0)</f>
        <v/>
      </c>
      <c r="X284">
        <f>IF(BD_Carga!W285&lt;&gt;"",BD_Carga!W285,0)</f>
        <v/>
      </c>
      <c r="Y284">
        <f>IF(BD_Carga!X285&lt;&gt;"",BD_Carga!X285,0)</f>
        <v/>
      </c>
      <c r="Z284">
        <f>IF(BD_Carga!Y285&lt;&gt;"",BD_Carga!Y285,0)</f>
        <v/>
      </c>
      <c r="AA284">
        <f>IF(BD_Carga!Z285&lt;&gt;"",BD_Carga!Z285,0)</f>
        <v/>
      </c>
      <c r="AB284">
        <f>IF(BD_Carga!AA285&lt;&gt;"",BD_Carga!AA285,0)</f>
        <v/>
      </c>
      <c r="AC284" s="6">
        <f t="array" ref="AC284">IFERROR((L284-AVERAGEIF($G$2:$G$462,G284,$L$2:$L$462))/_xlfn.STDEV.P(IF($G$2:$G$462=G284,$L$2:$L$462)),0)</f>
        <v/>
      </c>
      <c r="AD284" s="6">
        <f t="array" ref="AD284">IFERROR((M284-AVERAGEIF($G$2:$G$462,G284,$M$2:$M$462))/_xlfn.STDEV.P(IF($G$2:$G$462=G284,$M$2:$M$462)),0)</f>
        <v/>
      </c>
      <c r="AE284" s="6">
        <f t="array" ref="AE284">IFERROR((N284-AVERAGEIF($G$2:$G$462,G284,$N$2:$N$462))/_xlfn.STDEV.P(IF($G$2:$G$462=G284,$N$2:$N$462)),0)</f>
        <v/>
      </c>
      <c r="AF284" s="6">
        <f t="array" ref="AF284">IFERROR((O284-AVERAGEIF($G$2:$G$462,G284,$O$2:$O$462))/_xlfn.STDEV.P(IF($G$2:$G$462=G284,$O$2:$O$462)),0)</f>
        <v/>
      </c>
      <c r="AG284" s="6">
        <f t="array" ref="AG284">IFERROR((P284-AVERAGEIF($G$2:$G$462,G284,$P$2:$P$462))/_xlfn.STDEV.P(IF($G$2:$G$462=G284,$P$2:$P$462)),0)</f>
        <v/>
      </c>
      <c r="AH284" s="6">
        <f t="array" ref="AH284">IFERROR((R284-AVERAGEIF($G$2:$G$462,G284,$R$2:$R$462))/_xlfn.STDEV.P(IF($G$2:$G$462=G284,$R$2:$R$462)),0)</f>
        <v/>
      </c>
      <c r="AI284" s="6">
        <f>IFERROR((AC284+AD284+AE284+AF284+AG284+AH284)/6,0)</f>
        <v/>
      </c>
    </row>
    <row r="285">
      <c r="A285" s="2">
        <f>IF(BD_Carga!A286&lt;&gt;"",BD_Carga!A286,"")</f>
        <v/>
      </c>
      <c r="B285">
        <f>IF(A285&lt;&gt;"",YEAR(A285),"")</f>
        <v/>
      </c>
      <c r="C285">
        <f>IF(A285&lt;&gt;"",MONTH(A285),"")</f>
        <v/>
      </c>
      <c r="D285">
        <f>IF(A285&lt;&gt;"",_xlfn.ISOWEEKNUM(A285),"")</f>
        <v/>
      </c>
      <c r="E285">
        <f>IF(A285&lt;&gt;"",TEXT(A285,"dddd"),"")</f>
        <v/>
      </c>
      <c r="F285">
        <f>IF(BD_Carga!C286&lt;&gt;"",BD_Carga!C286,"")</f>
        <v/>
      </c>
      <c r="G285">
        <f>IF(BD_Carga!D286&lt;&gt;"",BD_Carga!D286,"")</f>
        <v/>
      </c>
      <c r="H285">
        <f>IF(BD_Carga!Q286&lt;&gt;"",BD_Carga!Q286,"")</f>
        <v/>
      </c>
      <c r="I285">
        <f>IF(BD_Carga!R286&lt;&gt;"",BD_Carga!R286,"")</f>
        <v/>
      </c>
      <c r="J285">
        <f>IF(BD_Carga!S286&lt;&gt;"",BD_Carga!S286,"")</f>
        <v/>
      </c>
      <c r="K285" s="4">
        <f>IF(BD_Carga!E286&lt;&gt;"",BD_Carga!E286,0)</f>
        <v/>
      </c>
      <c r="L285" s="4">
        <f>IF(BD_Carga!F286&lt;&gt;"",BD_Carga!F286,0)</f>
        <v/>
      </c>
      <c r="M285" s="4">
        <f>IF(BD_Carga!G286&lt;&gt;"",BD_Carga!G286,0)</f>
        <v/>
      </c>
      <c r="N285" s="4">
        <f>IF(BD_Carga!H286&lt;&gt;"",BD_Carga!H286,0)</f>
        <v/>
      </c>
      <c r="O285" s="4">
        <f>IF(BD_Carga!I286&lt;&gt;"",BD_Carga!I286,0)</f>
        <v/>
      </c>
      <c r="P285" s="4">
        <f>IF(BD_Carga!J286&lt;&gt;"",BD_Carga!J286,0)</f>
        <v/>
      </c>
      <c r="Q285" s="5">
        <f>IF(BD_Carga!K286&lt;&gt;"",BD_Carga!K286,0)</f>
        <v/>
      </c>
      <c r="R285" s="5">
        <f>IF(BD_Carga!L286&lt;&gt;"",BD_Carga!L286,0)</f>
        <v/>
      </c>
      <c r="S285">
        <f>IF(BD_Carga!N286&lt;&gt;"",BD_Carga!N286,0)</f>
        <v/>
      </c>
      <c r="T285">
        <f>IF(BD_Carga!O286&lt;&gt;"",BD_Carga!O286,0)</f>
        <v/>
      </c>
      <c r="U285">
        <f>IF(BD_Carga!P286&lt;&gt;"",BD_Carga!P286,0)</f>
        <v/>
      </c>
      <c r="V285">
        <f>IF(BD_Carga!U286&lt;&gt;"",BD_Carga!U286,0)</f>
        <v/>
      </c>
      <c r="W285">
        <f>IF(BD_Carga!T286&lt;&gt;"",BD_Carga!T286,0)</f>
        <v/>
      </c>
      <c r="X285">
        <f>IF(BD_Carga!W286&lt;&gt;"",BD_Carga!W286,0)</f>
        <v/>
      </c>
      <c r="Y285">
        <f>IF(BD_Carga!X286&lt;&gt;"",BD_Carga!X286,0)</f>
        <v/>
      </c>
      <c r="Z285">
        <f>IF(BD_Carga!Y286&lt;&gt;"",BD_Carga!Y286,0)</f>
        <v/>
      </c>
      <c r="AA285">
        <f>IF(BD_Carga!Z286&lt;&gt;"",BD_Carga!Z286,0)</f>
        <v/>
      </c>
      <c r="AB285">
        <f>IF(BD_Carga!AA286&lt;&gt;"",BD_Carga!AA286,0)</f>
        <v/>
      </c>
      <c r="AC285" s="6">
        <f t="array" ref="AC285">IFERROR((L285-AVERAGEIF($G$2:$G$462,G285,$L$2:$L$462))/_xlfn.STDEV.P(IF($G$2:$G$462=G285,$L$2:$L$462)),0)</f>
        <v/>
      </c>
      <c r="AD285" s="6">
        <f t="array" ref="AD285">IFERROR((M285-AVERAGEIF($G$2:$G$462,G285,$M$2:$M$462))/_xlfn.STDEV.P(IF($G$2:$G$462=G285,$M$2:$M$462)),0)</f>
        <v/>
      </c>
      <c r="AE285" s="6">
        <f t="array" ref="AE285">IFERROR((N285-AVERAGEIF($G$2:$G$462,G285,$N$2:$N$462))/_xlfn.STDEV.P(IF($G$2:$G$462=G285,$N$2:$N$462)),0)</f>
        <v/>
      </c>
      <c r="AF285" s="6">
        <f t="array" ref="AF285">IFERROR((O285-AVERAGEIF($G$2:$G$462,G285,$O$2:$O$462))/_xlfn.STDEV.P(IF($G$2:$G$462=G285,$O$2:$O$462)),0)</f>
        <v/>
      </c>
      <c r="AG285" s="6">
        <f t="array" ref="AG285">IFERROR((P285-AVERAGEIF($G$2:$G$462,G285,$P$2:$P$462))/_xlfn.STDEV.P(IF($G$2:$G$462=G285,$P$2:$P$462)),0)</f>
        <v/>
      </c>
      <c r="AH285" s="6">
        <f t="array" ref="AH285">IFERROR((R285-AVERAGEIF($G$2:$G$462,G285,$R$2:$R$462))/_xlfn.STDEV.P(IF($G$2:$G$462=G285,$R$2:$R$462)),0)</f>
        <v/>
      </c>
      <c r="AI285" s="6">
        <f>IFERROR((AC285+AD285+AE285+AF285+AG285+AH285)/6,0)</f>
        <v/>
      </c>
    </row>
    <row r="286">
      <c r="A286" s="2">
        <f>IF(BD_Carga!A287&lt;&gt;"",BD_Carga!A287,"")</f>
        <v/>
      </c>
      <c r="B286">
        <f>IF(A286&lt;&gt;"",YEAR(A286),"")</f>
        <v/>
      </c>
      <c r="C286">
        <f>IF(A286&lt;&gt;"",MONTH(A286),"")</f>
        <v/>
      </c>
      <c r="D286">
        <f>IF(A286&lt;&gt;"",_xlfn.ISOWEEKNUM(A286),"")</f>
        <v/>
      </c>
      <c r="E286">
        <f>IF(A286&lt;&gt;"",TEXT(A286,"dddd"),"")</f>
        <v/>
      </c>
      <c r="F286">
        <f>IF(BD_Carga!C287&lt;&gt;"",BD_Carga!C287,"")</f>
        <v/>
      </c>
      <c r="G286">
        <f>IF(BD_Carga!D287&lt;&gt;"",BD_Carga!D287,"")</f>
        <v/>
      </c>
      <c r="H286">
        <f>IF(BD_Carga!Q287&lt;&gt;"",BD_Carga!Q287,"")</f>
        <v/>
      </c>
      <c r="I286">
        <f>IF(BD_Carga!R287&lt;&gt;"",BD_Carga!R287,"")</f>
        <v/>
      </c>
      <c r="J286">
        <f>IF(BD_Carga!S287&lt;&gt;"",BD_Carga!S287,"")</f>
        <v/>
      </c>
      <c r="K286" s="4">
        <f>IF(BD_Carga!E287&lt;&gt;"",BD_Carga!E287,0)</f>
        <v/>
      </c>
      <c r="L286" s="4">
        <f>IF(BD_Carga!F287&lt;&gt;"",BD_Carga!F287,0)</f>
        <v/>
      </c>
      <c r="M286" s="4">
        <f>IF(BD_Carga!G287&lt;&gt;"",BD_Carga!G287,0)</f>
        <v/>
      </c>
      <c r="N286" s="4">
        <f>IF(BD_Carga!H287&lt;&gt;"",BD_Carga!H287,0)</f>
        <v/>
      </c>
      <c r="O286" s="4">
        <f>IF(BD_Carga!I287&lt;&gt;"",BD_Carga!I287,0)</f>
        <v/>
      </c>
      <c r="P286" s="4">
        <f>IF(BD_Carga!J287&lt;&gt;"",BD_Carga!J287,0)</f>
        <v/>
      </c>
      <c r="Q286" s="5">
        <f>IF(BD_Carga!K287&lt;&gt;"",BD_Carga!K287,0)</f>
        <v/>
      </c>
      <c r="R286" s="5">
        <f>IF(BD_Carga!L287&lt;&gt;"",BD_Carga!L287,0)</f>
        <v/>
      </c>
      <c r="S286">
        <f>IF(BD_Carga!N287&lt;&gt;"",BD_Carga!N287,0)</f>
        <v/>
      </c>
      <c r="T286">
        <f>IF(BD_Carga!O287&lt;&gt;"",BD_Carga!O287,0)</f>
        <v/>
      </c>
      <c r="U286">
        <f>IF(BD_Carga!P287&lt;&gt;"",BD_Carga!P287,0)</f>
        <v/>
      </c>
      <c r="V286">
        <f>IF(BD_Carga!U287&lt;&gt;"",BD_Carga!U287,0)</f>
        <v/>
      </c>
      <c r="W286">
        <f>IF(BD_Carga!T287&lt;&gt;"",BD_Carga!T287,0)</f>
        <v/>
      </c>
      <c r="X286">
        <f>IF(BD_Carga!W287&lt;&gt;"",BD_Carga!W287,0)</f>
        <v/>
      </c>
      <c r="Y286">
        <f>IF(BD_Carga!X287&lt;&gt;"",BD_Carga!X287,0)</f>
        <v/>
      </c>
      <c r="Z286">
        <f>IF(BD_Carga!Y287&lt;&gt;"",BD_Carga!Y287,0)</f>
        <v/>
      </c>
      <c r="AA286">
        <f>IF(BD_Carga!Z287&lt;&gt;"",BD_Carga!Z287,0)</f>
        <v/>
      </c>
      <c r="AB286">
        <f>IF(BD_Carga!AA287&lt;&gt;"",BD_Carga!AA287,0)</f>
        <v/>
      </c>
      <c r="AC286" s="6">
        <f t="array" ref="AC286">IFERROR((L286-AVERAGEIF($G$2:$G$462,G286,$L$2:$L$462))/_xlfn.STDEV.P(IF($G$2:$G$462=G286,$L$2:$L$462)),0)</f>
        <v/>
      </c>
      <c r="AD286" s="6">
        <f t="array" ref="AD286">IFERROR((M286-AVERAGEIF($G$2:$G$462,G286,$M$2:$M$462))/_xlfn.STDEV.P(IF($G$2:$G$462=G286,$M$2:$M$462)),0)</f>
        <v/>
      </c>
      <c r="AE286" s="6">
        <f t="array" ref="AE286">IFERROR((N286-AVERAGEIF($G$2:$G$462,G286,$N$2:$N$462))/_xlfn.STDEV.P(IF($G$2:$G$462=G286,$N$2:$N$462)),0)</f>
        <v/>
      </c>
      <c r="AF286" s="6">
        <f t="array" ref="AF286">IFERROR((O286-AVERAGEIF($G$2:$G$462,G286,$O$2:$O$462))/_xlfn.STDEV.P(IF($G$2:$G$462=G286,$O$2:$O$462)),0)</f>
        <v/>
      </c>
      <c r="AG286" s="6">
        <f t="array" ref="AG286">IFERROR((P286-AVERAGEIF($G$2:$G$462,G286,$P$2:$P$462))/_xlfn.STDEV.P(IF($G$2:$G$462=G286,$P$2:$P$462)),0)</f>
        <v/>
      </c>
      <c r="AH286" s="6">
        <f t="array" ref="AH286">IFERROR((R286-AVERAGEIF($G$2:$G$462,G286,$R$2:$R$462))/_xlfn.STDEV.P(IF($G$2:$G$462=G286,$R$2:$R$462)),0)</f>
        <v/>
      </c>
      <c r="AI286" s="6">
        <f>IFERROR((AC286+AD286+AE286+AF286+AG286+AH286)/6,0)</f>
        <v/>
      </c>
    </row>
    <row r="287">
      <c r="A287" s="2">
        <f>IF(BD_Carga!A288&lt;&gt;"",BD_Carga!A288,"")</f>
        <v/>
      </c>
      <c r="B287">
        <f>IF(A287&lt;&gt;"",YEAR(A287),"")</f>
        <v/>
      </c>
      <c r="C287">
        <f>IF(A287&lt;&gt;"",MONTH(A287),"")</f>
        <v/>
      </c>
      <c r="D287">
        <f>IF(A287&lt;&gt;"",_xlfn.ISOWEEKNUM(A287),"")</f>
        <v/>
      </c>
      <c r="E287">
        <f>IF(A287&lt;&gt;"",TEXT(A287,"dddd"),"")</f>
        <v/>
      </c>
      <c r="F287">
        <f>IF(BD_Carga!C288&lt;&gt;"",BD_Carga!C288,"")</f>
        <v/>
      </c>
      <c r="G287">
        <f>IF(BD_Carga!D288&lt;&gt;"",BD_Carga!D288,"")</f>
        <v/>
      </c>
      <c r="H287">
        <f>IF(BD_Carga!Q288&lt;&gt;"",BD_Carga!Q288,"")</f>
        <v/>
      </c>
      <c r="I287">
        <f>IF(BD_Carga!R288&lt;&gt;"",BD_Carga!R288,"")</f>
        <v/>
      </c>
      <c r="J287">
        <f>IF(BD_Carga!S288&lt;&gt;"",BD_Carga!S288,"")</f>
        <v/>
      </c>
      <c r="K287" s="4">
        <f>IF(BD_Carga!E288&lt;&gt;"",BD_Carga!E288,0)</f>
        <v/>
      </c>
      <c r="L287" s="4">
        <f>IF(BD_Carga!F288&lt;&gt;"",BD_Carga!F288,0)</f>
        <v/>
      </c>
      <c r="M287" s="4">
        <f>IF(BD_Carga!G288&lt;&gt;"",BD_Carga!G288,0)</f>
        <v/>
      </c>
      <c r="N287" s="4">
        <f>IF(BD_Carga!H288&lt;&gt;"",BD_Carga!H288,0)</f>
        <v/>
      </c>
      <c r="O287" s="4">
        <f>IF(BD_Carga!I288&lt;&gt;"",BD_Carga!I288,0)</f>
        <v/>
      </c>
      <c r="P287" s="4">
        <f>IF(BD_Carga!J288&lt;&gt;"",BD_Carga!J288,0)</f>
        <v/>
      </c>
      <c r="Q287" s="5">
        <f>IF(BD_Carga!K288&lt;&gt;"",BD_Carga!K288,0)</f>
        <v/>
      </c>
      <c r="R287" s="5">
        <f>IF(BD_Carga!L288&lt;&gt;"",BD_Carga!L288,0)</f>
        <v/>
      </c>
      <c r="S287">
        <f>IF(BD_Carga!N288&lt;&gt;"",BD_Carga!N288,0)</f>
        <v/>
      </c>
      <c r="T287">
        <f>IF(BD_Carga!O288&lt;&gt;"",BD_Carga!O288,0)</f>
        <v/>
      </c>
      <c r="U287">
        <f>IF(BD_Carga!P288&lt;&gt;"",BD_Carga!P288,0)</f>
        <v/>
      </c>
      <c r="V287">
        <f>IF(BD_Carga!U288&lt;&gt;"",BD_Carga!U288,0)</f>
        <v/>
      </c>
      <c r="W287">
        <f>IF(BD_Carga!T288&lt;&gt;"",BD_Carga!T288,0)</f>
        <v/>
      </c>
      <c r="X287">
        <f>IF(BD_Carga!W288&lt;&gt;"",BD_Carga!W288,0)</f>
        <v/>
      </c>
      <c r="Y287">
        <f>IF(BD_Carga!X288&lt;&gt;"",BD_Carga!X288,0)</f>
        <v/>
      </c>
      <c r="Z287">
        <f>IF(BD_Carga!Y288&lt;&gt;"",BD_Carga!Y288,0)</f>
        <v/>
      </c>
      <c r="AA287">
        <f>IF(BD_Carga!Z288&lt;&gt;"",BD_Carga!Z288,0)</f>
        <v/>
      </c>
      <c r="AB287">
        <f>IF(BD_Carga!AA288&lt;&gt;"",BD_Carga!AA288,0)</f>
        <v/>
      </c>
      <c r="AC287" s="6">
        <f t="array" ref="AC287">IFERROR((L287-AVERAGEIF($G$2:$G$462,G287,$L$2:$L$462))/_xlfn.STDEV.P(IF($G$2:$G$462=G287,$L$2:$L$462)),0)</f>
        <v/>
      </c>
      <c r="AD287" s="6">
        <f t="array" ref="AD287">IFERROR((M287-AVERAGEIF($G$2:$G$462,G287,$M$2:$M$462))/_xlfn.STDEV.P(IF($G$2:$G$462=G287,$M$2:$M$462)),0)</f>
        <v/>
      </c>
      <c r="AE287" s="6">
        <f t="array" ref="AE287">IFERROR((N287-AVERAGEIF($G$2:$G$462,G287,$N$2:$N$462))/_xlfn.STDEV.P(IF($G$2:$G$462=G287,$N$2:$N$462)),0)</f>
        <v/>
      </c>
      <c r="AF287" s="6">
        <f t="array" ref="AF287">IFERROR((O287-AVERAGEIF($G$2:$G$462,G287,$O$2:$O$462))/_xlfn.STDEV.P(IF($G$2:$G$462=G287,$O$2:$O$462)),0)</f>
        <v/>
      </c>
      <c r="AG287" s="6">
        <f t="array" ref="AG287">IFERROR((P287-AVERAGEIF($G$2:$G$462,G287,$P$2:$P$462))/_xlfn.STDEV.P(IF($G$2:$G$462=G287,$P$2:$P$462)),0)</f>
        <v/>
      </c>
      <c r="AH287" s="6">
        <f t="array" ref="AH287">IFERROR((R287-AVERAGEIF($G$2:$G$462,G287,$R$2:$R$462))/_xlfn.STDEV.P(IF($G$2:$G$462=G287,$R$2:$R$462)),0)</f>
        <v/>
      </c>
      <c r="AI287" s="6">
        <f>IFERROR((AC287+AD287+AE287+AF287+AG287+AH287)/6,0)</f>
        <v/>
      </c>
    </row>
    <row r="288">
      <c r="A288" s="2">
        <f>IF(BD_Carga!A289&lt;&gt;"",BD_Carga!A289,"")</f>
        <v/>
      </c>
      <c r="B288">
        <f>IF(A288&lt;&gt;"",YEAR(A288),"")</f>
        <v/>
      </c>
      <c r="C288">
        <f>IF(A288&lt;&gt;"",MONTH(A288),"")</f>
        <v/>
      </c>
      <c r="D288">
        <f>IF(A288&lt;&gt;"",_xlfn.ISOWEEKNUM(A288),"")</f>
        <v/>
      </c>
      <c r="E288">
        <f>IF(A288&lt;&gt;"",TEXT(A288,"dddd"),"")</f>
        <v/>
      </c>
      <c r="F288">
        <f>IF(BD_Carga!C289&lt;&gt;"",BD_Carga!C289,"")</f>
        <v/>
      </c>
      <c r="G288">
        <f>IF(BD_Carga!D289&lt;&gt;"",BD_Carga!D289,"")</f>
        <v/>
      </c>
      <c r="H288">
        <f>IF(BD_Carga!Q289&lt;&gt;"",BD_Carga!Q289,"")</f>
        <v/>
      </c>
      <c r="I288">
        <f>IF(BD_Carga!R289&lt;&gt;"",BD_Carga!R289,"")</f>
        <v/>
      </c>
      <c r="J288">
        <f>IF(BD_Carga!S289&lt;&gt;"",BD_Carga!S289,"")</f>
        <v/>
      </c>
      <c r="K288" s="4">
        <f>IF(BD_Carga!E289&lt;&gt;"",BD_Carga!E289,0)</f>
        <v/>
      </c>
      <c r="L288" s="4">
        <f>IF(BD_Carga!F289&lt;&gt;"",BD_Carga!F289,0)</f>
        <v/>
      </c>
      <c r="M288" s="4">
        <f>IF(BD_Carga!G289&lt;&gt;"",BD_Carga!G289,0)</f>
        <v/>
      </c>
      <c r="N288" s="4">
        <f>IF(BD_Carga!H289&lt;&gt;"",BD_Carga!H289,0)</f>
        <v/>
      </c>
      <c r="O288" s="4">
        <f>IF(BD_Carga!I289&lt;&gt;"",BD_Carga!I289,0)</f>
        <v/>
      </c>
      <c r="P288" s="4">
        <f>IF(BD_Carga!J289&lt;&gt;"",BD_Carga!J289,0)</f>
        <v/>
      </c>
      <c r="Q288" s="5">
        <f>IF(BD_Carga!K289&lt;&gt;"",BD_Carga!K289,0)</f>
        <v/>
      </c>
      <c r="R288" s="5">
        <f>IF(BD_Carga!L289&lt;&gt;"",BD_Carga!L289,0)</f>
        <v/>
      </c>
      <c r="S288">
        <f>IF(BD_Carga!N289&lt;&gt;"",BD_Carga!N289,0)</f>
        <v/>
      </c>
      <c r="T288">
        <f>IF(BD_Carga!O289&lt;&gt;"",BD_Carga!O289,0)</f>
        <v/>
      </c>
      <c r="U288">
        <f>IF(BD_Carga!P289&lt;&gt;"",BD_Carga!P289,0)</f>
        <v/>
      </c>
      <c r="V288">
        <f>IF(BD_Carga!U289&lt;&gt;"",BD_Carga!U289,0)</f>
        <v/>
      </c>
      <c r="W288">
        <f>IF(BD_Carga!T289&lt;&gt;"",BD_Carga!T289,0)</f>
        <v/>
      </c>
      <c r="X288">
        <f>IF(BD_Carga!W289&lt;&gt;"",BD_Carga!W289,0)</f>
        <v/>
      </c>
      <c r="Y288">
        <f>IF(BD_Carga!X289&lt;&gt;"",BD_Carga!X289,0)</f>
        <v/>
      </c>
      <c r="Z288">
        <f>IF(BD_Carga!Y289&lt;&gt;"",BD_Carga!Y289,0)</f>
        <v/>
      </c>
      <c r="AA288">
        <f>IF(BD_Carga!Z289&lt;&gt;"",BD_Carga!Z289,0)</f>
        <v/>
      </c>
      <c r="AB288">
        <f>IF(BD_Carga!AA289&lt;&gt;"",BD_Carga!AA289,0)</f>
        <v/>
      </c>
      <c r="AC288" s="6">
        <f t="array" ref="AC288">IFERROR((L288-AVERAGEIF($G$2:$G$462,G288,$L$2:$L$462))/_xlfn.STDEV.P(IF($G$2:$G$462=G288,$L$2:$L$462)),0)</f>
        <v/>
      </c>
      <c r="AD288" s="6">
        <f t="array" ref="AD288">IFERROR((M288-AVERAGEIF($G$2:$G$462,G288,$M$2:$M$462))/_xlfn.STDEV.P(IF($G$2:$G$462=G288,$M$2:$M$462)),0)</f>
        <v/>
      </c>
      <c r="AE288" s="6">
        <f t="array" ref="AE288">IFERROR((N288-AVERAGEIF($G$2:$G$462,G288,$N$2:$N$462))/_xlfn.STDEV.P(IF($G$2:$G$462=G288,$N$2:$N$462)),0)</f>
        <v/>
      </c>
      <c r="AF288" s="6">
        <f t="array" ref="AF288">IFERROR((O288-AVERAGEIF($G$2:$G$462,G288,$O$2:$O$462))/_xlfn.STDEV.P(IF($G$2:$G$462=G288,$O$2:$O$462)),0)</f>
        <v/>
      </c>
      <c r="AG288" s="6">
        <f t="array" ref="AG288">IFERROR((P288-AVERAGEIF($G$2:$G$462,G288,$P$2:$P$462))/_xlfn.STDEV.P(IF($G$2:$G$462=G288,$P$2:$P$462)),0)</f>
        <v/>
      </c>
      <c r="AH288" s="6">
        <f t="array" ref="AH288">IFERROR((R288-AVERAGEIF($G$2:$G$462,G288,$R$2:$R$462))/_xlfn.STDEV.P(IF($G$2:$G$462=G288,$R$2:$R$462)),0)</f>
        <v/>
      </c>
      <c r="AI288" s="6">
        <f>IFERROR((AC288+AD288+AE288+AF288+AG288+AH288)/6,0)</f>
        <v/>
      </c>
    </row>
    <row r="289">
      <c r="A289" s="2">
        <f>IF(BD_Carga!A290&lt;&gt;"",BD_Carga!A290,"")</f>
        <v/>
      </c>
      <c r="B289">
        <f>IF(A289&lt;&gt;"",YEAR(A289),"")</f>
        <v/>
      </c>
      <c r="C289">
        <f>IF(A289&lt;&gt;"",MONTH(A289),"")</f>
        <v/>
      </c>
      <c r="D289">
        <f>IF(A289&lt;&gt;"",_xlfn.ISOWEEKNUM(A289),"")</f>
        <v/>
      </c>
      <c r="E289">
        <f>IF(A289&lt;&gt;"",TEXT(A289,"dddd"),"")</f>
        <v/>
      </c>
      <c r="F289">
        <f>IF(BD_Carga!C290&lt;&gt;"",BD_Carga!C290,"")</f>
        <v/>
      </c>
      <c r="G289">
        <f>IF(BD_Carga!D290&lt;&gt;"",BD_Carga!D290,"")</f>
        <v/>
      </c>
      <c r="H289">
        <f>IF(BD_Carga!Q290&lt;&gt;"",BD_Carga!Q290,"")</f>
        <v/>
      </c>
      <c r="I289">
        <f>IF(BD_Carga!R290&lt;&gt;"",BD_Carga!R290,"")</f>
        <v/>
      </c>
      <c r="J289">
        <f>IF(BD_Carga!S290&lt;&gt;"",BD_Carga!S290,"")</f>
        <v/>
      </c>
      <c r="K289" s="4">
        <f>IF(BD_Carga!E290&lt;&gt;"",BD_Carga!E290,0)</f>
        <v/>
      </c>
      <c r="L289" s="4">
        <f>IF(BD_Carga!F290&lt;&gt;"",BD_Carga!F290,0)</f>
        <v/>
      </c>
      <c r="M289" s="4">
        <f>IF(BD_Carga!G290&lt;&gt;"",BD_Carga!G290,0)</f>
        <v/>
      </c>
      <c r="N289" s="4">
        <f>IF(BD_Carga!H290&lt;&gt;"",BD_Carga!H290,0)</f>
        <v/>
      </c>
      <c r="O289" s="4">
        <f>IF(BD_Carga!I290&lt;&gt;"",BD_Carga!I290,0)</f>
        <v/>
      </c>
      <c r="P289" s="4">
        <f>IF(BD_Carga!J290&lt;&gt;"",BD_Carga!J290,0)</f>
        <v/>
      </c>
      <c r="Q289" s="5">
        <f>IF(BD_Carga!K290&lt;&gt;"",BD_Carga!K290,0)</f>
        <v/>
      </c>
      <c r="R289" s="5">
        <f>IF(BD_Carga!L290&lt;&gt;"",BD_Carga!L290,0)</f>
        <v/>
      </c>
      <c r="S289">
        <f>IF(BD_Carga!N290&lt;&gt;"",BD_Carga!N290,0)</f>
        <v/>
      </c>
      <c r="T289">
        <f>IF(BD_Carga!O290&lt;&gt;"",BD_Carga!O290,0)</f>
        <v/>
      </c>
      <c r="U289">
        <f>IF(BD_Carga!P290&lt;&gt;"",BD_Carga!P290,0)</f>
        <v/>
      </c>
      <c r="V289">
        <f>IF(BD_Carga!U290&lt;&gt;"",BD_Carga!U290,0)</f>
        <v/>
      </c>
      <c r="W289">
        <f>IF(BD_Carga!T290&lt;&gt;"",BD_Carga!T290,0)</f>
        <v/>
      </c>
      <c r="X289">
        <f>IF(BD_Carga!W290&lt;&gt;"",BD_Carga!W290,0)</f>
        <v/>
      </c>
      <c r="Y289">
        <f>IF(BD_Carga!X290&lt;&gt;"",BD_Carga!X290,0)</f>
        <v/>
      </c>
      <c r="Z289">
        <f>IF(BD_Carga!Y290&lt;&gt;"",BD_Carga!Y290,0)</f>
        <v/>
      </c>
      <c r="AA289">
        <f>IF(BD_Carga!Z290&lt;&gt;"",BD_Carga!Z290,0)</f>
        <v/>
      </c>
      <c r="AB289">
        <f>IF(BD_Carga!AA290&lt;&gt;"",BD_Carga!AA290,0)</f>
        <v/>
      </c>
      <c r="AC289" s="6">
        <f t="array" ref="AC289">IFERROR((L289-AVERAGEIF($G$2:$G$462,G289,$L$2:$L$462))/_xlfn.STDEV.P(IF($G$2:$G$462=G289,$L$2:$L$462)),0)</f>
        <v/>
      </c>
      <c r="AD289" s="6">
        <f t="array" ref="AD289">IFERROR((M289-AVERAGEIF($G$2:$G$462,G289,$M$2:$M$462))/_xlfn.STDEV.P(IF($G$2:$G$462=G289,$M$2:$M$462)),0)</f>
        <v/>
      </c>
      <c r="AE289" s="6">
        <f t="array" ref="AE289">IFERROR((N289-AVERAGEIF($G$2:$G$462,G289,$N$2:$N$462))/_xlfn.STDEV.P(IF($G$2:$G$462=G289,$N$2:$N$462)),0)</f>
        <v/>
      </c>
      <c r="AF289" s="6">
        <f t="array" ref="AF289">IFERROR((O289-AVERAGEIF($G$2:$G$462,G289,$O$2:$O$462))/_xlfn.STDEV.P(IF($G$2:$G$462=G289,$O$2:$O$462)),0)</f>
        <v/>
      </c>
      <c r="AG289" s="6">
        <f t="array" ref="AG289">IFERROR((P289-AVERAGEIF($G$2:$G$462,G289,$P$2:$P$462))/_xlfn.STDEV.P(IF($G$2:$G$462=G289,$P$2:$P$462)),0)</f>
        <v/>
      </c>
      <c r="AH289" s="6">
        <f t="array" ref="AH289">IFERROR((R289-AVERAGEIF($G$2:$G$462,G289,$R$2:$R$462))/_xlfn.STDEV.P(IF($G$2:$G$462=G289,$R$2:$R$462)),0)</f>
        <v/>
      </c>
      <c r="AI289" s="6">
        <f>IFERROR((AC289+AD289+AE289+AF289+AG289+AH289)/6,0)</f>
        <v/>
      </c>
    </row>
    <row r="290">
      <c r="A290" s="2">
        <f>IF(BD_Carga!A291&lt;&gt;"",BD_Carga!A291,"")</f>
        <v/>
      </c>
      <c r="B290">
        <f>IF(A290&lt;&gt;"",YEAR(A290),"")</f>
        <v/>
      </c>
      <c r="C290">
        <f>IF(A290&lt;&gt;"",MONTH(A290),"")</f>
        <v/>
      </c>
      <c r="D290">
        <f>IF(A290&lt;&gt;"",_xlfn.ISOWEEKNUM(A290),"")</f>
        <v/>
      </c>
      <c r="E290">
        <f>IF(A290&lt;&gt;"",TEXT(A290,"dddd"),"")</f>
        <v/>
      </c>
      <c r="F290">
        <f>IF(BD_Carga!C291&lt;&gt;"",BD_Carga!C291,"")</f>
        <v/>
      </c>
      <c r="G290">
        <f>IF(BD_Carga!D291&lt;&gt;"",BD_Carga!D291,"")</f>
        <v/>
      </c>
      <c r="H290">
        <f>IF(BD_Carga!Q291&lt;&gt;"",BD_Carga!Q291,"")</f>
        <v/>
      </c>
      <c r="I290">
        <f>IF(BD_Carga!R291&lt;&gt;"",BD_Carga!R291,"")</f>
        <v/>
      </c>
      <c r="J290">
        <f>IF(BD_Carga!S291&lt;&gt;"",BD_Carga!S291,"")</f>
        <v/>
      </c>
      <c r="K290" s="4">
        <f>IF(BD_Carga!E291&lt;&gt;"",BD_Carga!E291,0)</f>
        <v/>
      </c>
      <c r="L290" s="4">
        <f>IF(BD_Carga!F291&lt;&gt;"",BD_Carga!F291,0)</f>
        <v/>
      </c>
      <c r="M290" s="4">
        <f>IF(BD_Carga!G291&lt;&gt;"",BD_Carga!G291,0)</f>
        <v/>
      </c>
      <c r="N290" s="4">
        <f>IF(BD_Carga!H291&lt;&gt;"",BD_Carga!H291,0)</f>
        <v/>
      </c>
      <c r="O290" s="4">
        <f>IF(BD_Carga!I291&lt;&gt;"",BD_Carga!I291,0)</f>
        <v/>
      </c>
      <c r="P290" s="4">
        <f>IF(BD_Carga!J291&lt;&gt;"",BD_Carga!J291,0)</f>
        <v/>
      </c>
      <c r="Q290" s="5">
        <f>IF(BD_Carga!K291&lt;&gt;"",BD_Carga!K291,0)</f>
        <v/>
      </c>
      <c r="R290" s="5">
        <f>IF(BD_Carga!L291&lt;&gt;"",BD_Carga!L291,0)</f>
        <v/>
      </c>
      <c r="S290">
        <f>IF(BD_Carga!N291&lt;&gt;"",BD_Carga!N291,0)</f>
        <v/>
      </c>
      <c r="T290">
        <f>IF(BD_Carga!O291&lt;&gt;"",BD_Carga!O291,0)</f>
        <v/>
      </c>
      <c r="U290">
        <f>IF(BD_Carga!P291&lt;&gt;"",BD_Carga!P291,0)</f>
        <v/>
      </c>
      <c r="V290">
        <f>IF(BD_Carga!U291&lt;&gt;"",BD_Carga!U291,0)</f>
        <v/>
      </c>
      <c r="W290">
        <f>IF(BD_Carga!T291&lt;&gt;"",BD_Carga!T291,0)</f>
        <v/>
      </c>
      <c r="X290">
        <f>IF(BD_Carga!W291&lt;&gt;"",BD_Carga!W291,0)</f>
        <v/>
      </c>
      <c r="Y290">
        <f>IF(BD_Carga!X291&lt;&gt;"",BD_Carga!X291,0)</f>
        <v/>
      </c>
      <c r="Z290">
        <f>IF(BD_Carga!Y291&lt;&gt;"",BD_Carga!Y291,0)</f>
        <v/>
      </c>
      <c r="AA290">
        <f>IF(BD_Carga!Z291&lt;&gt;"",BD_Carga!Z291,0)</f>
        <v/>
      </c>
      <c r="AB290">
        <f>IF(BD_Carga!AA291&lt;&gt;"",BD_Carga!AA291,0)</f>
        <v/>
      </c>
      <c r="AC290" s="6">
        <f t="array" ref="AC290">IFERROR((L290-AVERAGEIF($G$2:$G$462,G290,$L$2:$L$462))/_xlfn.STDEV.P(IF($G$2:$G$462=G290,$L$2:$L$462)),0)</f>
        <v/>
      </c>
      <c r="AD290" s="6">
        <f t="array" ref="AD290">IFERROR((M290-AVERAGEIF($G$2:$G$462,G290,$M$2:$M$462))/_xlfn.STDEV.P(IF($G$2:$G$462=G290,$M$2:$M$462)),0)</f>
        <v/>
      </c>
      <c r="AE290" s="6">
        <f t="array" ref="AE290">IFERROR((N290-AVERAGEIF($G$2:$G$462,G290,$N$2:$N$462))/_xlfn.STDEV.P(IF($G$2:$G$462=G290,$N$2:$N$462)),0)</f>
        <v/>
      </c>
      <c r="AF290" s="6">
        <f t="array" ref="AF290">IFERROR((O290-AVERAGEIF($G$2:$G$462,G290,$O$2:$O$462))/_xlfn.STDEV.P(IF($G$2:$G$462=G290,$O$2:$O$462)),0)</f>
        <v/>
      </c>
      <c r="AG290" s="6">
        <f t="array" ref="AG290">IFERROR((P290-AVERAGEIF($G$2:$G$462,G290,$P$2:$P$462))/_xlfn.STDEV.P(IF($G$2:$G$462=G290,$P$2:$P$462)),0)</f>
        <v/>
      </c>
      <c r="AH290" s="6">
        <f t="array" ref="AH290">IFERROR((R290-AVERAGEIF($G$2:$G$462,G290,$R$2:$R$462))/_xlfn.STDEV.P(IF($G$2:$G$462=G290,$R$2:$R$462)),0)</f>
        <v/>
      </c>
      <c r="AI290" s="6">
        <f>IFERROR((AC290+AD290+AE290+AF290+AG290+AH290)/6,0)</f>
        <v/>
      </c>
    </row>
    <row r="291">
      <c r="A291" s="2">
        <f>IF(BD_Carga!A292&lt;&gt;"",BD_Carga!A292,"")</f>
        <v/>
      </c>
      <c r="B291">
        <f>IF(A291&lt;&gt;"",YEAR(A291),"")</f>
        <v/>
      </c>
      <c r="C291">
        <f>IF(A291&lt;&gt;"",MONTH(A291),"")</f>
        <v/>
      </c>
      <c r="D291">
        <f>IF(A291&lt;&gt;"",_xlfn.ISOWEEKNUM(A291),"")</f>
        <v/>
      </c>
      <c r="E291">
        <f>IF(A291&lt;&gt;"",TEXT(A291,"dddd"),"")</f>
        <v/>
      </c>
      <c r="F291">
        <f>IF(BD_Carga!C292&lt;&gt;"",BD_Carga!C292,"")</f>
        <v/>
      </c>
      <c r="G291">
        <f>IF(BD_Carga!D292&lt;&gt;"",BD_Carga!D292,"")</f>
        <v/>
      </c>
      <c r="H291">
        <f>IF(BD_Carga!Q292&lt;&gt;"",BD_Carga!Q292,"")</f>
        <v/>
      </c>
      <c r="I291">
        <f>IF(BD_Carga!R292&lt;&gt;"",BD_Carga!R292,"")</f>
        <v/>
      </c>
      <c r="J291">
        <f>IF(BD_Carga!S292&lt;&gt;"",BD_Carga!S292,"")</f>
        <v/>
      </c>
      <c r="K291" s="4">
        <f>IF(BD_Carga!E292&lt;&gt;"",BD_Carga!E292,0)</f>
        <v/>
      </c>
      <c r="L291" s="4">
        <f>IF(BD_Carga!F292&lt;&gt;"",BD_Carga!F292,0)</f>
        <v/>
      </c>
      <c r="M291" s="4">
        <f>IF(BD_Carga!G292&lt;&gt;"",BD_Carga!G292,0)</f>
        <v/>
      </c>
      <c r="N291" s="4">
        <f>IF(BD_Carga!H292&lt;&gt;"",BD_Carga!H292,0)</f>
        <v/>
      </c>
      <c r="O291" s="4">
        <f>IF(BD_Carga!I292&lt;&gt;"",BD_Carga!I292,0)</f>
        <v/>
      </c>
      <c r="P291" s="4">
        <f>IF(BD_Carga!J292&lt;&gt;"",BD_Carga!J292,0)</f>
        <v/>
      </c>
      <c r="Q291" s="5">
        <f>IF(BD_Carga!K292&lt;&gt;"",BD_Carga!K292,0)</f>
        <v/>
      </c>
      <c r="R291" s="5">
        <f>IF(BD_Carga!L292&lt;&gt;"",BD_Carga!L292,0)</f>
        <v/>
      </c>
      <c r="S291">
        <f>IF(BD_Carga!N292&lt;&gt;"",BD_Carga!N292,0)</f>
        <v/>
      </c>
      <c r="T291">
        <f>IF(BD_Carga!O292&lt;&gt;"",BD_Carga!O292,0)</f>
        <v/>
      </c>
      <c r="U291">
        <f>IF(BD_Carga!P292&lt;&gt;"",BD_Carga!P292,0)</f>
        <v/>
      </c>
      <c r="V291">
        <f>IF(BD_Carga!U292&lt;&gt;"",BD_Carga!U292,0)</f>
        <v/>
      </c>
      <c r="W291">
        <f>IF(BD_Carga!T292&lt;&gt;"",BD_Carga!T292,0)</f>
        <v/>
      </c>
      <c r="X291">
        <f>IF(BD_Carga!W292&lt;&gt;"",BD_Carga!W292,0)</f>
        <v/>
      </c>
      <c r="Y291">
        <f>IF(BD_Carga!X292&lt;&gt;"",BD_Carga!X292,0)</f>
        <v/>
      </c>
      <c r="Z291">
        <f>IF(BD_Carga!Y292&lt;&gt;"",BD_Carga!Y292,0)</f>
        <v/>
      </c>
      <c r="AA291">
        <f>IF(BD_Carga!Z292&lt;&gt;"",BD_Carga!Z292,0)</f>
        <v/>
      </c>
      <c r="AB291">
        <f>IF(BD_Carga!AA292&lt;&gt;"",BD_Carga!AA292,0)</f>
        <v/>
      </c>
      <c r="AC291" s="6">
        <f t="array" ref="AC291">IFERROR((L291-AVERAGEIF($G$2:$G$462,G291,$L$2:$L$462))/_xlfn.STDEV.P(IF($G$2:$G$462=G291,$L$2:$L$462)),0)</f>
        <v/>
      </c>
      <c r="AD291" s="6">
        <f t="array" ref="AD291">IFERROR((M291-AVERAGEIF($G$2:$G$462,G291,$M$2:$M$462))/_xlfn.STDEV.P(IF($G$2:$G$462=G291,$M$2:$M$462)),0)</f>
        <v/>
      </c>
      <c r="AE291" s="6">
        <f t="array" ref="AE291">IFERROR((N291-AVERAGEIF($G$2:$G$462,G291,$N$2:$N$462))/_xlfn.STDEV.P(IF($G$2:$G$462=G291,$N$2:$N$462)),0)</f>
        <v/>
      </c>
      <c r="AF291" s="6">
        <f t="array" ref="AF291">IFERROR((O291-AVERAGEIF($G$2:$G$462,G291,$O$2:$O$462))/_xlfn.STDEV.P(IF($G$2:$G$462=G291,$O$2:$O$462)),0)</f>
        <v/>
      </c>
      <c r="AG291" s="6">
        <f t="array" ref="AG291">IFERROR((P291-AVERAGEIF($G$2:$G$462,G291,$P$2:$P$462))/_xlfn.STDEV.P(IF($G$2:$G$462=G291,$P$2:$P$462)),0)</f>
        <v/>
      </c>
      <c r="AH291" s="6">
        <f t="array" ref="AH291">IFERROR((R291-AVERAGEIF($G$2:$G$462,G291,$R$2:$R$462))/_xlfn.STDEV.P(IF($G$2:$G$462=G291,$R$2:$R$462)),0)</f>
        <v/>
      </c>
      <c r="AI291" s="6">
        <f>IFERROR((AC291+AD291+AE291+AF291+AG291+AH291)/6,0)</f>
        <v/>
      </c>
    </row>
    <row r="292">
      <c r="A292" s="2">
        <f>IF(BD_Carga!A293&lt;&gt;"",BD_Carga!A293,"")</f>
        <v/>
      </c>
      <c r="B292">
        <f>IF(A292&lt;&gt;"",YEAR(A292),"")</f>
        <v/>
      </c>
      <c r="C292">
        <f>IF(A292&lt;&gt;"",MONTH(A292),"")</f>
        <v/>
      </c>
      <c r="D292">
        <f>IF(A292&lt;&gt;"",_xlfn.ISOWEEKNUM(A292),"")</f>
        <v/>
      </c>
      <c r="E292">
        <f>IF(A292&lt;&gt;"",TEXT(A292,"dddd"),"")</f>
        <v/>
      </c>
      <c r="F292">
        <f>IF(BD_Carga!C293&lt;&gt;"",BD_Carga!C293,"")</f>
        <v/>
      </c>
      <c r="G292">
        <f>IF(BD_Carga!D293&lt;&gt;"",BD_Carga!D293,"")</f>
        <v/>
      </c>
      <c r="H292">
        <f>IF(BD_Carga!Q293&lt;&gt;"",BD_Carga!Q293,"")</f>
        <v/>
      </c>
      <c r="I292">
        <f>IF(BD_Carga!R293&lt;&gt;"",BD_Carga!R293,"")</f>
        <v/>
      </c>
      <c r="J292">
        <f>IF(BD_Carga!S293&lt;&gt;"",BD_Carga!S293,"")</f>
        <v/>
      </c>
      <c r="K292" s="4">
        <f>IF(BD_Carga!E293&lt;&gt;"",BD_Carga!E293,0)</f>
        <v/>
      </c>
      <c r="L292" s="4">
        <f>IF(BD_Carga!F293&lt;&gt;"",BD_Carga!F293,0)</f>
        <v/>
      </c>
      <c r="M292" s="4">
        <f>IF(BD_Carga!G293&lt;&gt;"",BD_Carga!G293,0)</f>
        <v/>
      </c>
      <c r="N292" s="4">
        <f>IF(BD_Carga!H293&lt;&gt;"",BD_Carga!H293,0)</f>
        <v/>
      </c>
      <c r="O292" s="4">
        <f>IF(BD_Carga!I293&lt;&gt;"",BD_Carga!I293,0)</f>
        <v/>
      </c>
      <c r="P292" s="4">
        <f>IF(BD_Carga!J293&lt;&gt;"",BD_Carga!J293,0)</f>
        <v/>
      </c>
      <c r="Q292" s="5">
        <f>IF(BD_Carga!K293&lt;&gt;"",BD_Carga!K293,0)</f>
        <v/>
      </c>
      <c r="R292" s="5">
        <f>IF(BD_Carga!L293&lt;&gt;"",BD_Carga!L293,0)</f>
        <v/>
      </c>
      <c r="S292">
        <f>IF(BD_Carga!N293&lt;&gt;"",BD_Carga!N293,0)</f>
        <v/>
      </c>
      <c r="T292">
        <f>IF(BD_Carga!O293&lt;&gt;"",BD_Carga!O293,0)</f>
        <v/>
      </c>
      <c r="U292">
        <f>IF(BD_Carga!P293&lt;&gt;"",BD_Carga!P293,0)</f>
        <v/>
      </c>
      <c r="V292">
        <f>IF(BD_Carga!U293&lt;&gt;"",BD_Carga!U293,0)</f>
        <v/>
      </c>
      <c r="W292">
        <f>IF(BD_Carga!T293&lt;&gt;"",BD_Carga!T293,0)</f>
        <v/>
      </c>
      <c r="X292">
        <f>IF(BD_Carga!W293&lt;&gt;"",BD_Carga!W293,0)</f>
        <v/>
      </c>
      <c r="Y292">
        <f>IF(BD_Carga!X293&lt;&gt;"",BD_Carga!X293,0)</f>
        <v/>
      </c>
      <c r="Z292">
        <f>IF(BD_Carga!Y293&lt;&gt;"",BD_Carga!Y293,0)</f>
        <v/>
      </c>
      <c r="AA292">
        <f>IF(BD_Carga!Z293&lt;&gt;"",BD_Carga!Z293,0)</f>
        <v/>
      </c>
      <c r="AB292">
        <f>IF(BD_Carga!AA293&lt;&gt;"",BD_Carga!AA293,0)</f>
        <v/>
      </c>
      <c r="AC292" s="6">
        <f t="array" ref="AC292">IFERROR((L292-AVERAGEIF($G$2:$G$462,G292,$L$2:$L$462))/_xlfn.STDEV.P(IF($G$2:$G$462=G292,$L$2:$L$462)),0)</f>
        <v/>
      </c>
      <c r="AD292" s="6">
        <f t="array" ref="AD292">IFERROR((M292-AVERAGEIF($G$2:$G$462,G292,$M$2:$M$462))/_xlfn.STDEV.P(IF($G$2:$G$462=G292,$M$2:$M$462)),0)</f>
        <v/>
      </c>
      <c r="AE292" s="6">
        <f t="array" ref="AE292">IFERROR((N292-AVERAGEIF($G$2:$G$462,G292,$N$2:$N$462))/_xlfn.STDEV.P(IF($G$2:$G$462=G292,$N$2:$N$462)),0)</f>
        <v/>
      </c>
      <c r="AF292" s="6">
        <f t="array" ref="AF292">IFERROR((O292-AVERAGEIF($G$2:$G$462,G292,$O$2:$O$462))/_xlfn.STDEV.P(IF($G$2:$G$462=G292,$O$2:$O$462)),0)</f>
        <v/>
      </c>
      <c r="AG292" s="6">
        <f t="array" ref="AG292">IFERROR((P292-AVERAGEIF($G$2:$G$462,G292,$P$2:$P$462))/_xlfn.STDEV.P(IF($G$2:$G$462=G292,$P$2:$P$462)),0)</f>
        <v/>
      </c>
      <c r="AH292" s="6">
        <f t="array" ref="AH292">IFERROR((R292-AVERAGEIF($G$2:$G$462,G292,$R$2:$R$462))/_xlfn.STDEV.P(IF($G$2:$G$462=G292,$R$2:$R$462)),0)</f>
        <v/>
      </c>
      <c r="AI292" s="6">
        <f>IFERROR((AC292+AD292+AE292+AF292+AG292+AH292)/6,0)</f>
        <v/>
      </c>
    </row>
    <row r="293">
      <c r="A293" s="2">
        <f>IF(BD_Carga!A294&lt;&gt;"",BD_Carga!A294,"")</f>
        <v/>
      </c>
      <c r="B293">
        <f>IF(A293&lt;&gt;"",YEAR(A293),"")</f>
        <v/>
      </c>
      <c r="C293">
        <f>IF(A293&lt;&gt;"",MONTH(A293),"")</f>
        <v/>
      </c>
      <c r="D293">
        <f>IF(A293&lt;&gt;"",_xlfn.ISOWEEKNUM(A293),"")</f>
        <v/>
      </c>
      <c r="E293">
        <f>IF(A293&lt;&gt;"",TEXT(A293,"dddd"),"")</f>
        <v/>
      </c>
      <c r="F293">
        <f>IF(BD_Carga!C294&lt;&gt;"",BD_Carga!C294,"")</f>
        <v/>
      </c>
      <c r="G293">
        <f>IF(BD_Carga!D294&lt;&gt;"",BD_Carga!D294,"")</f>
        <v/>
      </c>
      <c r="H293">
        <f>IF(BD_Carga!Q294&lt;&gt;"",BD_Carga!Q294,"")</f>
        <v/>
      </c>
      <c r="I293">
        <f>IF(BD_Carga!R294&lt;&gt;"",BD_Carga!R294,"")</f>
        <v/>
      </c>
      <c r="J293">
        <f>IF(BD_Carga!S294&lt;&gt;"",BD_Carga!S294,"")</f>
        <v/>
      </c>
      <c r="K293" s="4">
        <f>IF(BD_Carga!E294&lt;&gt;"",BD_Carga!E294,0)</f>
        <v/>
      </c>
      <c r="L293" s="4">
        <f>IF(BD_Carga!F294&lt;&gt;"",BD_Carga!F294,0)</f>
        <v/>
      </c>
      <c r="M293" s="4">
        <f>IF(BD_Carga!G294&lt;&gt;"",BD_Carga!G294,0)</f>
        <v/>
      </c>
      <c r="N293" s="4">
        <f>IF(BD_Carga!H294&lt;&gt;"",BD_Carga!H294,0)</f>
        <v/>
      </c>
      <c r="O293" s="4">
        <f>IF(BD_Carga!I294&lt;&gt;"",BD_Carga!I294,0)</f>
        <v/>
      </c>
      <c r="P293" s="4">
        <f>IF(BD_Carga!J294&lt;&gt;"",BD_Carga!J294,0)</f>
        <v/>
      </c>
      <c r="Q293" s="5">
        <f>IF(BD_Carga!K294&lt;&gt;"",BD_Carga!K294,0)</f>
        <v/>
      </c>
      <c r="R293" s="5">
        <f>IF(BD_Carga!L294&lt;&gt;"",BD_Carga!L294,0)</f>
        <v/>
      </c>
      <c r="S293">
        <f>IF(BD_Carga!N294&lt;&gt;"",BD_Carga!N294,0)</f>
        <v/>
      </c>
      <c r="T293">
        <f>IF(BD_Carga!O294&lt;&gt;"",BD_Carga!O294,0)</f>
        <v/>
      </c>
      <c r="U293">
        <f>IF(BD_Carga!P294&lt;&gt;"",BD_Carga!P294,0)</f>
        <v/>
      </c>
      <c r="V293">
        <f>IF(BD_Carga!U294&lt;&gt;"",BD_Carga!U294,0)</f>
        <v/>
      </c>
      <c r="W293">
        <f>IF(BD_Carga!T294&lt;&gt;"",BD_Carga!T294,0)</f>
        <v/>
      </c>
      <c r="X293">
        <f>IF(BD_Carga!W294&lt;&gt;"",BD_Carga!W294,0)</f>
        <v/>
      </c>
      <c r="Y293">
        <f>IF(BD_Carga!X294&lt;&gt;"",BD_Carga!X294,0)</f>
        <v/>
      </c>
      <c r="Z293">
        <f>IF(BD_Carga!Y294&lt;&gt;"",BD_Carga!Y294,0)</f>
        <v/>
      </c>
      <c r="AA293">
        <f>IF(BD_Carga!Z294&lt;&gt;"",BD_Carga!Z294,0)</f>
        <v/>
      </c>
      <c r="AB293">
        <f>IF(BD_Carga!AA294&lt;&gt;"",BD_Carga!AA294,0)</f>
        <v/>
      </c>
      <c r="AC293" s="6">
        <f t="array" ref="AC293">IFERROR((L293-AVERAGEIF($G$2:$G$462,G293,$L$2:$L$462))/_xlfn.STDEV.P(IF($G$2:$G$462=G293,$L$2:$L$462)),0)</f>
        <v/>
      </c>
      <c r="AD293" s="6">
        <f t="array" ref="AD293">IFERROR((M293-AVERAGEIF($G$2:$G$462,G293,$M$2:$M$462))/_xlfn.STDEV.P(IF($G$2:$G$462=G293,$M$2:$M$462)),0)</f>
        <v/>
      </c>
      <c r="AE293" s="6">
        <f t="array" ref="AE293">IFERROR((N293-AVERAGEIF($G$2:$G$462,G293,$N$2:$N$462))/_xlfn.STDEV.P(IF($G$2:$G$462=G293,$N$2:$N$462)),0)</f>
        <v/>
      </c>
      <c r="AF293" s="6">
        <f t="array" ref="AF293">IFERROR((O293-AVERAGEIF($G$2:$G$462,G293,$O$2:$O$462))/_xlfn.STDEV.P(IF($G$2:$G$462=G293,$O$2:$O$462)),0)</f>
        <v/>
      </c>
      <c r="AG293" s="6">
        <f t="array" ref="AG293">IFERROR((P293-AVERAGEIF($G$2:$G$462,G293,$P$2:$P$462))/_xlfn.STDEV.P(IF($G$2:$G$462=G293,$P$2:$P$462)),0)</f>
        <v/>
      </c>
      <c r="AH293" s="6">
        <f t="array" ref="AH293">IFERROR((R293-AVERAGEIF($G$2:$G$462,G293,$R$2:$R$462))/_xlfn.STDEV.P(IF($G$2:$G$462=G293,$R$2:$R$462)),0)</f>
        <v/>
      </c>
      <c r="AI293" s="6">
        <f>IFERROR((AC293+AD293+AE293+AF293+AG293+AH293)/6,0)</f>
        <v/>
      </c>
    </row>
    <row r="294">
      <c r="A294" s="2">
        <f>IF(BD_Carga!A295&lt;&gt;"",BD_Carga!A295,"")</f>
        <v/>
      </c>
      <c r="B294">
        <f>IF(A294&lt;&gt;"",YEAR(A294),"")</f>
        <v/>
      </c>
      <c r="C294">
        <f>IF(A294&lt;&gt;"",MONTH(A294),"")</f>
        <v/>
      </c>
      <c r="D294">
        <f>IF(A294&lt;&gt;"",_xlfn.ISOWEEKNUM(A294),"")</f>
        <v/>
      </c>
      <c r="E294">
        <f>IF(A294&lt;&gt;"",TEXT(A294,"dddd"),"")</f>
        <v/>
      </c>
      <c r="F294">
        <f>IF(BD_Carga!C295&lt;&gt;"",BD_Carga!C295,"")</f>
        <v/>
      </c>
      <c r="G294">
        <f>IF(BD_Carga!D295&lt;&gt;"",BD_Carga!D295,"")</f>
        <v/>
      </c>
      <c r="H294">
        <f>IF(BD_Carga!Q295&lt;&gt;"",BD_Carga!Q295,"")</f>
        <v/>
      </c>
      <c r="I294">
        <f>IF(BD_Carga!R295&lt;&gt;"",BD_Carga!R295,"")</f>
        <v/>
      </c>
      <c r="J294">
        <f>IF(BD_Carga!S295&lt;&gt;"",BD_Carga!S295,"")</f>
        <v/>
      </c>
      <c r="K294" s="4">
        <f>IF(BD_Carga!E295&lt;&gt;"",BD_Carga!E295,0)</f>
        <v/>
      </c>
      <c r="L294" s="4">
        <f>IF(BD_Carga!F295&lt;&gt;"",BD_Carga!F295,0)</f>
        <v/>
      </c>
      <c r="M294" s="4">
        <f>IF(BD_Carga!G295&lt;&gt;"",BD_Carga!G295,0)</f>
        <v/>
      </c>
      <c r="N294" s="4">
        <f>IF(BD_Carga!H295&lt;&gt;"",BD_Carga!H295,0)</f>
        <v/>
      </c>
      <c r="O294" s="4">
        <f>IF(BD_Carga!I295&lt;&gt;"",BD_Carga!I295,0)</f>
        <v/>
      </c>
      <c r="P294" s="4">
        <f>IF(BD_Carga!J295&lt;&gt;"",BD_Carga!J295,0)</f>
        <v/>
      </c>
      <c r="Q294" s="5">
        <f>IF(BD_Carga!K295&lt;&gt;"",BD_Carga!K295,0)</f>
        <v/>
      </c>
      <c r="R294" s="5">
        <f>IF(BD_Carga!L295&lt;&gt;"",BD_Carga!L295,0)</f>
        <v/>
      </c>
      <c r="S294">
        <f>IF(BD_Carga!N295&lt;&gt;"",BD_Carga!N295,0)</f>
        <v/>
      </c>
      <c r="T294">
        <f>IF(BD_Carga!O295&lt;&gt;"",BD_Carga!O295,0)</f>
        <v/>
      </c>
      <c r="U294">
        <f>IF(BD_Carga!P295&lt;&gt;"",BD_Carga!P295,0)</f>
        <v/>
      </c>
      <c r="V294">
        <f>IF(BD_Carga!U295&lt;&gt;"",BD_Carga!U295,0)</f>
        <v/>
      </c>
      <c r="W294">
        <f>IF(BD_Carga!T295&lt;&gt;"",BD_Carga!T295,0)</f>
        <v/>
      </c>
      <c r="X294">
        <f>IF(BD_Carga!W295&lt;&gt;"",BD_Carga!W295,0)</f>
        <v/>
      </c>
      <c r="Y294">
        <f>IF(BD_Carga!X295&lt;&gt;"",BD_Carga!X295,0)</f>
        <v/>
      </c>
      <c r="Z294">
        <f>IF(BD_Carga!Y295&lt;&gt;"",BD_Carga!Y295,0)</f>
        <v/>
      </c>
      <c r="AA294">
        <f>IF(BD_Carga!Z295&lt;&gt;"",BD_Carga!Z295,0)</f>
        <v/>
      </c>
      <c r="AB294">
        <f>IF(BD_Carga!AA295&lt;&gt;"",BD_Carga!AA295,0)</f>
        <v/>
      </c>
      <c r="AC294" s="6">
        <f t="array" ref="AC294">IFERROR((L294-AVERAGEIF($G$2:$G$462,G294,$L$2:$L$462))/_xlfn.STDEV.P(IF($G$2:$G$462=G294,$L$2:$L$462)),0)</f>
        <v/>
      </c>
      <c r="AD294" s="6">
        <f t="array" ref="AD294">IFERROR((M294-AVERAGEIF($G$2:$G$462,G294,$M$2:$M$462))/_xlfn.STDEV.P(IF($G$2:$G$462=G294,$M$2:$M$462)),0)</f>
        <v/>
      </c>
      <c r="AE294" s="6">
        <f t="array" ref="AE294">IFERROR((N294-AVERAGEIF($G$2:$G$462,G294,$N$2:$N$462))/_xlfn.STDEV.P(IF($G$2:$G$462=G294,$N$2:$N$462)),0)</f>
        <v/>
      </c>
      <c r="AF294" s="6">
        <f t="array" ref="AF294">IFERROR((O294-AVERAGEIF($G$2:$G$462,G294,$O$2:$O$462))/_xlfn.STDEV.P(IF($G$2:$G$462=G294,$O$2:$O$462)),0)</f>
        <v/>
      </c>
      <c r="AG294" s="6">
        <f t="array" ref="AG294">IFERROR((P294-AVERAGEIF($G$2:$G$462,G294,$P$2:$P$462))/_xlfn.STDEV.P(IF($G$2:$G$462=G294,$P$2:$P$462)),0)</f>
        <v/>
      </c>
      <c r="AH294" s="6">
        <f t="array" ref="AH294">IFERROR((R294-AVERAGEIF($G$2:$G$462,G294,$R$2:$R$462))/_xlfn.STDEV.P(IF($G$2:$G$462=G294,$R$2:$R$462)),0)</f>
        <v/>
      </c>
      <c r="AI294" s="6">
        <f>IFERROR((AC294+AD294+AE294+AF294+AG294+AH294)/6,0)</f>
        <v/>
      </c>
    </row>
    <row r="295">
      <c r="A295" s="2">
        <f>IF(BD_Carga!A296&lt;&gt;"",BD_Carga!A296,"")</f>
        <v/>
      </c>
      <c r="B295">
        <f>IF(A295&lt;&gt;"",YEAR(A295),"")</f>
        <v/>
      </c>
      <c r="C295">
        <f>IF(A295&lt;&gt;"",MONTH(A295),"")</f>
        <v/>
      </c>
      <c r="D295">
        <f>IF(A295&lt;&gt;"",_xlfn.ISOWEEKNUM(A295),"")</f>
        <v/>
      </c>
      <c r="E295">
        <f>IF(A295&lt;&gt;"",TEXT(A295,"dddd"),"")</f>
        <v/>
      </c>
      <c r="F295">
        <f>IF(BD_Carga!C296&lt;&gt;"",BD_Carga!C296,"")</f>
        <v/>
      </c>
      <c r="G295">
        <f>IF(BD_Carga!D296&lt;&gt;"",BD_Carga!D296,"")</f>
        <v/>
      </c>
      <c r="H295">
        <f>IF(BD_Carga!Q296&lt;&gt;"",BD_Carga!Q296,"")</f>
        <v/>
      </c>
      <c r="I295">
        <f>IF(BD_Carga!R296&lt;&gt;"",BD_Carga!R296,"")</f>
        <v/>
      </c>
      <c r="J295">
        <f>IF(BD_Carga!S296&lt;&gt;"",BD_Carga!S296,"")</f>
        <v/>
      </c>
      <c r="K295" s="4">
        <f>IF(BD_Carga!E296&lt;&gt;"",BD_Carga!E296,0)</f>
        <v/>
      </c>
      <c r="L295" s="4">
        <f>IF(BD_Carga!F296&lt;&gt;"",BD_Carga!F296,0)</f>
        <v/>
      </c>
      <c r="M295" s="4">
        <f>IF(BD_Carga!G296&lt;&gt;"",BD_Carga!G296,0)</f>
        <v/>
      </c>
      <c r="N295" s="4">
        <f>IF(BD_Carga!H296&lt;&gt;"",BD_Carga!H296,0)</f>
        <v/>
      </c>
      <c r="O295" s="4">
        <f>IF(BD_Carga!I296&lt;&gt;"",BD_Carga!I296,0)</f>
        <v/>
      </c>
      <c r="P295" s="4">
        <f>IF(BD_Carga!J296&lt;&gt;"",BD_Carga!J296,0)</f>
        <v/>
      </c>
      <c r="Q295" s="5">
        <f>IF(BD_Carga!K296&lt;&gt;"",BD_Carga!K296,0)</f>
        <v/>
      </c>
      <c r="R295" s="5">
        <f>IF(BD_Carga!L296&lt;&gt;"",BD_Carga!L296,0)</f>
        <v/>
      </c>
      <c r="S295">
        <f>IF(BD_Carga!N296&lt;&gt;"",BD_Carga!N296,0)</f>
        <v/>
      </c>
      <c r="T295">
        <f>IF(BD_Carga!O296&lt;&gt;"",BD_Carga!O296,0)</f>
        <v/>
      </c>
      <c r="U295">
        <f>IF(BD_Carga!P296&lt;&gt;"",BD_Carga!P296,0)</f>
        <v/>
      </c>
      <c r="V295">
        <f>IF(BD_Carga!U296&lt;&gt;"",BD_Carga!U296,0)</f>
        <v/>
      </c>
      <c r="W295">
        <f>IF(BD_Carga!T296&lt;&gt;"",BD_Carga!T296,0)</f>
        <v/>
      </c>
      <c r="X295">
        <f>IF(BD_Carga!W296&lt;&gt;"",BD_Carga!W296,0)</f>
        <v/>
      </c>
      <c r="Y295">
        <f>IF(BD_Carga!X296&lt;&gt;"",BD_Carga!X296,0)</f>
        <v/>
      </c>
      <c r="Z295">
        <f>IF(BD_Carga!Y296&lt;&gt;"",BD_Carga!Y296,0)</f>
        <v/>
      </c>
      <c r="AA295">
        <f>IF(BD_Carga!Z296&lt;&gt;"",BD_Carga!Z296,0)</f>
        <v/>
      </c>
      <c r="AB295">
        <f>IF(BD_Carga!AA296&lt;&gt;"",BD_Carga!AA296,0)</f>
        <v/>
      </c>
      <c r="AC295" s="6">
        <f t="array" ref="AC295">IFERROR((L295-AVERAGEIF($G$2:$G$462,G295,$L$2:$L$462))/_xlfn.STDEV.P(IF($G$2:$G$462=G295,$L$2:$L$462)),0)</f>
        <v/>
      </c>
      <c r="AD295" s="6">
        <f t="array" ref="AD295">IFERROR((M295-AVERAGEIF($G$2:$G$462,G295,$M$2:$M$462))/_xlfn.STDEV.P(IF($G$2:$G$462=G295,$M$2:$M$462)),0)</f>
        <v/>
      </c>
      <c r="AE295" s="6">
        <f t="array" ref="AE295">IFERROR((N295-AVERAGEIF($G$2:$G$462,G295,$N$2:$N$462))/_xlfn.STDEV.P(IF($G$2:$G$462=G295,$N$2:$N$462)),0)</f>
        <v/>
      </c>
      <c r="AF295" s="6">
        <f t="array" ref="AF295">IFERROR((O295-AVERAGEIF($G$2:$G$462,G295,$O$2:$O$462))/_xlfn.STDEV.P(IF($G$2:$G$462=G295,$O$2:$O$462)),0)</f>
        <v/>
      </c>
      <c r="AG295" s="6">
        <f t="array" ref="AG295">IFERROR((P295-AVERAGEIF($G$2:$G$462,G295,$P$2:$P$462))/_xlfn.STDEV.P(IF($G$2:$G$462=G295,$P$2:$P$462)),0)</f>
        <v/>
      </c>
      <c r="AH295" s="6">
        <f t="array" ref="AH295">IFERROR((R295-AVERAGEIF($G$2:$G$462,G295,$R$2:$R$462))/_xlfn.STDEV.P(IF($G$2:$G$462=G295,$R$2:$R$462)),0)</f>
        <v/>
      </c>
      <c r="AI295" s="6">
        <f>IFERROR((AC295+AD295+AE295+AF295+AG295+AH295)/6,0)</f>
        <v/>
      </c>
    </row>
    <row r="296">
      <c r="A296" s="2">
        <f>IF(BD_Carga!A297&lt;&gt;"",BD_Carga!A297,"")</f>
        <v/>
      </c>
      <c r="B296">
        <f>IF(A296&lt;&gt;"",YEAR(A296),"")</f>
        <v/>
      </c>
      <c r="C296">
        <f>IF(A296&lt;&gt;"",MONTH(A296),"")</f>
        <v/>
      </c>
      <c r="D296">
        <f>IF(A296&lt;&gt;"",_xlfn.ISOWEEKNUM(A296),"")</f>
        <v/>
      </c>
      <c r="E296">
        <f>IF(A296&lt;&gt;"",TEXT(A296,"dddd"),"")</f>
        <v/>
      </c>
      <c r="F296">
        <f>IF(BD_Carga!C297&lt;&gt;"",BD_Carga!C297,"")</f>
        <v/>
      </c>
      <c r="G296">
        <f>IF(BD_Carga!D297&lt;&gt;"",BD_Carga!D297,"")</f>
        <v/>
      </c>
      <c r="H296">
        <f>IF(BD_Carga!Q297&lt;&gt;"",BD_Carga!Q297,"")</f>
        <v/>
      </c>
      <c r="I296">
        <f>IF(BD_Carga!R297&lt;&gt;"",BD_Carga!R297,"")</f>
        <v/>
      </c>
      <c r="J296">
        <f>IF(BD_Carga!S297&lt;&gt;"",BD_Carga!S297,"")</f>
        <v/>
      </c>
      <c r="K296" s="4">
        <f>IF(BD_Carga!E297&lt;&gt;"",BD_Carga!E297,0)</f>
        <v/>
      </c>
      <c r="L296" s="4">
        <f>IF(BD_Carga!F297&lt;&gt;"",BD_Carga!F297,0)</f>
        <v/>
      </c>
      <c r="M296" s="4">
        <f>IF(BD_Carga!G297&lt;&gt;"",BD_Carga!G297,0)</f>
        <v/>
      </c>
      <c r="N296" s="4">
        <f>IF(BD_Carga!H297&lt;&gt;"",BD_Carga!H297,0)</f>
        <v/>
      </c>
      <c r="O296" s="4">
        <f>IF(BD_Carga!I297&lt;&gt;"",BD_Carga!I297,0)</f>
        <v/>
      </c>
      <c r="P296" s="4">
        <f>IF(BD_Carga!J297&lt;&gt;"",BD_Carga!J297,0)</f>
        <v/>
      </c>
      <c r="Q296" s="5">
        <f>IF(BD_Carga!K297&lt;&gt;"",BD_Carga!K297,0)</f>
        <v/>
      </c>
      <c r="R296" s="5">
        <f>IF(BD_Carga!L297&lt;&gt;"",BD_Carga!L297,0)</f>
        <v/>
      </c>
      <c r="S296">
        <f>IF(BD_Carga!N297&lt;&gt;"",BD_Carga!N297,0)</f>
        <v/>
      </c>
      <c r="T296">
        <f>IF(BD_Carga!O297&lt;&gt;"",BD_Carga!O297,0)</f>
        <v/>
      </c>
      <c r="U296">
        <f>IF(BD_Carga!P297&lt;&gt;"",BD_Carga!P297,0)</f>
        <v/>
      </c>
      <c r="V296">
        <f>IF(BD_Carga!U297&lt;&gt;"",BD_Carga!U297,0)</f>
        <v/>
      </c>
      <c r="W296">
        <f>IF(BD_Carga!T297&lt;&gt;"",BD_Carga!T297,0)</f>
        <v/>
      </c>
      <c r="X296">
        <f>IF(BD_Carga!W297&lt;&gt;"",BD_Carga!W297,0)</f>
        <v/>
      </c>
      <c r="Y296">
        <f>IF(BD_Carga!X297&lt;&gt;"",BD_Carga!X297,0)</f>
        <v/>
      </c>
      <c r="Z296">
        <f>IF(BD_Carga!Y297&lt;&gt;"",BD_Carga!Y297,0)</f>
        <v/>
      </c>
      <c r="AA296">
        <f>IF(BD_Carga!Z297&lt;&gt;"",BD_Carga!Z297,0)</f>
        <v/>
      </c>
      <c r="AB296">
        <f>IF(BD_Carga!AA297&lt;&gt;"",BD_Carga!AA297,0)</f>
        <v/>
      </c>
      <c r="AC296" s="6">
        <f t="array" ref="AC296">IFERROR((L296-AVERAGEIF($G$2:$G$462,G296,$L$2:$L$462))/_xlfn.STDEV.P(IF($G$2:$G$462=G296,$L$2:$L$462)),0)</f>
        <v/>
      </c>
      <c r="AD296" s="6">
        <f t="array" ref="AD296">IFERROR((M296-AVERAGEIF($G$2:$G$462,G296,$M$2:$M$462))/_xlfn.STDEV.P(IF($G$2:$G$462=G296,$M$2:$M$462)),0)</f>
        <v/>
      </c>
      <c r="AE296" s="6">
        <f t="array" ref="AE296">IFERROR((N296-AVERAGEIF($G$2:$G$462,G296,$N$2:$N$462))/_xlfn.STDEV.P(IF($G$2:$G$462=G296,$N$2:$N$462)),0)</f>
        <v/>
      </c>
      <c r="AF296" s="6">
        <f t="array" ref="AF296">IFERROR((O296-AVERAGEIF($G$2:$G$462,G296,$O$2:$O$462))/_xlfn.STDEV.P(IF($G$2:$G$462=G296,$O$2:$O$462)),0)</f>
        <v/>
      </c>
      <c r="AG296" s="6">
        <f t="array" ref="AG296">IFERROR((P296-AVERAGEIF($G$2:$G$462,G296,$P$2:$P$462))/_xlfn.STDEV.P(IF($G$2:$G$462=G296,$P$2:$P$462)),0)</f>
        <v/>
      </c>
      <c r="AH296" s="6">
        <f t="array" ref="AH296">IFERROR((R296-AVERAGEIF($G$2:$G$462,G296,$R$2:$R$462))/_xlfn.STDEV.P(IF($G$2:$G$462=G296,$R$2:$R$462)),0)</f>
        <v/>
      </c>
      <c r="AI296" s="6">
        <f>IFERROR((AC296+AD296+AE296+AF296+AG296+AH296)/6,0)</f>
        <v/>
      </c>
    </row>
    <row r="297">
      <c r="A297" s="2">
        <f>IF(BD_Carga!A298&lt;&gt;"",BD_Carga!A298,"")</f>
        <v/>
      </c>
      <c r="B297">
        <f>IF(A297&lt;&gt;"",YEAR(A297),"")</f>
        <v/>
      </c>
      <c r="C297">
        <f>IF(A297&lt;&gt;"",MONTH(A297),"")</f>
        <v/>
      </c>
      <c r="D297">
        <f>IF(A297&lt;&gt;"",_xlfn.ISOWEEKNUM(A297),"")</f>
        <v/>
      </c>
      <c r="E297">
        <f>IF(A297&lt;&gt;"",TEXT(A297,"dddd"),"")</f>
        <v/>
      </c>
      <c r="F297">
        <f>IF(BD_Carga!C298&lt;&gt;"",BD_Carga!C298,"")</f>
        <v/>
      </c>
      <c r="G297">
        <f>IF(BD_Carga!D298&lt;&gt;"",BD_Carga!D298,"")</f>
        <v/>
      </c>
      <c r="H297">
        <f>IF(BD_Carga!Q298&lt;&gt;"",BD_Carga!Q298,"")</f>
        <v/>
      </c>
      <c r="I297">
        <f>IF(BD_Carga!R298&lt;&gt;"",BD_Carga!R298,"")</f>
        <v/>
      </c>
      <c r="J297">
        <f>IF(BD_Carga!S298&lt;&gt;"",BD_Carga!S298,"")</f>
        <v/>
      </c>
      <c r="K297" s="4">
        <f>IF(BD_Carga!E298&lt;&gt;"",BD_Carga!E298,0)</f>
        <v/>
      </c>
      <c r="L297" s="4">
        <f>IF(BD_Carga!F298&lt;&gt;"",BD_Carga!F298,0)</f>
        <v/>
      </c>
      <c r="M297" s="4">
        <f>IF(BD_Carga!G298&lt;&gt;"",BD_Carga!G298,0)</f>
        <v/>
      </c>
      <c r="N297" s="4">
        <f>IF(BD_Carga!H298&lt;&gt;"",BD_Carga!H298,0)</f>
        <v/>
      </c>
      <c r="O297" s="4">
        <f>IF(BD_Carga!I298&lt;&gt;"",BD_Carga!I298,0)</f>
        <v/>
      </c>
      <c r="P297" s="4">
        <f>IF(BD_Carga!J298&lt;&gt;"",BD_Carga!J298,0)</f>
        <v/>
      </c>
      <c r="Q297" s="5">
        <f>IF(BD_Carga!K298&lt;&gt;"",BD_Carga!K298,0)</f>
        <v/>
      </c>
      <c r="R297" s="5">
        <f>IF(BD_Carga!L298&lt;&gt;"",BD_Carga!L298,0)</f>
        <v/>
      </c>
      <c r="S297">
        <f>IF(BD_Carga!N298&lt;&gt;"",BD_Carga!N298,0)</f>
        <v/>
      </c>
      <c r="T297">
        <f>IF(BD_Carga!O298&lt;&gt;"",BD_Carga!O298,0)</f>
        <v/>
      </c>
      <c r="U297">
        <f>IF(BD_Carga!P298&lt;&gt;"",BD_Carga!P298,0)</f>
        <v/>
      </c>
      <c r="V297">
        <f>IF(BD_Carga!U298&lt;&gt;"",BD_Carga!U298,0)</f>
        <v/>
      </c>
      <c r="W297">
        <f>IF(BD_Carga!T298&lt;&gt;"",BD_Carga!T298,0)</f>
        <v/>
      </c>
      <c r="X297">
        <f>IF(BD_Carga!W298&lt;&gt;"",BD_Carga!W298,0)</f>
        <v/>
      </c>
      <c r="Y297">
        <f>IF(BD_Carga!X298&lt;&gt;"",BD_Carga!X298,0)</f>
        <v/>
      </c>
      <c r="Z297">
        <f>IF(BD_Carga!Y298&lt;&gt;"",BD_Carga!Y298,0)</f>
        <v/>
      </c>
      <c r="AA297">
        <f>IF(BD_Carga!Z298&lt;&gt;"",BD_Carga!Z298,0)</f>
        <v/>
      </c>
      <c r="AB297">
        <f>IF(BD_Carga!AA298&lt;&gt;"",BD_Carga!AA298,0)</f>
        <v/>
      </c>
      <c r="AC297" s="6">
        <f t="array" ref="AC297">IFERROR((L297-AVERAGEIF($G$2:$G$462,G297,$L$2:$L$462))/_xlfn.STDEV.P(IF($G$2:$G$462=G297,$L$2:$L$462)),0)</f>
        <v/>
      </c>
      <c r="AD297" s="6">
        <f t="array" ref="AD297">IFERROR((M297-AVERAGEIF($G$2:$G$462,G297,$M$2:$M$462))/_xlfn.STDEV.P(IF($G$2:$G$462=G297,$M$2:$M$462)),0)</f>
        <v/>
      </c>
      <c r="AE297" s="6">
        <f t="array" ref="AE297">IFERROR((N297-AVERAGEIF($G$2:$G$462,G297,$N$2:$N$462))/_xlfn.STDEV.P(IF($G$2:$G$462=G297,$N$2:$N$462)),0)</f>
        <v/>
      </c>
      <c r="AF297" s="6">
        <f t="array" ref="AF297">IFERROR((O297-AVERAGEIF($G$2:$G$462,G297,$O$2:$O$462))/_xlfn.STDEV.P(IF($G$2:$G$462=G297,$O$2:$O$462)),0)</f>
        <v/>
      </c>
      <c r="AG297" s="6">
        <f t="array" ref="AG297">IFERROR((P297-AVERAGEIF($G$2:$G$462,G297,$P$2:$P$462))/_xlfn.STDEV.P(IF($G$2:$G$462=G297,$P$2:$P$462)),0)</f>
        <v/>
      </c>
      <c r="AH297" s="6">
        <f t="array" ref="AH297">IFERROR((R297-AVERAGEIF($G$2:$G$462,G297,$R$2:$R$462))/_xlfn.STDEV.P(IF($G$2:$G$462=G297,$R$2:$R$462)),0)</f>
        <v/>
      </c>
      <c r="AI297" s="6">
        <f>IFERROR((AC297+AD297+AE297+AF297+AG297+AH297)/6,0)</f>
        <v/>
      </c>
    </row>
    <row r="298">
      <c r="A298" s="2">
        <f>IF(BD_Carga!A299&lt;&gt;"",BD_Carga!A299,"")</f>
        <v/>
      </c>
      <c r="B298">
        <f>IF(A298&lt;&gt;"",YEAR(A298),"")</f>
        <v/>
      </c>
      <c r="C298">
        <f>IF(A298&lt;&gt;"",MONTH(A298),"")</f>
        <v/>
      </c>
      <c r="D298">
        <f>IF(A298&lt;&gt;"",_xlfn.ISOWEEKNUM(A298),"")</f>
        <v/>
      </c>
      <c r="E298">
        <f>IF(A298&lt;&gt;"",TEXT(A298,"dddd"),"")</f>
        <v/>
      </c>
      <c r="F298">
        <f>IF(BD_Carga!C299&lt;&gt;"",BD_Carga!C299,"")</f>
        <v/>
      </c>
      <c r="G298">
        <f>IF(BD_Carga!D299&lt;&gt;"",BD_Carga!D299,"")</f>
        <v/>
      </c>
      <c r="H298">
        <f>IF(BD_Carga!Q299&lt;&gt;"",BD_Carga!Q299,"")</f>
        <v/>
      </c>
      <c r="I298">
        <f>IF(BD_Carga!R299&lt;&gt;"",BD_Carga!R299,"")</f>
        <v/>
      </c>
      <c r="J298">
        <f>IF(BD_Carga!S299&lt;&gt;"",BD_Carga!S299,"")</f>
        <v/>
      </c>
      <c r="K298" s="4">
        <f>IF(BD_Carga!E299&lt;&gt;"",BD_Carga!E299,0)</f>
        <v/>
      </c>
      <c r="L298" s="4">
        <f>IF(BD_Carga!F299&lt;&gt;"",BD_Carga!F299,0)</f>
        <v/>
      </c>
      <c r="M298" s="4">
        <f>IF(BD_Carga!G299&lt;&gt;"",BD_Carga!G299,0)</f>
        <v/>
      </c>
      <c r="N298" s="4">
        <f>IF(BD_Carga!H299&lt;&gt;"",BD_Carga!H299,0)</f>
        <v/>
      </c>
      <c r="O298" s="4">
        <f>IF(BD_Carga!I299&lt;&gt;"",BD_Carga!I299,0)</f>
        <v/>
      </c>
      <c r="P298" s="4">
        <f>IF(BD_Carga!J299&lt;&gt;"",BD_Carga!J299,0)</f>
        <v/>
      </c>
      <c r="Q298" s="5">
        <f>IF(BD_Carga!K299&lt;&gt;"",BD_Carga!K299,0)</f>
        <v/>
      </c>
      <c r="R298" s="5">
        <f>IF(BD_Carga!L299&lt;&gt;"",BD_Carga!L299,0)</f>
        <v/>
      </c>
      <c r="S298">
        <f>IF(BD_Carga!N299&lt;&gt;"",BD_Carga!N299,0)</f>
        <v/>
      </c>
      <c r="T298">
        <f>IF(BD_Carga!O299&lt;&gt;"",BD_Carga!O299,0)</f>
        <v/>
      </c>
      <c r="U298">
        <f>IF(BD_Carga!P299&lt;&gt;"",BD_Carga!P299,0)</f>
        <v/>
      </c>
      <c r="V298">
        <f>IF(BD_Carga!U299&lt;&gt;"",BD_Carga!U299,0)</f>
        <v/>
      </c>
      <c r="W298">
        <f>IF(BD_Carga!T299&lt;&gt;"",BD_Carga!T299,0)</f>
        <v/>
      </c>
      <c r="X298">
        <f>IF(BD_Carga!W299&lt;&gt;"",BD_Carga!W299,0)</f>
        <v/>
      </c>
      <c r="Y298">
        <f>IF(BD_Carga!X299&lt;&gt;"",BD_Carga!X299,0)</f>
        <v/>
      </c>
      <c r="Z298">
        <f>IF(BD_Carga!Y299&lt;&gt;"",BD_Carga!Y299,0)</f>
        <v/>
      </c>
      <c r="AA298">
        <f>IF(BD_Carga!Z299&lt;&gt;"",BD_Carga!Z299,0)</f>
        <v/>
      </c>
      <c r="AB298">
        <f>IF(BD_Carga!AA299&lt;&gt;"",BD_Carga!AA299,0)</f>
        <v/>
      </c>
      <c r="AC298" s="6">
        <f t="array" ref="AC298">IFERROR((L298-AVERAGEIF($G$2:$G$462,G298,$L$2:$L$462))/_xlfn.STDEV.P(IF($G$2:$G$462=G298,$L$2:$L$462)),0)</f>
        <v/>
      </c>
      <c r="AD298" s="6">
        <f t="array" ref="AD298">IFERROR((M298-AVERAGEIF($G$2:$G$462,G298,$M$2:$M$462))/_xlfn.STDEV.P(IF($G$2:$G$462=G298,$M$2:$M$462)),0)</f>
        <v/>
      </c>
      <c r="AE298" s="6">
        <f t="array" ref="AE298">IFERROR((N298-AVERAGEIF($G$2:$G$462,G298,$N$2:$N$462))/_xlfn.STDEV.P(IF($G$2:$G$462=G298,$N$2:$N$462)),0)</f>
        <v/>
      </c>
      <c r="AF298" s="6">
        <f t="array" ref="AF298">IFERROR((O298-AVERAGEIF($G$2:$G$462,G298,$O$2:$O$462))/_xlfn.STDEV.P(IF($G$2:$G$462=G298,$O$2:$O$462)),0)</f>
        <v/>
      </c>
      <c r="AG298" s="6">
        <f t="array" ref="AG298">IFERROR((P298-AVERAGEIF($G$2:$G$462,G298,$P$2:$P$462))/_xlfn.STDEV.P(IF($G$2:$G$462=G298,$P$2:$P$462)),0)</f>
        <v/>
      </c>
      <c r="AH298" s="6">
        <f t="array" ref="AH298">IFERROR((R298-AVERAGEIF($G$2:$G$462,G298,$R$2:$R$462))/_xlfn.STDEV.P(IF($G$2:$G$462=G298,$R$2:$R$462)),0)</f>
        <v/>
      </c>
      <c r="AI298" s="6">
        <f>IFERROR((AC298+AD298+AE298+AF298+AG298+AH298)/6,0)</f>
        <v/>
      </c>
    </row>
    <row r="299">
      <c r="A299" s="2">
        <f>IF(BD_Carga!A300&lt;&gt;"",BD_Carga!A300,"")</f>
        <v/>
      </c>
      <c r="B299">
        <f>IF(A299&lt;&gt;"",YEAR(A299),"")</f>
        <v/>
      </c>
      <c r="C299">
        <f>IF(A299&lt;&gt;"",MONTH(A299),"")</f>
        <v/>
      </c>
      <c r="D299">
        <f>IF(A299&lt;&gt;"",_xlfn.ISOWEEKNUM(A299),"")</f>
        <v/>
      </c>
      <c r="E299">
        <f>IF(A299&lt;&gt;"",TEXT(A299,"dddd"),"")</f>
        <v/>
      </c>
      <c r="F299">
        <f>IF(BD_Carga!C300&lt;&gt;"",BD_Carga!C300,"")</f>
        <v/>
      </c>
      <c r="G299">
        <f>IF(BD_Carga!D300&lt;&gt;"",BD_Carga!D300,"")</f>
        <v/>
      </c>
      <c r="H299">
        <f>IF(BD_Carga!Q300&lt;&gt;"",BD_Carga!Q300,"")</f>
        <v/>
      </c>
      <c r="I299">
        <f>IF(BD_Carga!R300&lt;&gt;"",BD_Carga!R300,"")</f>
        <v/>
      </c>
      <c r="J299">
        <f>IF(BD_Carga!S300&lt;&gt;"",BD_Carga!S300,"")</f>
        <v/>
      </c>
      <c r="K299" s="4">
        <f>IF(BD_Carga!E300&lt;&gt;"",BD_Carga!E300,0)</f>
        <v/>
      </c>
      <c r="L299" s="4">
        <f>IF(BD_Carga!F300&lt;&gt;"",BD_Carga!F300,0)</f>
        <v/>
      </c>
      <c r="M299" s="4">
        <f>IF(BD_Carga!G300&lt;&gt;"",BD_Carga!G300,0)</f>
        <v/>
      </c>
      <c r="N299" s="4">
        <f>IF(BD_Carga!H300&lt;&gt;"",BD_Carga!H300,0)</f>
        <v/>
      </c>
      <c r="O299" s="4">
        <f>IF(BD_Carga!I300&lt;&gt;"",BD_Carga!I300,0)</f>
        <v/>
      </c>
      <c r="P299" s="4">
        <f>IF(BD_Carga!J300&lt;&gt;"",BD_Carga!J300,0)</f>
        <v/>
      </c>
      <c r="Q299" s="5">
        <f>IF(BD_Carga!K300&lt;&gt;"",BD_Carga!K300,0)</f>
        <v/>
      </c>
      <c r="R299" s="5">
        <f>IF(BD_Carga!L300&lt;&gt;"",BD_Carga!L300,0)</f>
        <v/>
      </c>
      <c r="S299">
        <f>IF(BD_Carga!N300&lt;&gt;"",BD_Carga!N300,0)</f>
        <v/>
      </c>
      <c r="T299">
        <f>IF(BD_Carga!O300&lt;&gt;"",BD_Carga!O300,0)</f>
        <v/>
      </c>
      <c r="U299">
        <f>IF(BD_Carga!P300&lt;&gt;"",BD_Carga!P300,0)</f>
        <v/>
      </c>
      <c r="V299">
        <f>IF(BD_Carga!U300&lt;&gt;"",BD_Carga!U300,0)</f>
        <v/>
      </c>
      <c r="W299">
        <f>IF(BD_Carga!T300&lt;&gt;"",BD_Carga!T300,0)</f>
        <v/>
      </c>
      <c r="X299">
        <f>IF(BD_Carga!W300&lt;&gt;"",BD_Carga!W300,0)</f>
        <v/>
      </c>
      <c r="Y299">
        <f>IF(BD_Carga!X300&lt;&gt;"",BD_Carga!X300,0)</f>
        <v/>
      </c>
      <c r="Z299">
        <f>IF(BD_Carga!Y300&lt;&gt;"",BD_Carga!Y300,0)</f>
        <v/>
      </c>
      <c r="AA299">
        <f>IF(BD_Carga!Z300&lt;&gt;"",BD_Carga!Z300,0)</f>
        <v/>
      </c>
      <c r="AB299">
        <f>IF(BD_Carga!AA300&lt;&gt;"",BD_Carga!AA300,0)</f>
        <v/>
      </c>
      <c r="AC299" s="6">
        <f t="array" ref="AC299">IFERROR((L299-AVERAGEIF($G$2:$G$462,G299,$L$2:$L$462))/_xlfn.STDEV.P(IF($G$2:$G$462=G299,$L$2:$L$462)),0)</f>
        <v/>
      </c>
      <c r="AD299" s="6">
        <f t="array" ref="AD299">IFERROR((M299-AVERAGEIF($G$2:$G$462,G299,$M$2:$M$462))/_xlfn.STDEV.P(IF($G$2:$G$462=G299,$M$2:$M$462)),0)</f>
        <v/>
      </c>
      <c r="AE299" s="6">
        <f t="array" ref="AE299">IFERROR((N299-AVERAGEIF($G$2:$G$462,G299,$N$2:$N$462))/_xlfn.STDEV.P(IF($G$2:$G$462=G299,$N$2:$N$462)),0)</f>
        <v/>
      </c>
      <c r="AF299" s="6">
        <f t="array" ref="AF299">IFERROR((O299-AVERAGEIF($G$2:$G$462,G299,$O$2:$O$462))/_xlfn.STDEV.P(IF($G$2:$G$462=G299,$O$2:$O$462)),0)</f>
        <v/>
      </c>
      <c r="AG299" s="6">
        <f t="array" ref="AG299">IFERROR((P299-AVERAGEIF($G$2:$G$462,G299,$P$2:$P$462))/_xlfn.STDEV.P(IF($G$2:$G$462=G299,$P$2:$P$462)),0)</f>
        <v/>
      </c>
      <c r="AH299" s="6">
        <f t="array" ref="AH299">IFERROR((R299-AVERAGEIF($G$2:$G$462,G299,$R$2:$R$462))/_xlfn.STDEV.P(IF($G$2:$G$462=G299,$R$2:$R$462)),0)</f>
        <v/>
      </c>
      <c r="AI299" s="6">
        <f>IFERROR((AC299+AD299+AE299+AF299+AG299+AH299)/6,0)</f>
        <v/>
      </c>
    </row>
    <row r="300">
      <c r="A300" s="2">
        <f>IF(BD_Carga!A301&lt;&gt;"",BD_Carga!A301,"")</f>
        <v/>
      </c>
      <c r="B300">
        <f>IF(A300&lt;&gt;"",YEAR(A300),"")</f>
        <v/>
      </c>
      <c r="C300">
        <f>IF(A300&lt;&gt;"",MONTH(A300),"")</f>
        <v/>
      </c>
      <c r="D300">
        <f>IF(A300&lt;&gt;"",_xlfn.ISOWEEKNUM(A300),"")</f>
        <v/>
      </c>
      <c r="E300">
        <f>IF(A300&lt;&gt;"",TEXT(A300,"dddd"),"")</f>
        <v/>
      </c>
      <c r="F300">
        <f>IF(BD_Carga!C301&lt;&gt;"",BD_Carga!C301,"")</f>
        <v/>
      </c>
      <c r="G300">
        <f>IF(BD_Carga!D301&lt;&gt;"",BD_Carga!D301,"")</f>
        <v/>
      </c>
      <c r="H300">
        <f>IF(BD_Carga!Q301&lt;&gt;"",BD_Carga!Q301,"")</f>
        <v/>
      </c>
      <c r="I300">
        <f>IF(BD_Carga!R301&lt;&gt;"",BD_Carga!R301,"")</f>
        <v/>
      </c>
      <c r="J300">
        <f>IF(BD_Carga!S301&lt;&gt;"",BD_Carga!S301,"")</f>
        <v/>
      </c>
      <c r="K300" s="4">
        <f>IF(BD_Carga!E301&lt;&gt;"",BD_Carga!E301,0)</f>
        <v/>
      </c>
      <c r="L300" s="4">
        <f>IF(BD_Carga!F301&lt;&gt;"",BD_Carga!F301,0)</f>
        <v/>
      </c>
      <c r="M300" s="4">
        <f>IF(BD_Carga!G301&lt;&gt;"",BD_Carga!G301,0)</f>
        <v/>
      </c>
      <c r="N300" s="4">
        <f>IF(BD_Carga!H301&lt;&gt;"",BD_Carga!H301,0)</f>
        <v/>
      </c>
      <c r="O300" s="4">
        <f>IF(BD_Carga!I301&lt;&gt;"",BD_Carga!I301,0)</f>
        <v/>
      </c>
      <c r="P300" s="4">
        <f>IF(BD_Carga!J301&lt;&gt;"",BD_Carga!J301,0)</f>
        <v/>
      </c>
      <c r="Q300" s="5">
        <f>IF(BD_Carga!K301&lt;&gt;"",BD_Carga!K301,0)</f>
        <v/>
      </c>
      <c r="R300" s="5">
        <f>IF(BD_Carga!L301&lt;&gt;"",BD_Carga!L301,0)</f>
        <v/>
      </c>
      <c r="S300">
        <f>IF(BD_Carga!N301&lt;&gt;"",BD_Carga!N301,0)</f>
        <v/>
      </c>
      <c r="T300">
        <f>IF(BD_Carga!O301&lt;&gt;"",BD_Carga!O301,0)</f>
        <v/>
      </c>
      <c r="U300">
        <f>IF(BD_Carga!P301&lt;&gt;"",BD_Carga!P301,0)</f>
        <v/>
      </c>
      <c r="V300">
        <f>IF(BD_Carga!U301&lt;&gt;"",BD_Carga!U301,0)</f>
        <v/>
      </c>
      <c r="W300">
        <f>IF(BD_Carga!T301&lt;&gt;"",BD_Carga!T301,0)</f>
        <v/>
      </c>
      <c r="X300">
        <f>IF(BD_Carga!W301&lt;&gt;"",BD_Carga!W301,0)</f>
        <v/>
      </c>
      <c r="Y300">
        <f>IF(BD_Carga!X301&lt;&gt;"",BD_Carga!X301,0)</f>
        <v/>
      </c>
      <c r="Z300">
        <f>IF(BD_Carga!Y301&lt;&gt;"",BD_Carga!Y301,0)</f>
        <v/>
      </c>
      <c r="AA300">
        <f>IF(BD_Carga!Z301&lt;&gt;"",BD_Carga!Z301,0)</f>
        <v/>
      </c>
      <c r="AB300">
        <f>IF(BD_Carga!AA301&lt;&gt;"",BD_Carga!AA301,0)</f>
        <v/>
      </c>
      <c r="AC300" s="6">
        <f t="array" ref="AC300">IFERROR((L300-AVERAGEIF($G$2:$G$462,G300,$L$2:$L$462))/_xlfn.STDEV.P(IF($G$2:$G$462=G300,$L$2:$L$462)),0)</f>
        <v/>
      </c>
      <c r="AD300" s="6">
        <f t="array" ref="AD300">IFERROR((M300-AVERAGEIF($G$2:$G$462,G300,$M$2:$M$462))/_xlfn.STDEV.P(IF($G$2:$G$462=G300,$M$2:$M$462)),0)</f>
        <v/>
      </c>
      <c r="AE300" s="6">
        <f t="array" ref="AE300">IFERROR((N300-AVERAGEIF($G$2:$G$462,G300,$N$2:$N$462))/_xlfn.STDEV.P(IF($G$2:$G$462=G300,$N$2:$N$462)),0)</f>
        <v/>
      </c>
      <c r="AF300" s="6">
        <f t="array" ref="AF300">IFERROR((O300-AVERAGEIF($G$2:$G$462,G300,$O$2:$O$462))/_xlfn.STDEV.P(IF($G$2:$G$462=G300,$O$2:$O$462)),0)</f>
        <v/>
      </c>
      <c r="AG300" s="6">
        <f t="array" ref="AG300">IFERROR((P300-AVERAGEIF($G$2:$G$462,G300,$P$2:$P$462))/_xlfn.STDEV.P(IF($G$2:$G$462=G300,$P$2:$P$462)),0)</f>
        <v/>
      </c>
      <c r="AH300" s="6">
        <f t="array" ref="AH300">IFERROR((R300-AVERAGEIF($G$2:$G$462,G300,$R$2:$R$462))/_xlfn.STDEV.P(IF($G$2:$G$462=G300,$R$2:$R$462)),0)</f>
        <v/>
      </c>
      <c r="AI300" s="6">
        <f>IFERROR((AC300+AD300+AE300+AF300+AG300+AH300)/6,0)</f>
        <v/>
      </c>
    </row>
    <row r="301">
      <c r="A301" s="2">
        <f>IF(BD_Carga!A302&lt;&gt;"",BD_Carga!A302,"")</f>
        <v/>
      </c>
      <c r="B301">
        <f>IF(A301&lt;&gt;"",YEAR(A301),"")</f>
        <v/>
      </c>
      <c r="C301">
        <f>IF(A301&lt;&gt;"",MONTH(A301),"")</f>
        <v/>
      </c>
      <c r="D301">
        <f>IF(A301&lt;&gt;"",_xlfn.ISOWEEKNUM(A301),"")</f>
        <v/>
      </c>
      <c r="E301">
        <f>IF(A301&lt;&gt;"",TEXT(A301,"dddd"),"")</f>
        <v/>
      </c>
      <c r="F301">
        <f>IF(BD_Carga!C302&lt;&gt;"",BD_Carga!C302,"")</f>
        <v/>
      </c>
      <c r="G301">
        <f>IF(BD_Carga!D302&lt;&gt;"",BD_Carga!D302,"")</f>
        <v/>
      </c>
      <c r="H301">
        <f>IF(BD_Carga!Q302&lt;&gt;"",BD_Carga!Q302,"")</f>
        <v/>
      </c>
      <c r="I301">
        <f>IF(BD_Carga!R302&lt;&gt;"",BD_Carga!R302,"")</f>
        <v/>
      </c>
      <c r="J301">
        <f>IF(BD_Carga!S302&lt;&gt;"",BD_Carga!S302,"")</f>
        <v/>
      </c>
      <c r="K301" s="4">
        <f>IF(BD_Carga!E302&lt;&gt;"",BD_Carga!E302,0)</f>
        <v/>
      </c>
      <c r="L301" s="4">
        <f>IF(BD_Carga!F302&lt;&gt;"",BD_Carga!F302,0)</f>
        <v/>
      </c>
      <c r="M301" s="4">
        <f>IF(BD_Carga!G302&lt;&gt;"",BD_Carga!G302,0)</f>
        <v/>
      </c>
      <c r="N301" s="4">
        <f>IF(BD_Carga!H302&lt;&gt;"",BD_Carga!H302,0)</f>
        <v/>
      </c>
      <c r="O301" s="4">
        <f>IF(BD_Carga!I302&lt;&gt;"",BD_Carga!I302,0)</f>
        <v/>
      </c>
      <c r="P301" s="4">
        <f>IF(BD_Carga!J302&lt;&gt;"",BD_Carga!J302,0)</f>
        <v/>
      </c>
      <c r="Q301" s="5">
        <f>IF(BD_Carga!K302&lt;&gt;"",BD_Carga!K302,0)</f>
        <v/>
      </c>
      <c r="R301" s="5">
        <f>IF(BD_Carga!L302&lt;&gt;"",BD_Carga!L302,0)</f>
        <v/>
      </c>
      <c r="S301">
        <f>IF(BD_Carga!N302&lt;&gt;"",BD_Carga!N302,0)</f>
        <v/>
      </c>
      <c r="T301">
        <f>IF(BD_Carga!O302&lt;&gt;"",BD_Carga!O302,0)</f>
        <v/>
      </c>
      <c r="U301">
        <f>IF(BD_Carga!P302&lt;&gt;"",BD_Carga!P302,0)</f>
        <v/>
      </c>
      <c r="V301">
        <f>IF(BD_Carga!U302&lt;&gt;"",BD_Carga!U302,0)</f>
        <v/>
      </c>
      <c r="W301">
        <f>IF(BD_Carga!T302&lt;&gt;"",BD_Carga!T302,0)</f>
        <v/>
      </c>
      <c r="X301">
        <f>IF(BD_Carga!W302&lt;&gt;"",BD_Carga!W302,0)</f>
        <v/>
      </c>
      <c r="Y301">
        <f>IF(BD_Carga!X302&lt;&gt;"",BD_Carga!X302,0)</f>
        <v/>
      </c>
      <c r="Z301">
        <f>IF(BD_Carga!Y302&lt;&gt;"",BD_Carga!Y302,0)</f>
        <v/>
      </c>
      <c r="AA301">
        <f>IF(BD_Carga!Z302&lt;&gt;"",BD_Carga!Z302,0)</f>
        <v/>
      </c>
      <c r="AB301">
        <f>IF(BD_Carga!AA302&lt;&gt;"",BD_Carga!AA302,0)</f>
        <v/>
      </c>
      <c r="AC301" s="6">
        <f t="array" ref="AC301">IFERROR((L301-AVERAGEIF($G$2:$G$462,G301,$L$2:$L$462))/_xlfn.STDEV.P(IF($G$2:$G$462=G301,$L$2:$L$462)),0)</f>
        <v/>
      </c>
      <c r="AD301" s="6">
        <f t="array" ref="AD301">IFERROR((M301-AVERAGEIF($G$2:$G$462,G301,$M$2:$M$462))/_xlfn.STDEV.P(IF($G$2:$G$462=G301,$M$2:$M$462)),0)</f>
        <v/>
      </c>
      <c r="AE301" s="6">
        <f t="array" ref="AE301">IFERROR((N301-AVERAGEIF($G$2:$G$462,G301,$N$2:$N$462))/_xlfn.STDEV.P(IF($G$2:$G$462=G301,$N$2:$N$462)),0)</f>
        <v/>
      </c>
      <c r="AF301" s="6">
        <f t="array" ref="AF301">IFERROR((O301-AVERAGEIF($G$2:$G$462,G301,$O$2:$O$462))/_xlfn.STDEV.P(IF($G$2:$G$462=G301,$O$2:$O$462)),0)</f>
        <v/>
      </c>
      <c r="AG301" s="6">
        <f t="array" ref="AG301">IFERROR((P301-AVERAGEIF($G$2:$G$462,G301,$P$2:$P$462))/_xlfn.STDEV.P(IF($G$2:$G$462=G301,$P$2:$P$462)),0)</f>
        <v/>
      </c>
      <c r="AH301" s="6">
        <f t="array" ref="AH301">IFERROR((R301-AVERAGEIF($G$2:$G$462,G301,$R$2:$R$462))/_xlfn.STDEV.P(IF($G$2:$G$462=G301,$R$2:$R$462)),0)</f>
        <v/>
      </c>
      <c r="AI301" s="6">
        <f>IFERROR((AC301+AD301+AE301+AF301+AG301+AH301)/6,0)</f>
        <v/>
      </c>
    </row>
    <row r="302">
      <c r="A302" s="2">
        <f>IF(BD_Carga!A303&lt;&gt;"",BD_Carga!A303,"")</f>
        <v/>
      </c>
      <c r="B302">
        <f>IF(A302&lt;&gt;"",YEAR(A302),"")</f>
        <v/>
      </c>
      <c r="C302">
        <f>IF(A302&lt;&gt;"",MONTH(A302),"")</f>
        <v/>
      </c>
      <c r="D302">
        <f>IF(A302&lt;&gt;"",_xlfn.ISOWEEKNUM(A302),"")</f>
        <v/>
      </c>
      <c r="E302">
        <f>IF(A302&lt;&gt;"",TEXT(A302,"dddd"),"")</f>
        <v/>
      </c>
      <c r="F302">
        <f>IF(BD_Carga!C303&lt;&gt;"",BD_Carga!C303,"")</f>
        <v/>
      </c>
      <c r="G302">
        <f>IF(BD_Carga!D303&lt;&gt;"",BD_Carga!D303,"")</f>
        <v/>
      </c>
      <c r="H302">
        <f>IF(BD_Carga!Q303&lt;&gt;"",BD_Carga!Q303,"")</f>
        <v/>
      </c>
      <c r="I302">
        <f>IF(BD_Carga!R303&lt;&gt;"",BD_Carga!R303,"")</f>
        <v/>
      </c>
      <c r="J302">
        <f>IF(BD_Carga!S303&lt;&gt;"",BD_Carga!S303,"")</f>
        <v/>
      </c>
      <c r="K302" s="4">
        <f>IF(BD_Carga!E303&lt;&gt;"",BD_Carga!E303,0)</f>
        <v/>
      </c>
      <c r="L302" s="4">
        <f>IF(BD_Carga!F303&lt;&gt;"",BD_Carga!F303,0)</f>
        <v/>
      </c>
      <c r="M302" s="4">
        <f>IF(BD_Carga!G303&lt;&gt;"",BD_Carga!G303,0)</f>
        <v/>
      </c>
      <c r="N302" s="4">
        <f>IF(BD_Carga!H303&lt;&gt;"",BD_Carga!H303,0)</f>
        <v/>
      </c>
      <c r="O302" s="4">
        <f>IF(BD_Carga!I303&lt;&gt;"",BD_Carga!I303,0)</f>
        <v/>
      </c>
      <c r="P302" s="4">
        <f>IF(BD_Carga!J303&lt;&gt;"",BD_Carga!J303,0)</f>
        <v/>
      </c>
      <c r="Q302" s="5">
        <f>IF(BD_Carga!K303&lt;&gt;"",BD_Carga!K303,0)</f>
        <v/>
      </c>
      <c r="R302" s="5">
        <f>IF(BD_Carga!L303&lt;&gt;"",BD_Carga!L303,0)</f>
        <v/>
      </c>
      <c r="S302">
        <f>IF(BD_Carga!N303&lt;&gt;"",BD_Carga!N303,0)</f>
        <v/>
      </c>
      <c r="T302">
        <f>IF(BD_Carga!O303&lt;&gt;"",BD_Carga!O303,0)</f>
        <v/>
      </c>
      <c r="U302">
        <f>IF(BD_Carga!P303&lt;&gt;"",BD_Carga!P303,0)</f>
        <v/>
      </c>
      <c r="V302">
        <f>IF(BD_Carga!U303&lt;&gt;"",BD_Carga!U303,0)</f>
        <v/>
      </c>
      <c r="W302">
        <f>IF(BD_Carga!T303&lt;&gt;"",BD_Carga!T303,0)</f>
        <v/>
      </c>
      <c r="X302">
        <f>IF(BD_Carga!W303&lt;&gt;"",BD_Carga!W303,0)</f>
        <v/>
      </c>
      <c r="Y302">
        <f>IF(BD_Carga!X303&lt;&gt;"",BD_Carga!X303,0)</f>
        <v/>
      </c>
      <c r="Z302">
        <f>IF(BD_Carga!Y303&lt;&gt;"",BD_Carga!Y303,0)</f>
        <v/>
      </c>
      <c r="AA302">
        <f>IF(BD_Carga!Z303&lt;&gt;"",BD_Carga!Z303,0)</f>
        <v/>
      </c>
      <c r="AB302">
        <f>IF(BD_Carga!AA303&lt;&gt;"",BD_Carga!AA303,0)</f>
        <v/>
      </c>
      <c r="AC302" s="6">
        <f t="array" ref="AC302">IFERROR((L302-AVERAGEIF($G$2:$G$462,G302,$L$2:$L$462))/_xlfn.STDEV.P(IF($G$2:$G$462=G302,$L$2:$L$462)),0)</f>
        <v/>
      </c>
      <c r="AD302" s="6">
        <f t="array" ref="AD302">IFERROR((M302-AVERAGEIF($G$2:$G$462,G302,$M$2:$M$462))/_xlfn.STDEV.P(IF($G$2:$G$462=G302,$M$2:$M$462)),0)</f>
        <v/>
      </c>
      <c r="AE302" s="6">
        <f t="array" ref="AE302">IFERROR((N302-AVERAGEIF($G$2:$G$462,G302,$N$2:$N$462))/_xlfn.STDEV.P(IF($G$2:$G$462=G302,$N$2:$N$462)),0)</f>
        <v/>
      </c>
      <c r="AF302" s="6">
        <f t="array" ref="AF302">IFERROR((O302-AVERAGEIF($G$2:$G$462,G302,$O$2:$O$462))/_xlfn.STDEV.P(IF($G$2:$G$462=G302,$O$2:$O$462)),0)</f>
        <v/>
      </c>
      <c r="AG302" s="6">
        <f t="array" ref="AG302">IFERROR((P302-AVERAGEIF($G$2:$G$462,G302,$P$2:$P$462))/_xlfn.STDEV.P(IF($G$2:$G$462=G302,$P$2:$P$462)),0)</f>
        <v/>
      </c>
      <c r="AH302" s="6">
        <f t="array" ref="AH302">IFERROR((R302-AVERAGEIF($G$2:$G$462,G302,$R$2:$R$462))/_xlfn.STDEV.P(IF($G$2:$G$462=G302,$R$2:$R$462)),0)</f>
        <v/>
      </c>
      <c r="AI302" s="6">
        <f>IFERROR((AC302+AD302+AE302+AF302+AG302+AH302)/6,0)</f>
        <v/>
      </c>
    </row>
    <row r="303">
      <c r="A303" s="2">
        <f>IF(BD_Carga!A304&lt;&gt;"",BD_Carga!A304,"")</f>
        <v/>
      </c>
      <c r="B303">
        <f>IF(A303&lt;&gt;"",YEAR(A303),"")</f>
        <v/>
      </c>
      <c r="C303">
        <f>IF(A303&lt;&gt;"",MONTH(A303),"")</f>
        <v/>
      </c>
      <c r="D303">
        <f>IF(A303&lt;&gt;"",_xlfn.ISOWEEKNUM(A303),"")</f>
        <v/>
      </c>
      <c r="E303">
        <f>IF(A303&lt;&gt;"",TEXT(A303,"dddd"),"")</f>
        <v/>
      </c>
      <c r="F303">
        <f>IF(BD_Carga!C304&lt;&gt;"",BD_Carga!C304,"")</f>
        <v/>
      </c>
      <c r="G303">
        <f>IF(BD_Carga!D304&lt;&gt;"",BD_Carga!D304,"")</f>
        <v/>
      </c>
      <c r="H303">
        <f>IF(BD_Carga!Q304&lt;&gt;"",BD_Carga!Q304,"")</f>
        <v/>
      </c>
      <c r="I303">
        <f>IF(BD_Carga!R304&lt;&gt;"",BD_Carga!R304,"")</f>
        <v/>
      </c>
      <c r="J303">
        <f>IF(BD_Carga!S304&lt;&gt;"",BD_Carga!S304,"")</f>
        <v/>
      </c>
      <c r="K303" s="4">
        <f>IF(BD_Carga!E304&lt;&gt;"",BD_Carga!E304,0)</f>
        <v/>
      </c>
      <c r="L303" s="4">
        <f>IF(BD_Carga!F304&lt;&gt;"",BD_Carga!F304,0)</f>
        <v/>
      </c>
      <c r="M303" s="4">
        <f>IF(BD_Carga!G304&lt;&gt;"",BD_Carga!G304,0)</f>
        <v/>
      </c>
      <c r="N303" s="4">
        <f>IF(BD_Carga!H304&lt;&gt;"",BD_Carga!H304,0)</f>
        <v/>
      </c>
      <c r="O303" s="4">
        <f>IF(BD_Carga!I304&lt;&gt;"",BD_Carga!I304,0)</f>
        <v/>
      </c>
      <c r="P303" s="4">
        <f>IF(BD_Carga!J304&lt;&gt;"",BD_Carga!J304,0)</f>
        <v/>
      </c>
      <c r="Q303" s="5">
        <f>IF(BD_Carga!K304&lt;&gt;"",BD_Carga!K304,0)</f>
        <v/>
      </c>
      <c r="R303" s="5">
        <f>IF(BD_Carga!L304&lt;&gt;"",BD_Carga!L304,0)</f>
        <v/>
      </c>
      <c r="S303">
        <f>IF(BD_Carga!N304&lt;&gt;"",BD_Carga!N304,0)</f>
        <v/>
      </c>
      <c r="T303">
        <f>IF(BD_Carga!O304&lt;&gt;"",BD_Carga!O304,0)</f>
        <v/>
      </c>
      <c r="U303">
        <f>IF(BD_Carga!P304&lt;&gt;"",BD_Carga!P304,0)</f>
        <v/>
      </c>
      <c r="V303">
        <f>IF(BD_Carga!U304&lt;&gt;"",BD_Carga!U304,0)</f>
        <v/>
      </c>
      <c r="W303">
        <f>IF(BD_Carga!T304&lt;&gt;"",BD_Carga!T304,0)</f>
        <v/>
      </c>
      <c r="X303">
        <f>IF(BD_Carga!W304&lt;&gt;"",BD_Carga!W304,0)</f>
        <v/>
      </c>
      <c r="Y303">
        <f>IF(BD_Carga!X304&lt;&gt;"",BD_Carga!X304,0)</f>
        <v/>
      </c>
      <c r="Z303">
        <f>IF(BD_Carga!Y304&lt;&gt;"",BD_Carga!Y304,0)</f>
        <v/>
      </c>
      <c r="AA303">
        <f>IF(BD_Carga!Z304&lt;&gt;"",BD_Carga!Z304,0)</f>
        <v/>
      </c>
      <c r="AB303">
        <f>IF(BD_Carga!AA304&lt;&gt;"",BD_Carga!AA304,0)</f>
        <v/>
      </c>
      <c r="AC303" s="6">
        <f t="array" ref="AC303">IFERROR((L303-AVERAGEIF($G$2:$G$462,G303,$L$2:$L$462))/_xlfn.STDEV.P(IF($G$2:$G$462=G303,$L$2:$L$462)),0)</f>
        <v/>
      </c>
      <c r="AD303" s="6">
        <f t="array" ref="AD303">IFERROR((M303-AVERAGEIF($G$2:$G$462,G303,$M$2:$M$462))/_xlfn.STDEV.P(IF($G$2:$G$462=G303,$M$2:$M$462)),0)</f>
        <v/>
      </c>
      <c r="AE303" s="6">
        <f t="array" ref="AE303">IFERROR((N303-AVERAGEIF($G$2:$G$462,G303,$N$2:$N$462))/_xlfn.STDEV.P(IF($G$2:$G$462=G303,$N$2:$N$462)),0)</f>
        <v/>
      </c>
      <c r="AF303" s="6">
        <f t="array" ref="AF303">IFERROR((O303-AVERAGEIF($G$2:$G$462,G303,$O$2:$O$462))/_xlfn.STDEV.P(IF($G$2:$G$462=G303,$O$2:$O$462)),0)</f>
        <v/>
      </c>
      <c r="AG303" s="6">
        <f t="array" ref="AG303">IFERROR((P303-AVERAGEIF($G$2:$G$462,G303,$P$2:$P$462))/_xlfn.STDEV.P(IF($G$2:$G$462=G303,$P$2:$P$462)),0)</f>
        <v/>
      </c>
      <c r="AH303" s="6">
        <f t="array" ref="AH303">IFERROR((R303-AVERAGEIF($G$2:$G$462,G303,$R$2:$R$462))/_xlfn.STDEV.P(IF($G$2:$G$462=G303,$R$2:$R$462)),0)</f>
        <v/>
      </c>
      <c r="AI303" s="6">
        <f>IFERROR((AC303+AD303+AE303+AF303+AG303+AH303)/6,0)</f>
        <v/>
      </c>
    </row>
    <row r="304">
      <c r="A304" s="2">
        <f>IF(BD_Carga!A305&lt;&gt;"",BD_Carga!A305,"")</f>
        <v/>
      </c>
      <c r="B304">
        <f>IF(A304&lt;&gt;"",YEAR(A304),"")</f>
        <v/>
      </c>
      <c r="C304">
        <f>IF(A304&lt;&gt;"",MONTH(A304),"")</f>
        <v/>
      </c>
      <c r="D304">
        <f>IF(A304&lt;&gt;"",_xlfn.ISOWEEKNUM(A304),"")</f>
        <v/>
      </c>
      <c r="E304">
        <f>IF(A304&lt;&gt;"",TEXT(A304,"dddd"),"")</f>
        <v/>
      </c>
      <c r="F304">
        <f>IF(BD_Carga!C305&lt;&gt;"",BD_Carga!C305,"")</f>
        <v/>
      </c>
      <c r="G304">
        <f>IF(BD_Carga!D305&lt;&gt;"",BD_Carga!D305,"")</f>
        <v/>
      </c>
      <c r="H304">
        <f>IF(BD_Carga!Q305&lt;&gt;"",BD_Carga!Q305,"")</f>
        <v/>
      </c>
      <c r="I304">
        <f>IF(BD_Carga!R305&lt;&gt;"",BD_Carga!R305,"")</f>
        <v/>
      </c>
      <c r="J304">
        <f>IF(BD_Carga!S305&lt;&gt;"",BD_Carga!S305,"")</f>
        <v/>
      </c>
      <c r="K304" s="4">
        <f>IF(BD_Carga!E305&lt;&gt;"",BD_Carga!E305,0)</f>
        <v/>
      </c>
      <c r="L304" s="4">
        <f>IF(BD_Carga!F305&lt;&gt;"",BD_Carga!F305,0)</f>
        <v/>
      </c>
      <c r="M304" s="4">
        <f>IF(BD_Carga!G305&lt;&gt;"",BD_Carga!G305,0)</f>
        <v/>
      </c>
      <c r="N304" s="4">
        <f>IF(BD_Carga!H305&lt;&gt;"",BD_Carga!H305,0)</f>
        <v/>
      </c>
      <c r="O304" s="4">
        <f>IF(BD_Carga!I305&lt;&gt;"",BD_Carga!I305,0)</f>
        <v/>
      </c>
      <c r="P304" s="4">
        <f>IF(BD_Carga!J305&lt;&gt;"",BD_Carga!J305,0)</f>
        <v/>
      </c>
      <c r="Q304" s="5">
        <f>IF(BD_Carga!K305&lt;&gt;"",BD_Carga!K305,0)</f>
        <v/>
      </c>
      <c r="R304" s="5">
        <f>IF(BD_Carga!L305&lt;&gt;"",BD_Carga!L305,0)</f>
        <v/>
      </c>
      <c r="S304">
        <f>IF(BD_Carga!N305&lt;&gt;"",BD_Carga!N305,0)</f>
        <v/>
      </c>
      <c r="T304">
        <f>IF(BD_Carga!O305&lt;&gt;"",BD_Carga!O305,0)</f>
        <v/>
      </c>
      <c r="U304">
        <f>IF(BD_Carga!P305&lt;&gt;"",BD_Carga!P305,0)</f>
        <v/>
      </c>
      <c r="V304">
        <f>IF(BD_Carga!U305&lt;&gt;"",BD_Carga!U305,0)</f>
        <v/>
      </c>
      <c r="W304">
        <f>IF(BD_Carga!T305&lt;&gt;"",BD_Carga!T305,0)</f>
        <v/>
      </c>
      <c r="X304">
        <f>IF(BD_Carga!W305&lt;&gt;"",BD_Carga!W305,0)</f>
        <v/>
      </c>
      <c r="Y304">
        <f>IF(BD_Carga!X305&lt;&gt;"",BD_Carga!X305,0)</f>
        <v/>
      </c>
      <c r="Z304">
        <f>IF(BD_Carga!Y305&lt;&gt;"",BD_Carga!Y305,0)</f>
        <v/>
      </c>
      <c r="AA304">
        <f>IF(BD_Carga!Z305&lt;&gt;"",BD_Carga!Z305,0)</f>
        <v/>
      </c>
      <c r="AB304">
        <f>IF(BD_Carga!AA305&lt;&gt;"",BD_Carga!AA305,0)</f>
        <v/>
      </c>
      <c r="AC304" s="6">
        <f t="array" ref="AC304">IFERROR((L304-AVERAGEIF($G$2:$G$462,G304,$L$2:$L$462))/_xlfn.STDEV.P(IF($G$2:$G$462=G304,$L$2:$L$462)),0)</f>
        <v/>
      </c>
      <c r="AD304" s="6">
        <f t="array" ref="AD304">IFERROR((M304-AVERAGEIF($G$2:$G$462,G304,$M$2:$M$462))/_xlfn.STDEV.P(IF($G$2:$G$462=G304,$M$2:$M$462)),0)</f>
        <v/>
      </c>
      <c r="AE304" s="6">
        <f t="array" ref="AE304">IFERROR((N304-AVERAGEIF($G$2:$G$462,G304,$N$2:$N$462))/_xlfn.STDEV.P(IF($G$2:$G$462=G304,$N$2:$N$462)),0)</f>
        <v/>
      </c>
      <c r="AF304" s="6">
        <f t="array" ref="AF304">IFERROR((O304-AVERAGEIF($G$2:$G$462,G304,$O$2:$O$462))/_xlfn.STDEV.P(IF($G$2:$G$462=G304,$O$2:$O$462)),0)</f>
        <v/>
      </c>
      <c r="AG304" s="6">
        <f t="array" ref="AG304">IFERROR((P304-AVERAGEIF($G$2:$G$462,G304,$P$2:$P$462))/_xlfn.STDEV.P(IF($G$2:$G$462=G304,$P$2:$P$462)),0)</f>
        <v/>
      </c>
      <c r="AH304" s="6">
        <f t="array" ref="AH304">IFERROR((R304-AVERAGEIF($G$2:$G$462,G304,$R$2:$R$462))/_xlfn.STDEV.P(IF($G$2:$G$462=G304,$R$2:$R$462)),0)</f>
        <v/>
      </c>
      <c r="AI304" s="6">
        <f>IFERROR((AC304+AD304+AE304+AF304+AG304+AH304)/6,0)</f>
        <v/>
      </c>
    </row>
    <row r="305">
      <c r="A305" s="2">
        <f>IF(BD_Carga!A306&lt;&gt;"",BD_Carga!A306,"")</f>
        <v/>
      </c>
      <c r="B305">
        <f>IF(A305&lt;&gt;"",YEAR(A305),"")</f>
        <v/>
      </c>
      <c r="C305">
        <f>IF(A305&lt;&gt;"",MONTH(A305),"")</f>
        <v/>
      </c>
      <c r="D305">
        <f>IF(A305&lt;&gt;"",_xlfn.ISOWEEKNUM(A305),"")</f>
        <v/>
      </c>
      <c r="E305">
        <f>IF(A305&lt;&gt;"",TEXT(A305,"dddd"),"")</f>
        <v/>
      </c>
      <c r="F305">
        <f>IF(BD_Carga!C306&lt;&gt;"",BD_Carga!C306,"")</f>
        <v/>
      </c>
      <c r="G305">
        <f>IF(BD_Carga!D306&lt;&gt;"",BD_Carga!D306,"")</f>
        <v/>
      </c>
      <c r="H305">
        <f>IF(BD_Carga!Q306&lt;&gt;"",BD_Carga!Q306,"")</f>
        <v/>
      </c>
      <c r="I305">
        <f>IF(BD_Carga!R306&lt;&gt;"",BD_Carga!R306,"")</f>
        <v/>
      </c>
      <c r="J305">
        <f>IF(BD_Carga!S306&lt;&gt;"",BD_Carga!S306,"")</f>
        <v/>
      </c>
      <c r="K305" s="4">
        <f>IF(BD_Carga!E306&lt;&gt;"",BD_Carga!E306,0)</f>
        <v/>
      </c>
      <c r="L305" s="4">
        <f>IF(BD_Carga!F306&lt;&gt;"",BD_Carga!F306,0)</f>
        <v/>
      </c>
      <c r="M305" s="4">
        <f>IF(BD_Carga!G306&lt;&gt;"",BD_Carga!G306,0)</f>
        <v/>
      </c>
      <c r="N305" s="4">
        <f>IF(BD_Carga!H306&lt;&gt;"",BD_Carga!H306,0)</f>
        <v/>
      </c>
      <c r="O305" s="4">
        <f>IF(BD_Carga!I306&lt;&gt;"",BD_Carga!I306,0)</f>
        <v/>
      </c>
      <c r="P305" s="4">
        <f>IF(BD_Carga!J306&lt;&gt;"",BD_Carga!J306,0)</f>
        <v/>
      </c>
      <c r="Q305" s="5">
        <f>IF(BD_Carga!K306&lt;&gt;"",BD_Carga!K306,0)</f>
        <v/>
      </c>
      <c r="R305" s="5">
        <f>IF(BD_Carga!L306&lt;&gt;"",BD_Carga!L306,0)</f>
        <v/>
      </c>
      <c r="S305">
        <f>IF(BD_Carga!N306&lt;&gt;"",BD_Carga!N306,0)</f>
        <v/>
      </c>
      <c r="T305">
        <f>IF(BD_Carga!O306&lt;&gt;"",BD_Carga!O306,0)</f>
        <v/>
      </c>
      <c r="U305">
        <f>IF(BD_Carga!P306&lt;&gt;"",BD_Carga!P306,0)</f>
        <v/>
      </c>
      <c r="V305">
        <f>IF(BD_Carga!U306&lt;&gt;"",BD_Carga!U306,0)</f>
        <v/>
      </c>
      <c r="W305">
        <f>IF(BD_Carga!T306&lt;&gt;"",BD_Carga!T306,0)</f>
        <v/>
      </c>
      <c r="X305">
        <f>IF(BD_Carga!W306&lt;&gt;"",BD_Carga!W306,0)</f>
        <v/>
      </c>
      <c r="Y305">
        <f>IF(BD_Carga!X306&lt;&gt;"",BD_Carga!X306,0)</f>
        <v/>
      </c>
      <c r="Z305">
        <f>IF(BD_Carga!Y306&lt;&gt;"",BD_Carga!Y306,0)</f>
        <v/>
      </c>
      <c r="AA305">
        <f>IF(BD_Carga!Z306&lt;&gt;"",BD_Carga!Z306,0)</f>
        <v/>
      </c>
      <c r="AB305">
        <f>IF(BD_Carga!AA306&lt;&gt;"",BD_Carga!AA306,0)</f>
        <v/>
      </c>
      <c r="AC305" s="6">
        <f t="array" ref="AC305">IFERROR((L305-AVERAGEIF($G$2:$G$462,G305,$L$2:$L$462))/_xlfn.STDEV.P(IF($G$2:$G$462=G305,$L$2:$L$462)),0)</f>
        <v/>
      </c>
      <c r="AD305" s="6">
        <f t="array" ref="AD305">IFERROR((M305-AVERAGEIF($G$2:$G$462,G305,$M$2:$M$462))/_xlfn.STDEV.P(IF($G$2:$G$462=G305,$M$2:$M$462)),0)</f>
        <v/>
      </c>
      <c r="AE305" s="6">
        <f t="array" ref="AE305">IFERROR((N305-AVERAGEIF($G$2:$G$462,G305,$N$2:$N$462))/_xlfn.STDEV.P(IF($G$2:$G$462=G305,$N$2:$N$462)),0)</f>
        <v/>
      </c>
      <c r="AF305" s="6">
        <f t="array" ref="AF305">IFERROR((O305-AVERAGEIF($G$2:$G$462,G305,$O$2:$O$462))/_xlfn.STDEV.P(IF($G$2:$G$462=G305,$O$2:$O$462)),0)</f>
        <v/>
      </c>
      <c r="AG305" s="6">
        <f t="array" ref="AG305">IFERROR((P305-AVERAGEIF($G$2:$G$462,G305,$P$2:$P$462))/_xlfn.STDEV.P(IF($G$2:$G$462=G305,$P$2:$P$462)),0)</f>
        <v/>
      </c>
      <c r="AH305" s="6">
        <f t="array" ref="AH305">IFERROR((R305-AVERAGEIF($G$2:$G$462,G305,$R$2:$R$462))/_xlfn.STDEV.P(IF($G$2:$G$462=G305,$R$2:$R$462)),0)</f>
        <v/>
      </c>
      <c r="AI305" s="6">
        <f>IFERROR((AC305+AD305+AE305+AF305+AG305+AH305)/6,0)</f>
        <v/>
      </c>
    </row>
    <row r="306">
      <c r="A306" s="2">
        <f>IF(BD_Carga!A307&lt;&gt;"",BD_Carga!A307,"")</f>
        <v/>
      </c>
      <c r="B306">
        <f>IF(A306&lt;&gt;"",YEAR(A306),"")</f>
        <v/>
      </c>
      <c r="C306">
        <f>IF(A306&lt;&gt;"",MONTH(A306),"")</f>
        <v/>
      </c>
      <c r="D306">
        <f>IF(A306&lt;&gt;"",_xlfn.ISOWEEKNUM(A306),"")</f>
        <v/>
      </c>
      <c r="E306">
        <f>IF(A306&lt;&gt;"",TEXT(A306,"dddd"),"")</f>
        <v/>
      </c>
      <c r="F306">
        <f>IF(BD_Carga!C307&lt;&gt;"",BD_Carga!C307,"")</f>
        <v/>
      </c>
      <c r="G306">
        <f>IF(BD_Carga!D307&lt;&gt;"",BD_Carga!D307,"")</f>
        <v/>
      </c>
      <c r="H306">
        <f>IF(BD_Carga!Q307&lt;&gt;"",BD_Carga!Q307,"")</f>
        <v/>
      </c>
      <c r="I306">
        <f>IF(BD_Carga!R307&lt;&gt;"",BD_Carga!R307,"")</f>
        <v/>
      </c>
      <c r="J306">
        <f>IF(BD_Carga!S307&lt;&gt;"",BD_Carga!S307,"")</f>
        <v/>
      </c>
      <c r="K306" s="4">
        <f>IF(BD_Carga!E307&lt;&gt;"",BD_Carga!E307,0)</f>
        <v/>
      </c>
      <c r="L306" s="4">
        <f>IF(BD_Carga!F307&lt;&gt;"",BD_Carga!F307,0)</f>
        <v/>
      </c>
      <c r="M306" s="4">
        <f>IF(BD_Carga!G307&lt;&gt;"",BD_Carga!G307,0)</f>
        <v/>
      </c>
      <c r="N306" s="4">
        <f>IF(BD_Carga!H307&lt;&gt;"",BD_Carga!H307,0)</f>
        <v/>
      </c>
      <c r="O306" s="4">
        <f>IF(BD_Carga!I307&lt;&gt;"",BD_Carga!I307,0)</f>
        <v/>
      </c>
      <c r="P306" s="4">
        <f>IF(BD_Carga!J307&lt;&gt;"",BD_Carga!J307,0)</f>
        <v/>
      </c>
      <c r="Q306" s="5">
        <f>IF(BD_Carga!K307&lt;&gt;"",BD_Carga!K307,0)</f>
        <v/>
      </c>
      <c r="R306" s="5">
        <f>IF(BD_Carga!L307&lt;&gt;"",BD_Carga!L307,0)</f>
        <v/>
      </c>
      <c r="S306">
        <f>IF(BD_Carga!N307&lt;&gt;"",BD_Carga!N307,0)</f>
        <v/>
      </c>
      <c r="T306">
        <f>IF(BD_Carga!O307&lt;&gt;"",BD_Carga!O307,0)</f>
        <v/>
      </c>
      <c r="U306">
        <f>IF(BD_Carga!P307&lt;&gt;"",BD_Carga!P307,0)</f>
        <v/>
      </c>
      <c r="V306">
        <f>IF(BD_Carga!U307&lt;&gt;"",BD_Carga!U307,0)</f>
        <v/>
      </c>
      <c r="W306">
        <f>IF(BD_Carga!T307&lt;&gt;"",BD_Carga!T307,0)</f>
        <v/>
      </c>
      <c r="X306">
        <f>IF(BD_Carga!W307&lt;&gt;"",BD_Carga!W307,0)</f>
        <v/>
      </c>
      <c r="Y306">
        <f>IF(BD_Carga!X307&lt;&gt;"",BD_Carga!X307,0)</f>
        <v/>
      </c>
      <c r="Z306">
        <f>IF(BD_Carga!Y307&lt;&gt;"",BD_Carga!Y307,0)</f>
        <v/>
      </c>
      <c r="AA306">
        <f>IF(BD_Carga!Z307&lt;&gt;"",BD_Carga!Z307,0)</f>
        <v/>
      </c>
      <c r="AB306">
        <f>IF(BD_Carga!AA307&lt;&gt;"",BD_Carga!AA307,0)</f>
        <v/>
      </c>
      <c r="AC306" s="6">
        <f t="array" ref="AC306">IFERROR((L306-AVERAGEIF($G$2:$G$462,G306,$L$2:$L$462))/_xlfn.STDEV.P(IF($G$2:$G$462=G306,$L$2:$L$462)),0)</f>
        <v/>
      </c>
      <c r="AD306" s="6">
        <f t="array" ref="AD306">IFERROR((M306-AVERAGEIF($G$2:$G$462,G306,$M$2:$M$462))/_xlfn.STDEV.P(IF($G$2:$G$462=G306,$M$2:$M$462)),0)</f>
        <v/>
      </c>
      <c r="AE306" s="6">
        <f t="array" ref="AE306">IFERROR((N306-AVERAGEIF($G$2:$G$462,G306,$N$2:$N$462))/_xlfn.STDEV.P(IF($G$2:$G$462=G306,$N$2:$N$462)),0)</f>
        <v/>
      </c>
      <c r="AF306" s="6">
        <f t="array" ref="AF306">IFERROR((O306-AVERAGEIF($G$2:$G$462,G306,$O$2:$O$462))/_xlfn.STDEV.P(IF($G$2:$G$462=G306,$O$2:$O$462)),0)</f>
        <v/>
      </c>
      <c r="AG306" s="6">
        <f t="array" ref="AG306">IFERROR((P306-AVERAGEIF($G$2:$G$462,G306,$P$2:$P$462))/_xlfn.STDEV.P(IF($G$2:$G$462=G306,$P$2:$P$462)),0)</f>
        <v/>
      </c>
      <c r="AH306" s="6">
        <f t="array" ref="AH306">IFERROR((R306-AVERAGEIF($G$2:$G$462,G306,$R$2:$R$462))/_xlfn.STDEV.P(IF($G$2:$G$462=G306,$R$2:$R$462)),0)</f>
        <v/>
      </c>
      <c r="AI306" s="6">
        <f>IFERROR((AC306+AD306+AE306+AF306+AG306+AH306)/6,0)</f>
        <v/>
      </c>
    </row>
    <row r="307">
      <c r="A307" s="2">
        <f>IF(BD_Carga!A308&lt;&gt;"",BD_Carga!A308,"")</f>
        <v/>
      </c>
      <c r="B307">
        <f>IF(A307&lt;&gt;"",YEAR(A307),"")</f>
        <v/>
      </c>
      <c r="C307">
        <f>IF(A307&lt;&gt;"",MONTH(A307),"")</f>
        <v/>
      </c>
      <c r="D307">
        <f>IF(A307&lt;&gt;"",_xlfn.ISOWEEKNUM(A307),"")</f>
        <v/>
      </c>
      <c r="E307">
        <f>IF(A307&lt;&gt;"",TEXT(A307,"dddd"),"")</f>
        <v/>
      </c>
      <c r="F307">
        <f>IF(BD_Carga!C308&lt;&gt;"",BD_Carga!C308,"")</f>
        <v/>
      </c>
      <c r="G307">
        <f>IF(BD_Carga!D308&lt;&gt;"",BD_Carga!D308,"")</f>
        <v/>
      </c>
      <c r="H307">
        <f>IF(BD_Carga!Q308&lt;&gt;"",BD_Carga!Q308,"")</f>
        <v/>
      </c>
      <c r="I307">
        <f>IF(BD_Carga!R308&lt;&gt;"",BD_Carga!R308,"")</f>
        <v/>
      </c>
      <c r="J307">
        <f>IF(BD_Carga!S308&lt;&gt;"",BD_Carga!S308,"")</f>
        <v/>
      </c>
      <c r="K307" s="4">
        <f>IF(BD_Carga!E308&lt;&gt;"",BD_Carga!E308,0)</f>
        <v/>
      </c>
      <c r="L307" s="4">
        <f>IF(BD_Carga!F308&lt;&gt;"",BD_Carga!F308,0)</f>
        <v/>
      </c>
      <c r="M307" s="4">
        <f>IF(BD_Carga!G308&lt;&gt;"",BD_Carga!G308,0)</f>
        <v/>
      </c>
      <c r="N307" s="4">
        <f>IF(BD_Carga!H308&lt;&gt;"",BD_Carga!H308,0)</f>
        <v/>
      </c>
      <c r="O307" s="4">
        <f>IF(BD_Carga!I308&lt;&gt;"",BD_Carga!I308,0)</f>
        <v/>
      </c>
      <c r="P307" s="4">
        <f>IF(BD_Carga!J308&lt;&gt;"",BD_Carga!J308,0)</f>
        <v/>
      </c>
      <c r="Q307" s="5">
        <f>IF(BD_Carga!K308&lt;&gt;"",BD_Carga!K308,0)</f>
        <v/>
      </c>
      <c r="R307" s="5">
        <f>IF(BD_Carga!L308&lt;&gt;"",BD_Carga!L308,0)</f>
        <v/>
      </c>
      <c r="S307">
        <f>IF(BD_Carga!N308&lt;&gt;"",BD_Carga!N308,0)</f>
        <v/>
      </c>
      <c r="T307">
        <f>IF(BD_Carga!O308&lt;&gt;"",BD_Carga!O308,0)</f>
        <v/>
      </c>
      <c r="U307">
        <f>IF(BD_Carga!P308&lt;&gt;"",BD_Carga!P308,0)</f>
        <v/>
      </c>
      <c r="V307">
        <f>IF(BD_Carga!U308&lt;&gt;"",BD_Carga!U308,0)</f>
        <v/>
      </c>
      <c r="W307">
        <f>IF(BD_Carga!T308&lt;&gt;"",BD_Carga!T308,0)</f>
        <v/>
      </c>
      <c r="X307">
        <f>IF(BD_Carga!W308&lt;&gt;"",BD_Carga!W308,0)</f>
        <v/>
      </c>
      <c r="Y307">
        <f>IF(BD_Carga!X308&lt;&gt;"",BD_Carga!X308,0)</f>
        <v/>
      </c>
      <c r="Z307">
        <f>IF(BD_Carga!Y308&lt;&gt;"",BD_Carga!Y308,0)</f>
        <v/>
      </c>
      <c r="AA307">
        <f>IF(BD_Carga!Z308&lt;&gt;"",BD_Carga!Z308,0)</f>
        <v/>
      </c>
      <c r="AB307">
        <f>IF(BD_Carga!AA308&lt;&gt;"",BD_Carga!AA308,0)</f>
        <v/>
      </c>
      <c r="AC307" s="6">
        <f t="array" ref="AC307">IFERROR((L307-AVERAGEIF($G$2:$G$462,G307,$L$2:$L$462))/_xlfn.STDEV.P(IF($G$2:$G$462=G307,$L$2:$L$462)),0)</f>
        <v/>
      </c>
      <c r="AD307" s="6">
        <f t="array" ref="AD307">IFERROR((M307-AVERAGEIF($G$2:$G$462,G307,$M$2:$M$462))/_xlfn.STDEV.P(IF($G$2:$G$462=G307,$M$2:$M$462)),0)</f>
        <v/>
      </c>
      <c r="AE307" s="6">
        <f t="array" ref="AE307">IFERROR((N307-AVERAGEIF($G$2:$G$462,G307,$N$2:$N$462))/_xlfn.STDEV.P(IF($G$2:$G$462=G307,$N$2:$N$462)),0)</f>
        <v/>
      </c>
      <c r="AF307" s="6">
        <f t="array" ref="AF307">IFERROR((O307-AVERAGEIF($G$2:$G$462,G307,$O$2:$O$462))/_xlfn.STDEV.P(IF($G$2:$G$462=G307,$O$2:$O$462)),0)</f>
        <v/>
      </c>
      <c r="AG307" s="6">
        <f t="array" ref="AG307">IFERROR((P307-AVERAGEIF($G$2:$G$462,G307,$P$2:$P$462))/_xlfn.STDEV.P(IF($G$2:$G$462=G307,$P$2:$P$462)),0)</f>
        <v/>
      </c>
      <c r="AH307" s="6">
        <f t="array" ref="AH307">IFERROR((R307-AVERAGEIF($G$2:$G$462,G307,$R$2:$R$462))/_xlfn.STDEV.P(IF($G$2:$G$462=G307,$R$2:$R$462)),0)</f>
        <v/>
      </c>
      <c r="AI307" s="6">
        <f>IFERROR((AC307+AD307+AE307+AF307+AG307+AH307)/6,0)</f>
        <v/>
      </c>
    </row>
    <row r="308">
      <c r="A308" s="2">
        <f>IF(BD_Carga!A309&lt;&gt;"",BD_Carga!A309,"")</f>
        <v/>
      </c>
      <c r="B308">
        <f>IF(A308&lt;&gt;"",YEAR(A308),"")</f>
        <v/>
      </c>
      <c r="C308">
        <f>IF(A308&lt;&gt;"",MONTH(A308),"")</f>
        <v/>
      </c>
      <c r="D308">
        <f>IF(A308&lt;&gt;"",_xlfn.ISOWEEKNUM(A308),"")</f>
        <v/>
      </c>
      <c r="E308">
        <f>IF(A308&lt;&gt;"",TEXT(A308,"dddd"),"")</f>
        <v/>
      </c>
      <c r="F308">
        <f>IF(BD_Carga!C309&lt;&gt;"",BD_Carga!C309,"")</f>
        <v/>
      </c>
      <c r="G308">
        <f>IF(BD_Carga!D309&lt;&gt;"",BD_Carga!D309,"")</f>
        <v/>
      </c>
      <c r="H308">
        <f>IF(BD_Carga!Q309&lt;&gt;"",BD_Carga!Q309,"")</f>
        <v/>
      </c>
      <c r="I308">
        <f>IF(BD_Carga!R309&lt;&gt;"",BD_Carga!R309,"")</f>
        <v/>
      </c>
      <c r="J308">
        <f>IF(BD_Carga!S309&lt;&gt;"",BD_Carga!S309,"")</f>
        <v/>
      </c>
      <c r="K308" s="4">
        <f>IF(BD_Carga!E309&lt;&gt;"",BD_Carga!E309,0)</f>
        <v/>
      </c>
      <c r="L308" s="4">
        <f>IF(BD_Carga!F309&lt;&gt;"",BD_Carga!F309,0)</f>
        <v/>
      </c>
      <c r="M308" s="4">
        <f>IF(BD_Carga!G309&lt;&gt;"",BD_Carga!G309,0)</f>
        <v/>
      </c>
      <c r="N308" s="4">
        <f>IF(BD_Carga!H309&lt;&gt;"",BD_Carga!H309,0)</f>
        <v/>
      </c>
      <c r="O308" s="4">
        <f>IF(BD_Carga!I309&lt;&gt;"",BD_Carga!I309,0)</f>
        <v/>
      </c>
      <c r="P308" s="4">
        <f>IF(BD_Carga!J309&lt;&gt;"",BD_Carga!J309,0)</f>
        <v/>
      </c>
      <c r="Q308" s="5">
        <f>IF(BD_Carga!K309&lt;&gt;"",BD_Carga!K309,0)</f>
        <v/>
      </c>
      <c r="R308" s="5">
        <f>IF(BD_Carga!L309&lt;&gt;"",BD_Carga!L309,0)</f>
        <v/>
      </c>
      <c r="S308">
        <f>IF(BD_Carga!N309&lt;&gt;"",BD_Carga!N309,0)</f>
        <v/>
      </c>
      <c r="T308">
        <f>IF(BD_Carga!O309&lt;&gt;"",BD_Carga!O309,0)</f>
        <v/>
      </c>
      <c r="U308">
        <f>IF(BD_Carga!P309&lt;&gt;"",BD_Carga!P309,0)</f>
        <v/>
      </c>
      <c r="V308">
        <f>IF(BD_Carga!U309&lt;&gt;"",BD_Carga!U309,0)</f>
        <v/>
      </c>
      <c r="W308">
        <f>IF(BD_Carga!T309&lt;&gt;"",BD_Carga!T309,0)</f>
        <v/>
      </c>
      <c r="X308">
        <f>IF(BD_Carga!W309&lt;&gt;"",BD_Carga!W309,0)</f>
        <v/>
      </c>
      <c r="Y308">
        <f>IF(BD_Carga!X309&lt;&gt;"",BD_Carga!X309,0)</f>
        <v/>
      </c>
      <c r="Z308">
        <f>IF(BD_Carga!Y309&lt;&gt;"",BD_Carga!Y309,0)</f>
        <v/>
      </c>
      <c r="AA308">
        <f>IF(BD_Carga!Z309&lt;&gt;"",BD_Carga!Z309,0)</f>
        <v/>
      </c>
      <c r="AB308">
        <f>IF(BD_Carga!AA309&lt;&gt;"",BD_Carga!AA309,0)</f>
        <v/>
      </c>
      <c r="AC308" s="6">
        <f t="array" ref="AC308">IFERROR((L308-AVERAGEIF($G$2:$G$462,G308,$L$2:$L$462))/_xlfn.STDEV.P(IF($G$2:$G$462=G308,$L$2:$L$462)),0)</f>
        <v/>
      </c>
      <c r="AD308" s="6">
        <f t="array" ref="AD308">IFERROR((M308-AVERAGEIF($G$2:$G$462,G308,$M$2:$M$462))/_xlfn.STDEV.P(IF($G$2:$G$462=G308,$M$2:$M$462)),0)</f>
        <v/>
      </c>
      <c r="AE308" s="6">
        <f t="array" ref="AE308">IFERROR((N308-AVERAGEIF($G$2:$G$462,G308,$N$2:$N$462))/_xlfn.STDEV.P(IF($G$2:$G$462=G308,$N$2:$N$462)),0)</f>
        <v/>
      </c>
      <c r="AF308" s="6">
        <f t="array" ref="AF308">IFERROR((O308-AVERAGEIF($G$2:$G$462,G308,$O$2:$O$462))/_xlfn.STDEV.P(IF($G$2:$G$462=G308,$O$2:$O$462)),0)</f>
        <v/>
      </c>
      <c r="AG308" s="6">
        <f t="array" ref="AG308">IFERROR((P308-AVERAGEIF($G$2:$G$462,G308,$P$2:$P$462))/_xlfn.STDEV.P(IF($G$2:$G$462=G308,$P$2:$P$462)),0)</f>
        <v/>
      </c>
      <c r="AH308" s="6">
        <f t="array" ref="AH308">IFERROR((R308-AVERAGEIF($G$2:$G$462,G308,$R$2:$R$462))/_xlfn.STDEV.P(IF($G$2:$G$462=G308,$R$2:$R$462)),0)</f>
        <v/>
      </c>
      <c r="AI308" s="6">
        <f>IFERROR((AC308+AD308+AE308+AF308+AG308+AH308)/6,0)</f>
        <v/>
      </c>
    </row>
    <row r="309">
      <c r="A309" s="2">
        <f>IF(BD_Carga!A310&lt;&gt;"",BD_Carga!A310,"")</f>
        <v/>
      </c>
      <c r="B309">
        <f>IF(A309&lt;&gt;"",YEAR(A309),"")</f>
        <v/>
      </c>
      <c r="C309">
        <f>IF(A309&lt;&gt;"",MONTH(A309),"")</f>
        <v/>
      </c>
      <c r="D309">
        <f>IF(A309&lt;&gt;"",_xlfn.ISOWEEKNUM(A309),"")</f>
        <v/>
      </c>
      <c r="E309">
        <f>IF(A309&lt;&gt;"",TEXT(A309,"dddd"),"")</f>
        <v/>
      </c>
      <c r="F309">
        <f>IF(BD_Carga!C310&lt;&gt;"",BD_Carga!C310,"")</f>
        <v/>
      </c>
      <c r="G309">
        <f>IF(BD_Carga!D310&lt;&gt;"",BD_Carga!D310,"")</f>
        <v/>
      </c>
      <c r="H309">
        <f>IF(BD_Carga!Q310&lt;&gt;"",BD_Carga!Q310,"")</f>
        <v/>
      </c>
      <c r="I309">
        <f>IF(BD_Carga!R310&lt;&gt;"",BD_Carga!R310,"")</f>
        <v/>
      </c>
      <c r="J309">
        <f>IF(BD_Carga!S310&lt;&gt;"",BD_Carga!S310,"")</f>
        <v/>
      </c>
      <c r="K309" s="4">
        <f>IF(BD_Carga!E310&lt;&gt;"",BD_Carga!E310,0)</f>
        <v/>
      </c>
      <c r="L309" s="4">
        <f>IF(BD_Carga!F310&lt;&gt;"",BD_Carga!F310,0)</f>
        <v/>
      </c>
      <c r="M309" s="4">
        <f>IF(BD_Carga!G310&lt;&gt;"",BD_Carga!G310,0)</f>
        <v/>
      </c>
      <c r="N309" s="4">
        <f>IF(BD_Carga!H310&lt;&gt;"",BD_Carga!H310,0)</f>
        <v/>
      </c>
      <c r="O309" s="4">
        <f>IF(BD_Carga!I310&lt;&gt;"",BD_Carga!I310,0)</f>
        <v/>
      </c>
      <c r="P309" s="4">
        <f>IF(BD_Carga!J310&lt;&gt;"",BD_Carga!J310,0)</f>
        <v/>
      </c>
      <c r="Q309" s="5">
        <f>IF(BD_Carga!K310&lt;&gt;"",BD_Carga!K310,0)</f>
        <v/>
      </c>
      <c r="R309" s="5">
        <f>IF(BD_Carga!L310&lt;&gt;"",BD_Carga!L310,0)</f>
        <v/>
      </c>
      <c r="S309">
        <f>IF(BD_Carga!N310&lt;&gt;"",BD_Carga!N310,0)</f>
        <v/>
      </c>
      <c r="T309">
        <f>IF(BD_Carga!O310&lt;&gt;"",BD_Carga!O310,0)</f>
        <v/>
      </c>
      <c r="U309">
        <f>IF(BD_Carga!P310&lt;&gt;"",BD_Carga!P310,0)</f>
        <v/>
      </c>
      <c r="V309">
        <f>IF(BD_Carga!U310&lt;&gt;"",BD_Carga!U310,0)</f>
        <v/>
      </c>
      <c r="W309">
        <f>IF(BD_Carga!T310&lt;&gt;"",BD_Carga!T310,0)</f>
        <v/>
      </c>
      <c r="X309">
        <f>IF(BD_Carga!W310&lt;&gt;"",BD_Carga!W310,0)</f>
        <v/>
      </c>
      <c r="Y309">
        <f>IF(BD_Carga!X310&lt;&gt;"",BD_Carga!X310,0)</f>
        <v/>
      </c>
      <c r="Z309">
        <f>IF(BD_Carga!Y310&lt;&gt;"",BD_Carga!Y310,0)</f>
        <v/>
      </c>
      <c r="AA309">
        <f>IF(BD_Carga!Z310&lt;&gt;"",BD_Carga!Z310,0)</f>
        <v/>
      </c>
      <c r="AB309">
        <f>IF(BD_Carga!AA310&lt;&gt;"",BD_Carga!AA310,0)</f>
        <v/>
      </c>
      <c r="AC309" s="6">
        <f t="array" ref="AC309">IFERROR((L309-AVERAGEIF($G$2:$G$462,G309,$L$2:$L$462))/_xlfn.STDEV.P(IF($G$2:$G$462=G309,$L$2:$L$462)),0)</f>
        <v/>
      </c>
      <c r="AD309" s="6">
        <f t="array" ref="AD309">IFERROR((M309-AVERAGEIF($G$2:$G$462,G309,$M$2:$M$462))/_xlfn.STDEV.P(IF($G$2:$G$462=G309,$M$2:$M$462)),0)</f>
        <v/>
      </c>
      <c r="AE309" s="6">
        <f t="array" ref="AE309">IFERROR((N309-AVERAGEIF($G$2:$G$462,G309,$N$2:$N$462))/_xlfn.STDEV.P(IF($G$2:$G$462=G309,$N$2:$N$462)),0)</f>
        <v/>
      </c>
      <c r="AF309" s="6">
        <f t="array" ref="AF309">IFERROR((O309-AVERAGEIF($G$2:$G$462,G309,$O$2:$O$462))/_xlfn.STDEV.P(IF($G$2:$G$462=G309,$O$2:$O$462)),0)</f>
        <v/>
      </c>
      <c r="AG309" s="6">
        <f t="array" ref="AG309">IFERROR((P309-AVERAGEIF($G$2:$G$462,G309,$P$2:$P$462))/_xlfn.STDEV.P(IF($G$2:$G$462=G309,$P$2:$P$462)),0)</f>
        <v/>
      </c>
      <c r="AH309" s="6">
        <f t="array" ref="AH309">IFERROR((R309-AVERAGEIF($G$2:$G$462,G309,$R$2:$R$462))/_xlfn.STDEV.P(IF($G$2:$G$462=G309,$R$2:$R$462)),0)</f>
        <v/>
      </c>
      <c r="AI309" s="6">
        <f>IFERROR((AC309+AD309+AE309+AF309+AG309+AH309)/6,0)</f>
        <v/>
      </c>
    </row>
    <row r="310">
      <c r="A310" s="2">
        <f>IF(BD_Carga!A311&lt;&gt;"",BD_Carga!A311,"")</f>
        <v/>
      </c>
      <c r="B310">
        <f>IF(A310&lt;&gt;"",YEAR(A310),"")</f>
        <v/>
      </c>
      <c r="C310">
        <f>IF(A310&lt;&gt;"",MONTH(A310),"")</f>
        <v/>
      </c>
      <c r="D310">
        <f>IF(A310&lt;&gt;"",_xlfn.ISOWEEKNUM(A310),"")</f>
        <v/>
      </c>
      <c r="E310">
        <f>IF(A310&lt;&gt;"",TEXT(A310,"dddd"),"")</f>
        <v/>
      </c>
      <c r="F310">
        <f>IF(BD_Carga!C311&lt;&gt;"",BD_Carga!C311,"")</f>
        <v/>
      </c>
      <c r="G310">
        <f>IF(BD_Carga!D311&lt;&gt;"",BD_Carga!D311,"")</f>
        <v/>
      </c>
      <c r="H310">
        <f>IF(BD_Carga!Q311&lt;&gt;"",BD_Carga!Q311,"")</f>
        <v/>
      </c>
      <c r="I310">
        <f>IF(BD_Carga!R311&lt;&gt;"",BD_Carga!R311,"")</f>
        <v/>
      </c>
      <c r="J310">
        <f>IF(BD_Carga!S311&lt;&gt;"",BD_Carga!S311,"")</f>
        <v/>
      </c>
      <c r="K310" s="4">
        <f>IF(BD_Carga!E311&lt;&gt;"",BD_Carga!E311,0)</f>
        <v/>
      </c>
      <c r="L310" s="4">
        <f>IF(BD_Carga!F311&lt;&gt;"",BD_Carga!F311,0)</f>
        <v/>
      </c>
      <c r="M310" s="4">
        <f>IF(BD_Carga!G311&lt;&gt;"",BD_Carga!G311,0)</f>
        <v/>
      </c>
      <c r="N310" s="4">
        <f>IF(BD_Carga!H311&lt;&gt;"",BD_Carga!H311,0)</f>
        <v/>
      </c>
      <c r="O310" s="4">
        <f>IF(BD_Carga!I311&lt;&gt;"",BD_Carga!I311,0)</f>
        <v/>
      </c>
      <c r="P310" s="4">
        <f>IF(BD_Carga!J311&lt;&gt;"",BD_Carga!J311,0)</f>
        <v/>
      </c>
      <c r="Q310" s="5">
        <f>IF(BD_Carga!K311&lt;&gt;"",BD_Carga!K311,0)</f>
        <v/>
      </c>
      <c r="R310" s="5">
        <f>IF(BD_Carga!L311&lt;&gt;"",BD_Carga!L311,0)</f>
        <v/>
      </c>
      <c r="S310">
        <f>IF(BD_Carga!N311&lt;&gt;"",BD_Carga!N311,0)</f>
        <v/>
      </c>
      <c r="T310">
        <f>IF(BD_Carga!O311&lt;&gt;"",BD_Carga!O311,0)</f>
        <v/>
      </c>
      <c r="U310">
        <f>IF(BD_Carga!P311&lt;&gt;"",BD_Carga!P311,0)</f>
        <v/>
      </c>
      <c r="V310">
        <f>IF(BD_Carga!U311&lt;&gt;"",BD_Carga!U311,0)</f>
        <v/>
      </c>
      <c r="W310">
        <f>IF(BD_Carga!T311&lt;&gt;"",BD_Carga!T311,0)</f>
        <v/>
      </c>
      <c r="X310">
        <f>IF(BD_Carga!W311&lt;&gt;"",BD_Carga!W311,0)</f>
        <v/>
      </c>
      <c r="Y310">
        <f>IF(BD_Carga!X311&lt;&gt;"",BD_Carga!X311,0)</f>
        <v/>
      </c>
      <c r="Z310">
        <f>IF(BD_Carga!Y311&lt;&gt;"",BD_Carga!Y311,0)</f>
        <v/>
      </c>
      <c r="AA310">
        <f>IF(BD_Carga!Z311&lt;&gt;"",BD_Carga!Z311,0)</f>
        <v/>
      </c>
      <c r="AB310">
        <f>IF(BD_Carga!AA311&lt;&gt;"",BD_Carga!AA311,0)</f>
        <v/>
      </c>
      <c r="AC310" s="6">
        <f t="array" ref="AC310">IFERROR((L310-AVERAGEIF($G$2:$G$462,G310,$L$2:$L$462))/_xlfn.STDEV.P(IF($G$2:$G$462=G310,$L$2:$L$462)),0)</f>
        <v/>
      </c>
      <c r="AD310" s="6">
        <f t="array" ref="AD310">IFERROR((M310-AVERAGEIF($G$2:$G$462,G310,$M$2:$M$462))/_xlfn.STDEV.P(IF($G$2:$G$462=G310,$M$2:$M$462)),0)</f>
        <v/>
      </c>
      <c r="AE310" s="6">
        <f t="array" ref="AE310">IFERROR((N310-AVERAGEIF($G$2:$G$462,G310,$N$2:$N$462))/_xlfn.STDEV.P(IF($G$2:$G$462=G310,$N$2:$N$462)),0)</f>
        <v/>
      </c>
      <c r="AF310" s="6">
        <f t="array" ref="AF310">IFERROR((O310-AVERAGEIF($G$2:$G$462,G310,$O$2:$O$462))/_xlfn.STDEV.P(IF($G$2:$G$462=G310,$O$2:$O$462)),0)</f>
        <v/>
      </c>
      <c r="AG310" s="6">
        <f t="array" ref="AG310">IFERROR((P310-AVERAGEIF($G$2:$G$462,G310,$P$2:$P$462))/_xlfn.STDEV.P(IF($G$2:$G$462=G310,$P$2:$P$462)),0)</f>
        <v/>
      </c>
      <c r="AH310" s="6">
        <f t="array" ref="AH310">IFERROR((R310-AVERAGEIF($G$2:$G$462,G310,$R$2:$R$462))/_xlfn.STDEV.P(IF($G$2:$G$462=G310,$R$2:$R$462)),0)</f>
        <v/>
      </c>
      <c r="AI310" s="6">
        <f>IFERROR((AC310+AD310+AE310+AF310+AG310+AH310)/6,0)</f>
        <v/>
      </c>
    </row>
    <row r="311">
      <c r="A311" s="2">
        <f>IF(BD_Carga!A312&lt;&gt;"",BD_Carga!A312,"")</f>
        <v/>
      </c>
      <c r="B311">
        <f>IF(A311&lt;&gt;"",YEAR(A311),"")</f>
        <v/>
      </c>
      <c r="C311">
        <f>IF(A311&lt;&gt;"",MONTH(A311),"")</f>
        <v/>
      </c>
      <c r="D311">
        <f>IF(A311&lt;&gt;"",_xlfn.ISOWEEKNUM(A311),"")</f>
        <v/>
      </c>
      <c r="E311">
        <f>IF(A311&lt;&gt;"",TEXT(A311,"dddd"),"")</f>
        <v/>
      </c>
      <c r="F311">
        <f>IF(BD_Carga!C312&lt;&gt;"",BD_Carga!C312,"")</f>
        <v/>
      </c>
      <c r="G311">
        <f>IF(BD_Carga!D312&lt;&gt;"",BD_Carga!D312,"")</f>
        <v/>
      </c>
      <c r="H311">
        <f>IF(BD_Carga!Q312&lt;&gt;"",BD_Carga!Q312,"")</f>
        <v/>
      </c>
      <c r="I311">
        <f>IF(BD_Carga!R312&lt;&gt;"",BD_Carga!R312,"")</f>
        <v/>
      </c>
      <c r="J311">
        <f>IF(BD_Carga!S312&lt;&gt;"",BD_Carga!S312,"")</f>
        <v/>
      </c>
      <c r="K311" s="4">
        <f>IF(BD_Carga!E312&lt;&gt;"",BD_Carga!E312,0)</f>
        <v/>
      </c>
      <c r="L311" s="4">
        <f>IF(BD_Carga!F312&lt;&gt;"",BD_Carga!F312,0)</f>
        <v/>
      </c>
      <c r="M311" s="4">
        <f>IF(BD_Carga!G312&lt;&gt;"",BD_Carga!G312,0)</f>
        <v/>
      </c>
      <c r="N311" s="4">
        <f>IF(BD_Carga!H312&lt;&gt;"",BD_Carga!H312,0)</f>
        <v/>
      </c>
      <c r="O311" s="4">
        <f>IF(BD_Carga!I312&lt;&gt;"",BD_Carga!I312,0)</f>
        <v/>
      </c>
      <c r="P311" s="4">
        <f>IF(BD_Carga!J312&lt;&gt;"",BD_Carga!J312,0)</f>
        <v/>
      </c>
      <c r="Q311" s="5">
        <f>IF(BD_Carga!K312&lt;&gt;"",BD_Carga!K312,0)</f>
        <v/>
      </c>
      <c r="R311" s="5">
        <f>IF(BD_Carga!L312&lt;&gt;"",BD_Carga!L312,0)</f>
        <v/>
      </c>
      <c r="S311">
        <f>IF(BD_Carga!N312&lt;&gt;"",BD_Carga!N312,0)</f>
        <v/>
      </c>
      <c r="T311">
        <f>IF(BD_Carga!O312&lt;&gt;"",BD_Carga!O312,0)</f>
        <v/>
      </c>
      <c r="U311">
        <f>IF(BD_Carga!P312&lt;&gt;"",BD_Carga!P312,0)</f>
        <v/>
      </c>
      <c r="V311">
        <f>IF(BD_Carga!U312&lt;&gt;"",BD_Carga!U312,0)</f>
        <v/>
      </c>
      <c r="W311">
        <f>IF(BD_Carga!T312&lt;&gt;"",BD_Carga!T312,0)</f>
        <v/>
      </c>
      <c r="X311">
        <f>IF(BD_Carga!W312&lt;&gt;"",BD_Carga!W312,0)</f>
        <v/>
      </c>
      <c r="Y311">
        <f>IF(BD_Carga!X312&lt;&gt;"",BD_Carga!X312,0)</f>
        <v/>
      </c>
      <c r="Z311">
        <f>IF(BD_Carga!Y312&lt;&gt;"",BD_Carga!Y312,0)</f>
        <v/>
      </c>
      <c r="AA311">
        <f>IF(BD_Carga!Z312&lt;&gt;"",BD_Carga!Z312,0)</f>
        <v/>
      </c>
      <c r="AB311">
        <f>IF(BD_Carga!AA312&lt;&gt;"",BD_Carga!AA312,0)</f>
        <v/>
      </c>
      <c r="AC311" s="6">
        <f t="array" ref="AC311">IFERROR((L311-AVERAGEIF($G$2:$G$462,G311,$L$2:$L$462))/_xlfn.STDEV.P(IF($G$2:$G$462=G311,$L$2:$L$462)),0)</f>
        <v/>
      </c>
      <c r="AD311" s="6">
        <f t="array" ref="AD311">IFERROR((M311-AVERAGEIF($G$2:$G$462,G311,$M$2:$M$462))/_xlfn.STDEV.P(IF($G$2:$G$462=G311,$M$2:$M$462)),0)</f>
        <v/>
      </c>
      <c r="AE311" s="6">
        <f t="array" ref="AE311">IFERROR((N311-AVERAGEIF($G$2:$G$462,G311,$N$2:$N$462))/_xlfn.STDEV.P(IF($G$2:$G$462=G311,$N$2:$N$462)),0)</f>
        <v/>
      </c>
      <c r="AF311" s="6">
        <f t="array" ref="AF311">IFERROR((O311-AVERAGEIF($G$2:$G$462,G311,$O$2:$O$462))/_xlfn.STDEV.P(IF($G$2:$G$462=G311,$O$2:$O$462)),0)</f>
        <v/>
      </c>
      <c r="AG311" s="6">
        <f t="array" ref="AG311">IFERROR((P311-AVERAGEIF($G$2:$G$462,G311,$P$2:$P$462))/_xlfn.STDEV.P(IF($G$2:$G$462=G311,$P$2:$P$462)),0)</f>
        <v/>
      </c>
      <c r="AH311" s="6">
        <f t="array" ref="AH311">IFERROR((R311-AVERAGEIF($G$2:$G$462,G311,$R$2:$R$462))/_xlfn.STDEV.P(IF($G$2:$G$462=G311,$R$2:$R$462)),0)</f>
        <v/>
      </c>
      <c r="AI311" s="6">
        <f>IFERROR((AC311+AD311+AE311+AF311+AG311+AH311)/6,0)</f>
        <v/>
      </c>
    </row>
    <row r="312">
      <c r="A312" s="2">
        <f>IF(BD_Carga!A313&lt;&gt;"",BD_Carga!A313,"")</f>
        <v/>
      </c>
      <c r="B312">
        <f>IF(A312&lt;&gt;"",YEAR(A312),"")</f>
        <v/>
      </c>
      <c r="C312">
        <f>IF(A312&lt;&gt;"",MONTH(A312),"")</f>
        <v/>
      </c>
      <c r="D312">
        <f>IF(A312&lt;&gt;"",_xlfn.ISOWEEKNUM(A312),"")</f>
        <v/>
      </c>
      <c r="E312">
        <f>IF(A312&lt;&gt;"",TEXT(A312,"dddd"),"")</f>
        <v/>
      </c>
      <c r="F312">
        <f>IF(BD_Carga!C313&lt;&gt;"",BD_Carga!C313,"")</f>
        <v/>
      </c>
      <c r="G312">
        <f>IF(BD_Carga!D313&lt;&gt;"",BD_Carga!D313,"")</f>
        <v/>
      </c>
      <c r="H312">
        <f>IF(BD_Carga!Q313&lt;&gt;"",BD_Carga!Q313,"")</f>
        <v/>
      </c>
      <c r="I312">
        <f>IF(BD_Carga!R313&lt;&gt;"",BD_Carga!R313,"")</f>
        <v/>
      </c>
      <c r="J312">
        <f>IF(BD_Carga!S313&lt;&gt;"",BD_Carga!S313,"")</f>
        <v/>
      </c>
      <c r="K312" s="4">
        <f>IF(BD_Carga!E313&lt;&gt;"",BD_Carga!E313,0)</f>
        <v/>
      </c>
      <c r="L312" s="4">
        <f>IF(BD_Carga!F313&lt;&gt;"",BD_Carga!F313,0)</f>
        <v/>
      </c>
      <c r="M312" s="4">
        <f>IF(BD_Carga!G313&lt;&gt;"",BD_Carga!G313,0)</f>
        <v/>
      </c>
      <c r="N312" s="4">
        <f>IF(BD_Carga!H313&lt;&gt;"",BD_Carga!H313,0)</f>
        <v/>
      </c>
      <c r="O312" s="4">
        <f>IF(BD_Carga!I313&lt;&gt;"",BD_Carga!I313,0)</f>
        <v/>
      </c>
      <c r="P312" s="4">
        <f>IF(BD_Carga!J313&lt;&gt;"",BD_Carga!J313,0)</f>
        <v/>
      </c>
      <c r="Q312" s="5">
        <f>IF(BD_Carga!K313&lt;&gt;"",BD_Carga!K313,0)</f>
        <v/>
      </c>
      <c r="R312" s="5">
        <f>IF(BD_Carga!L313&lt;&gt;"",BD_Carga!L313,0)</f>
        <v/>
      </c>
      <c r="S312">
        <f>IF(BD_Carga!N313&lt;&gt;"",BD_Carga!N313,0)</f>
        <v/>
      </c>
      <c r="T312">
        <f>IF(BD_Carga!O313&lt;&gt;"",BD_Carga!O313,0)</f>
        <v/>
      </c>
      <c r="U312">
        <f>IF(BD_Carga!P313&lt;&gt;"",BD_Carga!P313,0)</f>
        <v/>
      </c>
      <c r="V312">
        <f>IF(BD_Carga!U313&lt;&gt;"",BD_Carga!U313,0)</f>
        <v/>
      </c>
      <c r="W312">
        <f>IF(BD_Carga!T313&lt;&gt;"",BD_Carga!T313,0)</f>
        <v/>
      </c>
      <c r="X312">
        <f>IF(BD_Carga!W313&lt;&gt;"",BD_Carga!W313,0)</f>
        <v/>
      </c>
      <c r="Y312">
        <f>IF(BD_Carga!X313&lt;&gt;"",BD_Carga!X313,0)</f>
        <v/>
      </c>
      <c r="Z312">
        <f>IF(BD_Carga!Y313&lt;&gt;"",BD_Carga!Y313,0)</f>
        <v/>
      </c>
      <c r="AA312">
        <f>IF(BD_Carga!Z313&lt;&gt;"",BD_Carga!Z313,0)</f>
        <v/>
      </c>
      <c r="AB312">
        <f>IF(BD_Carga!AA313&lt;&gt;"",BD_Carga!AA313,0)</f>
        <v/>
      </c>
      <c r="AC312" s="6">
        <f t="array" ref="AC312">IFERROR((L312-AVERAGEIF($G$2:$G$462,G312,$L$2:$L$462))/_xlfn.STDEV.P(IF($G$2:$G$462=G312,$L$2:$L$462)),0)</f>
        <v/>
      </c>
      <c r="AD312" s="6">
        <f t="array" ref="AD312">IFERROR((M312-AVERAGEIF($G$2:$G$462,G312,$M$2:$M$462))/_xlfn.STDEV.P(IF($G$2:$G$462=G312,$M$2:$M$462)),0)</f>
        <v/>
      </c>
      <c r="AE312" s="6">
        <f t="array" ref="AE312">IFERROR((N312-AVERAGEIF($G$2:$G$462,G312,$N$2:$N$462))/_xlfn.STDEV.P(IF($G$2:$G$462=G312,$N$2:$N$462)),0)</f>
        <v/>
      </c>
      <c r="AF312" s="6">
        <f t="array" ref="AF312">IFERROR((O312-AVERAGEIF($G$2:$G$462,G312,$O$2:$O$462))/_xlfn.STDEV.P(IF($G$2:$G$462=G312,$O$2:$O$462)),0)</f>
        <v/>
      </c>
      <c r="AG312" s="6">
        <f t="array" ref="AG312">IFERROR((P312-AVERAGEIF($G$2:$G$462,G312,$P$2:$P$462))/_xlfn.STDEV.P(IF($G$2:$G$462=G312,$P$2:$P$462)),0)</f>
        <v/>
      </c>
      <c r="AH312" s="6">
        <f t="array" ref="AH312">IFERROR((R312-AVERAGEIF($G$2:$G$462,G312,$R$2:$R$462))/_xlfn.STDEV.P(IF($G$2:$G$462=G312,$R$2:$R$462)),0)</f>
        <v/>
      </c>
      <c r="AI312" s="6">
        <f>IFERROR((AC312+AD312+AE312+AF312+AG312+AH312)/6,0)</f>
        <v/>
      </c>
    </row>
    <row r="313">
      <c r="A313" s="2">
        <f>IF(BD_Carga!A314&lt;&gt;"",BD_Carga!A314,"")</f>
        <v/>
      </c>
      <c r="B313">
        <f>IF(A313&lt;&gt;"",YEAR(A313),"")</f>
        <v/>
      </c>
      <c r="C313">
        <f>IF(A313&lt;&gt;"",MONTH(A313),"")</f>
        <v/>
      </c>
      <c r="D313">
        <f>IF(A313&lt;&gt;"",_xlfn.ISOWEEKNUM(A313),"")</f>
        <v/>
      </c>
      <c r="E313">
        <f>IF(A313&lt;&gt;"",TEXT(A313,"dddd"),"")</f>
        <v/>
      </c>
      <c r="F313">
        <f>IF(BD_Carga!C314&lt;&gt;"",BD_Carga!C314,"")</f>
        <v/>
      </c>
      <c r="G313">
        <f>IF(BD_Carga!D314&lt;&gt;"",BD_Carga!D314,"")</f>
        <v/>
      </c>
      <c r="H313">
        <f>IF(BD_Carga!Q314&lt;&gt;"",BD_Carga!Q314,"")</f>
        <v/>
      </c>
      <c r="I313">
        <f>IF(BD_Carga!R314&lt;&gt;"",BD_Carga!R314,"")</f>
        <v/>
      </c>
      <c r="J313">
        <f>IF(BD_Carga!S314&lt;&gt;"",BD_Carga!S314,"")</f>
        <v/>
      </c>
      <c r="K313" s="4">
        <f>IF(BD_Carga!E314&lt;&gt;"",BD_Carga!E314,0)</f>
        <v/>
      </c>
      <c r="L313" s="4">
        <f>IF(BD_Carga!F314&lt;&gt;"",BD_Carga!F314,0)</f>
        <v/>
      </c>
      <c r="M313" s="4">
        <f>IF(BD_Carga!G314&lt;&gt;"",BD_Carga!G314,0)</f>
        <v/>
      </c>
      <c r="N313" s="4">
        <f>IF(BD_Carga!H314&lt;&gt;"",BD_Carga!H314,0)</f>
        <v/>
      </c>
      <c r="O313" s="4">
        <f>IF(BD_Carga!I314&lt;&gt;"",BD_Carga!I314,0)</f>
        <v/>
      </c>
      <c r="P313" s="4">
        <f>IF(BD_Carga!J314&lt;&gt;"",BD_Carga!J314,0)</f>
        <v/>
      </c>
      <c r="Q313" s="5">
        <f>IF(BD_Carga!K314&lt;&gt;"",BD_Carga!K314,0)</f>
        <v/>
      </c>
      <c r="R313" s="5">
        <f>IF(BD_Carga!L314&lt;&gt;"",BD_Carga!L314,0)</f>
        <v/>
      </c>
      <c r="S313">
        <f>IF(BD_Carga!N314&lt;&gt;"",BD_Carga!N314,0)</f>
        <v/>
      </c>
      <c r="T313">
        <f>IF(BD_Carga!O314&lt;&gt;"",BD_Carga!O314,0)</f>
        <v/>
      </c>
      <c r="U313">
        <f>IF(BD_Carga!P314&lt;&gt;"",BD_Carga!P314,0)</f>
        <v/>
      </c>
      <c r="V313">
        <f>IF(BD_Carga!U314&lt;&gt;"",BD_Carga!U314,0)</f>
        <v/>
      </c>
      <c r="W313">
        <f>IF(BD_Carga!T314&lt;&gt;"",BD_Carga!T314,0)</f>
        <v/>
      </c>
      <c r="X313">
        <f>IF(BD_Carga!W314&lt;&gt;"",BD_Carga!W314,0)</f>
        <v/>
      </c>
      <c r="Y313">
        <f>IF(BD_Carga!X314&lt;&gt;"",BD_Carga!X314,0)</f>
        <v/>
      </c>
      <c r="Z313">
        <f>IF(BD_Carga!Y314&lt;&gt;"",BD_Carga!Y314,0)</f>
        <v/>
      </c>
      <c r="AA313">
        <f>IF(BD_Carga!Z314&lt;&gt;"",BD_Carga!Z314,0)</f>
        <v/>
      </c>
      <c r="AB313">
        <f>IF(BD_Carga!AA314&lt;&gt;"",BD_Carga!AA314,0)</f>
        <v/>
      </c>
      <c r="AC313" s="6">
        <f t="array" ref="AC313">IFERROR((L313-AVERAGEIF($G$2:$G$462,G313,$L$2:$L$462))/_xlfn.STDEV.P(IF($G$2:$G$462=G313,$L$2:$L$462)),0)</f>
        <v/>
      </c>
      <c r="AD313" s="6">
        <f t="array" ref="AD313">IFERROR((M313-AVERAGEIF($G$2:$G$462,G313,$M$2:$M$462))/_xlfn.STDEV.P(IF($G$2:$G$462=G313,$M$2:$M$462)),0)</f>
        <v/>
      </c>
      <c r="AE313" s="6">
        <f t="array" ref="AE313">IFERROR((N313-AVERAGEIF($G$2:$G$462,G313,$N$2:$N$462))/_xlfn.STDEV.P(IF($G$2:$G$462=G313,$N$2:$N$462)),0)</f>
        <v/>
      </c>
      <c r="AF313" s="6">
        <f t="array" ref="AF313">IFERROR((O313-AVERAGEIF($G$2:$G$462,G313,$O$2:$O$462))/_xlfn.STDEV.P(IF($G$2:$G$462=G313,$O$2:$O$462)),0)</f>
        <v/>
      </c>
      <c r="AG313" s="6">
        <f t="array" ref="AG313">IFERROR((P313-AVERAGEIF($G$2:$G$462,G313,$P$2:$P$462))/_xlfn.STDEV.P(IF($G$2:$G$462=G313,$P$2:$P$462)),0)</f>
        <v/>
      </c>
      <c r="AH313" s="6">
        <f t="array" ref="AH313">IFERROR((R313-AVERAGEIF($G$2:$G$462,G313,$R$2:$R$462))/_xlfn.STDEV.P(IF($G$2:$G$462=G313,$R$2:$R$462)),0)</f>
        <v/>
      </c>
      <c r="AI313" s="6">
        <f>IFERROR((AC313+AD313+AE313+AF313+AG313+AH313)/6,0)</f>
        <v/>
      </c>
    </row>
    <row r="314">
      <c r="A314" s="2">
        <f>IF(BD_Carga!A315&lt;&gt;"",BD_Carga!A315,"")</f>
        <v/>
      </c>
      <c r="B314">
        <f>IF(A314&lt;&gt;"",YEAR(A314),"")</f>
        <v/>
      </c>
      <c r="C314">
        <f>IF(A314&lt;&gt;"",MONTH(A314),"")</f>
        <v/>
      </c>
      <c r="D314">
        <f>IF(A314&lt;&gt;"",_xlfn.ISOWEEKNUM(A314),"")</f>
        <v/>
      </c>
      <c r="E314">
        <f>IF(A314&lt;&gt;"",TEXT(A314,"dddd"),"")</f>
        <v/>
      </c>
      <c r="F314">
        <f>IF(BD_Carga!C315&lt;&gt;"",BD_Carga!C315,"")</f>
        <v/>
      </c>
      <c r="G314">
        <f>IF(BD_Carga!D315&lt;&gt;"",BD_Carga!D315,"")</f>
        <v/>
      </c>
      <c r="H314">
        <f>IF(BD_Carga!Q315&lt;&gt;"",BD_Carga!Q315,"")</f>
        <v/>
      </c>
      <c r="I314">
        <f>IF(BD_Carga!R315&lt;&gt;"",BD_Carga!R315,"")</f>
        <v/>
      </c>
      <c r="J314">
        <f>IF(BD_Carga!S315&lt;&gt;"",BD_Carga!S315,"")</f>
        <v/>
      </c>
      <c r="K314" s="4">
        <f>IF(BD_Carga!E315&lt;&gt;"",BD_Carga!E315,0)</f>
        <v/>
      </c>
      <c r="L314" s="4">
        <f>IF(BD_Carga!F315&lt;&gt;"",BD_Carga!F315,0)</f>
        <v/>
      </c>
      <c r="M314" s="4">
        <f>IF(BD_Carga!G315&lt;&gt;"",BD_Carga!G315,0)</f>
        <v/>
      </c>
      <c r="N314" s="4">
        <f>IF(BD_Carga!H315&lt;&gt;"",BD_Carga!H315,0)</f>
        <v/>
      </c>
      <c r="O314" s="4">
        <f>IF(BD_Carga!I315&lt;&gt;"",BD_Carga!I315,0)</f>
        <v/>
      </c>
      <c r="P314" s="4">
        <f>IF(BD_Carga!J315&lt;&gt;"",BD_Carga!J315,0)</f>
        <v/>
      </c>
      <c r="Q314" s="5">
        <f>IF(BD_Carga!K315&lt;&gt;"",BD_Carga!K315,0)</f>
        <v/>
      </c>
      <c r="R314" s="5">
        <f>IF(BD_Carga!L315&lt;&gt;"",BD_Carga!L315,0)</f>
        <v/>
      </c>
      <c r="S314">
        <f>IF(BD_Carga!N315&lt;&gt;"",BD_Carga!N315,0)</f>
        <v/>
      </c>
      <c r="T314">
        <f>IF(BD_Carga!O315&lt;&gt;"",BD_Carga!O315,0)</f>
        <v/>
      </c>
      <c r="U314">
        <f>IF(BD_Carga!P315&lt;&gt;"",BD_Carga!P315,0)</f>
        <v/>
      </c>
      <c r="V314">
        <f>IF(BD_Carga!U315&lt;&gt;"",BD_Carga!U315,0)</f>
        <v/>
      </c>
      <c r="W314">
        <f>IF(BD_Carga!T315&lt;&gt;"",BD_Carga!T315,0)</f>
        <v/>
      </c>
      <c r="X314">
        <f>IF(BD_Carga!W315&lt;&gt;"",BD_Carga!W315,0)</f>
        <v/>
      </c>
      <c r="Y314">
        <f>IF(BD_Carga!X315&lt;&gt;"",BD_Carga!X315,0)</f>
        <v/>
      </c>
      <c r="Z314">
        <f>IF(BD_Carga!Y315&lt;&gt;"",BD_Carga!Y315,0)</f>
        <v/>
      </c>
      <c r="AA314">
        <f>IF(BD_Carga!Z315&lt;&gt;"",BD_Carga!Z315,0)</f>
        <v/>
      </c>
      <c r="AB314">
        <f>IF(BD_Carga!AA315&lt;&gt;"",BD_Carga!AA315,0)</f>
        <v/>
      </c>
      <c r="AC314" s="6">
        <f t="array" ref="AC314">IFERROR((L314-AVERAGEIF($G$2:$G$462,G314,$L$2:$L$462))/_xlfn.STDEV.P(IF($G$2:$G$462=G314,$L$2:$L$462)),0)</f>
        <v/>
      </c>
      <c r="AD314" s="6">
        <f t="array" ref="AD314">IFERROR((M314-AVERAGEIF($G$2:$G$462,G314,$M$2:$M$462))/_xlfn.STDEV.P(IF($G$2:$G$462=G314,$M$2:$M$462)),0)</f>
        <v/>
      </c>
      <c r="AE314" s="6">
        <f t="array" ref="AE314">IFERROR((N314-AVERAGEIF($G$2:$G$462,G314,$N$2:$N$462))/_xlfn.STDEV.P(IF($G$2:$G$462=G314,$N$2:$N$462)),0)</f>
        <v/>
      </c>
      <c r="AF314" s="6">
        <f t="array" ref="AF314">IFERROR((O314-AVERAGEIF($G$2:$G$462,G314,$O$2:$O$462))/_xlfn.STDEV.P(IF($G$2:$G$462=G314,$O$2:$O$462)),0)</f>
        <v/>
      </c>
      <c r="AG314" s="6">
        <f t="array" ref="AG314">IFERROR((P314-AVERAGEIF($G$2:$G$462,G314,$P$2:$P$462))/_xlfn.STDEV.P(IF($G$2:$G$462=G314,$P$2:$P$462)),0)</f>
        <v/>
      </c>
      <c r="AH314" s="6">
        <f t="array" ref="AH314">IFERROR((R314-AVERAGEIF($G$2:$G$462,G314,$R$2:$R$462))/_xlfn.STDEV.P(IF($G$2:$G$462=G314,$R$2:$R$462)),0)</f>
        <v/>
      </c>
      <c r="AI314" s="6">
        <f>IFERROR((AC314+AD314+AE314+AF314+AG314+AH314)/6,0)</f>
        <v/>
      </c>
    </row>
    <row r="315">
      <c r="A315" s="2">
        <f>IF(BD_Carga!A316&lt;&gt;"",BD_Carga!A316,"")</f>
        <v/>
      </c>
      <c r="B315">
        <f>IF(A315&lt;&gt;"",YEAR(A315),"")</f>
        <v/>
      </c>
      <c r="C315">
        <f>IF(A315&lt;&gt;"",MONTH(A315),"")</f>
        <v/>
      </c>
      <c r="D315">
        <f>IF(A315&lt;&gt;"",_xlfn.ISOWEEKNUM(A315),"")</f>
        <v/>
      </c>
      <c r="E315">
        <f>IF(A315&lt;&gt;"",TEXT(A315,"dddd"),"")</f>
        <v/>
      </c>
      <c r="F315">
        <f>IF(BD_Carga!C316&lt;&gt;"",BD_Carga!C316,"")</f>
        <v/>
      </c>
      <c r="G315">
        <f>IF(BD_Carga!D316&lt;&gt;"",BD_Carga!D316,"")</f>
        <v/>
      </c>
      <c r="H315">
        <f>IF(BD_Carga!Q316&lt;&gt;"",BD_Carga!Q316,"")</f>
        <v/>
      </c>
      <c r="I315">
        <f>IF(BD_Carga!R316&lt;&gt;"",BD_Carga!R316,"")</f>
        <v/>
      </c>
      <c r="J315">
        <f>IF(BD_Carga!S316&lt;&gt;"",BD_Carga!S316,"")</f>
        <v/>
      </c>
      <c r="K315" s="4">
        <f>IF(BD_Carga!E316&lt;&gt;"",BD_Carga!E316,0)</f>
        <v/>
      </c>
      <c r="L315" s="4">
        <f>IF(BD_Carga!F316&lt;&gt;"",BD_Carga!F316,0)</f>
        <v/>
      </c>
      <c r="M315" s="4">
        <f>IF(BD_Carga!G316&lt;&gt;"",BD_Carga!G316,0)</f>
        <v/>
      </c>
      <c r="N315" s="4">
        <f>IF(BD_Carga!H316&lt;&gt;"",BD_Carga!H316,0)</f>
        <v/>
      </c>
      <c r="O315" s="4">
        <f>IF(BD_Carga!I316&lt;&gt;"",BD_Carga!I316,0)</f>
        <v/>
      </c>
      <c r="P315" s="4">
        <f>IF(BD_Carga!J316&lt;&gt;"",BD_Carga!J316,0)</f>
        <v/>
      </c>
      <c r="Q315" s="5">
        <f>IF(BD_Carga!K316&lt;&gt;"",BD_Carga!K316,0)</f>
        <v/>
      </c>
      <c r="R315" s="5">
        <f>IF(BD_Carga!L316&lt;&gt;"",BD_Carga!L316,0)</f>
        <v/>
      </c>
      <c r="S315">
        <f>IF(BD_Carga!N316&lt;&gt;"",BD_Carga!N316,0)</f>
        <v/>
      </c>
      <c r="T315">
        <f>IF(BD_Carga!O316&lt;&gt;"",BD_Carga!O316,0)</f>
        <v/>
      </c>
      <c r="U315">
        <f>IF(BD_Carga!P316&lt;&gt;"",BD_Carga!P316,0)</f>
        <v/>
      </c>
      <c r="V315">
        <f>IF(BD_Carga!U316&lt;&gt;"",BD_Carga!U316,0)</f>
        <v/>
      </c>
      <c r="W315">
        <f>IF(BD_Carga!T316&lt;&gt;"",BD_Carga!T316,0)</f>
        <v/>
      </c>
      <c r="X315">
        <f>IF(BD_Carga!W316&lt;&gt;"",BD_Carga!W316,0)</f>
        <v/>
      </c>
      <c r="Y315">
        <f>IF(BD_Carga!X316&lt;&gt;"",BD_Carga!X316,0)</f>
        <v/>
      </c>
      <c r="Z315">
        <f>IF(BD_Carga!Y316&lt;&gt;"",BD_Carga!Y316,0)</f>
        <v/>
      </c>
      <c r="AA315">
        <f>IF(BD_Carga!Z316&lt;&gt;"",BD_Carga!Z316,0)</f>
        <v/>
      </c>
      <c r="AB315">
        <f>IF(BD_Carga!AA316&lt;&gt;"",BD_Carga!AA316,0)</f>
        <v/>
      </c>
      <c r="AC315" s="6">
        <f t="array" ref="AC315">IFERROR((L315-AVERAGEIF($G$2:$G$462,G315,$L$2:$L$462))/_xlfn.STDEV.P(IF($G$2:$G$462=G315,$L$2:$L$462)),0)</f>
        <v/>
      </c>
      <c r="AD315" s="6">
        <f t="array" ref="AD315">IFERROR((M315-AVERAGEIF($G$2:$G$462,G315,$M$2:$M$462))/_xlfn.STDEV.P(IF($G$2:$G$462=G315,$M$2:$M$462)),0)</f>
        <v/>
      </c>
      <c r="AE315" s="6">
        <f t="array" ref="AE315">IFERROR((N315-AVERAGEIF($G$2:$G$462,G315,$N$2:$N$462))/_xlfn.STDEV.P(IF($G$2:$G$462=G315,$N$2:$N$462)),0)</f>
        <v/>
      </c>
      <c r="AF315" s="6">
        <f t="array" ref="AF315">IFERROR((O315-AVERAGEIF($G$2:$G$462,G315,$O$2:$O$462))/_xlfn.STDEV.P(IF($G$2:$G$462=G315,$O$2:$O$462)),0)</f>
        <v/>
      </c>
      <c r="AG315" s="6">
        <f t="array" ref="AG315">IFERROR((P315-AVERAGEIF($G$2:$G$462,G315,$P$2:$P$462))/_xlfn.STDEV.P(IF($G$2:$G$462=G315,$P$2:$P$462)),0)</f>
        <v/>
      </c>
      <c r="AH315" s="6">
        <f t="array" ref="AH315">IFERROR((R315-AVERAGEIF($G$2:$G$462,G315,$R$2:$R$462))/_xlfn.STDEV.P(IF($G$2:$G$462=G315,$R$2:$R$462)),0)</f>
        <v/>
      </c>
      <c r="AI315" s="6">
        <f>IFERROR((AC315+AD315+AE315+AF315+AG315+AH315)/6,0)</f>
        <v/>
      </c>
    </row>
    <row r="316">
      <c r="A316" s="2">
        <f>IF(BD_Carga!A317&lt;&gt;"",BD_Carga!A317,"")</f>
        <v/>
      </c>
      <c r="B316">
        <f>IF(A316&lt;&gt;"",YEAR(A316),"")</f>
        <v/>
      </c>
      <c r="C316">
        <f>IF(A316&lt;&gt;"",MONTH(A316),"")</f>
        <v/>
      </c>
      <c r="D316">
        <f>IF(A316&lt;&gt;"",_xlfn.ISOWEEKNUM(A316),"")</f>
        <v/>
      </c>
      <c r="E316">
        <f>IF(A316&lt;&gt;"",TEXT(A316,"dddd"),"")</f>
        <v/>
      </c>
      <c r="F316">
        <f>IF(BD_Carga!C317&lt;&gt;"",BD_Carga!C317,"")</f>
        <v/>
      </c>
      <c r="G316">
        <f>IF(BD_Carga!D317&lt;&gt;"",BD_Carga!D317,"")</f>
        <v/>
      </c>
      <c r="H316">
        <f>IF(BD_Carga!Q317&lt;&gt;"",BD_Carga!Q317,"")</f>
        <v/>
      </c>
      <c r="I316">
        <f>IF(BD_Carga!R317&lt;&gt;"",BD_Carga!R317,"")</f>
        <v/>
      </c>
      <c r="J316">
        <f>IF(BD_Carga!S317&lt;&gt;"",BD_Carga!S317,"")</f>
        <v/>
      </c>
      <c r="K316" s="4">
        <f>IF(BD_Carga!E317&lt;&gt;"",BD_Carga!E317,0)</f>
        <v/>
      </c>
      <c r="L316" s="4">
        <f>IF(BD_Carga!F317&lt;&gt;"",BD_Carga!F317,0)</f>
        <v/>
      </c>
      <c r="M316" s="4">
        <f>IF(BD_Carga!G317&lt;&gt;"",BD_Carga!G317,0)</f>
        <v/>
      </c>
      <c r="N316" s="4">
        <f>IF(BD_Carga!H317&lt;&gt;"",BD_Carga!H317,0)</f>
        <v/>
      </c>
      <c r="O316" s="4">
        <f>IF(BD_Carga!I317&lt;&gt;"",BD_Carga!I317,0)</f>
        <v/>
      </c>
      <c r="P316" s="4">
        <f>IF(BD_Carga!J317&lt;&gt;"",BD_Carga!J317,0)</f>
        <v/>
      </c>
      <c r="Q316" s="5">
        <f>IF(BD_Carga!K317&lt;&gt;"",BD_Carga!K317,0)</f>
        <v/>
      </c>
      <c r="R316" s="5">
        <f>IF(BD_Carga!L317&lt;&gt;"",BD_Carga!L317,0)</f>
        <v/>
      </c>
      <c r="S316">
        <f>IF(BD_Carga!N317&lt;&gt;"",BD_Carga!N317,0)</f>
        <v/>
      </c>
      <c r="T316">
        <f>IF(BD_Carga!O317&lt;&gt;"",BD_Carga!O317,0)</f>
        <v/>
      </c>
      <c r="U316">
        <f>IF(BD_Carga!P317&lt;&gt;"",BD_Carga!P317,0)</f>
        <v/>
      </c>
      <c r="V316">
        <f>IF(BD_Carga!U317&lt;&gt;"",BD_Carga!U317,0)</f>
        <v/>
      </c>
      <c r="W316">
        <f>IF(BD_Carga!T317&lt;&gt;"",BD_Carga!T317,0)</f>
        <v/>
      </c>
      <c r="X316">
        <f>IF(BD_Carga!W317&lt;&gt;"",BD_Carga!W317,0)</f>
        <v/>
      </c>
      <c r="Y316">
        <f>IF(BD_Carga!X317&lt;&gt;"",BD_Carga!X317,0)</f>
        <v/>
      </c>
      <c r="Z316">
        <f>IF(BD_Carga!Y317&lt;&gt;"",BD_Carga!Y317,0)</f>
        <v/>
      </c>
      <c r="AA316">
        <f>IF(BD_Carga!Z317&lt;&gt;"",BD_Carga!Z317,0)</f>
        <v/>
      </c>
      <c r="AB316">
        <f>IF(BD_Carga!AA317&lt;&gt;"",BD_Carga!AA317,0)</f>
        <v/>
      </c>
      <c r="AC316" s="6">
        <f t="array" ref="AC316">IFERROR((L316-AVERAGEIF($G$2:$G$462,G316,$L$2:$L$462))/_xlfn.STDEV.P(IF($G$2:$G$462=G316,$L$2:$L$462)),0)</f>
        <v/>
      </c>
      <c r="AD316" s="6">
        <f t="array" ref="AD316">IFERROR((M316-AVERAGEIF($G$2:$G$462,G316,$M$2:$M$462))/_xlfn.STDEV.P(IF($G$2:$G$462=G316,$M$2:$M$462)),0)</f>
        <v/>
      </c>
      <c r="AE316" s="6">
        <f t="array" ref="AE316">IFERROR((N316-AVERAGEIF($G$2:$G$462,G316,$N$2:$N$462))/_xlfn.STDEV.P(IF($G$2:$G$462=G316,$N$2:$N$462)),0)</f>
        <v/>
      </c>
      <c r="AF316" s="6">
        <f t="array" ref="AF316">IFERROR((O316-AVERAGEIF($G$2:$G$462,G316,$O$2:$O$462))/_xlfn.STDEV.P(IF($G$2:$G$462=G316,$O$2:$O$462)),0)</f>
        <v/>
      </c>
      <c r="AG316" s="6">
        <f t="array" ref="AG316">IFERROR((P316-AVERAGEIF($G$2:$G$462,G316,$P$2:$P$462))/_xlfn.STDEV.P(IF($G$2:$G$462=G316,$P$2:$P$462)),0)</f>
        <v/>
      </c>
      <c r="AH316" s="6">
        <f t="array" ref="AH316">IFERROR((R316-AVERAGEIF($G$2:$G$462,G316,$R$2:$R$462))/_xlfn.STDEV.P(IF($G$2:$G$462=G316,$R$2:$R$462)),0)</f>
        <v/>
      </c>
      <c r="AI316" s="6">
        <f>IFERROR((AC316+AD316+AE316+AF316+AG316+AH316)/6,0)</f>
        <v/>
      </c>
    </row>
    <row r="317">
      <c r="A317" s="2">
        <f>IF(BD_Carga!A318&lt;&gt;"",BD_Carga!A318,"")</f>
        <v/>
      </c>
      <c r="B317">
        <f>IF(A317&lt;&gt;"",YEAR(A317),"")</f>
        <v/>
      </c>
      <c r="C317">
        <f>IF(A317&lt;&gt;"",MONTH(A317),"")</f>
        <v/>
      </c>
      <c r="D317">
        <f>IF(A317&lt;&gt;"",_xlfn.ISOWEEKNUM(A317),"")</f>
        <v/>
      </c>
      <c r="E317">
        <f>IF(A317&lt;&gt;"",TEXT(A317,"dddd"),"")</f>
        <v/>
      </c>
      <c r="F317">
        <f>IF(BD_Carga!C318&lt;&gt;"",BD_Carga!C318,"")</f>
        <v/>
      </c>
      <c r="G317">
        <f>IF(BD_Carga!D318&lt;&gt;"",BD_Carga!D318,"")</f>
        <v/>
      </c>
      <c r="H317">
        <f>IF(BD_Carga!Q318&lt;&gt;"",BD_Carga!Q318,"")</f>
        <v/>
      </c>
      <c r="I317">
        <f>IF(BD_Carga!R318&lt;&gt;"",BD_Carga!R318,"")</f>
        <v/>
      </c>
      <c r="J317">
        <f>IF(BD_Carga!S318&lt;&gt;"",BD_Carga!S318,"")</f>
        <v/>
      </c>
      <c r="K317" s="4">
        <f>IF(BD_Carga!E318&lt;&gt;"",BD_Carga!E318,0)</f>
        <v/>
      </c>
      <c r="L317" s="4">
        <f>IF(BD_Carga!F318&lt;&gt;"",BD_Carga!F318,0)</f>
        <v/>
      </c>
      <c r="M317" s="4">
        <f>IF(BD_Carga!G318&lt;&gt;"",BD_Carga!G318,0)</f>
        <v/>
      </c>
      <c r="N317" s="4">
        <f>IF(BD_Carga!H318&lt;&gt;"",BD_Carga!H318,0)</f>
        <v/>
      </c>
      <c r="O317" s="4">
        <f>IF(BD_Carga!I318&lt;&gt;"",BD_Carga!I318,0)</f>
        <v/>
      </c>
      <c r="P317" s="4">
        <f>IF(BD_Carga!J318&lt;&gt;"",BD_Carga!J318,0)</f>
        <v/>
      </c>
      <c r="Q317" s="5">
        <f>IF(BD_Carga!K318&lt;&gt;"",BD_Carga!K318,0)</f>
        <v/>
      </c>
      <c r="R317" s="5">
        <f>IF(BD_Carga!L318&lt;&gt;"",BD_Carga!L318,0)</f>
        <v/>
      </c>
      <c r="S317">
        <f>IF(BD_Carga!N318&lt;&gt;"",BD_Carga!N318,0)</f>
        <v/>
      </c>
      <c r="T317">
        <f>IF(BD_Carga!O318&lt;&gt;"",BD_Carga!O318,0)</f>
        <v/>
      </c>
      <c r="U317">
        <f>IF(BD_Carga!P318&lt;&gt;"",BD_Carga!P318,0)</f>
        <v/>
      </c>
      <c r="V317">
        <f>IF(BD_Carga!U318&lt;&gt;"",BD_Carga!U318,0)</f>
        <v/>
      </c>
      <c r="W317">
        <f>IF(BD_Carga!T318&lt;&gt;"",BD_Carga!T318,0)</f>
        <v/>
      </c>
      <c r="X317">
        <f>IF(BD_Carga!W318&lt;&gt;"",BD_Carga!W318,0)</f>
        <v/>
      </c>
      <c r="Y317">
        <f>IF(BD_Carga!X318&lt;&gt;"",BD_Carga!X318,0)</f>
        <v/>
      </c>
      <c r="Z317">
        <f>IF(BD_Carga!Y318&lt;&gt;"",BD_Carga!Y318,0)</f>
        <v/>
      </c>
      <c r="AA317">
        <f>IF(BD_Carga!Z318&lt;&gt;"",BD_Carga!Z318,0)</f>
        <v/>
      </c>
      <c r="AB317">
        <f>IF(BD_Carga!AA318&lt;&gt;"",BD_Carga!AA318,0)</f>
        <v/>
      </c>
      <c r="AC317" s="6">
        <f t="array" ref="AC317">IFERROR((L317-AVERAGEIF($G$2:$G$462,G317,$L$2:$L$462))/_xlfn.STDEV.P(IF($G$2:$G$462=G317,$L$2:$L$462)),0)</f>
        <v/>
      </c>
      <c r="AD317" s="6">
        <f t="array" ref="AD317">IFERROR((M317-AVERAGEIF($G$2:$G$462,G317,$M$2:$M$462))/_xlfn.STDEV.P(IF($G$2:$G$462=G317,$M$2:$M$462)),0)</f>
        <v/>
      </c>
      <c r="AE317" s="6">
        <f t="array" ref="AE317">IFERROR((N317-AVERAGEIF($G$2:$G$462,G317,$N$2:$N$462))/_xlfn.STDEV.P(IF($G$2:$G$462=G317,$N$2:$N$462)),0)</f>
        <v/>
      </c>
      <c r="AF317" s="6">
        <f t="array" ref="AF317">IFERROR((O317-AVERAGEIF($G$2:$G$462,G317,$O$2:$O$462))/_xlfn.STDEV.P(IF($G$2:$G$462=G317,$O$2:$O$462)),0)</f>
        <v/>
      </c>
      <c r="AG317" s="6">
        <f t="array" ref="AG317">IFERROR((P317-AVERAGEIF($G$2:$G$462,G317,$P$2:$P$462))/_xlfn.STDEV.P(IF($G$2:$G$462=G317,$P$2:$P$462)),0)</f>
        <v/>
      </c>
      <c r="AH317" s="6">
        <f t="array" ref="AH317">IFERROR((R317-AVERAGEIF($G$2:$G$462,G317,$R$2:$R$462))/_xlfn.STDEV.P(IF($G$2:$G$462=G317,$R$2:$R$462)),0)</f>
        <v/>
      </c>
      <c r="AI317" s="6">
        <f>IFERROR((AC317+AD317+AE317+AF317+AG317+AH317)/6,0)</f>
        <v/>
      </c>
    </row>
    <row r="318">
      <c r="A318" s="2">
        <f>IF(BD_Carga!A319&lt;&gt;"",BD_Carga!A319,"")</f>
        <v/>
      </c>
      <c r="B318">
        <f>IF(A318&lt;&gt;"",YEAR(A318),"")</f>
        <v/>
      </c>
      <c r="C318">
        <f>IF(A318&lt;&gt;"",MONTH(A318),"")</f>
        <v/>
      </c>
      <c r="D318">
        <f>IF(A318&lt;&gt;"",_xlfn.ISOWEEKNUM(A318),"")</f>
        <v/>
      </c>
      <c r="E318">
        <f>IF(A318&lt;&gt;"",TEXT(A318,"dddd"),"")</f>
        <v/>
      </c>
      <c r="F318">
        <f>IF(BD_Carga!C319&lt;&gt;"",BD_Carga!C319,"")</f>
        <v/>
      </c>
      <c r="G318">
        <f>IF(BD_Carga!D319&lt;&gt;"",BD_Carga!D319,"")</f>
        <v/>
      </c>
      <c r="H318">
        <f>IF(BD_Carga!Q319&lt;&gt;"",BD_Carga!Q319,"")</f>
        <v/>
      </c>
      <c r="I318">
        <f>IF(BD_Carga!R319&lt;&gt;"",BD_Carga!R319,"")</f>
        <v/>
      </c>
      <c r="J318">
        <f>IF(BD_Carga!S319&lt;&gt;"",BD_Carga!S319,"")</f>
        <v/>
      </c>
      <c r="K318" s="4">
        <f>IF(BD_Carga!E319&lt;&gt;"",BD_Carga!E319,0)</f>
        <v/>
      </c>
      <c r="L318" s="4">
        <f>IF(BD_Carga!F319&lt;&gt;"",BD_Carga!F319,0)</f>
        <v/>
      </c>
      <c r="M318" s="4">
        <f>IF(BD_Carga!G319&lt;&gt;"",BD_Carga!G319,0)</f>
        <v/>
      </c>
      <c r="N318" s="4">
        <f>IF(BD_Carga!H319&lt;&gt;"",BD_Carga!H319,0)</f>
        <v/>
      </c>
      <c r="O318" s="4">
        <f>IF(BD_Carga!I319&lt;&gt;"",BD_Carga!I319,0)</f>
        <v/>
      </c>
      <c r="P318" s="4">
        <f>IF(BD_Carga!J319&lt;&gt;"",BD_Carga!J319,0)</f>
        <v/>
      </c>
      <c r="Q318" s="5">
        <f>IF(BD_Carga!K319&lt;&gt;"",BD_Carga!K319,0)</f>
        <v/>
      </c>
      <c r="R318" s="5">
        <f>IF(BD_Carga!L319&lt;&gt;"",BD_Carga!L319,0)</f>
        <v/>
      </c>
      <c r="S318">
        <f>IF(BD_Carga!N319&lt;&gt;"",BD_Carga!N319,0)</f>
        <v/>
      </c>
      <c r="T318">
        <f>IF(BD_Carga!O319&lt;&gt;"",BD_Carga!O319,0)</f>
        <v/>
      </c>
      <c r="U318">
        <f>IF(BD_Carga!P319&lt;&gt;"",BD_Carga!P319,0)</f>
        <v/>
      </c>
      <c r="V318">
        <f>IF(BD_Carga!U319&lt;&gt;"",BD_Carga!U319,0)</f>
        <v/>
      </c>
      <c r="W318">
        <f>IF(BD_Carga!T319&lt;&gt;"",BD_Carga!T319,0)</f>
        <v/>
      </c>
      <c r="X318">
        <f>IF(BD_Carga!W319&lt;&gt;"",BD_Carga!W319,0)</f>
        <v/>
      </c>
      <c r="Y318">
        <f>IF(BD_Carga!X319&lt;&gt;"",BD_Carga!X319,0)</f>
        <v/>
      </c>
      <c r="Z318">
        <f>IF(BD_Carga!Y319&lt;&gt;"",BD_Carga!Y319,0)</f>
        <v/>
      </c>
      <c r="AA318">
        <f>IF(BD_Carga!Z319&lt;&gt;"",BD_Carga!Z319,0)</f>
        <v/>
      </c>
      <c r="AB318">
        <f>IF(BD_Carga!AA319&lt;&gt;"",BD_Carga!AA319,0)</f>
        <v/>
      </c>
      <c r="AC318" s="6">
        <f t="array" ref="AC318">IFERROR((L318-AVERAGEIF($G$2:$G$462,G318,$L$2:$L$462))/_xlfn.STDEV.P(IF($G$2:$G$462=G318,$L$2:$L$462)),0)</f>
        <v/>
      </c>
      <c r="AD318" s="6">
        <f t="array" ref="AD318">IFERROR((M318-AVERAGEIF($G$2:$G$462,G318,$M$2:$M$462))/_xlfn.STDEV.P(IF($G$2:$G$462=G318,$M$2:$M$462)),0)</f>
        <v/>
      </c>
      <c r="AE318" s="6">
        <f t="array" ref="AE318">IFERROR((N318-AVERAGEIF($G$2:$G$462,G318,$N$2:$N$462))/_xlfn.STDEV.P(IF($G$2:$G$462=G318,$N$2:$N$462)),0)</f>
        <v/>
      </c>
      <c r="AF318" s="6">
        <f t="array" ref="AF318">IFERROR((O318-AVERAGEIF($G$2:$G$462,G318,$O$2:$O$462))/_xlfn.STDEV.P(IF($G$2:$G$462=G318,$O$2:$O$462)),0)</f>
        <v/>
      </c>
      <c r="AG318" s="6">
        <f t="array" ref="AG318">IFERROR((P318-AVERAGEIF($G$2:$G$462,G318,$P$2:$P$462))/_xlfn.STDEV.P(IF($G$2:$G$462=G318,$P$2:$P$462)),0)</f>
        <v/>
      </c>
      <c r="AH318" s="6">
        <f t="array" ref="AH318">IFERROR((R318-AVERAGEIF($G$2:$G$462,G318,$R$2:$R$462))/_xlfn.STDEV.P(IF($G$2:$G$462=G318,$R$2:$R$462)),0)</f>
        <v/>
      </c>
      <c r="AI318" s="6">
        <f>IFERROR((AC318+AD318+AE318+AF318+AG318+AH318)/6,0)</f>
        <v/>
      </c>
    </row>
    <row r="319">
      <c r="A319" s="2">
        <f>IF(BD_Carga!A320&lt;&gt;"",BD_Carga!A320,"")</f>
        <v/>
      </c>
      <c r="B319">
        <f>IF(A319&lt;&gt;"",YEAR(A319),"")</f>
        <v/>
      </c>
      <c r="C319">
        <f>IF(A319&lt;&gt;"",MONTH(A319),"")</f>
        <v/>
      </c>
      <c r="D319">
        <f>IF(A319&lt;&gt;"",_xlfn.ISOWEEKNUM(A319),"")</f>
        <v/>
      </c>
      <c r="E319">
        <f>IF(A319&lt;&gt;"",TEXT(A319,"dddd"),"")</f>
        <v/>
      </c>
      <c r="F319">
        <f>IF(BD_Carga!C320&lt;&gt;"",BD_Carga!C320,"")</f>
        <v/>
      </c>
      <c r="G319">
        <f>IF(BD_Carga!D320&lt;&gt;"",BD_Carga!D320,"")</f>
        <v/>
      </c>
      <c r="H319">
        <f>IF(BD_Carga!Q320&lt;&gt;"",BD_Carga!Q320,"")</f>
        <v/>
      </c>
      <c r="I319">
        <f>IF(BD_Carga!R320&lt;&gt;"",BD_Carga!R320,"")</f>
        <v/>
      </c>
      <c r="J319">
        <f>IF(BD_Carga!S320&lt;&gt;"",BD_Carga!S320,"")</f>
        <v/>
      </c>
      <c r="K319" s="4">
        <f>IF(BD_Carga!E320&lt;&gt;"",BD_Carga!E320,0)</f>
        <v/>
      </c>
      <c r="L319" s="4">
        <f>IF(BD_Carga!F320&lt;&gt;"",BD_Carga!F320,0)</f>
        <v/>
      </c>
      <c r="M319" s="4">
        <f>IF(BD_Carga!G320&lt;&gt;"",BD_Carga!G320,0)</f>
        <v/>
      </c>
      <c r="N319" s="4">
        <f>IF(BD_Carga!H320&lt;&gt;"",BD_Carga!H320,0)</f>
        <v/>
      </c>
      <c r="O319" s="4">
        <f>IF(BD_Carga!I320&lt;&gt;"",BD_Carga!I320,0)</f>
        <v/>
      </c>
      <c r="P319" s="4">
        <f>IF(BD_Carga!J320&lt;&gt;"",BD_Carga!J320,0)</f>
        <v/>
      </c>
      <c r="Q319" s="5">
        <f>IF(BD_Carga!K320&lt;&gt;"",BD_Carga!K320,0)</f>
        <v/>
      </c>
      <c r="R319" s="5">
        <f>IF(BD_Carga!L320&lt;&gt;"",BD_Carga!L320,0)</f>
        <v/>
      </c>
      <c r="S319">
        <f>IF(BD_Carga!N320&lt;&gt;"",BD_Carga!N320,0)</f>
        <v/>
      </c>
      <c r="T319">
        <f>IF(BD_Carga!O320&lt;&gt;"",BD_Carga!O320,0)</f>
        <v/>
      </c>
      <c r="U319">
        <f>IF(BD_Carga!P320&lt;&gt;"",BD_Carga!P320,0)</f>
        <v/>
      </c>
      <c r="V319">
        <f>IF(BD_Carga!U320&lt;&gt;"",BD_Carga!U320,0)</f>
        <v/>
      </c>
      <c r="W319">
        <f>IF(BD_Carga!T320&lt;&gt;"",BD_Carga!T320,0)</f>
        <v/>
      </c>
      <c r="X319">
        <f>IF(BD_Carga!W320&lt;&gt;"",BD_Carga!W320,0)</f>
        <v/>
      </c>
      <c r="Y319">
        <f>IF(BD_Carga!X320&lt;&gt;"",BD_Carga!X320,0)</f>
        <v/>
      </c>
      <c r="Z319">
        <f>IF(BD_Carga!Y320&lt;&gt;"",BD_Carga!Y320,0)</f>
        <v/>
      </c>
      <c r="AA319">
        <f>IF(BD_Carga!Z320&lt;&gt;"",BD_Carga!Z320,0)</f>
        <v/>
      </c>
      <c r="AB319">
        <f>IF(BD_Carga!AA320&lt;&gt;"",BD_Carga!AA320,0)</f>
        <v/>
      </c>
      <c r="AC319" s="6">
        <f t="array" ref="AC319">IFERROR((L319-AVERAGEIF($G$2:$G$462,G319,$L$2:$L$462))/_xlfn.STDEV.P(IF($G$2:$G$462=G319,$L$2:$L$462)),0)</f>
        <v/>
      </c>
      <c r="AD319" s="6">
        <f t="array" ref="AD319">IFERROR((M319-AVERAGEIF($G$2:$G$462,G319,$M$2:$M$462))/_xlfn.STDEV.P(IF($G$2:$G$462=G319,$M$2:$M$462)),0)</f>
        <v/>
      </c>
      <c r="AE319" s="6">
        <f t="array" ref="AE319">IFERROR((N319-AVERAGEIF($G$2:$G$462,G319,$N$2:$N$462))/_xlfn.STDEV.P(IF($G$2:$G$462=G319,$N$2:$N$462)),0)</f>
        <v/>
      </c>
      <c r="AF319" s="6">
        <f t="array" ref="AF319">IFERROR((O319-AVERAGEIF($G$2:$G$462,G319,$O$2:$O$462))/_xlfn.STDEV.P(IF($G$2:$G$462=G319,$O$2:$O$462)),0)</f>
        <v/>
      </c>
      <c r="AG319" s="6">
        <f t="array" ref="AG319">IFERROR((P319-AVERAGEIF($G$2:$G$462,G319,$P$2:$P$462))/_xlfn.STDEV.P(IF($G$2:$G$462=G319,$P$2:$P$462)),0)</f>
        <v/>
      </c>
      <c r="AH319" s="6">
        <f t="array" ref="AH319">IFERROR((R319-AVERAGEIF($G$2:$G$462,G319,$R$2:$R$462))/_xlfn.STDEV.P(IF($G$2:$G$462=G319,$R$2:$R$462)),0)</f>
        <v/>
      </c>
      <c r="AI319" s="6">
        <f>IFERROR((AC319+AD319+AE319+AF319+AG319+AH319)/6,0)</f>
        <v/>
      </c>
    </row>
    <row r="320">
      <c r="A320" s="2">
        <f>IF(BD_Carga!A321&lt;&gt;"",BD_Carga!A321,"")</f>
        <v/>
      </c>
      <c r="B320">
        <f>IF(A320&lt;&gt;"",YEAR(A320),"")</f>
        <v/>
      </c>
      <c r="C320">
        <f>IF(A320&lt;&gt;"",MONTH(A320),"")</f>
        <v/>
      </c>
      <c r="D320">
        <f>IF(A320&lt;&gt;"",_xlfn.ISOWEEKNUM(A320),"")</f>
        <v/>
      </c>
      <c r="E320">
        <f>IF(A320&lt;&gt;"",TEXT(A320,"dddd"),"")</f>
        <v/>
      </c>
      <c r="F320">
        <f>IF(BD_Carga!C321&lt;&gt;"",BD_Carga!C321,"")</f>
        <v/>
      </c>
      <c r="G320">
        <f>IF(BD_Carga!D321&lt;&gt;"",BD_Carga!D321,"")</f>
        <v/>
      </c>
      <c r="H320">
        <f>IF(BD_Carga!Q321&lt;&gt;"",BD_Carga!Q321,"")</f>
        <v/>
      </c>
      <c r="I320">
        <f>IF(BD_Carga!R321&lt;&gt;"",BD_Carga!R321,"")</f>
        <v/>
      </c>
      <c r="J320">
        <f>IF(BD_Carga!S321&lt;&gt;"",BD_Carga!S321,"")</f>
        <v/>
      </c>
      <c r="K320" s="4">
        <f>IF(BD_Carga!E321&lt;&gt;"",BD_Carga!E321,0)</f>
        <v/>
      </c>
      <c r="L320" s="4">
        <f>IF(BD_Carga!F321&lt;&gt;"",BD_Carga!F321,0)</f>
        <v/>
      </c>
      <c r="M320" s="4">
        <f>IF(BD_Carga!G321&lt;&gt;"",BD_Carga!G321,0)</f>
        <v/>
      </c>
      <c r="N320" s="4">
        <f>IF(BD_Carga!H321&lt;&gt;"",BD_Carga!H321,0)</f>
        <v/>
      </c>
      <c r="O320" s="4">
        <f>IF(BD_Carga!I321&lt;&gt;"",BD_Carga!I321,0)</f>
        <v/>
      </c>
      <c r="P320" s="4">
        <f>IF(BD_Carga!J321&lt;&gt;"",BD_Carga!J321,0)</f>
        <v/>
      </c>
      <c r="Q320" s="5">
        <f>IF(BD_Carga!K321&lt;&gt;"",BD_Carga!K321,0)</f>
        <v/>
      </c>
      <c r="R320" s="5">
        <f>IF(BD_Carga!L321&lt;&gt;"",BD_Carga!L321,0)</f>
        <v/>
      </c>
      <c r="S320">
        <f>IF(BD_Carga!N321&lt;&gt;"",BD_Carga!N321,0)</f>
        <v/>
      </c>
      <c r="T320">
        <f>IF(BD_Carga!O321&lt;&gt;"",BD_Carga!O321,0)</f>
        <v/>
      </c>
      <c r="U320">
        <f>IF(BD_Carga!P321&lt;&gt;"",BD_Carga!P321,0)</f>
        <v/>
      </c>
      <c r="V320">
        <f>IF(BD_Carga!U321&lt;&gt;"",BD_Carga!U321,0)</f>
        <v/>
      </c>
      <c r="W320">
        <f>IF(BD_Carga!T321&lt;&gt;"",BD_Carga!T321,0)</f>
        <v/>
      </c>
      <c r="X320">
        <f>IF(BD_Carga!W321&lt;&gt;"",BD_Carga!W321,0)</f>
        <v/>
      </c>
      <c r="Y320">
        <f>IF(BD_Carga!X321&lt;&gt;"",BD_Carga!X321,0)</f>
        <v/>
      </c>
      <c r="Z320">
        <f>IF(BD_Carga!Y321&lt;&gt;"",BD_Carga!Y321,0)</f>
        <v/>
      </c>
      <c r="AA320">
        <f>IF(BD_Carga!Z321&lt;&gt;"",BD_Carga!Z321,0)</f>
        <v/>
      </c>
      <c r="AB320">
        <f>IF(BD_Carga!AA321&lt;&gt;"",BD_Carga!AA321,0)</f>
        <v/>
      </c>
      <c r="AC320" s="6">
        <f t="array" ref="AC320">IFERROR((L320-AVERAGEIF($G$2:$G$462,G320,$L$2:$L$462))/_xlfn.STDEV.P(IF($G$2:$G$462=G320,$L$2:$L$462)),0)</f>
        <v/>
      </c>
      <c r="AD320" s="6">
        <f t="array" ref="AD320">IFERROR((M320-AVERAGEIF($G$2:$G$462,G320,$M$2:$M$462))/_xlfn.STDEV.P(IF($G$2:$G$462=G320,$M$2:$M$462)),0)</f>
        <v/>
      </c>
      <c r="AE320" s="6">
        <f t="array" ref="AE320">IFERROR((N320-AVERAGEIF($G$2:$G$462,G320,$N$2:$N$462))/_xlfn.STDEV.P(IF($G$2:$G$462=G320,$N$2:$N$462)),0)</f>
        <v/>
      </c>
      <c r="AF320" s="6">
        <f t="array" ref="AF320">IFERROR((O320-AVERAGEIF($G$2:$G$462,G320,$O$2:$O$462))/_xlfn.STDEV.P(IF($G$2:$G$462=G320,$O$2:$O$462)),0)</f>
        <v/>
      </c>
      <c r="AG320" s="6">
        <f t="array" ref="AG320">IFERROR((P320-AVERAGEIF($G$2:$G$462,G320,$P$2:$P$462))/_xlfn.STDEV.P(IF($G$2:$G$462=G320,$P$2:$P$462)),0)</f>
        <v/>
      </c>
      <c r="AH320" s="6">
        <f t="array" ref="AH320">IFERROR((R320-AVERAGEIF($G$2:$G$462,G320,$R$2:$R$462))/_xlfn.STDEV.P(IF($G$2:$G$462=G320,$R$2:$R$462)),0)</f>
        <v/>
      </c>
      <c r="AI320" s="6">
        <f>IFERROR((AC320+AD320+AE320+AF320+AG320+AH320)/6,0)</f>
        <v/>
      </c>
    </row>
    <row r="321">
      <c r="A321" s="2">
        <f>IF(BD_Carga!A322&lt;&gt;"",BD_Carga!A322,"")</f>
        <v/>
      </c>
      <c r="B321">
        <f>IF(A321&lt;&gt;"",YEAR(A321),"")</f>
        <v/>
      </c>
      <c r="C321">
        <f>IF(A321&lt;&gt;"",MONTH(A321),"")</f>
        <v/>
      </c>
      <c r="D321">
        <f>IF(A321&lt;&gt;"",_xlfn.ISOWEEKNUM(A321),"")</f>
        <v/>
      </c>
      <c r="E321">
        <f>IF(A321&lt;&gt;"",TEXT(A321,"dddd"),"")</f>
        <v/>
      </c>
      <c r="F321">
        <f>IF(BD_Carga!C322&lt;&gt;"",BD_Carga!C322,"")</f>
        <v/>
      </c>
      <c r="G321">
        <f>IF(BD_Carga!D322&lt;&gt;"",BD_Carga!D322,"")</f>
        <v/>
      </c>
      <c r="H321">
        <f>IF(BD_Carga!Q322&lt;&gt;"",BD_Carga!Q322,"")</f>
        <v/>
      </c>
      <c r="I321">
        <f>IF(BD_Carga!R322&lt;&gt;"",BD_Carga!R322,"")</f>
        <v/>
      </c>
      <c r="J321">
        <f>IF(BD_Carga!S322&lt;&gt;"",BD_Carga!S322,"")</f>
        <v/>
      </c>
      <c r="K321" s="4">
        <f>IF(BD_Carga!E322&lt;&gt;"",BD_Carga!E322,0)</f>
        <v/>
      </c>
      <c r="L321" s="4">
        <f>IF(BD_Carga!F322&lt;&gt;"",BD_Carga!F322,0)</f>
        <v/>
      </c>
      <c r="M321" s="4">
        <f>IF(BD_Carga!G322&lt;&gt;"",BD_Carga!G322,0)</f>
        <v/>
      </c>
      <c r="N321" s="4">
        <f>IF(BD_Carga!H322&lt;&gt;"",BD_Carga!H322,0)</f>
        <v/>
      </c>
      <c r="O321" s="4">
        <f>IF(BD_Carga!I322&lt;&gt;"",BD_Carga!I322,0)</f>
        <v/>
      </c>
      <c r="P321" s="4">
        <f>IF(BD_Carga!J322&lt;&gt;"",BD_Carga!J322,0)</f>
        <v/>
      </c>
      <c r="Q321" s="5">
        <f>IF(BD_Carga!K322&lt;&gt;"",BD_Carga!K322,0)</f>
        <v/>
      </c>
      <c r="R321" s="5">
        <f>IF(BD_Carga!L322&lt;&gt;"",BD_Carga!L322,0)</f>
        <v/>
      </c>
      <c r="S321">
        <f>IF(BD_Carga!N322&lt;&gt;"",BD_Carga!N322,0)</f>
        <v/>
      </c>
      <c r="T321">
        <f>IF(BD_Carga!O322&lt;&gt;"",BD_Carga!O322,0)</f>
        <v/>
      </c>
      <c r="U321">
        <f>IF(BD_Carga!P322&lt;&gt;"",BD_Carga!P322,0)</f>
        <v/>
      </c>
      <c r="V321">
        <f>IF(BD_Carga!U322&lt;&gt;"",BD_Carga!U322,0)</f>
        <v/>
      </c>
      <c r="W321">
        <f>IF(BD_Carga!T322&lt;&gt;"",BD_Carga!T322,0)</f>
        <v/>
      </c>
      <c r="X321">
        <f>IF(BD_Carga!W322&lt;&gt;"",BD_Carga!W322,0)</f>
        <v/>
      </c>
      <c r="Y321">
        <f>IF(BD_Carga!X322&lt;&gt;"",BD_Carga!X322,0)</f>
        <v/>
      </c>
      <c r="Z321">
        <f>IF(BD_Carga!Y322&lt;&gt;"",BD_Carga!Y322,0)</f>
        <v/>
      </c>
      <c r="AA321">
        <f>IF(BD_Carga!Z322&lt;&gt;"",BD_Carga!Z322,0)</f>
        <v/>
      </c>
      <c r="AB321">
        <f>IF(BD_Carga!AA322&lt;&gt;"",BD_Carga!AA322,0)</f>
        <v/>
      </c>
      <c r="AC321" s="6">
        <f t="array" ref="AC321">IFERROR((L321-AVERAGEIF($G$2:$G$462,G321,$L$2:$L$462))/_xlfn.STDEV.P(IF($G$2:$G$462=G321,$L$2:$L$462)),0)</f>
        <v/>
      </c>
      <c r="AD321" s="6">
        <f t="array" ref="AD321">IFERROR((M321-AVERAGEIF($G$2:$G$462,G321,$M$2:$M$462))/_xlfn.STDEV.P(IF($G$2:$G$462=G321,$M$2:$M$462)),0)</f>
        <v/>
      </c>
      <c r="AE321" s="6">
        <f t="array" ref="AE321">IFERROR((N321-AVERAGEIF($G$2:$G$462,G321,$N$2:$N$462))/_xlfn.STDEV.P(IF($G$2:$G$462=G321,$N$2:$N$462)),0)</f>
        <v/>
      </c>
      <c r="AF321" s="6">
        <f t="array" ref="AF321">IFERROR((O321-AVERAGEIF($G$2:$G$462,G321,$O$2:$O$462))/_xlfn.STDEV.P(IF($G$2:$G$462=G321,$O$2:$O$462)),0)</f>
        <v/>
      </c>
      <c r="AG321" s="6">
        <f t="array" ref="AG321">IFERROR((P321-AVERAGEIF($G$2:$G$462,G321,$P$2:$P$462))/_xlfn.STDEV.P(IF($G$2:$G$462=G321,$P$2:$P$462)),0)</f>
        <v/>
      </c>
      <c r="AH321" s="6">
        <f t="array" ref="AH321">IFERROR((R321-AVERAGEIF($G$2:$G$462,G321,$R$2:$R$462))/_xlfn.STDEV.P(IF($G$2:$G$462=G321,$R$2:$R$462)),0)</f>
        <v/>
      </c>
      <c r="AI321" s="6">
        <f>IFERROR((AC321+AD321+AE321+AF321+AG321+AH321)/6,0)</f>
        <v/>
      </c>
    </row>
    <row r="322">
      <c r="A322" s="2">
        <f>IF(BD_Carga!A323&lt;&gt;"",BD_Carga!A323,"")</f>
        <v/>
      </c>
      <c r="B322">
        <f>IF(A322&lt;&gt;"",YEAR(A322),"")</f>
        <v/>
      </c>
      <c r="C322">
        <f>IF(A322&lt;&gt;"",MONTH(A322),"")</f>
        <v/>
      </c>
      <c r="D322">
        <f>IF(A322&lt;&gt;"",_xlfn.ISOWEEKNUM(A322),"")</f>
        <v/>
      </c>
      <c r="E322">
        <f>IF(A322&lt;&gt;"",TEXT(A322,"dddd"),"")</f>
        <v/>
      </c>
      <c r="F322">
        <f>IF(BD_Carga!C323&lt;&gt;"",BD_Carga!C323,"")</f>
        <v/>
      </c>
      <c r="G322">
        <f>IF(BD_Carga!D323&lt;&gt;"",BD_Carga!D323,"")</f>
        <v/>
      </c>
      <c r="H322">
        <f>IF(BD_Carga!Q323&lt;&gt;"",BD_Carga!Q323,"")</f>
        <v/>
      </c>
      <c r="I322">
        <f>IF(BD_Carga!R323&lt;&gt;"",BD_Carga!R323,"")</f>
        <v/>
      </c>
      <c r="J322">
        <f>IF(BD_Carga!S323&lt;&gt;"",BD_Carga!S323,"")</f>
        <v/>
      </c>
      <c r="K322" s="4">
        <f>IF(BD_Carga!E323&lt;&gt;"",BD_Carga!E323,0)</f>
        <v/>
      </c>
      <c r="L322" s="4">
        <f>IF(BD_Carga!F323&lt;&gt;"",BD_Carga!F323,0)</f>
        <v/>
      </c>
      <c r="M322" s="4">
        <f>IF(BD_Carga!G323&lt;&gt;"",BD_Carga!G323,0)</f>
        <v/>
      </c>
      <c r="N322" s="4">
        <f>IF(BD_Carga!H323&lt;&gt;"",BD_Carga!H323,0)</f>
        <v/>
      </c>
      <c r="O322" s="4">
        <f>IF(BD_Carga!I323&lt;&gt;"",BD_Carga!I323,0)</f>
        <v/>
      </c>
      <c r="P322" s="4">
        <f>IF(BD_Carga!J323&lt;&gt;"",BD_Carga!J323,0)</f>
        <v/>
      </c>
      <c r="Q322" s="5">
        <f>IF(BD_Carga!K323&lt;&gt;"",BD_Carga!K323,0)</f>
        <v/>
      </c>
      <c r="R322" s="5">
        <f>IF(BD_Carga!L323&lt;&gt;"",BD_Carga!L323,0)</f>
        <v/>
      </c>
      <c r="S322">
        <f>IF(BD_Carga!N323&lt;&gt;"",BD_Carga!N323,0)</f>
        <v/>
      </c>
      <c r="T322">
        <f>IF(BD_Carga!O323&lt;&gt;"",BD_Carga!O323,0)</f>
        <v/>
      </c>
      <c r="U322">
        <f>IF(BD_Carga!P323&lt;&gt;"",BD_Carga!P323,0)</f>
        <v/>
      </c>
      <c r="V322">
        <f>IF(BD_Carga!U323&lt;&gt;"",BD_Carga!U323,0)</f>
        <v/>
      </c>
      <c r="W322">
        <f>IF(BD_Carga!T323&lt;&gt;"",BD_Carga!T323,0)</f>
        <v/>
      </c>
      <c r="X322">
        <f>IF(BD_Carga!W323&lt;&gt;"",BD_Carga!W323,0)</f>
        <v/>
      </c>
      <c r="Y322">
        <f>IF(BD_Carga!X323&lt;&gt;"",BD_Carga!X323,0)</f>
        <v/>
      </c>
      <c r="Z322">
        <f>IF(BD_Carga!Y323&lt;&gt;"",BD_Carga!Y323,0)</f>
        <v/>
      </c>
      <c r="AA322">
        <f>IF(BD_Carga!Z323&lt;&gt;"",BD_Carga!Z323,0)</f>
        <v/>
      </c>
      <c r="AB322">
        <f>IF(BD_Carga!AA323&lt;&gt;"",BD_Carga!AA323,0)</f>
        <v/>
      </c>
      <c r="AC322" s="6">
        <f t="array" ref="AC322">IFERROR((L322-AVERAGEIF($G$2:$G$462,G322,$L$2:$L$462))/_xlfn.STDEV.P(IF($G$2:$G$462=G322,$L$2:$L$462)),0)</f>
        <v/>
      </c>
      <c r="AD322" s="6">
        <f t="array" ref="AD322">IFERROR((M322-AVERAGEIF($G$2:$G$462,G322,$M$2:$M$462))/_xlfn.STDEV.P(IF($G$2:$G$462=G322,$M$2:$M$462)),0)</f>
        <v/>
      </c>
      <c r="AE322" s="6">
        <f t="array" ref="AE322">IFERROR((N322-AVERAGEIF($G$2:$G$462,G322,$N$2:$N$462))/_xlfn.STDEV.P(IF($G$2:$G$462=G322,$N$2:$N$462)),0)</f>
        <v/>
      </c>
      <c r="AF322" s="6">
        <f t="array" ref="AF322">IFERROR((O322-AVERAGEIF($G$2:$G$462,G322,$O$2:$O$462))/_xlfn.STDEV.P(IF($G$2:$G$462=G322,$O$2:$O$462)),0)</f>
        <v/>
      </c>
      <c r="AG322" s="6">
        <f t="array" ref="AG322">IFERROR((P322-AVERAGEIF($G$2:$G$462,G322,$P$2:$P$462))/_xlfn.STDEV.P(IF($G$2:$G$462=G322,$P$2:$P$462)),0)</f>
        <v/>
      </c>
      <c r="AH322" s="6">
        <f t="array" ref="AH322">IFERROR((R322-AVERAGEIF($G$2:$G$462,G322,$R$2:$R$462))/_xlfn.STDEV.P(IF($G$2:$G$462=G322,$R$2:$R$462)),0)</f>
        <v/>
      </c>
      <c r="AI322" s="6">
        <f>IFERROR((AC322+AD322+AE322+AF322+AG322+AH322)/6,0)</f>
        <v/>
      </c>
    </row>
    <row r="323">
      <c r="A323" s="2">
        <f>IF(BD_Carga!A324&lt;&gt;"",BD_Carga!A324,"")</f>
        <v/>
      </c>
      <c r="B323">
        <f>IF(A323&lt;&gt;"",YEAR(A323),"")</f>
        <v/>
      </c>
      <c r="C323">
        <f>IF(A323&lt;&gt;"",MONTH(A323),"")</f>
        <v/>
      </c>
      <c r="D323">
        <f>IF(A323&lt;&gt;"",_xlfn.ISOWEEKNUM(A323),"")</f>
        <v/>
      </c>
      <c r="E323">
        <f>IF(A323&lt;&gt;"",TEXT(A323,"dddd"),"")</f>
        <v/>
      </c>
      <c r="F323">
        <f>IF(BD_Carga!C324&lt;&gt;"",BD_Carga!C324,"")</f>
        <v/>
      </c>
      <c r="G323">
        <f>IF(BD_Carga!D324&lt;&gt;"",BD_Carga!D324,"")</f>
        <v/>
      </c>
      <c r="H323">
        <f>IF(BD_Carga!Q324&lt;&gt;"",BD_Carga!Q324,"")</f>
        <v/>
      </c>
      <c r="I323">
        <f>IF(BD_Carga!R324&lt;&gt;"",BD_Carga!R324,"")</f>
        <v/>
      </c>
      <c r="J323">
        <f>IF(BD_Carga!S324&lt;&gt;"",BD_Carga!S324,"")</f>
        <v/>
      </c>
      <c r="K323" s="4">
        <f>IF(BD_Carga!E324&lt;&gt;"",BD_Carga!E324,0)</f>
        <v/>
      </c>
      <c r="L323" s="4">
        <f>IF(BD_Carga!F324&lt;&gt;"",BD_Carga!F324,0)</f>
        <v/>
      </c>
      <c r="M323" s="4">
        <f>IF(BD_Carga!G324&lt;&gt;"",BD_Carga!G324,0)</f>
        <v/>
      </c>
      <c r="N323" s="4">
        <f>IF(BD_Carga!H324&lt;&gt;"",BD_Carga!H324,0)</f>
        <v/>
      </c>
      <c r="O323" s="4">
        <f>IF(BD_Carga!I324&lt;&gt;"",BD_Carga!I324,0)</f>
        <v/>
      </c>
      <c r="P323" s="4">
        <f>IF(BD_Carga!J324&lt;&gt;"",BD_Carga!J324,0)</f>
        <v/>
      </c>
      <c r="Q323" s="5">
        <f>IF(BD_Carga!K324&lt;&gt;"",BD_Carga!K324,0)</f>
        <v/>
      </c>
      <c r="R323" s="5">
        <f>IF(BD_Carga!L324&lt;&gt;"",BD_Carga!L324,0)</f>
        <v/>
      </c>
      <c r="S323">
        <f>IF(BD_Carga!N324&lt;&gt;"",BD_Carga!N324,0)</f>
        <v/>
      </c>
      <c r="T323">
        <f>IF(BD_Carga!O324&lt;&gt;"",BD_Carga!O324,0)</f>
        <v/>
      </c>
      <c r="U323">
        <f>IF(BD_Carga!P324&lt;&gt;"",BD_Carga!P324,0)</f>
        <v/>
      </c>
      <c r="V323">
        <f>IF(BD_Carga!U324&lt;&gt;"",BD_Carga!U324,0)</f>
        <v/>
      </c>
      <c r="W323">
        <f>IF(BD_Carga!T324&lt;&gt;"",BD_Carga!T324,0)</f>
        <v/>
      </c>
      <c r="X323">
        <f>IF(BD_Carga!W324&lt;&gt;"",BD_Carga!W324,0)</f>
        <v/>
      </c>
      <c r="Y323">
        <f>IF(BD_Carga!X324&lt;&gt;"",BD_Carga!X324,0)</f>
        <v/>
      </c>
      <c r="Z323">
        <f>IF(BD_Carga!Y324&lt;&gt;"",BD_Carga!Y324,0)</f>
        <v/>
      </c>
      <c r="AA323">
        <f>IF(BD_Carga!Z324&lt;&gt;"",BD_Carga!Z324,0)</f>
        <v/>
      </c>
      <c r="AB323">
        <f>IF(BD_Carga!AA324&lt;&gt;"",BD_Carga!AA324,0)</f>
        <v/>
      </c>
      <c r="AC323" s="6">
        <f t="array" ref="AC323">IFERROR((L323-AVERAGEIF($G$2:$G$462,G323,$L$2:$L$462))/_xlfn.STDEV.P(IF($G$2:$G$462=G323,$L$2:$L$462)),0)</f>
        <v/>
      </c>
      <c r="AD323" s="6">
        <f t="array" ref="AD323">IFERROR((M323-AVERAGEIF($G$2:$G$462,G323,$M$2:$M$462))/_xlfn.STDEV.P(IF($G$2:$G$462=G323,$M$2:$M$462)),0)</f>
        <v/>
      </c>
      <c r="AE323" s="6">
        <f t="array" ref="AE323">IFERROR((N323-AVERAGEIF($G$2:$G$462,G323,$N$2:$N$462))/_xlfn.STDEV.P(IF($G$2:$G$462=G323,$N$2:$N$462)),0)</f>
        <v/>
      </c>
      <c r="AF323" s="6">
        <f t="array" ref="AF323">IFERROR((O323-AVERAGEIF($G$2:$G$462,G323,$O$2:$O$462))/_xlfn.STDEV.P(IF($G$2:$G$462=G323,$O$2:$O$462)),0)</f>
        <v/>
      </c>
      <c r="AG323" s="6">
        <f t="array" ref="AG323">IFERROR((P323-AVERAGEIF($G$2:$G$462,G323,$P$2:$P$462))/_xlfn.STDEV.P(IF($G$2:$G$462=G323,$P$2:$P$462)),0)</f>
        <v/>
      </c>
      <c r="AH323" s="6">
        <f t="array" ref="AH323">IFERROR((R323-AVERAGEIF($G$2:$G$462,G323,$R$2:$R$462))/_xlfn.STDEV.P(IF($G$2:$G$462=G323,$R$2:$R$462)),0)</f>
        <v/>
      </c>
      <c r="AI323" s="6">
        <f>IFERROR((AC323+AD323+AE323+AF323+AG323+AH323)/6,0)</f>
        <v/>
      </c>
    </row>
    <row r="324">
      <c r="A324" s="2">
        <f>IF(BD_Carga!A325&lt;&gt;"",BD_Carga!A325,"")</f>
        <v/>
      </c>
      <c r="B324">
        <f>IF(A324&lt;&gt;"",YEAR(A324),"")</f>
        <v/>
      </c>
      <c r="C324">
        <f>IF(A324&lt;&gt;"",MONTH(A324),"")</f>
        <v/>
      </c>
      <c r="D324">
        <f>IF(A324&lt;&gt;"",_xlfn.ISOWEEKNUM(A324),"")</f>
        <v/>
      </c>
      <c r="E324">
        <f>IF(A324&lt;&gt;"",TEXT(A324,"dddd"),"")</f>
        <v/>
      </c>
      <c r="F324">
        <f>IF(BD_Carga!C325&lt;&gt;"",BD_Carga!C325,"")</f>
        <v/>
      </c>
      <c r="G324">
        <f>IF(BD_Carga!D325&lt;&gt;"",BD_Carga!D325,"")</f>
        <v/>
      </c>
      <c r="H324">
        <f>IF(BD_Carga!Q325&lt;&gt;"",BD_Carga!Q325,"")</f>
        <v/>
      </c>
      <c r="I324">
        <f>IF(BD_Carga!R325&lt;&gt;"",BD_Carga!R325,"")</f>
        <v/>
      </c>
      <c r="J324">
        <f>IF(BD_Carga!S325&lt;&gt;"",BD_Carga!S325,"")</f>
        <v/>
      </c>
      <c r="K324" s="4">
        <f>IF(BD_Carga!E325&lt;&gt;"",BD_Carga!E325,0)</f>
        <v/>
      </c>
      <c r="L324" s="4">
        <f>IF(BD_Carga!F325&lt;&gt;"",BD_Carga!F325,0)</f>
        <v/>
      </c>
      <c r="M324" s="4">
        <f>IF(BD_Carga!G325&lt;&gt;"",BD_Carga!G325,0)</f>
        <v/>
      </c>
      <c r="N324" s="4">
        <f>IF(BD_Carga!H325&lt;&gt;"",BD_Carga!H325,0)</f>
        <v/>
      </c>
      <c r="O324" s="4">
        <f>IF(BD_Carga!I325&lt;&gt;"",BD_Carga!I325,0)</f>
        <v/>
      </c>
      <c r="P324" s="4">
        <f>IF(BD_Carga!J325&lt;&gt;"",BD_Carga!J325,0)</f>
        <v/>
      </c>
      <c r="Q324" s="5">
        <f>IF(BD_Carga!K325&lt;&gt;"",BD_Carga!K325,0)</f>
        <v/>
      </c>
      <c r="R324" s="5">
        <f>IF(BD_Carga!L325&lt;&gt;"",BD_Carga!L325,0)</f>
        <v/>
      </c>
      <c r="S324">
        <f>IF(BD_Carga!N325&lt;&gt;"",BD_Carga!N325,0)</f>
        <v/>
      </c>
      <c r="T324">
        <f>IF(BD_Carga!O325&lt;&gt;"",BD_Carga!O325,0)</f>
        <v/>
      </c>
      <c r="U324">
        <f>IF(BD_Carga!P325&lt;&gt;"",BD_Carga!P325,0)</f>
        <v/>
      </c>
      <c r="V324">
        <f>IF(BD_Carga!U325&lt;&gt;"",BD_Carga!U325,0)</f>
        <v/>
      </c>
      <c r="W324">
        <f>IF(BD_Carga!T325&lt;&gt;"",BD_Carga!T325,0)</f>
        <v/>
      </c>
      <c r="X324">
        <f>IF(BD_Carga!W325&lt;&gt;"",BD_Carga!W325,0)</f>
        <v/>
      </c>
      <c r="Y324">
        <f>IF(BD_Carga!X325&lt;&gt;"",BD_Carga!X325,0)</f>
        <v/>
      </c>
      <c r="Z324">
        <f>IF(BD_Carga!Y325&lt;&gt;"",BD_Carga!Y325,0)</f>
        <v/>
      </c>
      <c r="AA324">
        <f>IF(BD_Carga!Z325&lt;&gt;"",BD_Carga!Z325,0)</f>
        <v/>
      </c>
      <c r="AB324">
        <f>IF(BD_Carga!AA325&lt;&gt;"",BD_Carga!AA325,0)</f>
        <v/>
      </c>
      <c r="AC324" s="6">
        <f t="array" ref="AC324">IFERROR((L324-AVERAGEIF($G$2:$G$462,G324,$L$2:$L$462))/_xlfn.STDEV.P(IF($G$2:$G$462=G324,$L$2:$L$462)),0)</f>
        <v/>
      </c>
      <c r="AD324" s="6">
        <f t="array" ref="AD324">IFERROR((M324-AVERAGEIF($G$2:$G$462,G324,$M$2:$M$462))/_xlfn.STDEV.P(IF($G$2:$G$462=G324,$M$2:$M$462)),0)</f>
        <v/>
      </c>
      <c r="AE324" s="6">
        <f t="array" ref="AE324">IFERROR((N324-AVERAGEIF($G$2:$G$462,G324,$N$2:$N$462))/_xlfn.STDEV.P(IF($G$2:$G$462=G324,$N$2:$N$462)),0)</f>
        <v/>
      </c>
      <c r="AF324" s="6">
        <f t="array" ref="AF324">IFERROR((O324-AVERAGEIF($G$2:$G$462,G324,$O$2:$O$462))/_xlfn.STDEV.P(IF($G$2:$G$462=G324,$O$2:$O$462)),0)</f>
        <v/>
      </c>
      <c r="AG324" s="6">
        <f t="array" ref="AG324">IFERROR((P324-AVERAGEIF($G$2:$G$462,G324,$P$2:$P$462))/_xlfn.STDEV.P(IF($G$2:$G$462=G324,$P$2:$P$462)),0)</f>
        <v/>
      </c>
      <c r="AH324" s="6">
        <f t="array" ref="AH324">IFERROR((R324-AVERAGEIF($G$2:$G$462,G324,$R$2:$R$462))/_xlfn.STDEV.P(IF($G$2:$G$462=G324,$R$2:$R$462)),0)</f>
        <v/>
      </c>
      <c r="AI324" s="6">
        <f>IFERROR((AC324+AD324+AE324+AF324+AG324+AH324)/6,0)</f>
        <v/>
      </c>
    </row>
    <row r="325">
      <c r="A325" s="2">
        <f>IF(BD_Carga!A326&lt;&gt;"",BD_Carga!A326,"")</f>
        <v/>
      </c>
      <c r="B325">
        <f>IF(A325&lt;&gt;"",YEAR(A325),"")</f>
        <v/>
      </c>
      <c r="C325">
        <f>IF(A325&lt;&gt;"",MONTH(A325),"")</f>
        <v/>
      </c>
      <c r="D325">
        <f>IF(A325&lt;&gt;"",_xlfn.ISOWEEKNUM(A325),"")</f>
        <v/>
      </c>
      <c r="E325">
        <f>IF(A325&lt;&gt;"",TEXT(A325,"dddd"),"")</f>
        <v/>
      </c>
      <c r="F325">
        <f>IF(BD_Carga!C326&lt;&gt;"",BD_Carga!C326,"")</f>
        <v/>
      </c>
      <c r="G325">
        <f>IF(BD_Carga!D326&lt;&gt;"",BD_Carga!D326,"")</f>
        <v/>
      </c>
      <c r="H325">
        <f>IF(BD_Carga!Q326&lt;&gt;"",BD_Carga!Q326,"")</f>
        <v/>
      </c>
      <c r="I325">
        <f>IF(BD_Carga!R326&lt;&gt;"",BD_Carga!R326,"")</f>
        <v/>
      </c>
      <c r="J325">
        <f>IF(BD_Carga!S326&lt;&gt;"",BD_Carga!S326,"")</f>
        <v/>
      </c>
      <c r="K325" s="4">
        <f>IF(BD_Carga!E326&lt;&gt;"",BD_Carga!E326,0)</f>
        <v/>
      </c>
      <c r="L325" s="4">
        <f>IF(BD_Carga!F326&lt;&gt;"",BD_Carga!F326,0)</f>
        <v/>
      </c>
      <c r="M325" s="4">
        <f>IF(BD_Carga!G326&lt;&gt;"",BD_Carga!G326,0)</f>
        <v/>
      </c>
      <c r="N325" s="4">
        <f>IF(BD_Carga!H326&lt;&gt;"",BD_Carga!H326,0)</f>
        <v/>
      </c>
      <c r="O325" s="4">
        <f>IF(BD_Carga!I326&lt;&gt;"",BD_Carga!I326,0)</f>
        <v/>
      </c>
      <c r="P325" s="4">
        <f>IF(BD_Carga!J326&lt;&gt;"",BD_Carga!J326,0)</f>
        <v/>
      </c>
      <c r="Q325" s="5">
        <f>IF(BD_Carga!K326&lt;&gt;"",BD_Carga!K326,0)</f>
        <v/>
      </c>
      <c r="R325" s="5">
        <f>IF(BD_Carga!L326&lt;&gt;"",BD_Carga!L326,0)</f>
        <v/>
      </c>
      <c r="S325">
        <f>IF(BD_Carga!N326&lt;&gt;"",BD_Carga!N326,0)</f>
        <v/>
      </c>
      <c r="T325">
        <f>IF(BD_Carga!O326&lt;&gt;"",BD_Carga!O326,0)</f>
        <v/>
      </c>
      <c r="U325">
        <f>IF(BD_Carga!P326&lt;&gt;"",BD_Carga!P326,0)</f>
        <v/>
      </c>
      <c r="V325">
        <f>IF(BD_Carga!U326&lt;&gt;"",BD_Carga!U326,0)</f>
        <v/>
      </c>
      <c r="W325">
        <f>IF(BD_Carga!T326&lt;&gt;"",BD_Carga!T326,0)</f>
        <v/>
      </c>
      <c r="X325">
        <f>IF(BD_Carga!W326&lt;&gt;"",BD_Carga!W326,0)</f>
        <v/>
      </c>
      <c r="Y325">
        <f>IF(BD_Carga!X326&lt;&gt;"",BD_Carga!X326,0)</f>
        <v/>
      </c>
      <c r="Z325">
        <f>IF(BD_Carga!Y326&lt;&gt;"",BD_Carga!Y326,0)</f>
        <v/>
      </c>
      <c r="AA325">
        <f>IF(BD_Carga!Z326&lt;&gt;"",BD_Carga!Z326,0)</f>
        <v/>
      </c>
      <c r="AB325">
        <f>IF(BD_Carga!AA326&lt;&gt;"",BD_Carga!AA326,0)</f>
        <v/>
      </c>
      <c r="AC325" s="6">
        <f t="array" ref="AC325">IFERROR((L325-AVERAGEIF($G$2:$G$462,G325,$L$2:$L$462))/_xlfn.STDEV.P(IF($G$2:$G$462=G325,$L$2:$L$462)),0)</f>
        <v/>
      </c>
      <c r="AD325" s="6">
        <f t="array" ref="AD325">IFERROR((M325-AVERAGEIF($G$2:$G$462,G325,$M$2:$M$462))/_xlfn.STDEV.P(IF($G$2:$G$462=G325,$M$2:$M$462)),0)</f>
        <v/>
      </c>
      <c r="AE325" s="6">
        <f t="array" ref="AE325">IFERROR((N325-AVERAGEIF($G$2:$G$462,G325,$N$2:$N$462))/_xlfn.STDEV.P(IF($G$2:$G$462=G325,$N$2:$N$462)),0)</f>
        <v/>
      </c>
      <c r="AF325" s="6">
        <f t="array" ref="AF325">IFERROR((O325-AVERAGEIF($G$2:$G$462,G325,$O$2:$O$462))/_xlfn.STDEV.P(IF($G$2:$G$462=G325,$O$2:$O$462)),0)</f>
        <v/>
      </c>
      <c r="AG325" s="6">
        <f t="array" ref="AG325">IFERROR((P325-AVERAGEIF($G$2:$G$462,G325,$P$2:$P$462))/_xlfn.STDEV.P(IF($G$2:$G$462=G325,$P$2:$P$462)),0)</f>
        <v/>
      </c>
      <c r="AH325" s="6">
        <f t="array" ref="AH325">IFERROR((R325-AVERAGEIF($G$2:$G$462,G325,$R$2:$R$462))/_xlfn.STDEV.P(IF($G$2:$G$462=G325,$R$2:$R$462)),0)</f>
        <v/>
      </c>
      <c r="AI325" s="6">
        <f>IFERROR((AC325+AD325+AE325+AF325+AG325+AH325)/6,0)</f>
        <v/>
      </c>
    </row>
    <row r="326">
      <c r="A326" s="2">
        <f>IF(BD_Carga!A327&lt;&gt;"",BD_Carga!A327,"")</f>
        <v/>
      </c>
      <c r="B326">
        <f>IF(A326&lt;&gt;"",YEAR(A326),"")</f>
        <v/>
      </c>
      <c r="C326">
        <f>IF(A326&lt;&gt;"",MONTH(A326),"")</f>
        <v/>
      </c>
      <c r="D326">
        <f>IF(A326&lt;&gt;"",_xlfn.ISOWEEKNUM(A326),"")</f>
        <v/>
      </c>
      <c r="E326">
        <f>IF(A326&lt;&gt;"",TEXT(A326,"dddd"),"")</f>
        <v/>
      </c>
      <c r="F326">
        <f>IF(BD_Carga!C327&lt;&gt;"",BD_Carga!C327,"")</f>
        <v/>
      </c>
      <c r="G326">
        <f>IF(BD_Carga!D327&lt;&gt;"",BD_Carga!D327,"")</f>
        <v/>
      </c>
      <c r="H326">
        <f>IF(BD_Carga!Q327&lt;&gt;"",BD_Carga!Q327,"")</f>
        <v/>
      </c>
      <c r="I326">
        <f>IF(BD_Carga!R327&lt;&gt;"",BD_Carga!R327,"")</f>
        <v/>
      </c>
      <c r="J326">
        <f>IF(BD_Carga!S327&lt;&gt;"",BD_Carga!S327,"")</f>
        <v/>
      </c>
      <c r="K326" s="4">
        <f>IF(BD_Carga!E327&lt;&gt;"",BD_Carga!E327,0)</f>
        <v/>
      </c>
      <c r="L326" s="4">
        <f>IF(BD_Carga!F327&lt;&gt;"",BD_Carga!F327,0)</f>
        <v/>
      </c>
      <c r="M326" s="4">
        <f>IF(BD_Carga!G327&lt;&gt;"",BD_Carga!G327,0)</f>
        <v/>
      </c>
      <c r="N326" s="4">
        <f>IF(BD_Carga!H327&lt;&gt;"",BD_Carga!H327,0)</f>
        <v/>
      </c>
      <c r="O326" s="4">
        <f>IF(BD_Carga!I327&lt;&gt;"",BD_Carga!I327,0)</f>
        <v/>
      </c>
      <c r="P326" s="4">
        <f>IF(BD_Carga!J327&lt;&gt;"",BD_Carga!J327,0)</f>
        <v/>
      </c>
      <c r="Q326" s="5">
        <f>IF(BD_Carga!K327&lt;&gt;"",BD_Carga!K327,0)</f>
        <v/>
      </c>
      <c r="R326" s="5">
        <f>IF(BD_Carga!L327&lt;&gt;"",BD_Carga!L327,0)</f>
        <v/>
      </c>
      <c r="S326">
        <f>IF(BD_Carga!N327&lt;&gt;"",BD_Carga!N327,0)</f>
        <v/>
      </c>
      <c r="T326">
        <f>IF(BD_Carga!O327&lt;&gt;"",BD_Carga!O327,0)</f>
        <v/>
      </c>
      <c r="U326">
        <f>IF(BD_Carga!P327&lt;&gt;"",BD_Carga!P327,0)</f>
        <v/>
      </c>
      <c r="V326">
        <f>IF(BD_Carga!U327&lt;&gt;"",BD_Carga!U327,0)</f>
        <v/>
      </c>
      <c r="W326">
        <f>IF(BD_Carga!T327&lt;&gt;"",BD_Carga!T327,0)</f>
        <v/>
      </c>
      <c r="X326">
        <f>IF(BD_Carga!W327&lt;&gt;"",BD_Carga!W327,0)</f>
        <v/>
      </c>
      <c r="Y326">
        <f>IF(BD_Carga!X327&lt;&gt;"",BD_Carga!X327,0)</f>
        <v/>
      </c>
      <c r="Z326">
        <f>IF(BD_Carga!Y327&lt;&gt;"",BD_Carga!Y327,0)</f>
        <v/>
      </c>
      <c r="AA326">
        <f>IF(BD_Carga!Z327&lt;&gt;"",BD_Carga!Z327,0)</f>
        <v/>
      </c>
      <c r="AB326">
        <f>IF(BD_Carga!AA327&lt;&gt;"",BD_Carga!AA327,0)</f>
        <v/>
      </c>
      <c r="AC326" s="6">
        <f t="array" ref="AC326">IFERROR((L326-AVERAGEIF($G$2:$G$462,G326,$L$2:$L$462))/_xlfn.STDEV.P(IF($G$2:$G$462=G326,$L$2:$L$462)),0)</f>
        <v/>
      </c>
      <c r="AD326" s="6">
        <f t="array" ref="AD326">IFERROR((M326-AVERAGEIF($G$2:$G$462,G326,$M$2:$M$462))/_xlfn.STDEV.P(IF($G$2:$G$462=G326,$M$2:$M$462)),0)</f>
        <v/>
      </c>
      <c r="AE326" s="6">
        <f t="array" ref="AE326">IFERROR((N326-AVERAGEIF($G$2:$G$462,G326,$N$2:$N$462))/_xlfn.STDEV.P(IF($G$2:$G$462=G326,$N$2:$N$462)),0)</f>
        <v/>
      </c>
      <c r="AF326" s="6">
        <f t="array" ref="AF326">IFERROR((O326-AVERAGEIF($G$2:$G$462,G326,$O$2:$O$462))/_xlfn.STDEV.P(IF($G$2:$G$462=G326,$O$2:$O$462)),0)</f>
        <v/>
      </c>
      <c r="AG326" s="6">
        <f t="array" ref="AG326">IFERROR((P326-AVERAGEIF($G$2:$G$462,G326,$P$2:$P$462))/_xlfn.STDEV.P(IF($G$2:$G$462=G326,$P$2:$P$462)),0)</f>
        <v/>
      </c>
      <c r="AH326" s="6">
        <f t="array" ref="AH326">IFERROR((R326-AVERAGEIF($G$2:$G$462,G326,$R$2:$R$462))/_xlfn.STDEV.P(IF($G$2:$G$462=G326,$R$2:$R$462)),0)</f>
        <v/>
      </c>
      <c r="AI326" s="6">
        <f>IFERROR((AC326+AD326+AE326+AF326+AG326+AH326)/6,0)</f>
        <v/>
      </c>
    </row>
    <row r="327">
      <c r="A327" s="2">
        <f>IF(BD_Carga!A328&lt;&gt;"",BD_Carga!A328,"")</f>
        <v/>
      </c>
      <c r="B327">
        <f>IF(A327&lt;&gt;"",YEAR(A327),"")</f>
        <v/>
      </c>
      <c r="C327">
        <f>IF(A327&lt;&gt;"",MONTH(A327),"")</f>
        <v/>
      </c>
      <c r="D327">
        <f>IF(A327&lt;&gt;"",_xlfn.ISOWEEKNUM(A327),"")</f>
        <v/>
      </c>
      <c r="E327">
        <f>IF(A327&lt;&gt;"",TEXT(A327,"dddd"),"")</f>
        <v/>
      </c>
      <c r="F327">
        <f>IF(BD_Carga!C328&lt;&gt;"",BD_Carga!C328,"")</f>
        <v/>
      </c>
      <c r="G327">
        <f>IF(BD_Carga!D328&lt;&gt;"",BD_Carga!D328,"")</f>
        <v/>
      </c>
      <c r="H327">
        <f>IF(BD_Carga!Q328&lt;&gt;"",BD_Carga!Q328,"")</f>
        <v/>
      </c>
      <c r="I327">
        <f>IF(BD_Carga!R328&lt;&gt;"",BD_Carga!R328,"")</f>
        <v/>
      </c>
      <c r="J327">
        <f>IF(BD_Carga!S328&lt;&gt;"",BD_Carga!S328,"")</f>
        <v/>
      </c>
      <c r="K327" s="4">
        <f>IF(BD_Carga!E328&lt;&gt;"",BD_Carga!E328,0)</f>
        <v/>
      </c>
      <c r="L327" s="4">
        <f>IF(BD_Carga!F328&lt;&gt;"",BD_Carga!F328,0)</f>
        <v/>
      </c>
      <c r="M327" s="4">
        <f>IF(BD_Carga!G328&lt;&gt;"",BD_Carga!G328,0)</f>
        <v/>
      </c>
      <c r="N327" s="4">
        <f>IF(BD_Carga!H328&lt;&gt;"",BD_Carga!H328,0)</f>
        <v/>
      </c>
      <c r="O327" s="4">
        <f>IF(BD_Carga!I328&lt;&gt;"",BD_Carga!I328,0)</f>
        <v/>
      </c>
      <c r="P327" s="4">
        <f>IF(BD_Carga!J328&lt;&gt;"",BD_Carga!J328,0)</f>
        <v/>
      </c>
      <c r="Q327" s="5">
        <f>IF(BD_Carga!K328&lt;&gt;"",BD_Carga!K328,0)</f>
        <v/>
      </c>
      <c r="R327" s="5">
        <f>IF(BD_Carga!L328&lt;&gt;"",BD_Carga!L328,0)</f>
        <v/>
      </c>
      <c r="S327">
        <f>IF(BD_Carga!N328&lt;&gt;"",BD_Carga!N328,0)</f>
        <v/>
      </c>
      <c r="T327">
        <f>IF(BD_Carga!O328&lt;&gt;"",BD_Carga!O328,0)</f>
        <v/>
      </c>
      <c r="U327">
        <f>IF(BD_Carga!P328&lt;&gt;"",BD_Carga!P328,0)</f>
        <v/>
      </c>
      <c r="V327">
        <f>IF(BD_Carga!U328&lt;&gt;"",BD_Carga!U328,0)</f>
        <v/>
      </c>
      <c r="W327">
        <f>IF(BD_Carga!T328&lt;&gt;"",BD_Carga!T328,0)</f>
        <v/>
      </c>
      <c r="X327">
        <f>IF(BD_Carga!W328&lt;&gt;"",BD_Carga!W328,0)</f>
        <v/>
      </c>
      <c r="Y327">
        <f>IF(BD_Carga!X328&lt;&gt;"",BD_Carga!X328,0)</f>
        <v/>
      </c>
      <c r="Z327">
        <f>IF(BD_Carga!Y328&lt;&gt;"",BD_Carga!Y328,0)</f>
        <v/>
      </c>
      <c r="AA327">
        <f>IF(BD_Carga!Z328&lt;&gt;"",BD_Carga!Z328,0)</f>
        <v/>
      </c>
      <c r="AB327">
        <f>IF(BD_Carga!AA328&lt;&gt;"",BD_Carga!AA328,0)</f>
        <v/>
      </c>
      <c r="AC327" s="6">
        <f t="array" ref="AC327">IFERROR((L327-AVERAGEIF($G$2:$G$462,G327,$L$2:$L$462))/_xlfn.STDEV.P(IF($G$2:$G$462=G327,$L$2:$L$462)),0)</f>
        <v/>
      </c>
      <c r="AD327" s="6">
        <f t="array" ref="AD327">IFERROR((M327-AVERAGEIF($G$2:$G$462,G327,$M$2:$M$462))/_xlfn.STDEV.P(IF($G$2:$G$462=G327,$M$2:$M$462)),0)</f>
        <v/>
      </c>
      <c r="AE327" s="6">
        <f t="array" ref="AE327">IFERROR((N327-AVERAGEIF($G$2:$G$462,G327,$N$2:$N$462))/_xlfn.STDEV.P(IF($G$2:$G$462=G327,$N$2:$N$462)),0)</f>
        <v/>
      </c>
      <c r="AF327" s="6">
        <f t="array" ref="AF327">IFERROR((O327-AVERAGEIF($G$2:$G$462,G327,$O$2:$O$462))/_xlfn.STDEV.P(IF($G$2:$G$462=G327,$O$2:$O$462)),0)</f>
        <v/>
      </c>
      <c r="AG327" s="6">
        <f t="array" ref="AG327">IFERROR((P327-AVERAGEIF($G$2:$G$462,G327,$P$2:$P$462))/_xlfn.STDEV.P(IF($G$2:$G$462=G327,$P$2:$P$462)),0)</f>
        <v/>
      </c>
      <c r="AH327" s="6">
        <f t="array" ref="AH327">IFERROR((R327-AVERAGEIF($G$2:$G$462,G327,$R$2:$R$462))/_xlfn.STDEV.P(IF($G$2:$G$462=G327,$R$2:$R$462)),0)</f>
        <v/>
      </c>
      <c r="AI327" s="6">
        <f>IFERROR((AC327+AD327+AE327+AF327+AG327+AH327)/6,0)</f>
        <v/>
      </c>
    </row>
    <row r="328">
      <c r="A328" s="2">
        <f>IF(BD_Carga!A329&lt;&gt;"",BD_Carga!A329,"")</f>
        <v/>
      </c>
      <c r="B328">
        <f>IF(A328&lt;&gt;"",YEAR(A328),"")</f>
        <v/>
      </c>
      <c r="C328">
        <f>IF(A328&lt;&gt;"",MONTH(A328),"")</f>
        <v/>
      </c>
      <c r="D328">
        <f>IF(A328&lt;&gt;"",_xlfn.ISOWEEKNUM(A328),"")</f>
        <v/>
      </c>
      <c r="E328">
        <f>IF(A328&lt;&gt;"",TEXT(A328,"dddd"),"")</f>
        <v/>
      </c>
      <c r="F328">
        <f>IF(BD_Carga!C329&lt;&gt;"",BD_Carga!C329,"")</f>
        <v/>
      </c>
      <c r="G328">
        <f>IF(BD_Carga!D329&lt;&gt;"",BD_Carga!D329,"")</f>
        <v/>
      </c>
      <c r="H328">
        <f>IF(BD_Carga!Q329&lt;&gt;"",BD_Carga!Q329,"")</f>
        <v/>
      </c>
      <c r="I328">
        <f>IF(BD_Carga!R329&lt;&gt;"",BD_Carga!R329,"")</f>
        <v/>
      </c>
      <c r="J328">
        <f>IF(BD_Carga!S329&lt;&gt;"",BD_Carga!S329,"")</f>
        <v/>
      </c>
      <c r="K328" s="4">
        <f>IF(BD_Carga!E329&lt;&gt;"",BD_Carga!E329,0)</f>
        <v/>
      </c>
      <c r="L328" s="4">
        <f>IF(BD_Carga!F329&lt;&gt;"",BD_Carga!F329,0)</f>
        <v/>
      </c>
      <c r="M328" s="4">
        <f>IF(BD_Carga!G329&lt;&gt;"",BD_Carga!G329,0)</f>
        <v/>
      </c>
      <c r="N328" s="4">
        <f>IF(BD_Carga!H329&lt;&gt;"",BD_Carga!H329,0)</f>
        <v/>
      </c>
      <c r="O328" s="4">
        <f>IF(BD_Carga!I329&lt;&gt;"",BD_Carga!I329,0)</f>
        <v/>
      </c>
      <c r="P328" s="4">
        <f>IF(BD_Carga!J329&lt;&gt;"",BD_Carga!J329,0)</f>
        <v/>
      </c>
      <c r="Q328" s="5">
        <f>IF(BD_Carga!K329&lt;&gt;"",BD_Carga!K329,0)</f>
        <v/>
      </c>
      <c r="R328" s="5">
        <f>IF(BD_Carga!L329&lt;&gt;"",BD_Carga!L329,0)</f>
        <v/>
      </c>
      <c r="S328">
        <f>IF(BD_Carga!N329&lt;&gt;"",BD_Carga!N329,0)</f>
        <v/>
      </c>
      <c r="T328">
        <f>IF(BD_Carga!O329&lt;&gt;"",BD_Carga!O329,0)</f>
        <v/>
      </c>
      <c r="U328">
        <f>IF(BD_Carga!P329&lt;&gt;"",BD_Carga!P329,0)</f>
        <v/>
      </c>
      <c r="V328">
        <f>IF(BD_Carga!U329&lt;&gt;"",BD_Carga!U329,0)</f>
        <v/>
      </c>
      <c r="W328">
        <f>IF(BD_Carga!T329&lt;&gt;"",BD_Carga!T329,0)</f>
        <v/>
      </c>
      <c r="X328">
        <f>IF(BD_Carga!W329&lt;&gt;"",BD_Carga!W329,0)</f>
        <v/>
      </c>
      <c r="Y328">
        <f>IF(BD_Carga!X329&lt;&gt;"",BD_Carga!X329,0)</f>
        <v/>
      </c>
      <c r="Z328">
        <f>IF(BD_Carga!Y329&lt;&gt;"",BD_Carga!Y329,0)</f>
        <v/>
      </c>
      <c r="AA328">
        <f>IF(BD_Carga!Z329&lt;&gt;"",BD_Carga!Z329,0)</f>
        <v/>
      </c>
      <c r="AB328">
        <f>IF(BD_Carga!AA329&lt;&gt;"",BD_Carga!AA329,0)</f>
        <v/>
      </c>
      <c r="AC328" s="6">
        <f t="array" ref="AC328">IFERROR((L328-AVERAGEIF($G$2:$G$462,G328,$L$2:$L$462))/_xlfn.STDEV.P(IF($G$2:$G$462=G328,$L$2:$L$462)),0)</f>
        <v/>
      </c>
      <c r="AD328" s="6">
        <f t="array" ref="AD328">IFERROR((M328-AVERAGEIF($G$2:$G$462,G328,$M$2:$M$462))/_xlfn.STDEV.P(IF($G$2:$G$462=G328,$M$2:$M$462)),0)</f>
        <v/>
      </c>
      <c r="AE328" s="6">
        <f t="array" ref="AE328">IFERROR((N328-AVERAGEIF($G$2:$G$462,G328,$N$2:$N$462))/_xlfn.STDEV.P(IF($G$2:$G$462=G328,$N$2:$N$462)),0)</f>
        <v/>
      </c>
      <c r="AF328" s="6">
        <f t="array" ref="AF328">IFERROR((O328-AVERAGEIF($G$2:$G$462,G328,$O$2:$O$462))/_xlfn.STDEV.P(IF($G$2:$G$462=G328,$O$2:$O$462)),0)</f>
        <v/>
      </c>
      <c r="AG328" s="6">
        <f t="array" ref="AG328">IFERROR((P328-AVERAGEIF($G$2:$G$462,G328,$P$2:$P$462))/_xlfn.STDEV.P(IF($G$2:$G$462=G328,$P$2:$P$462)),0)</f>
        <v/>
      </c>
      <c r="AH328" s="6">
        <f t="array" ref="AH328">IFERROR((R328-AVERAGEIF($G$2:$G$462,G328,$R$2:$R$462))/_xlfn.STDEV.P(IF($G$2:$G$462=G328,$R$2:$R$462)),0)</f>
        <v/>
      </c>
      <c r="AI328" s="6">
        <f>IFERROR((AC328+AD328+AE328+AF328+AG328+AH328)/6,0)</f>
        <v/>
      </c>
    </row>
    <row r="329">
      <c r="A329" s="2">
        <f>IF(BD_Carga!A330&lt;&gt;"",BD_Carga!A330,"")</f>
        <v/>
      </c>
      <c r="B329">
        <f>IF(A329&lt;&gt;"",YEAR(A329),"")</f>
        <v/>
      </c>
      <c r="C329">
        <f>IF(A329&lt;&gt;"",MONTH(A329),"")</f>
        <v/>
      </c>
      <c r="D329">
        <f>IF(A329&lt;&gt;"",_xlfn.ISOWEEKNUM(A329),"")</f>
        <v/>
      </c>
      <c r="E329">
        <f>IF(A329&lt;&gt;"",TEXT(A329,"dddd"),"")</f>
        <v/>
      </c>
      <c r="F329">
        <f>IF(BD_Carga!C330&lt;&gt;"",BD_Carga!C330,"")</f>
        <v/>
      </c>
      <c r="G329">
        <f>IF(BD_Carga!D330&lt;&gt;"",BD_Carga!D330,"")</f>
        <v/>
      </c>
      <c r="H329">
        <f>IF(BD_Carga!Q330&lt;&gt;"",BD_Carga!Q330,"")</f>
        <v/>
      </c>
      <c r="I329">
        <f>IF(BD_Carga!R330&lt;&gt;"",BD_Carga!R330,"")</f>
        <v/>
      </c>
      <c r="J329">
        <f>IF(BD_Carga!S330&lt;&gt;"",BD_Carga!S330,"")</f>
        <v/>
      </c>
      <c r="K329" s="4">
        <f>IF(BD_Carga!E330&lt;&gt;"",BD_Carga!E330,0)</f>
        <v/>
      </c>
      <c r="L329" s="4">
        <f>IF(BD_Carga!F330&lt;&gt;"",BD_Carga!F330,0)</f>
        <v/>
      </c>
      <c r="M329" s="4">
        <f>IF(BD_Carga!G330&lt;&gt;"",BD_Carga!G330,0)</f>
        <v/>
      </c>
      <c r="N329" s="4">
        <f>IF(BD_Carga!H330&lt;&gt;"",BD_Carga!H330,0)</f>
        <v/>
      </c>
      <c r="O329" s="4">
        <f>IF(BD_Carga!I330&lt;&gt;"",BD_Carga!I330,0)</f>
        <v/>
      </c>
      <c r="P329" s="4">
        <f>IF(BD_Carga!J330&lt;&gt;"",BD_Carga!J330,0)</f>
        <v/>
      </c>
      <c r="Q329" s="5">
        <f>IF(BD_Carga!K330&lt;&gt;"",BD_Carga!K330,0)</f>
        <v/>
      </c>
      <c r="R329" s="5">
        <f>IF(BD_Carga!L330&lt;&gt;"",BD_Carga!L330,0)</f>
        <v/>
      </c>
      <c r="S329">
        <f>IF(BD_Carga!N330&lt;&gt;"",BD_Carga!N330,0)</f>
        <v/>
      </c>
      <c r="T329">
        <f>IF(BD_Carga!O330&lt;&gt;"",BD_Carga!O330,0)</f>
        <v/>
      </c>
      <c r="U329">
        <f>IF(BD_Carga!P330&lt;&gt;"",BD_Carga!P330,0)</f>
        <v/>
      </c>
      <c r="V329">
        <f>IF(BD_Carga!U330&lt;&gt;"",BD_Carga!U330,0)</f>
        <v/>
      </c>
      <c r="W329">
        <f>IF(BD_Carga!T330&lt;&gt;"",BD_Carga!T330,0)</f>
        <v/>
      </c>
      <c r="X329">
        <f>IF(BD_Carga!W330&lt;&gt;"",BD_Carga!W330,0)</f>
        <v/>
      </c>
      <c r="Y329">
        <f>IF(BD_Carga!X330&lt;&gt;"",BD_Carga!X330,0)</f>
        <v/>
      </c>
      <c r="Z329">
        <f>IF(BD_Carga!Y330&lt;&gt;"",BD_Carga!Y330,0)</f>
        <v/>
      </c>
      <c r="AA329">
        <f>IF(BD_Carga!Z330&lt;&gt;"",BD_Carga!Z330,0)</f>
        <v/>
      </c>
      <c r="AB329">
        <f>IF(BD_Carga!AA330&lt;&gt;"",BD_Carga!AA330,0)</f>
        <v/>
      </c>
      <c r="AC329" s="6">
        <f t="array" ref="AC329">IFERROR((L329-AVERAGEIF($G$2:$G$462,G329,$L$2:$L$462))/_xlfn.STDEV.P(IF($G$2:$G$462=G329,$L$2:$L$462)),0)</f>
        <v/>
      </c>
      <c r="AD329" s="6">
        <f t="array" ref="AD329">IFERROR((M329-AVERAGEIF($G$2:$G$462,G329,$M$2:$M$462))/_xlfn.STDEV.P(IF($G$2:$G$462=G329,$M$2:$M$462)),0)</f>
        <v/>
      </c>
      <c r="AE329" s="6">
        <f t="array" ref="AE329">IFERROR((N329-AVERAGEIF($G$2:$G$462,G329,$N$2:$N$462))/_xlfn.STDEV.P(IF($G$2:$G$462=G329,$N$2:$N$462)),0)</f>
        <v/>
      </c>
      <c r="AF329" s="6">
        <f t="array" ref="AF329">IFERROR((O329-AVERAGEIF($G$2:$G$462,G329,$O$2:$O$462))/_xlfn.STDEV.P(IF($G$2:$G$462=G329,$O$2:$O$462)),0)</f>
        <v/>
      </c>
      <c r="AG329" s="6">
        <f t="array" ref="AG329">IFERROR((P329-AVERAGEIF($G$2:$G$462,G329,$P$2:$P$462))/_xlfn.STDEV.P(IF($G$2:$G$462=G329,$P$2:$P$462)),0)</f>
        <v/>
      </c>
      <c r="AH329" s="6">
        <f t="array" ref="AH329">IFERROR((R329-AVERAGEIF($G$2:$G$462,G329,$R$2:$R$462))/_xlfn.STDEV.P(IF($G$2:$G$462=G329,$R$2:$R$462)),0)</f>
        <v/>
      </c>
      <c r="AI329" s="6">
        <f>IFERROR((AC329+AD329+AE329+AF329+AG329+AH329)/6,0)</f>
        <v/>
      </c>
    </row>
    <row r="330">
      <c r="A330" s="2">
        <f>IF(BD_Carga!A331&lt;&gt;"",BD_Carga!A331,"")</f>
        <v/>
      </c>
      <c r="B330">
        <f>IF(A330&lt;&gt;"",YEAR(A330),"")</f>
        <v/>
      </c>
      <c r="C330">
        <f>IF(A330&lt;&gt;"",MONTH(A330),"")</f>
        <v/>
      </c>
      <c r="D330">
        <f>IF(A330&lt;&gt;"",_xlfn.ISOWEEKNUM(A330),"")</f>
        <v/>
      </c>
      <c r="E330">
        <f>IF(A330&lt;&gt;"",TEXT(A330,"dddd"),"")</f>
        <v/>
      </c>
      <c r="F330">
        <f>IF(BD_Carga!C331&lt;&gt;"",BD_Carga!C331,"")</f>
        <v/>
      </c>
      <c r="G330">
        <f>IF(BD_Carga!D331&lt;&gt;"",BD_Carga!D331,"")</f>
        <v/>
      </c>
      <c r="H330">
        <f>IF(BD_Carga!Q331&lt;&gt;"",BD_Carga!Q331,"")</f>
        <v/>
      </c>
      <c r="I330">
        <f>IF(BD_Carga!R331&lt;&gt;"",BD_Carga!R331,"")</f>
        <v/>
      </c>
      <c r="J330">
        <f>IF(BD_Carga!S331&lt;&gt;"",BD_Carga!S331,"")</f>
        <v/>
      </c>
      <c r="K330" s="4">
        <f>IF(BD_Carga!E331&lt;&gt;"",BD_Carga!E331,0)</f>
        <v/>
      </c>
      <c r="L330" s="4">
        <f>IF(BD_Carga!F331&lt;&gt;"",BD_Carga!F331,0)</f>
        <v/>
      </c>
      <c r="M330" s="4">
        <f>IF(BD_Carga!G331&lt;&gt;"",BD_Carga!G331,0)</f>
        <v/>
      </c>
      <c r="N330" s="4">
        <f>IF(BD_Carga!H331&lt;&gt;"",BD_Carga!H331,0)</f>
        <v/>
      </c>
      <c r="O330" s="4">
        <f>IF(BD_Carga!I331&lt;&gt;"",BD_Carga!I331,0)</f>
        <v/>
      </c>
      <c r="P330" s="4">
        <f>IF(BD_Carga!J331&lt;&gt;"",BD_Carga!J331,0)</f>
        <v/>
      </c>
      <c r="Q330" s="5">
        <f>IF(BD_Carga!K331&lt;&gt;"",BD_Carga!K331,0)</f>
        <v/>
      </c>
      <c r="R330" s="5">
        <f>IF(BD_Carga!L331&lt;&gt;"",BD_Carga!L331,0)</f>
        <v/>
      </c>
      <c r="S330">
        <f>IF(BD_Carga!N331&lt;&gt;"",BD_Carga!N331,0)</f>
        <v/>
      </c>
      <c r="T330">
        <f>IF(BD_Carga!O331&lt;&gt;"",BD_Carga!O331,0)</f>
        <v/>
      </c>
      <c r="U330">
        <f>IF(BD_Carga!P331&lt;&gt;"",BD_Carga!P331,0)</f>
        <v/>
      </c>
      <c r="V330">
        <f>IF(BD_Carga!U331&lt;&gt;"",BD_Carga!U331,0)</f>
        <v/>
      </c>
      <c r="W330">
        <f>IF(BD_Carga!T331&lt;&gt;"",BD_Carga!T331,0)</f>
        <v/>
      </c>
      <c r="X330">
        <f>IF(BD_Carga!W331&lt;&gt;"",BD_Carga!W331,0)</f>
        <v/>
      </c>
      <c r="Y330">
        <f>IF(BD_Carga!X331&lt;&gt;"",BD_Carga!X331,0)</f>
        <v/>
      </c>
      <c r="Z330">
        <f>IF(BD_Carga!Y331&lt;&gt;"",BD_Carga!Y331,0)</f>
        <v/>
      </c>
      <c r="AA330">
        <f>IF(BD_Carga!Z331&lt;&gt;"",BD_Carga!Z331,0)</f>
        <v/>
      </c>
      <c r="AB330">
        <f>IF(BD_Carga!AA331&lt;&gt;"",BD_Carga!AA331,0)</f>
        <v/>
      </c>
      <c r="AC330" s="6">
        <f t="array" ref="AC330">IFERROR((L330-AVERAGEIF($G$2:$G$462,G330,$L$2:$L$462))/_xlfn.STDEV.P(IF($G$2:$G$462=G330,$L$2:$L$462)),0)</f>
        <v/>
      </c>
      <c r="AD330" s="6">
        <f t="array" ref="AD330">IFERROR((M330-AVERAGEIF($G$2:$G$462,G330,$M$2:$M$462))/_xlfn.STDEV.P(IF($G$2:$G$462=G330,$M$2:$M$462)),0)</f>
        <v/>
      </c>
      <c r="AE330" s="6">
        <f t="array" ref="AE330">IFERROR((N330-AVERAGEIF($G$2:$G$462,G330,$N$2:$N$462))/_xlfn.STDEV.P(IF($G$2:$G$462=G330,$N$2:$N$462)),0)</f>
        <v/>
      </c>
      <c r="AF330" s="6">
        <f t="array" ref="AF330">IFERROR((O330-AVERAGEIF($G$2:$G$462,G330,$O$2:$O$462))/_xlfn.STDEV.P(IF($G$2:$G$462=G330,$O$2:$O$462)),0)</f>
        <v/>
      </c>
      <c r="AG330" s="6">
        <f t="array" ref="AG330">IFERROR((P330-AVERAGEIF($G$2:$G$462,G330,$P$2:$P$462))/_xlfn.STDEV.P(IF($G$2:$G$462=G330,$P$2:$P$462)),0)</f>
        <v/>
      </c>
      <c r="AH330" s="6">
        <f t="array" ref="AH330">IFERROR((R330-AVERAGEIF($G$2:$G$462,G330,$R$2:$R$462))/_xlfn.STDEV.P(IF($G$2:$G$462=G330,$R$2:$R$462)),0)</f>
        <v/>
      </c>
      <c r="AI330" s="6">
        <f>IFERROR((AC330+AD330+AE330+AF330+AG330+AH330)/6,0)</f>
        <v/>
      </c>
    </row>
    <row r="331">
      <c r="A331" s="2">
        <f>IF(BD_Carga!A332&lt;&gt;"",BD_Carga!A332,"")</f>
        <v/>
      </c>
      <c r="B331">
        <f>IF(A331&lt;&gt;"",YEAR(A331),"")</f>
        <v/>
      </c>
      <c r="C331">
        <f>IF(A331&lt;&gt;"",MONTH(A331),"")</f>
        <v/>
      </c>
      <c r="D331">
        <f>IF(A331&lt;&gt;"",_xlfn.ISOWEEKNUM(A331),"")</f>
        <v/>
      </c>
      <c r="E331">
        <f>IF(A331&lt;&gt;"",TEXT(A331,"dddd"),"")</f>
        <v/>
      </c>
      <c r="F331">
        <f>IF(BD_Carga!C332&lt;&gt;"",BD_Carga!C332,"")</f>
        <v/>
      </c>
      <c r="G331">
        <f>IF(BD_Carga!D332&lt;&gt;"",BD_Carga!D332,"")</f>
        <v/>
      </c>
      <c r="H331">
        <f>IF(BD_Carga!Q332&lt;&gt;"",BD_Carga!Q332,"")</f>
        <v/>
      </c>
      <c r="I331">
        <f>IF(BD_Carga!R332&lt;&gt;"",BD_Carga!R332,"")</f>
        <v/>
      </c>
      <c r="J331">
        <f>IF(BD_Carga!S332&lt;&gt;"",BD_Carga!S332,"")</f>
        <v/>
      </c>
      <c r="K331" s="4">
        <f>IF(BD_Carga!E332&lt;&gt;"",BD_Carga!E332,0)</f>
        <v/>
      </c>
      <c r="L331" s="4">
        <f>IF(BD_Carga!F332&lt;&gt;"",BD_Carga!F332,0)</f>
        <v/>
      </c>
      <c r="M331" s="4">
        <f>IF(BD_Carga!G332&lt;&gt;"",BD_Carga!G332,0)</f>
        <v/>
      </c>
      <c r="N331" s="4">
        <f>IF(BD_Carga!H332&lt;&gt;"",BD_Carga!H332,0)</f>
        <v/>
      </c>
      <c r="O331" s="4">
        <f>IF(BD_Carga!I332&lt;&gt;"",BD_Carga!I332,0)</f>
        <v/>
      </c>
      <c r="P331" s="4">
        <f>IF(BD_Carga!J332&lt;&gt;"",BD_Carga!J332,0)</f>
        <v/>
      </c>
      <c r="Q331" s="5">
        <f>IF(BD_Carga!K332&lt;&gt;"",BD_Carga!K332,0)</f>
        <v/>
      </c>
      <c r="R331" s="5">
        <f>IF(BD_Carga!L332&lt;&gt;"",BD_Carga!L332,0)</f>
        <v/>
      </c>
      <c r="S331">
        <f>IF(BD_Carga!N332&lt;&gt;"",BD_Carga!N332,0)</f>
        <v/>
      </c>
      <c r="T331">
        <f>IF(BD_Carga!O332&lt;&gt;"",BD_Carga!O332,0)</f>
        <v/>
      </c>
      <c r="U331">
        <f>IF(BD_Carga!P332&lt;&gt;"",BD_Carga!P332,0)</f>
        <v/>
      </c>
      <c r="V331">
        <f>IF(BD_Carga!U332&lt;&gt;"",BD_Carga!U332,0)</f>
        <v/>
      </c>
      <c r="W331">
        <f>IF(BD_Carga!T332&lt;&gt;"",BD_Carga!T332,0)</f>
        <v/>
      </c>
      <c r="X331">
        <f>IF(BD_Carga!W332&lt;&gt;"",BD_Carga!W332,0)</f>
        <v/>
      </c>
      <c r="Y331">
        <f>IF(BD_Carga!X332&lt;&gt;"",BD_Carga!X332,0)</f>
        <v/>
      </c>
      <c r="Z331">
        <f>IF(BD_Carga!Y332&lt;&gt;"",BD_Carga!Y332,0)</f>
        <v/>
      </c>
      <c r="AA331">
        <f>IF(BD_Carga!Z332&lt;&gt;"",BD_Carga!Z332,0)</f>
        <v/>
      </c>
      <c r="AB331">
        <f>IF(BD_Carga!AA332&lt;&gt;"",BD_Carga!AA332,0)</f>
        <v/>
      </c>
      <c r="AC331" s="6">
        <f t="array" ref="AC331">IFERROR((L331-AVERAGEIF($G$2:$G$462,G331,$L$2:$L$462))/_xlfn.STDEV.P(IF($G$2:$G$462=G331,$L$2:$L$462)),0)</f>
        <v/>
      </c>
      <c r="AD331" s="6">
        <f t="array" ref="AD331">IFERROR((M331-AVERAGEIF($G$2:$G$462,G331,$M$2:$M$462))/_xlfn.STDEV.P(IF($G$2:$G$462=G331,$M$2:$M$462)),0)</f>
        <v/>
      </c>
      <c r="AE331" s="6">
        <f t="array" ref="AE331">IFERROR((N331-AVERAGEIF($G$2:$G$462,G331,$N$2:$N$462))/_xlfn.STDEV.P(IF($G$2:$G$462=G331,$N$2:$N$462)),0)</f>
        <v/>
      </c>
      <c r="AF331" s="6">
        <f t="array" ref="AF331">IFERROR((O331-AVERAGEIF($G$2:$G$462,G331,$O$2:$O$462))/_xlfn.STDEV.P(IF($G$2:$G$462=G331,$O$2:$O$462)),0)</f>
        <v/>
      </c>
      <c r="AG331" s="6">
        <f t="array" ref="AG331">IFERROR((P331-AVERAGEIF($G$2:$G$462,G331,$P$2:$P$462))/_xlfn.STDEV.P(IF($G$2:$G$462=G331,$P$2:$P$462)),0)</f>
        <v/>
      </c>
      <c r="AH331" s="6">
        <f t="array" ref="AH331">IFERROR((R331-AVERAGEIF($G$2:$G$462,G331,$R$2:$R$462))/_xlfn.STDEV.P(IF($G$2:$G$462=G331,$R$2:$R$462)),0)</f>
        <v/>
      </c>
      <c r="AI331" s="6">
        <f>IFERROR((AC331+AD331+AE331+AF331+AG331+AH331)/6,0)</f>
        <v/>
      </c>
    </row>
    <row r="332">
      <c r="A332" s="2">
        <f>IF(BD_Carga!A333&lt;&gt;"",BD_Carga!A333,"")</f>
        <v/>
      </c>
      <c r="B332">
        <f>IF(A332&lt;&gt;"",YEAR(A332),"")</f>
        <v/>
      </c>
      <c r="C332">
        <f>IF(A332&lt;&gt;"",MONTH(A332),"")</f>
        <v/>
      </c>
      <c r="D332">
        <f>IF(A332&lt;&gt;"",_xlfn.ISOWEEKNUM(A332),"")</f>
        <v/>
      </c>
      <c r="E332">
        <f>IF(A332&lt;&gt;"",TEXT(A332,"dddd"),"")</f>
        <v/>
      </c>
      <c r="F332">
        <f>IF(BD_Carga!C333&lt;&gt;"",BD_Carga!C333,"")</f>
        <v/>
      </c>
      <c r="G332">
        <f>IF(BD_Carga!D333&lt;&gt;"",BD_Carga!D333,"")</f>
        <v/>
      </c>
      <c r="H332">
        <f>IF(BD_Carga!Q333&lt;&gt;"",BD_Carga!Q333,"")</f>
        <v/>
      </c>
      <c r="I332">
        <f>IF(BD_Carga!R333&lt;&gt;"",BD_Carga!R333,"")</f>
        <v/>
      </c>
      <c r="J332">
        <f>IF(BD_Carga!S333&lt;&gt;"",BD_Carga!S333,"")</f>
        <v/>
      </c>
      <c r="K332" s="4">
        <f>IF(BD_Carga!E333&lt;&gt;"",BD_Carga!E333,0)</f>
        <v/>
      </c>
      <c r="L332" s="4">
        <f>IF(BD_Carga!F333&lt;&gt;"",BD_Carga!F333,0)</f>
        <v/>
      </c>
      <c r="M332" s="4">
        <f>IF(BD_Carga!G333&lt;&gt;"",BD_Carga!G333,0)</f>
        <v/>
      </c>
      <c r="N332" s="4">
        <f>IF(BD_Carga!H333&lt;&gt;"",BD_Carga!H333,0)</f>
        <v/>
      </c>
      <c r="O332" s="4">
        <f>IF(BD_Carga!I333&lt;&gt;"",BD_Carga!I333,0)</f>
        <v/>
      </c>
      <c r="P332" s="4">
        <f>IF(BD_Carga!J333&lt;&gt;"",BD_Carga!J333,0)</f>
        <v/>
      </c>
      <c r="Q332" s="5">
        <f>IF(BD_Carga!K333&lt;&gt;"",BD_Carga!K333,0)</f>
        <v/>
      </c>
      <c r="R332" s="5">
        <f>IF(BD_Carga!L333&lt;&gt;"",BD_Carga!L333,0)</f>
        <v/>
      </c>
      <c r="S332">
        <f>IF(BD_Carga!N333&lt;&gt;"",BD_Carga!N333,0)</f>
        <v/>
      </c>
      <c r="T332">
        <f>IF(BD_Carga!O333&lt;&gt;"",BD_Carga!O333,0)</f>
        <v/>
      </c>
      <c r="U332">
        <f>IF(BD_Carga!P333&lt;&gt;"",BD_Carga!P333,0)</f>
        <v/>
      </c>
      <c r="V332">
        <f>IF(BD_Carga!U333&lt;&gt;"",BD_Carga!U333,0)</f>
        <v/>
      </c>
      <c r="W332">
        <f>IF(BD_Carga!T333&lt;&gt;"",BD_Carga!T333,0)</f>
        <v/>
      </c>
      <c r="X332">
        <f>IF(BD_Carga!W333&lt;&gt;"",BD_Carga!W333,0)</f>
        <v/>
      </c>
      <c r="Y332">
        <f>IF(BD_Carga!X333&lt;&gt;"",BD_Carga!X333,0)</f>
        <v/>
      </c>
      <c r="Z332">
        <f>IF(BD_Carga!Y333&lt;&gt;"",BD_Carga!Y333,0)</f>
        <v/>
      </c>
      <c r="AA332">
        <f>IF(BD_Carga!Z333&lt;&gt;"",BD_Carga!Z333,0)</f>
        <v/>
      </c>
      <c r="AB332">
        <f>IF(BD_Carga!AA333&lt;&gt;"",BD_Carga!AA333,0)</f>
        <v/>
      </c>
      <c r="AC332" s="6">
        <f t="array" ref="AC332">IFERROR((L332-AVERAGEIF($G$2:$G$462,G332,$L$2:$L$462))/_xlfn.STDEV.P(IF($G$2:$G$462=G332,$L$2:$L$462)),0)</f>
        <v/>
      </c>
      <c r="AD332" s="6">
        <f t="array" ref="AD332">IFERROR((M332-AVERAGEIF($G$2:$G$462,G332,$M$2:$M$462))/_xlfn.STDEV.P(IF($G$2:$G$462=G332,$M$2:$M$462)),0)</f>
        <v/>
      </c>
      <c r="AE332" s="6">
        <f t="array" ref="AE332">IFERROR((N332-AVERAGEIF($G$2:$G$462,G332,$N$2:$N$462))/_xlfn.STDEV.P(IF($G$2:$G$462=G332,$N$2:$N$462)),0)</f>
        <v/>
      </c>
      <c r="AF332" s="6">
        <f t="array" ref="AF332">IFERROR((O332-AVERAGEIF($G$2:$G$462,G332,$O$2:$O$462))/_xlfn.STDEV.P(IF($G$2:$G$462=G332,$O$2:$O$462)),0)</f>
        <v/>
      </c>
      <c r="AG332" s="6">
        <f t="array" ref="AG332">IFERROR((P332-AVERAGEIF($G$2:$G$462,G332,$P$2:$P$462))/_xlfn.STDEV.P(IF($G$2:$G$462=G332,$P$2:$P$462)),0)</f>
        <v/>
      </c>
      <c r="AH332" s="6">
        <f t="array" ref="AH332">IFERROR((R332-AVERAGEIF($G$2:$G$462,G332,$R$2:$R$462))/_xlfn.STDEV.P(IF($G$2:$G$462=G332,$R$2:$R$462)),0)</f>
        <v/>
      </c>
      <c r="AI332" s="6">
        <f>IFERROR((AC332+AD332+AE332+AF332+AG332+AH332)/6,0)</f>
        <v/>
      </c>
    </row>
    <row r="333">
      <c r="A333" s="2">
        <f>IF(BD_Carga!A334&lt;&gt;"",BD_Carga!A334,"")</f>
        <v/>
      </c>
      <c r="B333">
        <f>IF(A333&lt;&gt;"",YEAR(A333),"")</f>
        <v/>
      </c>
      <c r="C333">
        <f>IF(A333&lt;&gt;"",MONTH(A333),"")</f>
        <v/>
      </c>
      <c r="D333">
        <f>IF(A333&lt;&gt;"",_xlfn.ISOWEEKNUM(A333),"")</f>
        <v/>
      </c>
      <c r="E333">
        <f>IF(A333&lt;&gt;"",TEXT(A333,"dddd"),"")</f>
        <v/>
      </c>
      <c r="F333">
        <f>IF(BD_Carga!C334&lt;&gt;"",BD_Carga!C334,"")</f>
        <v/>
      </c>
      <c r="G333">
        <f>IF(BD_Carga!D334&lt;&gt;"",BD_Carga!D334,"")</f>
        <v/>
      </c>
      <c r="H333">
        <f>IF(BD_Carga!Q334&lt;&gt;"",BD_Carga!Q334,"")</f>
        <v/>
      </c>
      <c r="I333">
        <f>IF(BD_Carga!R334&lt;&gt;"",BD_Carga!R334,"")</f>
        <v/>
      </c>
      <c r="J333">
        <f>IF(BD_Carga!S334&lt;&gt;"",BD_Carga!S334,"")</f>
        <v/>
      </c>
      <c r="K333" s="4">
        <f>IF(BD_Carga!E334&lt;&gt;"",BD_Carga!E334,0)</f>
        <v/>
      </c>
      <c r="L333" s="4">
        <f>IF(BD_Carga!F334&lt;&gt;"",BD_Carga!F334,0)</f>
        <v/>
      </c>
      <c r="M333" s="4">
        <f>IF(BD_Carga!G334&lt;&gt;"",BD_Carga!G334,0)</f>
        <v/>
      </c>
      <c r="N333" s="4">
        <f>IF(BD_Carga!H334&lt;&gt;"",BD_Carga!H334,0)</f>
        <v/>
      </c>
      <c r="O333" s="4">
        <f>IF(BD_Carga!I334&lt;&gt;"",BD_Carga!I334,0)</f>
        <v/>
      </c>
      <c r="P333" s="4">
        <f>IF(BD_Carga!J334&lt;&gt;"",BD_Carga!J334,0)</f>
        <v/>
      </c>
      <c r="Q333" s="5">
        <f>IF(BD_Carga!K334&lt;&gt;"",BD_Carga!K334,0)</f>
        <v/>
      </c>
      <c r="R333" s="5">
        <f>IF(BD_Carga!L334&lt;&gt;"",BD_Carga!L334,0)</f>
        <v/>
      </c>
      <c r="S333">
        <f>IF(BD_Carga!N334&lt;&gt;"",BD_Carga!N334,0)</f>
        <v/>
      </c>
      <c r="T333">
        <f>IF(BD_Carga!O334&lt;&gt;"",BD_Carga!O334,0)</f>
        <v/>
      </c>
      <c r="U333">
        <f>IF(BD_Carga!P334&lt;&gt;"",BD_Carga!P334,0)</f>
        <v/>
      </c>
      <c r="V333">
        <f>IF(BD_Carga!U334&lt;&gt;"",BD_Carga!U334,0)</f>
        <v/>
      </c>
      <c r="W333">
        <f>IF(BD_Carga!T334&lt;&gt;"",BD_Carga!T334,0)</f>
        <v/>
      </c>
      <c r="X333">
        <f>IF(BD_Carga!W334&lt;&gt;"",BD_Carga!W334,0)</f>
        <v/>
      </c>
      <c r="Y333">
        <f>IF(BD_Carga!X334&lt;&gt;"",BD_Carga!X334,0)</f>
        <v/>
      </c>
      <c r="Z333">
        <f>IF(BD_Carga!Y334&lt;&gt;"",BD_Carga!Y334,0)</f>
        <v/>
      </c>
      <c r="AA333">
        <f>IF(BD_Carga!Z334&lt;&gt;"",BD_Carga!Z334,0)</f>
        <v/>
      </c>
      <c r="AB333">
        <f>IF(BD_Carga!AA334&lt;&gt;"",BD_Carga!AA334,0)</f>
        <v/>
      </c>
      <c r="AC333" s="6">
        <f t="array" ref="AC333">IFERROR((L333-AVERAGEIF($G$2:$G$462,G333,$L$2:$L$462))/_xlfn.STDEV.P(IF($G$2:$G$462=G333,$L$2:$L$462)),0)</f>
        <v/>
      </c>
      <c r="AD333" s="6">
        <f t="array" ref="AD333">IFERROR((M333-AVERAGEIF($G$2:$G$462,G333,$M$2:$M$462))/_xlfn.STDEV.P(IF($G$2:$G$462=G333,$M$2:$M$462)),0)</f>
        <v/>
      </c>
      <c r="AE333" s="6">
        <f t="array" ref="AE333">IFERROR((N333-AVERAGEIF($G$2:$G$462,G333,$N$2:$N$462))/_xlfn.STDEV.P(IF($G$2:$G$462=G333,$N$2:$N$462)),0)</f>
        <v/>
      </c>
      <c r="AF333" s="6">
        <f t="array" ref="AF333">IFERROR((O333-AVERAGEIF($G$2:$G$462,G333,$O$2:$O$462))/_xlfn.STDEV.P(IF($G$2:$G$462=G333,$O$2:$O$462)),0)</f>
        <v/>
      </c>
      <c r="AG333" s="6">
        <f t="array" ref="AG333">IFERROR((P333-AVERAGEIF($G$2:$G$462,G333,$P$2:$P$462))/_xlfn.STDEV.P(IF($G$2:$G$462=G333,$P$2:$P$462)),0)</f>
        <v/>
      </c>
      <c r="AH333" s="6">
        <f t="array" ref="AH333">IFERROR((R333-AVERAGEIF($G$2:$G$462,G333,$R$2:$R$462))/_xlfn.STDEV.P(IF($G$2:$G$462=G333,$R$2:$R$462)),0)</f>
        <v/>
      </c>
      <c r="AI333" s="6">
        <f>IFERROR((AC333+AD333+AE333+AF333+AG333+AH333)/6,0)</f>
        <v/>
      </c>
    </row>
    <row r="334">
      <c r="A334" s="2">
        <f>IF(BD_Carga!A335&lt;&gt;"",BD_Carga!A335,"")</f>
        <v/>
      </c>
      <c r="B334">
        <f>IF(A334&lt;&gt;"",YEAR(A334),"")</f>
        <v/>
      </c>
      <c r="C334">
        <f>IF(A334&lt;&gt;"",MONTH(A334),"")</f>
        <v/>
      </c>
      <c r="D334">
        <f>IF(A334&lt;&gt;"",_xlfn.ISOWEEKNUM(A334),"")</f>
        <v/>
      </c>
      <c r="E334">
        <f>IF(A334&lt;&gt;"",TEXT(A334,"dddd"),"")</f>
        <v/>
      </c>
      <c r="F334">
        <f>IF(BD_Carga!C335&lt;&gt;"",BD_Carga!C335,"")</f>
        <v/>
      </c>
      <c r="G334">
        <f>IF(BD_Carga!D335&lt;&gt;"",BD_Carga!D335,"")</f>
        <v/>
      </c>
      <c r="H334">
        <f>IF(BD_Carga!Q335&lt;&gt;"",BD_Carga!Q335,"")</f>
        <v/>
      </c>
      <c r="I334">
        <f>IF(BD_Carga!R335&lt;&gt;"",BD_Carga!R335,"")</f>
        <v/>
      </c>
      <c r="J334">
        <f>IF(BD_Carga!S335&lt;&gt;"",BD_Carga!S335,"")</f>
        <v/>
      </c>
      <c r="K334" s="4">
        <f>IF(BD_Carga!E335&lt;&gt;"",BD_Carga!E335,0)</f>
        <v/>
      </c>
      <c r="L334" s="4">
        <f>IF(BD_Carga!F335&lt;&gt;"",BD_Carga!F335,0)</f>
        <v/>
      </c>
      <c r="M334" s="4">
        <f>IF(BD_Carga!G335&lt;&gt;"",BD_Carga!G335,0)</f>
        <v/>
      </c>
      <c r="N334" s="4">
        <f>IF(BD_Carga!H335&lt;&gt;"",BD_Carga!H335,0)</f>
        <v/>
      </c>
      <c r="O334" s="4">
        <f>IF(BD_Carga!I335&lt;&gt;"",BD_Carga!I335,0)</f>
        <v/>
      </c>
      <c r="P334" s="4">
        <f>IF(BD_Carga!J335&lt;&gt;"",BD_Carga!J335,0)</f>
        <v/>
      </c>
      <c r="Q334" s="5">
        <f>IF(BD_Carga!K335&lt;&gt;"",BD_Carga!K335,0)</f>
        <v/>
      </c>
      <c r="R334" s="5">
        <f>IF(BD_Carga!L335&lt;&gt;"",BD_Carga!L335,0)</f>
        <v/>
      </c>
      <c r="S334">
        <f>IF(BD_Carga!N335&lt;&gt;"",BD_Carga!N335,0)</f>
        <v/>
      </c>
      <c r="T334">
        <f>IF(BD_Carga!O335&lt;&gt;"",BD_Carga!O335,0)</f>
        <v/>
      </c>
      <c r="U334">
        <f>IF(BD_Carga!P335&lt;&gt;"",BD_Carga!P335,0)</f>
        <v/>
      </c>
      <c r="V334">
        <f>IF(BD_Carga!U335&lt;&gt;"",BD_Carga!U335,0)</f>
        <v/>
      </c>
      <c r="W334">
        <f>IF(BD_Carga!T335&lt;&gt;"",BD_Carga!T335,0)</f>
        <v/>
      </c>
      <c r="X334">
        <f>IF(BD_Carga!W335&lt;&gt;"",BD_Carga!W335,0)</f>
        <v/>
      </c>
      <c r="Y334">
        <f>IF(BD_Carga!X335&lt;&gt;"",BD_Carga!X335,0)</f>
        <v/>
      </c>
      <c r="Z334">
        <f>IF(BD_Carga!Y335&lt;&gt;"",BD_Carga!Y335,0)</f>
        <v/>
      </c>
      <c r="AA334">
        <f>IF(BD_Carga!Z335&lt;&gt;"",BD_Carga!Z335,0)</f>
        <v/>
      </c>
      <c r="AB334">
        <f>IF(BD_Carga!AA335&lt;&gt;"",BD_Carga!AA335,0)</f>
        <v/>
      </c>
      <c r="AC334" s="6">
        <f t="array" ref="AC334">IFERROR((L334-AVERAGEIF($G$2:$G$462,G334,$L$2:$L$462))/_xlfn.STDEV.P(IF($G$2:$G$462=G334,$L$2:$L$462)),0)</f>
        <v/>
      </c>
      <c r="AD334" s="6">
        <f t="array" ref="AD334">IFERROR((M334-AVERAGEIF($G$2:$G$462,G334,$M$2:$M$462))/_xlfn.STDEV.P(IF($G$2:$G$462=G334,$M$2:$M$462)),0)</f>
        <v/>
      </c>
      <c r="AE334" s="6">
        <f t="array" ref="AE334">IFERROR((N334-AVERAGEIF($G$2:$G$462,G334,$N$2:$N$462))/_xlfn.STDEV.P(IF($G$2:$G$462=G334,$N$2:$N$462)),0)</f>
        <v/>
      </c>
      <c r="AF334" s="6">
        <f t="array" ref="AF334">IFERROR((O334-AVERAGEIF($G$2:$G$462,G334,$O$2:$O$462))/_xlfn.STDEV.P(IF($G$2:$G$462=G334,$O$2:$O$462)),0)</f>
        <v/>
      </c>
      <c r="AG334" s="6">
        <f t="array" ref="AG334">IFERROR((P334-AVERAGEIF($G$2:$G$462,G334,$P$2:$P$462))/_xlfn.STDEV.P(IF($G$2:$G$462=G334,$P$2:$P$462)),0)</f>
        <v/>
      </c>
      <c r="AH334" s="6">
        <f t="array" ref="AH334">IFERROR((R334-AVERAGEIF($G$2:$G$462,G334,$R$2:$R$462))/_xlfn.STDEV.P(IF($G$2:$G$462=G334,$R$2:$R$462)),0)</f>
        <v/>
      </c>
      <c r="AI334" s="6">
        <f>IFERROR((AC334+AD334+AE334+AF334+AG334+AH334)/6,0)</f>
        <v/>
      </c>
    </row>
    <row r="335">
      <c r="A335" s="2">
        <f>IF(BD_Carga!A336&lt;&gt;"",BD_Carga!A336,"")</f>
        <v/>
      </c>
      <c r="B335">
        <f>IF(A335&lt;&gt;"",YEAR(A335),"")</f>
        <v/>
      </c>
      <c r="C335">
        <f>IF(A335&lt;&gt;"",MONTH(A335),"")</f>
        <v/>
      </c>
      <c r="D335">
        <f>IF(A335&lt;&gt;"",_xlfn.ISOWEEKNUM(A335),"")</f>
        <v/>
      </c>
      <c r="E335">
        <f>IF(A335&lt;&gt;"",TEXT(A335,"dddd"),"")</f>
        <v/>
      </c>
      <c r="F335">
        <f>IF(BD_Carga!C336&lt;&gt;"",BD_Carga!C336,"")</f>
        <v/>
      </c>
      <c r="G335">
        <f>IF(BD_Carga!D336&lt;&gt;"",BD_Carga!D336,"")</f>
        <v/>
      </c>
      <c r="H335">
        <f>IF(BD_Carga!Q336&lt;&gt;"",BD_Carga!Q336,"")</f>
        <v/>
      </c>
      <c r="I335">
        <f>IF(BD_Carga!R336&lt;&gt;"",BD_Carga!R336,"")</f>
        <v/>
      </c>
      <c r="J335">
        <f>IF(BD_Carga!S336&lt;&gt;"",BD_Carga!S336,"")</f>
        <v/>
      </c>
      <c r="K335" s="4">
        <f>IF(BD_Carga!E336&lt;&gt;"",BD_Carga!E336,0)</f>
        <v/>
      </c>
      <c r="L335" s="4">
        <f>IF(BD_Carga!F336&lt;&gt;"",BD_Carga!F336,0)</f>
        <v/>
      </c>
      <c r="M335" s="4">
        <f>IF(BD_Carga!G336&lt;&gt;"",BD_Carga!G336,0)</f>
        <v/>
      </c>
      <c r="N335" s="4">
        <f>IF(BD_Carga!H336&lt;&gt;"",BD_Carga!H336,0)</f>
        <v/>
      </c>
      <c r="O335" s="4">
        <f>IF(BD_Carga!I336&lt;&gt;"",BD_Carga!I336,0)</f>
        <v/>
      </c>
      <c r="P335" s="4">
        <f>IF(BD_Carga!J336&lt;&gt;"",BD_Carga!J336,0)</f>
        <v/>
      </c>
      <c r="Q335" s="5">
        <f>IF(BD_Carga!K336&lt;&gt;"",BD_Carga!K336,0)</f>
        <v/>
      </c>
      <c r="R335" s="5">
        <f>IF(BD_Carga!L336&lt;&gt;"",BD_Carga!L336,0)</f>
        <v/>
      </c>
      <c r="S335">
        <f>IF(BD_Carga!N336&lt;&gt;"",BD_Carga!N336,0)</f>
        <v/>
      </c>
      <c r="T335">
        <f>IF(BD_Carga!O336&lt;&gt;"",BD_Carga!O336,0)</f>
        <v/>
      </c>
      <c r="U335">
        <f>IF(BD_Carga!P336&lt;&gt;"",BD_Carga!P336,0)</f>
        <v/>
      </c>
      <c r="V335">
        <f>IF(BD_Carga!U336&lt;&gt;"",BD_Carga!U336,0)</f>
        <v/>
      </c>
      <c r="W335">
        <f>IF(BD_Carga!T336&lt;&gt;"",BD_Carga!T336,0)</f>
        <v/>
      </c>
      <c r="X335">
        <f>IF(BD_Carga!W336&lt;&gt;"",BD_Carga!W336,0)</f>
        <v/>
      </c>
      <c r="Y335">
        <f>IF(BD_Carga!X336&lt;&gt;"",BD_Carga!X336,0)</f>
        <v/>
      </c>
      <c r="Z335">
        <f>IF(BD_Carga!Y336&lt;&gt;"",BD_Carga!Y336,0)</f>
        <v/>
      </c>
      <c r="AA335">
        <f>IF(BD_Carga!Z336&lt;&gt;"",BD_Carga!Z336,0)</f>
        <v/>
      </c>
      <c r="AB335">
        <f>IF(BD_Carga!AA336&lt;&gt;"",BD_Carga!AA336,0)</f>
        <v/>
      </c>
      <c r="AC335" s="6">
        <f t="array" ref="AC335">IFERROR((L335-AVERAGEIF($G$2:$G$462,G335,$L$2:$L$462))/_xlfn.STDEV.P(IF($G$2:$G$462=G335,$L$2:$L$462)),0)</f>
        <v/>
      </c>
      <c r="AD335" s="6">
        <f t="array" ref="AD335">IFERROR((M335-AVERAGEIF($G$2:$G$462,G335,$M$2:$M$462))/_xlfn.STDEV.P(IF($G$2:$G$462=G335,$M$2:$M$462)),0)</f>
        <v/>
      </c>
      <c r="AE335" s="6">
        <f t="array" ref="AE335">IFERROR((N335-AVERAGEIF($G$2:$G$462,G335,$N$2:$N$462))/_xlfn.STDEV.P(IF($G$2:$G$462=G335,$N$2:$N$462)),0)</f>
        <v/>
      </c>
      <c r="AF335" s="6">
        <f t="array" ref="AF335">IFERROR((O335-AVERAGEIF($G$2:$G$462,G335,$O$2:$O$462))/_xlfn.STDEV.P(IF($G$2:$G$462=G335,$O$2:$O$462)),0)</f>
        <v/>
      </c>
      <c r="AG335" s="6">
        <f t="array" ref="AG335">IFERROR((P335-AVERAGEIF($G$2:$G$462,G335,$P$2:$P$462))/_xlfn.STDEV.P(IF($G$2:$G$462=G335,$P$2:$P$462)),0)</f>
        <v/>
      </c>
      <c r="AH335" s="6">
        <f t="array" ref="AH335">IFERROR((R335-AVERAGEIF($G$2:$G$462,G335,$R$2:$R$462))/_xlfn.STDEV.P(IF($G$2:$G$462=G335,$R$2:$R$462)),0)</f>
        <v/>
      </c>
      <c r="AI335" s="6">
        <f>IFERROR((AC335+AD335+AE335+AF335+AG335+AH335)/6,0)</f>
        <v/>
      </c>
    </row>
    <row r="336">
      <c r="A336" s="2">
        <f>IF(BD_Carga!A337&lt;&gt;"",BD_Carga!A337,"")</f>
        <v/>
      </c>
      <c r="B336">
        <f>IF(A336&lt;&gt;"",YEAR(A336),"")</f>
        <v/>
      </c>
      <c r="C336">
        <f>IF(A336&lt;&gt;"",MONTH(A336),"")</f>
        <v/>
      </c>
      <c r="D336">
        <f>IF(A336&lt;&gt;"",_xlfn.ISOWEEKNUM(A336),"")</f>
        <v/>
      </c>
      <c r="E336">
        <f>IF(A336&lt;&gt;"",TEXT(A336,"dddd"),"")</f>
        <v/>
      </c>
      <c r="F336">
        <f>IF(BD_Carga!C337&lt;&gt;"",BD_Carga!C337,"")</f>
        <v/>
      </c>
      <c r="G336">
        <f>IF(BD_Carga!D337&lt;&gt;"",BD_Carga!D337,"")</f>
        <v/>
      </c>
      <c r="H336">
        <f>IF(BD_Carga!Q337&lt;&gt;"",BD_Carga!Q337,"")</f>
        <v/>
      </c>
      <c r="I336">
        <f>IF(BD_Carga!R337&lt;&gt;"",BD_Carga!R337,"")</f>
        <v/>
      </c>
      <c r="J336">
        <f>IF(BD_Carga!S337&lt;&gt;"",BD_Carga!S337,"")</f>
        <v/>
      </c>
      <c r="K336" s="4">
        <f>IF(BD_Carga!E337&lt;&gt;"",BD_Carga!E337,0)</f>
        <v/>
      </c>
      <c r="L336" s="4">
        <f>IF(BD_Carga!F337&lt;&gt;"",BD_Carga!F337,0)</f>
        <v/>
      </c>
      <c r="M336" s="4">
        <f>IF(BD_Carga!G337&lt;&gt;"",BD_Carga!G337,0)</f>
        <v/>
      </c>
      <c r="N336" s="4">
        <f>IF(BD_Carga!H337&lt;&gt;"",BD_Carga!H337,0)</f>
        <v/>
      </c>
      <c r="O336" s="4">
        <f>IF(BD_Carga!I337&lt;&gt;"",BD_Carga!I337,0)</f>
        <v/>
      </c>
      <c r="P336" s="4">
        <f>IF(BD_Carga!J337&lt;&gt;"",BD_Carga!J337,0)</f>
        <v/>
      </c>
      <c r="Q336" s="5">
        <f>IF(BD_Carga!K337&lt;&gt;"",BD_Carga!K337,0)</f>
        <v/>
      </c>
      <c r="R336" s="5">
        <f>IF(BD_Carga!L337&lt;&gt;"",BD_Carga!L337,0)</f>
        <v/>
      </c>
      <c r="S336">
        <f>IF(BD_Carga!N337&lt;&gt;"",BD_Carga!N337,0)</f>
        <v/>
      </c>
      <c r="T336">
        <f>IF(BD_Carga!O337&lt;&gt;"",BD_Carga!O337,0)</f>
        <v/>
      </c>
      <c r="U336">
        <f>IF(BD_Carga!P337&lt;&gt;"",BD_Carga!P337,0)</f>
        <v/>
      </c>
      <c r="V336">
        <f>IF(BD_Carga!U337&lt;&gt;"",BD_Carga!U337,0)</f>
        <v/>
      </c>
      <c r="W336">
        <f>IF(BD_Carga!T337&lt;&gt;"",BD_Carga!T337,0)</f>
        <v/>
      </c>
      <c r="X336">
        <f>IF(BD_Carga!W337&lt;&gt;"",BD_Carga!W337,0)</f>
        <v/>
      </c>
      <c r="Y336">
        <f>IF(BD_Carga!X337&lt;&gt;"",BD_Carga!X337,0)</f>
        <v/>
      </c>
      <c r="Z336">
        <f>IF(BD_Carga!Y337&lt;&gt;"",BD_Carga!Y337,0)</f>
        <v/>
      </c>
      <c r="AA336">
        <f>IF(BD_Carga!Z337&lt;&gt;"",BD_Carga!Z337,0)</f>
        <v/>
      </c>
      <c r="AB336">
        <f>IF(BD_Carga!AA337&lt;&gt;"",BD_Carga!AA337,0)</f>
        <v/>
      </c>
      <c r="AC336" s="6">
        <f t="array" ref="AC336">IFERROR((L336-AVERAGEIF($G$2:$G$462,G336,$L$2:$L$462))/_xlfn.STDEV.P(IF($G$2:$G$462=G336,$L$2:$L$462)),0)</f>
        <v/>
      </c>
      <c r="AD336" s="6">
        <f t="array" ref="AD336">IFERROR((M336-AVERAGEIF($G$2:$G$462,G336,$M$2:$M$462))/_xlfn.STDEV.P(IF($G$2:$G$462=G336,$M$2:$M$462)),0)</f>
        <v/>
      </c>
      <c r="AE336" s="6">
        <f t="array" ref="AE336">IFERROR((N336-AVERAGEIF($G$2:$G$462,G336,$N$2:$N$462))/_xlfn.STDEV.P(IF($G$2:$G$462=G336,$N$2:$N$462)),0)</f>
        <v/>
      </c>
      <c r="AF336" s="6">
        <f t="array" ref="AF336">IFERROR((O336-AVERAGEIF($G$2:$G$462,G336,$O$2:$O$462))/_xlfn.STDEV.P(IF($G$2:$G$462=G336,$O$2:$O$462)),0)</f>
        <v/>
      </c>
      <c r="AG336" s="6">
        <f t="array" ref="AG336">IFERROR((P336-AVERAGEIF($G$2:$G$462,G336,$P$2:$P$462))/_xlfn.STDEV.P(IF($G$2:$G$462=G336,$P$2:$P$462)),0)</f>
        <v/>
      </c>
      <c r="AH336" s="6">
        <f t="array" ref="AH336">IFERROR((R336-AVERAGEIF($G$2:$G$462,G336,$R$2:$R$462))/_xlfn.STDEV.P(IF($G$2:$G$462=G336,$R$2:$R$462)),0)</f>
        <v/>
      </c>
      <c r="AI336" s="6">
        <f>IFERROR((AC336+AD336+AE336+AF336+AG336+AH336)/6,0)</f>
        <v/>
      </c>
    </row>
    <row r="337">
      <c r="A337" s="2">
        <f>IF(BD_Carga!A338&lt;&gt;"",BD_Carga!A338,"")</f>
        <v/>
      </c>
      <c r="B337">
        <f>IF(A337&lt;&gt;"",YEAR(A337),"")</f>
        <v/>
      </c>
      <c r="C337">
        <f>IF(A337&lt;&gt;"",MONTH(A337),"")</f>
        <v/>
      </c>
      <c r="D337">
        <f>IF(A337&lt;&gt;"",_xlfn.ISOWEEKNUM(A337),"")</f>
        <v/>
      </c>
      <c r="E337">
        <f>IF(A337&lt;&gt;"",TEXT(A337,"dddd"),"")</f>
        <v/>
      </c>
      <c r="F337">
        <f>IF(BD_Carga!C338&lt;&gt;"",BD_Carga!C338,"")</f>
        <v/>
      </c>
      <c r="G337">
        <f>IF(BD_Carga!D338&lt;&gt;"",BD_Carga!D338,"")</f>
        <v/>
      </c>
      <c r="H337">
        <f>IF(BD_Carga!Q338&lt;&gt;"",BD_Carga!Q338,"")</f>
        <v/>
      </c>
      <c r="I337">
        <f>IF(BD_Carga!R338&lt;&gt;"",BD_Carga!R338,"")</f>
        <v/>
      </c>
      <c r="J337">
        <f>IF(BD_Carga!S338&lt;&gt;"",BD_Carga!S338,"")</f>
        <v/>
      </c>
      <c r="K337" s="4">
        <f>IF(BD_Carga!E338&lt;&gt;"",BD_Carga!E338,0)</f>
        <v/>
      </c>
      <c r="L337" s="4">
        <f>IF(BD_Carga!F338&lt;&gt;"",BD_Carga!F338,0)</f>
        <v/>
      </c>
      <c r="M337" s="4">
        <f>IF(BD_Carga!G338&lt;&gt;"",BD_Carga!G338,0)</f>
        <v/>
      </c>
      <c r="N337" s="4">
        <f>IF(BD_Carga!H338&lt;&gt;"",BD_Carga!H338,0)</f>
        <v/>
      </c>
      <c r="O337" s="4">
        <f>IF(BD_Carga!I338&lt;&gt;"",BD_Carga!I338,0)</f>
        <v/>
      </c>
      <c r="P337" s="4">
        <f>IF(BD_Carga!J338&lt;&gt;"",BD_Carga!J338,0)</f>
        <v/>
      </c>
      <c r="Q337" s="5">
        <f>IF(BD_Carga!K338&lt;&gt;"",BD_Carga!K338,0)</f>
        <v/>
      </c>
      <c r="R337" s="5">
        <f>IF(BD_Carga!L338&lt;&gt;"",BD_Carga!L338,0)</f>
        <v/>
      </c>
      <c r="S337">
        <f>IF(BD_Carga!N338&lt;&gt;"",BD_Carga!N338,0)</f>
        <v/>
      </c>
      <c r="T337">
        <f>IF(BD_Carga!O338&lt;&gt;"",BD_Carga!O338,0)</f>
        <v/>
      </c>
      <c r="U337">
        <f>IF(BD_Carga!P338&lt;&gt;"",BD_Carga!P338,0)</f>
        <v/>
      </c>
      <c r="V337">
        <f>IF(BD_Carga!U338&lt;&gt;"",BD_Carga!U338,0)</f>
        <v/>
      </c>
      <c r="W337">
        <f>IF(BD_Carga!T338&lt;&gt;"",BD_Carga!T338,0)</f>
        <v/>
      </c>
      <c r="X337">
        <f>IF(BD_Carga!W338&lt;&gt;"",BD_Carga!W338,0)</f>
        <v/>
      </c>
      <c r="Y337">
        <f>IF(BD_Carga!X338&lt;&gt;"",BD_Carga!X338,0)</f>
        <v/>
      </c>
      <c r="Z337">
        <f>IF(BD_Carga!Y338&lt;&gt;"",BD_Carga!Y338,0)</f>
        <v/>
      </c>
      <c r="AA337">
        <f>IF(BD_Carga!Z338&lt;&gt;"",BD_Carga!Z338,0)</f>
        <v/>
      </c>
      <c r="AB337">
        <f>IF(BD_Carga!AA338&lt;&gt;"",BD_Carga!AA338,0)</f>
        <v/>
      </c>
      <c r="AC337" s="6">
        <f t="array" ref="AC337">IFERROR((L337-AVERAGEIF($G$2:$G$462,G337,$L$2:$L$462))/_xlfn.STDEV.P(IF($G$2:$G$462=G337,$L$2:$L$462)),0)</f>
        <v/>
      </c>
      <c r="AD337" s="6">
        <f t="array" ref="AD337">IFERROR((M337-AVERAGEIF($G$2:$G$462,G337,$M$2:$M$462))/_xlfn.STDEV.P(IF($G$2:$G$462=G337,$M$2:$M$462)),0)</f>
        <v/>
      </c>
      <c r="AE337" s="6">
        <f t="array" ref="AE337">IFERROR((N337-AVERAGEIF($G$2:$G$462,G337,$N$2:$N$462))/_xlfn.STDEV.P(IF($G$2:$G$462=G337,$N$2:$N$462)),0)</f>
        <v/>
      </c>
      <c r="AF337" s="6">
        <f t="array" ref="AF337">IFERROR((O337-AVERAGEIF($G$2:$G$462,G337,$O$2:$O$462))/_xlfn.STDEV.P(IF($G$2:$G$462=G337,$O$2:$O$462)),0)</f>
        <v/>
      </c>
      <c r="AG337" s="6">
        <f t="array" ref="AG337">IFERROR((P337-AVERAGEIF($G$2:$G$462,G337,$P$2:$P$462))/_xlfn.STDEV.P(IF($G$2:$G$462=G337,$P$2:$P$462)),0)</f>
        <v/>
      </c>
      <c r="AH337" s="6">
        <f t="array" ref="AH337">IFERROR((R337-AVERAGEIF($G$2:$G$462,G337,$R$2:$R$462))/_xlfn.STDEV.P(IF($G$2:$G$462=G337,$R$2:$R$462)),0)</f>
        <v/>
      </c>
      <c r="AI337" s="6">
        <f>IFERROR((AC337+AD337+AE337+AF337+AG337+AH337)/6,0)</f>
        <v/>
      </c>
    </row>
    <row r="338">
      <c r="A338" s="2">
        <f>IF(BD_Carga!A339&lt;&gt;"",BD_Carga!A339,"")</f>
        <v/>
      </c>
      <c r="B338">
        <f>IF(A338&lt;&gt;"",YEAR(A338),"")</f>
        <v/>
      </c>
      <c r="C338">
        <f>IF(A338&lt;&gt;"",MONTH(A338),"")</f>
        <v/>
      </c>
      <c r="D338">
        <f>IF(A338&lt;&gt;"",_xlfn.ISOWEEKNUM(A338),"")</f>
        <v/>
      </c>
      <c r="E338">
        <f>IF(A338&lt;&gt;"",TEXT(A338,"dddd"),"")</f>
        <v/>
      </c>
      <c r="F338">
        <f>IF(BD_Carga!C339&lt;&gt;"",BD_Carga!C339,"")</f>
        <v/>
      </c>
      <c r="G338">
        <f>IF(BD_Carga!D339&lt;&gt;"",BD_Carga!D339,"")</f>
        <v/>
      </c>
      <c r="H338">
        <f>IF(BD_Carga!Q339&lt;&gt;"",BD_Carga!Q339,"")</f>
        <v/>
      </c>
      <c r="I338">
        <f>IF(BD_Carga!R339&lt;&gt;"",BD_Carga!R339,"")</f>
        <v/>
      </c>
      <c r="J338">
        <f>IF(BD_Carga!S339&lt;&gt;"",BD_Carga!S339,"")</f>
        <v/>
      </c>
      <c r="K338" s="4">
        <f>IF(BD_Carga!E339&lt;&gt;"",BD_Carga!E339,0)</f>
        <v/>
      </c>
      <c r="L338" s="4">
        <f>IF(BD_Carga!F339&lt;&gt;"",BD_Carga!F339,0)</f>
        <v/>
      </c>
      <c r="M338" s="4">
        <f>IF(BD_Carga!G339&lt;&gt;"",BD_Carga!G339,0)</f>
        <v/>
      </c>
      <c r="N338" s="4">
        <f>IF(BD_Carga!H339&lt;&gt;"",BD_Carga!H339,0)</f>
        <v/>
      </c>
      <c r="O338" s="4">
        <f>IF(BD_Carga!I339&lt;&gt;"",BD_Carga!I339,0)</f>
        <v/>
      </c>
      <c r="P338" s="4">
        <f>IF(BD_Carga!J339&lt;&gt;"",BD_Carga!J339,0)</f>
        <v/>
      </c>
      <c r="Q338" s="5">
        <f>IF(BD_Carga!K339&lt;&gt;"",BD_Carga!K339,0)</f>
        <v/>
      </c>
      <c r="R338" s="5">
        <f>IF(BD_Carga!L339&lt;&gt;"",BD_Carga!L339,0)</f>
        <v/>
      </c>
      <c r="S338">
        <f>IF(BD_Carga!N339&lt;&gt;"",BD_Carga!N339,0)</f>
        <v/>
      </c>
      <c r="T338">
        <f>IF(BD_Carga!O339&lt;&gt;"",BD_Carga!O339,0)</f>
        <v/>
      </c>
      <c r="U338">
        <f>IF(BD_Carga!P339&lt;&gt;"",BD_Carga!P339,0)</f>
        <v/>
      </c>
      <c r="V338">
        <f>IF(BD_Carga!U339&lt;&gt;"",BD_Carga!U339,0)</f>
        <v/>
      </c>
      <c r="W338">
        <f>IF(BD_Carga!T339&lt;&gt;"",BD_Carga!T339,0)</f>
        <v/>
      </c>
      <c r="X338">
        <f>IF(BD_Carga!W339&lt;&gt;"",BD_Carga!W339,0)</f>
        <v/>
      </c>
      <c r="Y338">
        <f>IF(BD_Carga!X339&lt;&gt;"",BD_Carga!X339,0)</f>
        <v/>
      </c>
      <c r="Z338">
        <f>IF(BD_Carga!Y339&lt;&gt;"",BD_Carga!Y339,0)</f>
        <v/>
      </c>
      <c r="AA338">
        <f>IF(BD_Carga!Z339&lt;&gt;"",BD_Carga!Z339,0)</f>
        <v/>
      </c>
      <c r="AB338">
        <f>IF(BD_Carga!AA339&lt;&gt;"",BD_Carga!AA339,0)</f>
        <v/>
      </c>
      <c r="AC338" s="6">
        <f t="array" ref="AC338">IFERROR((L338-AVERAGEIF($G$2:$G$462,G338,$L$2:$L$462))/_xlfn.STDEV.P(IF($G$2:$G$462=G338,$L$2:$L$462)),0)</f>
        <v/>
      </c>
      <c r="AD338" s="6">
        <f t="array" ref="AD338">IFERROR((M338-AVERAGEIF($G$2:$G$462,G338,$M$2:$M$462))/_xlfn.STDEV.P(IF($G$2:$G$462=G338,$M$2:$M$462)),0)</f>
        <v/>
      </c>
      <c r="AE338" s="6">
        <f t="array" ref="AE338">IFERROR((N338-AVERAGEIF($G$2:$G$462,G338,$N$2:$N$462))/_xlfn.STDEV.P(IF($G$2:$G$462=G338,$N$2:$N$462)),0)</f>
        <v/>
      </c>
      <c r="AF338" s="6">
        <f t="array" ref="AF338">IFERROR((O338-AVERAGEIF($G$2:$G$462,G338,$O$2:$O$462))/_xlfn.STDEV.P(IF($G$2:$G$462=G338,$O$2:$O$462)),0)</f>
        <v/>
      </c>
      <c r="AG338" s="6">
        <f t="array" ref="AG338">IFERROR((P338-AVERAGEIF($G$2:$G$462,G338,$P$2:$P$462))/_xlfn.STDEV.P(IF($G$2:$G$462=G338,$P$2:$P$462)),0)</f>
        <v/>
      </c>
      <c r="AH338" s="6">
        <f t="array" ref="AH338">IFERROR((R338-AVERAGEIF($G$2:$G$462,G338,$R$2:$R$462))/_xlfn.STDEV.P(IF($G$2:$G$462=G338,$R$2:$R$462)),0)</f>
        <v/>
      </c>
      <c r="AI338" s="6">
        <f>IFERROR((AC338+AD338+AE338+AF338+AG338+AH338)/6,0)</f>
        <v/>
      </c>
    </row>
    <row r="339">
      <c r="A339" s="2">
        <f>IF(BD_Carga!A340&lt;&gt;"",BD_Carga!A340,"")</f>
        <v/>
      </c>
      <c r="B339">
        <f>IF(A339&lt;&gt;"",YEAR(A339),"")</f>
        <v/>
      </c>
      <c r="C339">
        <f>IF(A339&lt;&gt;"",MONTH(A339),"")</f>
        <v/>
      </c>
      <c r="D339">
        <f>IF(A339&lt;&gt;"",_xlfn.ISOWEEKNUM(A339),"")</f>
        <v/>
      </c>
      <c r="E339">
        <f>IF(A339&lt;&gt;"",TEXT(A339,"dddd"),"")</f>
        <v/>
      </c>
      <c r="F339">
        <f>IF(BD_Carga!C340&lt;&gt;"",BD_Carga!C340,"")</f>
        <v/>
      </c>
      <c r="G339">
        <f>IF(BD_Carga!D340&lt;&gt;"",BD_Carga!D340,"")</f>
        <v/>
      </c>
      <c r="H339">
        <f>IF(BD_Carga!Q340&lt;&gt;"",BD_Carga!Q340,"")</f>
        <v/>
      </c>
      <c r="I339">
        <f>IF(BD_Carga!R340&lt;&gt;"",BD_Carga!R340,"")</f>
        <v/>
      </c>
      <c r="J339">
        <f>IF(BD_Carga!S340&lt;&gt;"",BD_Carga!S340,"")</f>
        <v/>
      </c>
      <c r="K339" s="4">
        <f>IF(BD_Carga!E340&lt;&gt;"",BD_Carga!E340,0)</f>
        <v/>
      </c>
      <c r="L339" s="4">
        <f>IF(BD_Carga!F340&lt;&gt;"",BD_Carga!F340,0)</f>
        <v/>
      </c>
      <c r="M339" s="4">
        <f>IF(BD_Carga!G340&lt;&gt;"",BD_Carga!G340,0)</f>
        <v/>
      </c>
      <c r="N339" s="4">
        <f>IF(BD_Carga!H340&lt;&gt;"",BD_Carga!H340,0)</f>
        <v/>
      </c>
      <c r="O339" s="4">
        <f>IF(BD_Carga!I340&lt;&gt;"",BD_Carga!I340,0)</f>
        <v/>
      </c>
      <c r="P339" s="4">
        <f>IF(BD_Carga!J340&lt;&gt;"",BD_Carga!J340,0)</f>
        <v/>
      </c>
      <c r="Q339" s="5">
        <f>IF(BD_Carga!K340&lt;&gt;"",BD_Carga!K340,0)</f>
        <v/>
      </c>
      <c r="R339" s="5">
        <f>IF(BD_Carga!L340&lt;&gt;"",BD_Carga!L340,0)</f>
        <v/>
      </c>
      <c r="S339">
        <f>IF(BD_Carga!N340&lt;&gt;"",BD_Carga!N340,0)</f>
        <v/>
      </c>
      <c r="T339">
        <f>IF(BD_Carga!O340&lt;&gt;"",BD_Carga!O340,0)</f>
        <v/>
      </c>
      <c r="U339">
        <f>IF(BD_Carga!P340&lt;&gt;"",BD_Carga!P340,0)</f>
        <v/>
      </c>
      <c r="V339">
        <f>IF(BD_Carga!U340&lt;&gt;"",BD_Carga!U340,0)</f>
        <v/>
      </c>
      <c r="W339">
        <f>IF(BD_Carga!T340&lt;&gt;"",BD_Carga!T340,0)</f>
        <v/>
      </c>
      <c r="X339">
        <f>IF(BD_Carga!W340&lt;&gt;"",BD_Carga!W340,0)</f>
        <v/>
      </c>
      <c r="Y339">
        <f>IF(BD_Carga!X340&lt;&gt;"",BD_Carga!X340,0)</f>
        <v/>
      </c>
      <c r="Z339">
        <f>IF(BD_Carga!Y340&lt;&gt;"",BD_Carga!Y340,0)</f>
        <v/>
      </c>
      <c r="AA339">
        <f>IF(BD_Carga!Z340&lt;&gt;"",BD_Carga!Z340,0)</f>
        <v/>
      </c>
      <c r="AB339">
        <f>IF(BD_Carga!AA340&lt;&gt;"",BD_Carga!AA340,0)</f>
        <v/>
      </c>
      <c r="AC339" s="6">
        <f t="array" ref="AC339">IFERROR((L339-AVERAGEIF($G$2:$G$462,G339,$L$2:$L$462))/_xlfn.STDEV.P(IF($G$2:$G$462=G339,$L$2:$L$462)),0)</f>
        <v/>
      </c>
      <c r="AD339" s="6">
        <f t="array" ref="AD339">IFERROR((M339-AVERAGEIF($G$2:$G$462,G339,$M$2:$M$462))/_xlfn.STDEV.P(IF($G$2:$G$462=G339,$M$2:$M$462)),0)</f>
        <v/>
      </c>
      <c r="AE339" s="6">
        <f t="array" ref="AE339">IFERROR((N339-AVERAGEIF($G$2:$G$462,G339,$N$2:$N$462))/_xlfn.STDEV.P(IF($G$2:$G$462=G339,$N$2:$N$462)),0)</f>
        <v/>
      </c>
      <c r="AF339" s="6">
        <f t="array" ref="AF339">IFERROR((O339-AVERAGEIF($G$2:$G$462,G339,$O$2:$O$462))/_xlfn.STDEV.P(IF($G$2:$G$462=G339,$O$2:$O$462)),0)</f>
        <v/>
      </c>
      <c r="AG339" s="6">
        <f t="array" ref="AG339">IFERROR((P339-AVERAGEIF($G$2:$G$462,G339,$P$2:$P$462))/_xlfn.STDEV.P(IF($G$2:$G$462=G339,$P$2:$P$462)),0)</f>
        <v/>
      </c>
      <c r="AH339" s="6">
        <f t="array" ref="AH339">IFERROR((R339-AVERAGEIF($G$2:$G$462,G339,$R$2:$R$462))/_xlfn.STDEV.P(IF($G$2:$G$462=G339,$R$2:$R$462)),0)</f>
        <v/>
      </c>
      <c r="AI339" s="6">
        <f>IFERROR((AC339+AD339+AE339+AF339+AG339+AH339)/6,0)</f>
        <v/>
      </c>
    </row>
    <row r="340">
      <c r="A340" s="2">
        <f>IF(BD_Carga!A341&lt;&gt;"",BD_Carga!A341,"")</f>
        <v/>
      </c>
      <c r="B340">
        <f>IF(A340&lt;&gt;"",YEAR(A340),"")</f>
        <v/>
      </c>
      <c r="C340">
        <f>IF(A340&lt;&gt;"",MONTH(A340),"")</f>
        <v/>
      </c>
      <c r="D340">
        <f>IF(A340&lt;&gt;"",_xlfn.ISOWEEKNUM(A340),"")</f>
        <v/>
      </c>
      <c r="E340">
        <f>IF(A340&lt;&gt;"",TEXT(A340,"dddd"),"")</f>
        <v/>
      </c>
      <c r="F340">
        <f>IF(BD_Carga!C341&lt;&gt;"",BD_Carga!C341,"")</f>
        <v/>
      </c>
      <c r="G340">
        <f>IF(BD_Carga!D341&lt;&gt;"",BD_Carga!D341,"")</f>
        <v/>
      </c>
      <c r="H340">
        <f>IF(BD_Carga!Q341&lt;&gt;"",BD_Carga!Q341,"")</f>
        <v/>
      </c>
      <c r="I340">
        <f>IF(BD_Carga!R341&lt;&gt;"",BD_Carga!R341,"")</f>
        <v/>
      </c>
      <c r="J340">
        <f>IF(BD_Carga!S341&lt;&gt;"",BD_Carga!S341,"")</f>
        <v/>
      </c>
      <c r="K340" s="4">
        <f>IF(BD_Carga!E341&lt;&gt;"",BD_Carga!E341,0)</f>
        <v/>
      </c>
      <c r="L340" s="4">
        <f>IF(BD_Carga!F341&lt;&gt;"",BD_Carga!F341,0)</f>
        <v/>
      </c>
      <c r="M340" s="4">
        <f>IF(BD_Carga!G341&lt;&gt;"",BD_Carga!G341,0)</f>
        <v/>
      </c>
      <c r="N340" s="4">
        <f>IF(BD_Carga!H341&lt;&gt;"",BD_Carga!H341,0)</f>
        <v/>
      </c>
      <c r="O340" s="4">
        <f>IF(BD_Carga!I341&lt;&gt;"",BD_Carga!I341,0)</f>
        <v/>
      </c>
      <c r="P340" s="4">
        <f>IF(BD_Carga!J341&lt;&gt;"",BD_Carga!J341,0)</f>
        <v/>
      </c>
      <c r="Q340" s="5">
        <f>IF(BD_Carga!K341&lt;&gt;"",BD_Carga!K341,0)</f>
        <v/>
      </c>
      <c r="R340" s="5">
        <f>IF(BD_Carga!L341&lt;&gt;"",BD_Carga!L341,0)</f>
        <v/>
      </c>
      <c r="S340">
        <f>IF(BD_Carga!N341&lt;&gt;"",BD_Carga!N341,0)</f>
        <v/>
      </c>
      <c r="T340">
        <f>IF(BD_Carga!O341&lt;&gt;"",BD_Carga!O341,0)</f>
        <v/>
      </c>
      <c r="U340">
        <f>IF(BD_Carga!P341&lt;&gt;"",BD_Carga!P341,0)</f>
        <v/>
      </c>
      <c r="V340">
        <f>IF(BD_Carga!U341&lt;&gt;"",BD_Carga!U341,0)</f>
        <v/>
      </c>
      <c r="W340">
        <f>IF(BD_Carga!T341&lt;&gt;"",BD_Carga!T341,0)</f>
        <v/>
      </c>
      <c r="X340">
        <f>IF(BD_Carga!W341&lt;&gt;"",BD_Carga!W341,0)</f>
        <v/>
      </c>
      <c r="Y340">
        <f>IF(BD_Carga!X341&lt;&gt;"",BD_Carga!X341,0)</f>
        <v/>
      </c>
      <c r="Z340">
        <f>IF(BD_Carga!Y341&lt;&gt;"",BD_Carga!Y341,0)</f>
        <v/>
      </c>
      <c r="AA340">
        <f>IF(BD_Carga!Z341&lt;&gt;"",BD_Carga!Z341,0)</f>
        <v/>
      </c>
      <c r="AB340">
        <f>IF(BD_Carga!AA341&lt;&gt;"",BD_Carga!AA341,0)</f>
        <v/>
      </c>
      <c r="AC340" s="6">
        <f t="array" ref="AC340">IFERROR((L340-AVERAGEIF($G$2:$G$462,G340,$L$2:$L$462))/_xlfn.STDEV.P(IF($G$2:$G$462=G340,$L$2:$L$462)),0)</f>
        <v/>
      </c>
      <c r="AD340" s="6">
        <f t="array" ref="AD340">IFERROR((M340-AVERAGEIF($G$2:$G$462,G340,$M$2:$M$462))/_xlfn.STDEV.P(IF($G$2:$G$462=G340,$M$2:$M$462)),0)</f>
        <v/>
      </c>
      <c r="AE340" s="6">
        <f t="array" ref="AE340">IFERROR((N340-AVERAGEIF($G$2:$G$462,G340,$N$2:$N$462))/_xlfn.STDEV.P(IF($G$2:$G$462=G340,$N$2:$N$462)),0)</f>
        <v/>
      </c>
      <c r="AF340" s="6">
        <f t="array" ref="AF340">IFERROR((O340-AVERAGEIF($G$2:$G$462,G340,$O$2:$O$462))/_xlfn.STDEV.P(IF($G$2:$G$462=G340,$O$2:$O$462)),0)</f>
        <v/>
      </c>
      <c r="AG340" s="6">
        <f t="array" ref="AG340">IFERROR((P340-AVERAGEIF($G$2:$G$462,G340,$P$2:$P$462))/_xlfn.STDEV.P(IF($G$2:$G$462=G340,$P$2:$P$462)),0)</f>
        <v/>
      </c>
      <c r="AH340" s="6">
        <f t="array" ref="AH340">IFERROR((R340-AVERAGEIF($G$2:$G$462,G340,$R$2:$R$462))/_xlfn.STDEV.P(IF($G$2:$G$462=G340,$R$2:$R$462)),0)</f>
        <v/>
      </c>
      <c r="AI340" s="6">
        <f>IFERROR((AC340+AD340+AE340+AF340+AG340+AH340)/6,0)</f>
        <v/>
      </c>
    </row>
    <row r="341">
      <c r="A341" s="2">
        <f>IF(BD_Carga!A342&lt;&gt;"",BD_Carga!A342,"")</f>
        <v/>
      </c>
      <c r="B341">
        <f>IF(A341&lt;&gt;"",YEAR(A341),"")</f>
        <v/>
      </c>
      <c r="C341">
        <f>IF(A341&lt;&gt;"",MONTH(A341),"")</f>
        <v/>
      </c>
      <c r="D341">
        <f>IF(A341&lt;&gt;"",_xlfn.ISOWEEKNUM(A341),"")</f>
        <v/>
      </c>
      <c r="E341">
        <f>IF(A341&lt;&gt;"",TEXT(A341,"dddd"),"")</f>
        <v/>
      </c>
      <c r="F341">
        <f>IF(BD_Carga!C342&lt;&gt;"",BD_Carga!C342,"")</f>
        <v/>
      </c>
      <c r="G341">
        <f>IF(BD_Carga!D342&lt;&gt;"",BD_Carga!D342,"")</f>
        <v/>
      </c>
      <c r="H341">
        <f>IF(BD_Carga!Q342&lt;&gt;"",BD_Carga!Q342,"")</f>
        <v/>
      </c>
      <c r="I341">
        <f>IF(BD_Carga!R342&lt;&gt;"",BD_Carga!R342,"")</f>
        <v/>
      </c>
      <c r="J341">
        <f>IF(BD_Carga!S342&lt;&gt;"",BD_Carga!S342,"")</f>
        <v/>
      </c>
      <c r="K341" s="4">
        <f>IF(BD_Carga!E342&lt;&gt;"",BD_Carga!E342,0)</f>
        <v/>
      </c>
      <c r="L341" s="4">
        <f>IF(BD_Carga!F342&lt;&gt;"",BD_Carga!F342,0)</f>
        <v/>
      </c>
      <c r="M341" s="4">
        <f>IF(BD_Carga!G342&lt;&gt;"",BD_Carga!G342,0)</f>
        <v/>
      </c>
      <c r="N341" s="4">
        <f>IF(BD_Carga!H342&lt;&gt;"",BD_Carga!H342,0)</f>
        <v/>
      </c>
      <c r="O341" s="4">
        <f>IF(BD_Carga!I342&lt;&gt;"",BD_Carga!I342,0)</f>
        <v/>
      </c>
      <c r="P341" s="4">
        <f>IF(BD_Carga!J342&lt;&gt;"",BD_Carga!J342,0)</f>
        <v/>
      </c>
      <c r="Q341" s="5">
        <f>IF(BD_Carga!K342&lt;&gt;"",BD_Carga!K342,0)</f>
        <v/>
      </c>
      <c r="R341" s="5">
        <f>IF(BD_Carga!L342&lt;&gt;"",BD_Carga!L342,0)</f>
        <v/>
      </c>
      <c r="S341">
        <f>IF(BD_Carga!N342&lt;&gt;"",BD_Carga!N342,0)</f>
        <v/>
      </c>
      <c r="T341">
        <f>IF(BD_Carga!O342&lt;&gt;"",BD_Carga!O342,0)</f>
        <v/>
      </c>
      <c r="U341">
        <f>IF(BD_Carga!P342&lt;&gt;"",BD_Carga!P342,0)</f>
        <v/>
      </c>
      <c r="V341">
        <f>IF(BD_Carga!U342&lt;&gt;"",BD_Carga!U342,0)</f>
        <v/>
      </c>
      <c r="W341">
        <f>IF(BD_Carga!T342&lt;&gt;"",BD_Carga!T342,0)</f>
        <v/>
      </c>
      <c r="X341">
        <f>IF(BD_Carga!W342&lt;&gt;"",BD_Carga!W342,0)</f>
        <v/>
      </c>
      <c r="Y341">
        <f>IF(BD_Carga!X342&lt;&gt;"",BD_Carga!X342,0)</f>
        <v/>
      </c>
      <c r="Z341">
        <f>IF(BD_Carga!Y342&lt;&gt;"",BD_Carga!Y342,0)</f>
        <v/>
      </c>
      <c r="AA341">
        <f>IF(BD_Carga!Z342&lt;&gt;"",BD_Carga!Z342,0)</f>
        <v/>
      </c>
      <c r="AB341">
        <f>IF(BD_Carga!AA342&lt;&gt;"",BD_Carga!AA342,0)</f>
        <v/>
      </c>
      <c r="AC341" s="6">
        <f t="array" ref="AC341">IFERROR((L341-AVERAGEIF($G$2:$G$462,G341,$L$2:$L$462))/_xlfn.STDEV.P(IF($G$2:$G$462=G341,$L$2:$L$462)),0)</f>
        <v/>
      </c>
      <c r="AD341" s="6">
        <f t="array" ref="AD341">IFERROR((M341-AVERAGEIF($G$2:$G$462,G341,$M$2:$M$462))/_xlfn.STDEV.P(IF($G$2:$G$462=G341,$M$2:$M$462)),0)</f>
        <v/>
      </c>
      <c r="AE341" s="6">
        <f t="array" ref="AE341">IFERROR((N341-AVERAGEIF($G$2:$G$462,G341,$N$2:$N$462))/_xlfn.STDEV.P(IF($G$2:$G$462=G341,$N$2:$N$462)),0)</f>
        <v/>
      </c>
      <c r="AF341" s="6">
        <f t="array" ref="AF341">IFERROR((O341-AVERAGEIF($G$2:$G$462,G341,$O$2:$O$462))/_xlfn.STDEV.P(IF($G$2:$G$462=G341,$O$2:$O$462)),0)</f>
        <v/>
      </c>
      <c r="AG341" s="6">
        <f t="array" ref="AG341">IFERROR((P341-AVERAGEIF($G$2:$G$462,G341,$P$2:$P$462))/_xlfn.STDEV.P(IF($G$2:$G$462=G341,$P$2:$P$462)),0)</f>
        <v/>
      </c>
      <c r="AH341" s="6">
        <f t="array" ref="AH341">IFERROR((R341-AVERAGEIF($G$2:$G$462,G341,$R$2:$R$462))/_xlfn.STDEV.P(IF($G$2:$G$462=G341,$R$2:$R$462)),0)</f>
        <v/>
      </c>
      <c r="AI341" s="6">
        <f>IFERROR((AC341+AD341+AE341+AF341+AG341+AH341)/6,0)</f>
        <v/>
      </c>
    </row>
    <row r="342">
      <c r="A342" s="2">
        <f>IF(BD_Carga!A343&lt;&gt;"",BD_Carga!A343,"")</f>
        <v/>
      </c>
      <c r="B342">
        <f>IF(A342&lt;&gt;"",YEAR(A342),"")</f>
        <v/>
      </c>
      <c r="C342">
        <f>IF(A342&lt;&gt;"",MONTH(A342),"")</f>
        <v/>
      </c>
      <c r="D342">
        <f>IF(A342&lt;&gt;"",_xlfn.ISOWEEKNUM(A342),"")</f>
        <v/>
      </c>
      <c r="E342">
        <f>IF(A342&lt;&gt;"",TEXT(A342,"dddd"),"")</f>
        <v/>
      </c>
      <c r="F342">
        <f>IF(BD_Carga!C343&lt;&gt;"",BD_Carga!C343,"")</f>
        <v/>
      </c>
      <c r="G342">
        <f>IF(BD_Carga!D343&lt;&gt;"",BD_Carga!D343,"")</f>
        <v/>
      </c>
      <c r="H342">
        <f>IF(BD_Carga!Q343&lt;&gt;"",BD_Carga!Q343,"")</f>
        <v/>
      </c>
      <c r="I342">
        <f>IF(BD_Carga!R343&lt;&gt;"",BD_Carga!R343,"")</f>
        <v/>
      </c>
      <c r="J342">
        <f>IF(BD_Carga!S343&lt;&gt;"",BD_Carga!S343,"")</f>
        <v/>
      </c>
      <c r="K342" s="4">
        <f>IF(BD_Carga!E343&lt;&gt;"",BD_Carga!E343,0)</f>
        <v/>
      </c>
      <c r="L342" s="4">
        <f>IF(BD_Carga!F343&lt;&gt;"",BD_Carga!F343,0)</f>
        <v/>
      </c>
      <c r="M342" s="4">
        <f>IF(BD_Carga!G343&lt;&gt;"",BD_Carga!G343,0)</f>
        <v/>
      </c>
      <c r="N342" s="4">
        <f>IF(BD_Carga!H343&lt;&gt;"",BD_Carga!H343,0)</f>
        <v/>
      </c>
      <c r="O342" s="4">
        <f>IF(BD_Carga!I343&lt;&gt;"",BD_Carga!I343,0)</f>
        <v/>
      </c>
      <c r="P342" s="4">
        <f>IF(BD_Carga!J343&lt;&gt;"",BD_Carga!J343,0)</f>
        <v/>
      </c>
      <c r="Q342" s="5">
        <f>IF(BD_Carga!K343&lt;&gt;"",BD_Carga!K343,0)</f>
        <v/>
      </c>
      <c r="R342" s="5">
        <f>IF(BD_Carga!L343&lt;&gt;"",BD_Carga!L343,0)</f>
        <v/>
      </c>
      <c r="S342">
        <f>IF(BD_Carga!N343&lt;&gt;"",BD_Carga!N343,0)</f>
        <v/>
      </c>
      <c r="T342">
        <f>IF(BD_Carga!O343&lt;&gt;"",BD_Carga!O343,0)</f>
        <v/>
      </c>
      <c r="U342">
        <f>IF(BD_Carga!P343&lt;&gt;"",BD_Carga!P343,0)</f>
        <v/>
      </c>
      <c r="V342">
        <f>IF(BD_Carga!U343&lt;&gt;"",BD_Carga!U343,0)</f>
        <v/>
      </c>
      <c r="W342">
        <f>IF(BD_Carga!T343&lt;&gt;"",BD_Carga!T343,0)</f>
        <v/>
      </c>
      <c r="X342">
        <f>IF(BD_Carga!W343&lt;&gt;"",BD_Carga!W343,0)</f>
        <v/>
      </c>
      <c r="Y342">
        <f>IF(BD_Carga!X343&lt;&gt;"",BD_Carga!X343,0)</f>
        <v/>
      </c>
      <c r="Z342">
        <f>IF(BD_Carga!Y343&lt;&gt;"",BD_Carga!Y343,0)</f>
        <v/>
      </c>
      <c r="AA342">
        <f>IF(BD_Carga!Z343&lt;&gt;"",BD_Carga!Z343,0)</f>
        <v/>
      </c>
      <c r="AB342">
        <f>IF(BD_Carga!AA343&lt;&gt;"",BD_Carga!AA343,0)</f>
        <v/>
      </c>
      <c r="AC342" s="6">
        <f t="array" ref="AC342">IFERROR((L342-AVERAGEIF($G$2:$G$462,G342,$L$2:$L$462))/_xlfn.STDEV.P(IF($G$2:$G$462=G342,$L$2:$L$462)),0)</f>
        <v/>
      </c>
      <c r="AD342" s="6">
        <f t="array" ref="AD342">IFERROR((M342-AVERAGEIF($G$2:$G$462,G342,$M$2:$M$462))/_xlfn.STDEV.P(IF($G$2:$G$462=G342,$M$2:$M$462)),0)</f>
        <v/>
      </c>
      <c r="AE342" s="6">
        <f t="array" ref="AE342">IFERROR((N342-AVERAGEIF($G$2:$G$462,G342,$N$2:$N$462))/_xlfn.STDEV.P(IF($G$2:$G$462=G342,$N$2:$N$462)),0)</f>
        <v/>
      </c>
      <c r="AF342" s="6">
        <f t="array" ref="AF342">IFERROR((O342-AVERAGEIF($G$2:$G$462,G342,$O$2:$O$462))/_xlfn.STDEV.P(IF($G$2:$G$462=G342,$O$2:$O$462)),0)</f>
        <v/>
      </c>
      <c r="AG342" s="6">
        <f t="array" ref="AG342">IFERROR((P342-AVERAGEIF($G$2:$G$462,G342,$P$2:$P$462))/_xlfn.STDEV.P(IF($G$2:$G$462=G342,$P$2:$P$462)),0)</f>
        <v/>
      </c>
      <c r="AH342" s="6">
        <f t="array" ref="AH342">IFERROR((R342-AVERAGEIF($G$2:$G$462,G342,$R$2:$R$462))/_xlfn.STDEV.P(IF($G$2:$G$462=G342,$R$2:$R$462)),0)</f>
        <v/>
      </c>
      <c r="AI342" s="6">
        <f>IFERROR((AC342+AD342+AE342+AF342+AG342+AH342)/6,0)</f>
        <v/>
      </c>
    </row>
    <row r="343">
      <c r="A343" s="2">
        <f>IF(BD_Carga!A344&lt;&gt;"",BD_Carga!A344,"")</f>
        <v/>
      </c>
      <c r="B343">
        <f>IF(A343&lt;&gt;"",YEAR(A343),"")</f>
        <v/>
      </c>
      <c r="C343">
        <f>IF(A343&lt;&gt;"",MONTH(A343),"")</f>
        <v/>
      </c>
      <c r="D343">
        <f>IF(A343&lt;&gt;"",_xlfn.ISOWEEKNUM(A343),"")</f>
        <v/>
      </c>
      <c r="E343">
        <f>IF(A343&lt;&gt;"",TEXT(A343,"dddd"),"")</f>
        <v/>
      </c>
      <c r="F343">
        <f>IF(BD_Carga!C344&lt;&gt;"",BD_Carga!C344,"")</f>
        <v/>
      </c>
      <c r="G343">
        <f>IF(BD_Carga!D344&lt;&gt;"",BD_Carga!D344,"")</f>
        <v/>
      </c>
      <c r="H343">
        <f>IF(BD_Carga!Q344&lt;&gt;"",BD_Carga!Q344,"")</f>
        <v/>
      </c>
      <c r="I343">
        <f>IF(BD_Carga!R344&lt;&gt;"",BD_Carga!R344,"")</f>
        <v/>
      </c>
      <c r="J343">
        <f>IF(BD_Carga!S344&lt;&gt;"",BD_Carga!S344,"")</f>
        <v/>
      </c>
      <c r="K343" s="4">
        <f>IF(BD_Carga!E344&lt;&gt;"",BD_Carga!E344,0)</f>
        <v/>
      </c>
      <c r="L343" s="4">
        <f>IF(BD_Carga!F344&lt;&gt;"",BD_Carga!F344,0)</f>
        <v/>
      </c>
      <c r="M343" s="4">
        <f>IF(BD_Carga!G344&lt;&gt;"",BD_Carga!G344,0)</f>
        <v/>
      </c>
      <c r="N343" s="4">
        <f>IF(BD_Carga!H344&lt;&gt;"",BD_Carga!H344,0)</f>
        <v/>
      </c>
      <c r="O343" s="4">
        <f>IF(BD_Carga!I344&lt;&gt;"",BD_Carga!I344,0)</f>
        <v/>
      </c>
      <c r="P343" s="4">
        <f>IF(BD_Carga!J344&lt;&gt;"",BD_Carga!J344,0)</f>
        <v/>
      </c>
      <c r="Q343" s="5">
        <f>IF(BD_Carga!K344&lt;&gt;"",BD_Carga!K344,0)</f>
        <v/>
      </c>
      <c r="R343" s="5">
        <f>IF(BD_Carga!L344&lt;&gt;"",BD_Carga!L344,0)</f>
        <v/>
      </c>
      <c r="S343">
        <f>IF(BD_Carga!N344&lt;&gt;"",BD_Carga!N344,0)</f>
        <v/>
      </c>
      <c r="T343">
        <f>IF(BD_Carga!O344&lt;&gt;"",BD_Carga!O344,0)</f>
        <v/>
      </c>
      <c r="U343">
        <f>IF(BD_Carga!P344&lt;&gt;"",BD_Carga!P344,0)</f>
        <v/>
      </c>
      <c r="V343">
        <f>IF(BD_Carga!U344&lt;&gt;"",BD_Carga!U344,0)</f>
        <v/>
      </c>
      <c r="W343">
        <f>IF(BD_Carga!T344&lt;&gt;"",BD_Carga!T344,0)</f>
        <v/>
      </c>
      <c r="X343">
        <f>IF(BD_Carga!W344&lt;&gt;"",BD_Carga!W344,0)</f>
        <v/>
      </c>
      <c r="Y343">
        <f>IF(BD_Carga!X344&lt;&gt;"",BD_Carga!X344,0)</f>
        <v/>
      </c>
      <c r="Z343">
        <f>IF(BD_Carga!Y344&lt;&gt;"",BD_Carga!Y344,0)</f>
        <v/>
      </c>
      <c r="AA343">
        <f>IF(BD_Carga!Z344&lt;&gt;"",BD_Carga!Z344,0)</f>
        <v/>
      </c>
      <c r="AB343">
        <f>IF(BD_Carga!AA344&lt;&gt;"",BD_Carga!AA344,0)</f>
        <v/>
      </c>
      <c r="AC343" s="6">
        <f t="array" ref="AC343">IFERROR((L343-AVERAGEIF($G$2:$G$462,G343,$L$2:$L$462))/_xlfn.STDEV.P(IF($G$2:$G$462=G343,$L$2:$L$462)),0)</f>
        <v/>
      </c>
      <c r="AD343" s="6">
        <f t="array" ref="AD343">IFERROR((M343-AVERAGEIF($G$2:$G$462,G343,$M$2:$M$462))/_xlfn.STDEV.P(IF($G$2:$G$462=G343,$M$2:$M$462)),0)</f>
        <v/>
      </c>
      <c r="AE343" s="6">
        <f t="array" ref="AE343">IFERROR((N343-AVERAGEIF($G$2:$G$462,G343,$N$2:$N$462))/_xlfn.STDEV.P(IF($G$2:$G$462=G343,$N$2:$N$462)),0)</f>
        <v/>
      </c>
      <c r="AF343" s="6">
        <f t="array" ref="AF343">IFERROR((O343-AVERAGEIF($G$2:$G$462,G343,$O$2:$O$462))/_xlfn.STDEV.P(IF($G$2:$G$462=G343,$O$2:$O$462)),0)</f>
        <v/>
      </c>
      <c r="AG343" s="6">
        <f t="array" ref="AG343">IFERROR((P343-AVERAGEIF($G$2:$G$462,G343,$P$2:$P$462))/_xlfn.STDEV.P(IF($G$2:$G$462=G343,$P$2:$P$462)),0)</f>
        <v/>
      </c>
      <c r="AH343" s="6">
        <f t="array" ref="AH343">IFERROR((R343-AVERAGEIF($G$2:$G$462,G343,$R$2:$R$462))/_xlfn.STDEV.P(IF($G$2:$G$462=G343,$R$2:$R$462)),0)</f>
        <v/>
      </c>
      <c r="AI343" s="6">
        <f>IFERROR((AC343+AD343+AE343+AF343+AG343+AH343)/6,0)</f>
        <v/>
      </c>
    </row>
    <row r="344">
      <c r="A344" s="2">
        <f>IF(BD_Carga!A345&lt;&gt;"",BD_Carga!A345,"")</f>
        <v/>
      </c>
      <c r="B344">
        <f>IF(A344&lt;&gt;"",YEAR(A344),"")</f>
        <v/>
      </c>
      <c r="C344">
        <f>IF(A344&lt;&gt;"",MONTH(A344),"")</f>
        <v/>
      </c>
      <c r="D344">
        <f>IF(A344&lt;&gt;"",_xlfn.ISOWEEKNUM(A344),"")</f>
        <v/>
      </c>
      <c r="E344">
        <f>IF(A344&lt;&gt;"",TEXT(A344,"dddd"),"")</f>
        <v/>
      </c>
      <c r="F344">
        <f>IF(BD_Carga!C345&lt;&gt;"",BD_Carga!C345,"")</f>
        <v/>
      </c>
      <c r="G344">
        <f>IF(BD_Carga!D345&lt;&gt;"",BD_Carga!D345,"")</f>
        <v/>
      </c>
      <c r="H344">
        <f>IF(BD_Carga!Q345&lt;&gt;"",BD_Carga!Q345,"")</f>
        <v/>
      </c>
      <c r="I344">
        <f>IF(BD_Carga!R345&lt;&gt;"",BD_Carga!R345,"")</f>
        <v/>
      </c>
      <c r="J344">
        <f>IF(BD_Carga!S345&lt;&gt;"",BD_Carga!S345,"")</f>
        <v/>
      </c>
      <c r="K344" s="4">
        <f>IF(BD_Carga!E345&lt;&gt;"",BD_Carga!E345,0)</f>
        <v/>
      </c>
      <c r="L344" s="4">
        <f>IF(BD_Carga!F345&lt;&gt;"",BD_Carga!F345,0)</f>
        <v/>
      </c>
      <c r="M344" s="4">
        <f>IF(BD_Carga!G345&lt;&gt;"",BD_Carga!G345,0)</f>
        <v/>
      </c>
      <c r="N344" s="4">
        <f>IF(BD_Carga!H345&lt;&gt;"",BD_Carga!H345,0)</f>
        <v/>
      </c>
      <c r="O344" s="4">
        <f>IF(BD_Carga!I345&lt;&gt;"",BD_Carga!I345,0)</f>
        <v/>
      </c>
      <c r="P344" s="4">
        <f>IF(BD_Carga!J345&lt;&gt;"",BD_Carga!J345,0)</f>
        <v/>
      </c>
      <c r="Q344" s="5">
        <f>IF(BD_Carga!K345&lt;&gt;"",BD_Carga!K345,0)</f>
        <v/>
      </c>
      <c r="R344" s="5">
        <f>IF(BD_Carga!L345&lt;&gt;"",BD_Carga!L345,0)</f>
        <v/>
      </c>
      <c r="S344">
        <f>IF(BD_Carga!N345&lt;&gt;"",BD_Carga!N345,0)</f>
        <v/>
      </c>
      <c r="T344">
        <f>IF(BD_Carga!O345&lt;&gt;"",BD_Carga!O345,0)</f>
        <v/>
      </c>
      <c r="U344">
        <f>IF(BD_Carga!P345&lt;&gt;"",BD_Carga!P345,0)</f>
        <v/>
      </c>
      <c r="V344">
        <f>IF(BD_Carga!U345&lt;&gt;"",BD_Carga!U345,0)</f>
        <v/>
      </c>
      <c r="W344">
        <f>IF(BD_Carga!T345&lt;&gt;"",BD_Carga!T345,0)</f>
        <v/>
      </c>
      <c r="X344">
        <f>IF(BD_Carga!W345&lt;&gt;"",BD_Carga!W345,0)</f>
        <v/>
      </c>
      <c r="Y344">
        <f>IF(BD_Carga!X345&lt;&gt;"",BD_Carga!X345,0)</f>
        <v/>
      </c>
      <c r="Z344">
        <f>IF(BD_Carga!Y345&lt;&gt;"",BD_Carga!Y345,0)</f>
        <v/>
      </c>
      <c r="AA344">
        <f>IF(BD_Carga!Z345&lt;&gt;"",BD_Carga!Z345,0)</f>
        <v/>
      </c>
      <c r="AB344">
        <f>IF(BD_Carga!AA345&lt;&gt;"",BD_Carga!AA345,0)</f>
        <v/>
      </c>
      <c r="AC344" s="6">
        <f t="array" ref="AC344">IFERROR((L344-AVERAGEIF($G$2:$G$462,G344,$L$2:$L$462))/_xlfn.STDEV.P(IF($G$2:$G$462=G344,$L$2:$L$462)),0)</f>
        <v/>
      </c>
      <c r="AD344" s="6">
        <f t="array" ref="AD344">IFERROR((M344-AVERAGEIF($G$2:$G$462,G344,$M$2:$M$462))/_xlfn.STDEV.P(IF($G$2:$G$462=G344,$M$2:$M$462)),0)</f>
        <v/>
      </c>
      <c r="AE344" s="6">
        <f t="array" ref="AE344">IFERROR((N344-AVERAGEIF($G$2:$G$462,G344,$N$2:$N$462))/_xlfn.STDEV.P(IF($G$2:$G$462=G344,$N$2:$N$462)),0)</f>
        <v/>
      </c>
      <c r="AF344" s="6">
        <f t="array" ref="AF344">IFERROR((O344-AVERAGEIF($G$2:$G$462,G344,$O$2:$O$462))/_xlfn.STDEV.P(IF($G$2:$G$462=G344,$O$2:$O$462)),0)</f>
        <v/>
      </c>
      <c r="AG344" s="6">
        <f t="array" ref="AG344">IFERROR((P344-AVERAGEIF($G$2:$G$462,G344,$P$2:$P$462))/_xlfn.STDEV.P(IF($G$2:$G$462=G344,$P$2:$P$462)),0)</f>
        <v/>
      </c>
      <c r="AH344" s="6">
        <f t="array" ref="AH344">IFERROR((R344-AVERAGEIF($G$2:$G$462,G344,$R$2:$R$462))/_xlfn.STDEV.P(IF($G$2:$G$462=G344,$R$2:$R$462)),0)</f>
        <v/>
      </c>
      <c r="AI344" s="6">
        <f>IFERROR((AC344+AD344+AE344+AF344+AG344+AH344)/6,0)</f>
        <v/>
      </c>
    </row>
    <row r="345">
      <c r="A345" s="2">
        <f>IF(BD_Carga!A346&lt;&gt;"",BD_Carga!A346,"")</f>
        <v/>
      </c>
      <c r="B345">
        <f>IF(A345&lt;&gt;"",YEAR(A345),"")</f>
        <v/>
      </c>
      <c r="C345">
        <f>IF(A345&lt;&gt;"",MONTH(A345),"")</f>
        <v/>
      </c>
      <c r="D345">
        <f>IF(A345&lt;&gt;"",_xlfn.ISOWEEKNUM(A345),"")</f>
        <v/>
      </c>
      <c r="E345">
        <f>IF(A345&lt;&gt;"",TEXT(A345,"dddd"),"")</f>
        <v/>
      </c>
      <c r="F345">
        <f>IF(BD_Carga!C346&lt;&gt;"",BD_Carga!C346,"")</f>
        <v/>
      </c>
      <c r="G345">
        <f>IF(BD_Carga!D346&lt;&gt;"",BD_Carga!D346,"")</f>
        <v/>
      </c>
      <c r="H345">
        <f>IF(BD_Carga!Q346&lt;&gt;"",BD_Carga!Q346,"")</f>
        <v/>
      </c>
      <c r="I345">
        <f>IF(BD_Carga!R346&lt;&gt;"",BD_Carga!R346,"")</f>
        <v/>
      </c>
      <c r="J345">
        <f>IF(BD_Carga!S346&lt;&gt;"",BD_Carga!S346,"")</f>
        <v/>
      </c>
      <c r="K345" s="4">
        <f>IF(BD_Carga!E346&lt;&gt;"",BD_Carga!E346,0)</f>
        <v/>
      </c>
      <c r="L345" s="4">
        <f>IF(BD_Carga!F346&lt;&gt;"",BD_Carga!F346,0)</f>
        <v/>
      </c>
      <c r="M345" s="4">
        <f>IF(BD_Carga!G346&lt;&gt;"",BD_Carga!G346,0)</f>
        <v/>
      </c>
      <c r="N345" s="4">
        <f>IF(BD_Carga!H346&lt;&gt;"",BD_Carga!H346,0)</f>
        <v/>
      </c>
      <c r="O345" s="4">
        <f>IF(BD_Carga!I346&lt;&gt;"",BD_Carga!I346,0)</f>
        <v/>
      </c>
      <c r="P345" s="4">
        <f>IF(BD_Carga!J346&lt;&gt;"",BD_Carga!J346,0)</f>
        <v/>
      </c>
      <c r="Q345" s="5">
        <f>IF(BD_Carga!K346&lt;&gt;"",BD_Carga!K346,0)</f>
        <v/>
      </c>
      <c r="R345" s="5">
        <f>IF(BD_Carga!L346&lt;&gt;"",BD_Carga!L346,0)</f>
        <v/>
      </c>
      <c r="S345">
        <f>IF(BD_Carga!N346&lt;&gt;"",BD_Carga!N346,0)</f>
        <v/>
      </c>
      <c r="T345">
        <f>IF(BD_Carga!O346&lt;&gt;"",BD_Carga!O346,0)</f>
        <v/>
      </c>
      <c r="U345">
        <f>IF(BD_Carga!P346&lt;&gt;"",BD_Carga!P346,0)</f>
        <v/>
      </c>
      <c r="V345">
        <f>IF(BD_Carga!U346&lt;&gt;"",BD_Carga!U346,0)</f>
        <v/>
      </c>
      <c r="W345">
        <f>IF(BD_Carga!T346&lt;&gt;"",BD_Carga!T346,0)</f>
        <v/>
      </c>
      <c r="X345">
        <f>IF(BD_Carga!W346&lt;&gt;"",BD_Carga!W346,0)</f>
        <v/>
      </c>
      <c r="Y345">
        <f>IF(BD_Carga!X346&lt;&gt;"",BD_Carga!X346,0)</f>
        <v/>
      </c>
      <c r="Z345">
        <f>IF(BD_Carga!Y346&lt;&gt;"",BD_Carga!Y346,0)</f>
        <v/>
      </c>
      <c r="AA345">
        <f>IF(BD_Carga!Z346&lt;&gt;"",BD_Carga!Z346,0)</f>
        <v/>
      </c>
      <c r="AB345">
        <f>IF(BD_Carga!AA346&lt;&gt;"",BD_Carga!AA346,0)</f>
        <v/>
      </c>
      <c r="AC345" s="6">
        <f t="array" ref="AC345">IFERROR((L345-AVERAGEIF($G$2:$G$462,G345,$L$2:$L$462))/_xlfn.STDEV.P(IF($G$2:$G$462=G345,$L$2:$L$462)),0)</f>
        <v/>
      </c>
      <c r="AD345" s="6">
        <f t="array" ref="AD345">IFERROR((M345-AVERAGEIF($G$2:$G$462,G345,$M$2:$M$462))/_xlfn.STDEV.P(IF($G$2:$G$462=G345,$M$2:$M$462)),0)</f>
        <v/>
      </c>
      <c r="AE345" s="6">
        <f t="array" ref="AE345">IFERROR((N345-AVERAGEIF($G$2:$G$462,G345,$N$2:$N$462))/_xlfn.STDEV.P(IF($G$2:$G$462=G345,$N$2:$N$462)),0)</f>
        <v/>
      </c>
      <c r="AF345" s="6">
        <f t="array" ref="AF345">IFERROR((O345-AVERAGEIF($G$2:$G$462,G345,$O$2:$O$462))/_xlfn.STDEV.P(IF($G$2:$G$462=G345,$O$2:$O$462)),0)</f>
        <v/>
      </c>
      <c r="AG345" s="6">
        <f t="array" ref="AG345">IFERROR((P345-AVERAGEIF($G$2:$G$462,G345,$P$2:$P$462))/_xlfn.STDEV.P(IF($G$2:$G$462=G345,$P$2:$P$462)),0)</f>
        <v/>
      </c>
      <c r="AH345" s="6">
        <f t="array" ref="AH345">IFERROR((R345-AVERAGEIF($G$2:$G$462,G345,$R$2:$R$462))/_xlfn.STDEV.P(IF($G$2:$G$462=G345,$R$2:$R$462)),0)</f>
        <v/>
      </c>
      <c r="AI345" s="6">
        <f>IFERROR((AC345+AD345+AE345+AF345+AG345+AH345)/6,0)</f>
        <v/>
      </c>
    </row>
    <row r="346">
      <c r="A346" s="2">
        <f>IF(BD_Carga!A347&lt;&gt;"",BD_Carga!A347,"")</f>
        <v/>
      </c>
      <c r="B346">
        <f>IF(A346&lt;&gt;"",YEAR(A346),"")</f>
        <v/>
      </c>
      <c r="C346">
        <f>IF(A346&lt;&gt;"",MONTH(A346),"")</f>
        <v/>
      </c>
      <c r="D346">
        <f>IF(A346&lt;&gt;"",_xlfn.ISOWEEKNUM(A346),"")</f>
        <v/>
      </c>
      <c r="E346">
        <f>IF(A346&lt;&gt;"",TEXT(A346,"dddd"),"")</f>
        <v/>
      </c>
      <c r="F346">
        <f>IF(BD_Carga!C347&lt;&gt;"",BD_Carga!C347,"")</f>
        <v/>
      </c>
      <c r="G346">
        <f>IF(BD_Carga!D347&lt;&gt;"",BD_Carga!D347,"")</f>
        <v/>
      </c>
      <c r="H346">
        <f>IF(BD_Carga!Q347&lt;&gt;"",BD_Carga!Q347,"")</f>
        <v/>
      </c>
      <c r="I346">
        <f>IF(BD_Carga!R347&lt;&gt;"",BD_Carga!R347,"")</f>
        <v/>
      </c>
      <c r="J346">
        <f>IF(BD_Carga!S347&lt;&gt;"",BD_Carga!S347,"")</f>
        <v/>
      </c>
      <c r="K346" s="4">
        <f>IF(BD_Carga!E347&lt;&gt;"",BD_Carga!E347,0)</f>
        <v/>
      </c>
      <c r="L346" s="4">
        <f>IF(BD_Carga!F347&lt;&gt;"",BD_Carga!F347,0)</f>
        <v/>
      </c>
      <c r="M346" s="4">
        <f>IF(BD_Carga!G347&lt;&gt;"",BD_Carga!G347,0)</f>
        <v/>
      </c>
      <c r="N346" s="4">
        <f>IF(BD_Carga!H347&lt;&gt;"",BD_Carga!H347,0)</f>
        <v/>
      </c>
      <c r="O346" s="4">
        <f>IF(BD_Carga!I347&lt;&gt;"",BD_Carga!I347,0)</f>
        <v/>
      </c>
      <c r="P346" s="4">
        <f>IF(BD_Carga!J347&lt;&gt;"",BD_Carga!J347,0)</f>
        <v/>
      </c>
      <c r="Q346" s="5">
        <f>IF(BD_Carga!K347&lt;&gt;"",BD_Carga!K347,0)</f>
        <v/>
      </c>
      <c r="R346" s="5">
        <f>IF(BD_Carga!L347&lt;&gt;"",BD_Carga!L347,0)</f>
        <v/>
      </c>
      <c r="S346">
        <f>IF(BD_Carga!N347&lt;&gt;"",BD_Carga!N347,0)</f>
        <v/>
      </c>
      <c r="T346">
        <f>IF(BD_Carga!O347&lt;&gt;"",BD_Carga!O347,0)</f>
        <v/>
      </c>
      <c r="U346">
        <f>IF(BD_Carga!P347&lt;&gt;"",BD_Carga!P347,0)</f>
        <v/>
      </c>
      <c r="V346">
        <f>IF(BD_Carga!U347&lt;&gt;"",BD_Carga!U347,0)</f>
        <v/>
      </c>
      <c r="W346">
        <f>IF(BD_Carga!T347&lt;&gt;"",BD_Carga!T347,0)</f>
        <v/>
      </c>
      <c r="X346">
        <f>IF(BD_Carga!W347&lt;&gt;"",BD_Carga!W347,0)</f>
        <v/>
      </c>
      <c r="Y346">
        <f>IF(BD_Carga!X347&lt;&gt;"",BD_Carga!X347,0)</f>
        <v/>
      </c>
      <c r="Z346">
        <f>IF(BD_Carga!Y347&lt;&gt;"",BD_Carga!Y347,0)</f>
        <v/>
      </c>
      <c r="AA346">
        <f>IF(BD_Carga!Z347&lt;&gt;"",BD_Carga!Z347,0)</f>
        <v/>
      </c>
      <c r="AB346">
        <f>IF(BD_Carga!AA347&lt;&gt;"",BD_Carga!AA347,0)</f>
        <v/>
      </c>
      <c r="AC346" s="6">
        <f t="array" ref="AC346">IFERROR((L346-AVERAGEIF($G$2:$G$462,G346,$L$2:$L$462))/_xlfn.STDEV.P(IF($G$2:$G$462=G346,$L$2:$L$462)),0)</f>
        <v/>
      </c>
      <c r="AD346" s="6">
        <f t="array" ref="AD346">IFERROR((M346-AVERAGEIF($G$2:$G$462,G346,$M$2:$M$462))/_xlfn.STDEV.P(IF($G$2:$G$462=G346,$M$2:$M$462)),0)</f>
        <v/>
      </c>
      <c r="AE346" s="6">
        <f t="array" ref="AE346">IFERROR((N346-AVERAGEIF($G$2:$G$462,G346,$N$2:$N$462))/_xlfn.STDEV.P(IF($G$2:$G$462=G346,$N$2:$N$462)),0)</f>
        <v/>
      </c>
      <c r="AF346" s="6">
        <f t="array" ref="AF346">IFERROR((O346-AVERAGEIF($G$2:$G$462,G346,$O$2:$O$462))/_xlfn.STDEV.P(IF($G$2:$G$462=G346,$O$2:$O$462)),0)</f>
        <v/>
      </c>
      <c r="AG346" s="6">
        <f t="array" ref="AG346">IFERROR((P346-AVERAGEIF($G$2:$G$462,G346,$P$2:$P$462))/_xlfn.STDEV.P(IF($G$2:$G$462=G346,$P$2:$P$462)),0)</f>
        <v/>
      </c>
      <c r="AH346" s="6">
        <f t="array" ref="AH346">IFERROR((R346-AVERAGEIF($G$2:$G$462,G346,$R$2:$R$462))/_xlfn.STDEV.P(IF($G$2:$G$462=G346,$R$2:$R$462)),0)</f>
        <v/>
      </c>
      <c r="AI346" s="6">
        <f>IFERROR((AC346+AD346+AE346+AF346+AG346+AH346)/6,0)</f>
        <v/>
      </c>
    </row>
    <row r="347">
      <c r="A347" s="2">
        <f>IF(BD_Carga!A348&lt;&gt;"",BD_Carga!A348,"")</f>
        <v/>
      </c>
      <c r="B347">
        <f>IF(A347&lt;&gt;"",YEAR(A347),"")</f>
        <v/>
      </c>
      <c r="C347">
        <f>IF(A347&lt;&gt;"",MONTH(A347),"")</f>
        <v/>
      </c>
      <c r="D347">
        <f>IF(A347&lt;&gt;"",_xlfn.ISOWEEKNUM(A347),"")</f>
        <v/>
      </c>
      <c r="E347">
        <f>IF(A347&lt;&gt;"",TEXT(A347,"dddd"),"")</f>
        <v/>
      </c>
      <c r="F347">
        <f>IF(BD_Carga!C348&lt;&gt;"",BD_Carga!C348,"")</f>
        <v/>
      </c>
      <c r="G347">
        <f>IF(BD_Carga!D348&lt;&gt;"",BD_Carga!D348,"")</f>
        <v/>
      </c>
      <c r="H347">
        <f>IF(BD_Carga!Q348&lt;&gt;"",BD_Carga!Q348,"")</f>
        <v/>
      </c>
      <c r="I347">
        <f>IF(BD_Carga!R348&lt;&gt;"",BD_Carga!R348,"")</f>
        <v/>
      </c>
      <c r="J347">
        <f>IF(BD_Carga!S348&lt;&gt;"",BD_Carga!S348,"")</f>
        <v/>
      </c>
      <c r="K347" s="4">
        <f>IF(BD_Carga!E348&lt;&gt;"",BD_Carga!E348,0)</f>
        <v/>
      </c>
      <c r="L347" s="4">
        <f>IF(BD_Carga!F348&lt;&gt;"",BD_Carga!F348,0)</f>
        <v/>
      </c>
      <c r="M347" s="4">
        <f>IF(BD_Carga!G348&lt;&gt;"",BD_Carga!G348,0)</f>
        <v/>
      </c>
      <c r="N347" s="4">
        <f>IF(BD_Carga!H348&lt;&gt;"",BD_Carga!H348,0)</f>
        <v/>
      </c>
      <c r="O347" s="4">
        <f>IF(BD_Carga!I348&lt;&gt;"",BD_Carga!I348,0)</f>
        <v/>
      </c>
      <c r="P347" s="4">
        <f>IF(BD_Carga!J348&lt;&gt;"",BD_Carga!J348,0)</f>
        <v/>
      </c>
      <c r="Q347" s="5">
        <f>IF(BD_Carga!K348&lt;&gt;"",BD_Carga!K348,0)</f>
        <v/>
      </c>
      <c r="R347" s="5">
        <f>IF(BD_Carga!L348&lt;&gt;"",BD_Carga!L348,0)</f>
        <v/>
      </c>
      <c r="S347">
        <f>IF(BD_Carga!N348&lt;&gt;"",BD_Carga!N348,0)</f>
        <v/>
      </c>
      <c r="T347">
        <f>IF(BD_Carga!O348&lt;&gt;"",BD_Carga!O348,0)</f>
        <v/>
      </c>
      <c r="U347">
        <f>IF(BD_Carga!P348&lt;&gt;"",BD_Carga!P348,0)</f>
        <v/>
      </c>
      <c r="V347">
        <f>IF(BD_Carga!U348&lt;&gt;"",BD_Carga!U348,0)</f>
        <v/>
      </c>
      <c r="W347">
        <f>IF(BD_Carga!T348&lt;&gt;"",BD_Carga!T348,0)</f>
        <v/>
      </c>
      <c r="X347">
        <f>IF(BD_Carga!W348&lt;&gt;"",BD_Carga!W348,0)</f>
        <v/>
      </c>
      <c r="Y347">
        <f>IF(BD_Carga!X348&lt;&gt;"",BD_Carga!X348,0)</f>
        <v/>
      </c>
      <c r="Z347">
        <f>IF(BD_Carga!Y348&lt;&gt;"",BD_Carga!Y348,0)</f>
        <v/>
      </c>
      <c r="AA347">
        <f>IF(BD_Carga!Z348&lt;&gt;"",BD_Carga!Z348,0)</f>
        <v/>
      </c>
      <c r="AB347">
        <f>IF(BD_Carga!AA348&lt;&gt;"",BD_Carga!AA348,0)</f>
        <v/>
      </c>
      <c r="AC347" s="6">
        <f t="array" ref="AC347">IFERROR((L347-AVERAGEIF($G$2:$G$462,G347,$L$2:$L$462))/_xlfn.STDEV.P(IF($G$2:$G$462=G347,$L$2:$L$462)),0)</f>
        <v/>
      </c>
      <c r="AD347" s="6">
        <f t="array" ref="AD347">IFERROR((M347-AVERAGEIF($G$2:$G$462,G347,$M$2:$M$462))/_xlfn.STDEV.P(IF($G$2:$G$462=G347,$M$2:$M$462)),0)</f>
        <v/>
      </c>
      <c r="AE347" s="6">
        <f t="array" ref="AE347">IFERROR((N347-AVERAGEIF($G$2:$G$462,G347,$N$2:$N$462))/_xlfn.STDEV.P(IF($G$2:$G$462=G347,$N$2:$N$462)),0)</f>
        <v/>
      </c>
      <c r="AF347" s="6">
        <f t="array" ref="AF347">IFERROR((O347-AVERAGEIF($G$2:$G$462,G347,$O$2:$O$462))/_xlfn.STDEV.P(IF($G$2:$G$462=G347,$O$2:$O$462)),0)</f>
        <v/>
      </c>
      <c r="AG347" s="6">
        <f t="array" ref="AG347">IFERROR((P347-AVERAGEIF($G$2:$G$462,G347,$P$2:$P$462))/_xlfn.STDEV.P(IF($G$2:$G$462=G347,$P$2:$P$462)),0)</f>
        <v/>
      </c>
      <c r="AH347" s="6">
        <f t="array" ref="AH347">IFERROR((R347-AVERAGEIF($G$2:$G$462,G347,$R$2:$R$462))/_xlfn.STDEV.P(IF($G$2:$G$462=G347,$R$2:$R$462)),0)</f>
        <v/>
      </c>
      <c r="AI347" s="6">
        <f>IFERROR((AC347+AD347+AE347+AF347+AG347+AH347)/6,0)</f>
        <v/>
      </c>
    </row>
    <row r="348">
      <c r="A348" s="2">
        <f>IF(BD_Carga!A349&lt;&gt;"",BD_Carga!A349,"")</f>
        <v/>
      </c>
      <c r="B348">
        <f>IF(A348&lt;&gt;"",YEAR(A348),"")</f>
        <v/>
      </c>
      <c r="C348">
        <f>IF(A348&lt;&gt;"",MONTH(A348),"")</f>
        <v/>
      </c>
      <c r="D348">
        <f>IF(A348&lt;&gt;"",_xlfn.ISOWEEKNUM(A348),"")</f>
        <v/>
      </c>
      <c r="E348">
        <f>IF(A348&lt;&gt;"",TEXT(A348,"dddd"),"")</f>
        <v/>
      </c>
      <c r="F348">
        <f>IF(BD_Carga!C349&lt;&gt;"",BD_Carga!C349,"")</f>
        <v/>
      </c>
      <c r="G348">
        <f>IF(BD_Carga!D349&lt;&gt;"",BD_Carga!D349,"")</f>
        <v/>
      </c>
      <c r="H348">
        <f>IF(BD_Carga!Q349&lt;&gt;"",BD_Carga!Q349,"")</f>
        <v/>
      </c>
      <c r="I348">
        <f>IF(BD_Carga!R349&lt;&gt;"",BD_Carga!R349,"")</f>
        <v/>
      </c>
      <c r="J348">
        <f>IF(BD_Carga!S349&lt;&gt;"",BD_Carga!S349,"")</f>
        <v/>
      </c>
      <c r="K348" s="4">
        <f>IF(BD_Carga!E349&lt;&gt;"",BD_Carga!E349,0)</f>
        <v/>
      </c>
      <c r="L348" s="4">
        <f>IF(BD_Carga!F349&lt;&gt;"",BD_Carga!F349,0)</f>
        <v/>
      </c>
      <c r="M348" s="4">
        <f>IF(BD_Carga!G349&lt;&gt;"",BD_Carga!G349,0)</f>
        <v/>
      </c>
      <c r="N348" s="4">
        <f>IF(BD_Carga!H349&lt;&gt;"",BD_Carga!H349,0)</f>
        <v/>
      </c>
      <c r="O348" s="4">
        <f>IF(BD_Carga!I349&lt;&gt;"",BD_Carga!I349,0)</f>
        <v/>
      </c>
      <c r="P348" s="4">
        <f>IF(BD_Carga!J349&lt;&gt;"",BD_Carga!J349,0)</f>
        <v/>
      </c>
      <c r="Q348" s="5">
        <f>IF(BD_Carga!K349&lt;&gt;"",BD_Carga!K349,0)</f>
        <v/>
      </c>
      <c r="R348" s="5">
        <f>IF(BD_Carga!L349&lt;&gt;"",BD_Carga!L349,0)</f>
        <v/>
      </c>
      <c r="S348">
        <f>IF(BD_Carga!N349&lt;&gt;"",BD_Carga!N349,0)</f>
        <v/>
      </c>
      <c r="T348">
        <f>IF(BD_Carga!O349&lt;&gt;"",BD_Carga!O349,0)</f>
        <v/>
      </c>
      <c r="U348">
        <f>IF(BD_Carga!P349&lt;&gt;"",BD_Carga!P349,0)</f>
        <v/>
      </c>
      <c r="V348">
        <f>IF(BD_Carga!U349&lt;&gt;"",BD_Carga!U349,0)</f>
        <v/>
      </c>
      <c r="W348">
        <f>IF(BD_Carga!T349&lt;&gt;"",BD_Carga!T349,0)</f>
        <v/>
      </c>
      <c r="X348">
        <f>IF(BD_Carga!W349&lt;&gt;"",BD_Carga!W349,0)</f>
        <v/>
      </c>
      <c r="Y348">
        <f>IF(BD_Carga!X349&lt;&gt;"",BD_Carga!X349,0)</f>
        <v/>
      </c>
      <c r="Z348">
        <f>IF(BD_Carga!Y349&lt;&gt;"",BD_Carga!Y349,0)</f>
        <v/>
      </c>
      <c r="AA348">
        <f>IF(BD_Carga!Z349&lt;&gt;"",BD_Carga!Z349,0)</f>
        <v/>
      </c>
      <c r="AB348">
        <f>IF(BD_Carga!AA349&lt;&gt;"",BD_Carga!AA349,0)</f>
        <v/>
      </c>
      <c r="AC348" s="6">
        <f t="array" ref="AC348">IFERROR((L348-AVERAGEIF($G$2:$G$462,G348,$L$2:$L$462))/_xlfn.STDEV.P(IF($G$2:$G$462=G348,$L$2:$L$462)),0)</f>
        <v/>
      </c>
      <c r="AD348" s="6">
        <f t="array" ref="AD348">IFERROR((M348-AVERAGEIF($G$2:$G$462,G348,$M$2:$M$462))/_xlfn.STDEV.P(IF($G$2:$G$462=G348,$M$2:$M$462)),0)</f>
        <v/>
      </c>
      <c r="AE348" s="6">
        <f t="array" ref="AE348">IFERROR((N348-AVERAGEIF($G$2:$G$462,G348,$N$2:$N$462))/_xlfn.STDEV.P(IF($G$2:$G$462=G348,$N$2:$N$462)),0)</f>
        <v/>
      </c>
      <c r="AF348" s="6">
        <f t="array" ref="AF348">IFERROR((O348-AVERAGEIF($G$2:$G$462,G348,$O$2:$O$462))/_xlfn.STDEV.P(IF($G$2:$G$462=G348,$O$2:$O$462)),0)</f>
        <v/>
      </c>
      <c r="AG348" s="6">
        <f t="array" ref="AG348">IFERROR((P348-AVERAGEIF($G$2:$G$462,G348,$P$2:$P$462))/_xlfn.STDEV.P(IF($G$2:$G$462=G348,$P$2:$P$462)),0)</f>
        <v/>
      </c>
      <c r="AH348" s="6">
        <f t="array" ref="AH348">IFERROR((R348-AVERAGEIF($G$2:$G$462,G348,$R$2:$R$462))/_xlfn.STDEV.P(IF($G$2:$G$462=G348,$R$2:$R$462)),0)</f>
        <v/>
      </c>
      <c r="AI348" s="6">
        <f>IFERROR((AC348+AD348+AE348+AF348+AG348+AH348)/6,0)</f>
        <v/>
      </c>
    </row>
    <row r="349">
      <c r="A349" s="2">
        <f>IF(BD_Carga!A350&lt;&gt;"",BD_Carga!A350,"")</f>
        <v/>
      </c>
      <c r="B349">
        <f>IF(A349&lt;&gt;"",YEAR(A349),"")</f>
        <v/>
      </c>
      <c r="C349">
        <f>IF(A349&lt;&gt;"",MONTH(A349),"")</f>
        <v/>
      </c>
      <c r="D349">
        <f>IF(A349&lt;&gt;"",_xlfn.ISOWEEKNUM(A349),"")</f>
        <v/>
      </c>
      <c r="E349">
        <f>IF(A349&lt;&gt;"",TEXT(A349,"dddd"),"")</f>
        <v/>
      </c>
      <c r="F349">
        <f>IF(BD_Carga!C350&lt;&gt;"",BD_Carga!C350,"")</f>
        <v/>
      </c>
      <c r="G349">
        <f>IF(BD_Carga!D350&lt;&gt;"",BD_Carga!D350,"")</f>
        <v/>
      </c>
      <c r="H349">
        <f>IF(BD_Carga!Q350&lt;&gt;"",BD_Carga!Q350,"")</f>
        <v/>
      </c>
      <c r="I349">
        <f>IF(BD_Carga!R350&lt;&gt;"",BD_Carga!R350,"")</f>
        <v/>
      </c>
      <c r="J349">
        <f>IF(BD_Carga!S350&lt;&gt;"",BD_Carga!S350,"")</f>
        <v/>
      </c>
      <c r="K349" s="4">
        <f>IF(BD_Carga!E350&lt;&gt;"",BD_Carga!E350,0)</f>
        <v/>
      </c>
      <c r="L349" s="4">
        <f>IF(BD_Carga!F350&lt;&gt;"",BD_Carga!F350,0)</f>
        <v/>
      </c>
      <c r="M349" s="4">
        <f>IF(BD_Carga!G350&lt;&gt;"",BD_Carga!G350,0)</f>
        <v/>
      </c>
      <c r="N349" s="4">
        <f>IF(BD_Carga!H350&lt;&gt;"",BD_Carga!H350,0)</f>
        <v/>
      </c>
      <c r="O349" s="4">
        <f>IF(BD_Carga!I350&lt;&gt;"",BD_Carga!I350,0)</f>
        <v/>
      </c>
      <c r="P349" s="4">
        <f>IF(BD_Carga!J350&lt;&gt;"",BD_Carga!J350,0)</f>
        <v/>
      </c>
      <c r="Q349" s="5">
        <f>IF(BD_Carga!K350&lt;&gt;"",BD_Carga!K350,0)</f>
        <v/>
      </c>
      <c r="R349" s="5">
        <f>IF(BD_Carga!L350&lt;&gt;"",BD_Carga!L350,0)</f>
        <v/>
      </c>
      <c r="S349">
        <f>IF(BD_Carga!N350&lt;&gt;"",BD_Carga!N350,0)</f>
        <v/>
      </c>
      <c r="T349">
        <f>IF(BD_Carga!O350&lt;&gt;"",BD_Carga!O350,0)</f>
        <v/>
      </c>
      <c r="U349">
        <f>IF(BD_Carga!P350&lt;&gt;"",BD_Carga!P350,0)</f>
        <v/>
      </c>
      <c r="V349">
        <f>IF(BD_Carga!U350&lt;&gt;"",BD_Carga!U350,0)</f>
        <v/>
      </c>
      <c r="W349">
        <f>IF(BD_Carga!T350&lt;&gt;"",BD_Carga!T350,0)</f>
        <v/>
      </c>
      <c r="X349">
        <f>IF(BD_Carga!W350&lt;&gt;"",BD_Carga!W350,0)</f>
        <v/>
      </c>
      <c r="Y349">
        <f>IF(BD_Carga!X350&lt;&gt;"",BD_Carga!X350,0)</f>
        <v/>
      </c>
      <c r="Z349">
        <f>IF(BD_Carga!Y350&lt;&gt;"",BD_Carga!Y350,0)</f>
        <v/>
      </c>
      <c r="AA349">
        <f>IF(BD_Carga!Z350&lt;&gt;"",BD_Carga!Z350,0)</f>
        <v/>
      </c>
      <c r="AB349">
        <f>IF(BD_Carga!AA350&lt;&gt;"",BD_Carga!AA350,0)</f>
        <v/>
      </c>
      <c r="AC349" s="6">
        <f t="array" ref="AC349">IFERROR((L349-AVERAGEIF($G$2:$G$462,G349,$L$2:$L$462))/_xlfn.STDEV.P(IF($G$2:$G$462=G349,$L$2:$L$462)),0)</f>
        <v/>
      </c>
      <c r="AD349" s="6">
        <f t="array" ref="AD349">IFERROR((M349-AVERAGEIF($G$2:$G$462,G349,$M$2:$M$462))/_xlfn.STDEV.P(IF($G$2:$G$462=G349,$M$2:$M$462)),0)</f>
        <v/>
      </c>
      <c r="AE349" s="6">
        <f t="array" ref="AE349">IFERROR((N349-AVERAGEIF($G$2:$G$462,G349,$N$2:$N$462))/_xlfn.STDEV.P(IF($G$2:$G$462=G349,$N$2:$N$462)),0)</f>
        <v/>
      </c>
      <c r="AF349" s="6">
        <f t="array" ref="AF349">IFERROR((O349-AVERAGEIF($G$2:$G$462,G349,$O$2:$O$462))/_xlfn.STDEV.P(IF($G$2:$G$462=G349,$O$2:$O$462)),0)</f>
        <v/>
      </c>
      <c r="AG349" s="6">
        <f t="array" ref="AG349">IFERROR((P349-AVERAGEIF($G$2:$G$462,G349,$P$2:$P$462))/_xlfn.STDEV.P(IF($G$2:$G$462=G349,$P$2:$P$462)),0)</f>
        <v/>
      </c>
      <c r="AH349" s="6">
        <f t="array" ref="AH349">IFERROR((R349-AVERAGEIF($G$2:$G$462,G349,$R$2:$R$462))/_xlfn.STDEV.P(IF($G$2:$G$462=G349,$R$2:$R$462)),0)</f>
        <v/>
      </c>
      <c r="AI349" s="6">
        <f>IFERROR((AC349+AD349+AE349+AF349+AG349+AH349)/6,0)</f>
        <v/>
      </c>
    </row>
    <row r="350">
      <c r="A350" s="2">
        <f>IF(BD_Carga!A351&lt;&gt;"",BD_Carga!A351,"")</f>
        <v/>
      </c>
      <c r="B350">
        <f>IF(A350&lt;&gt;"",YEAR(A350),"")</f>
        <v/>
      </c>
      <c r="C350">
        <f>IF(A350&lt;&gt;"",MONTH(A350),"")</f>
        <v/>
      </c>
      <c r="D350">
        <f>IF(A350&lt;&gt;"",_xlfn.ISOWEEKNUM(A350),"")</f>
        <v/>
      </c>
      <c r="E350">
        <f>IF(A350&lt;&gt;"",TEXT(A350,"dddd"),"")</f>
        <v/>
      </c>
      <c r="F350">
        <f>IF(BD_Carga!C351&lt;&gt;"",BD_Carga!C351,"")</f>
        <v/>
      </c>
      <c r="G350">
        <f>IF(BD_Carga!D351&lt;&gt;"",BD_Carga!D351,"")</f>
        <v/>
      </c>
      <c r="H350">
        <f>IF(BD_Carga!Q351&lt;&gt;"",BD_Carga!Q351,"")</f>
        <v/>
      </c>
      <c r="I350">
        <f>IF(BD_Carga!R351&lt;&gt;"",BD_Carga!R351,"")</f>
        <v/>
      </c>
      <c r="J350">
        <f>IF(BD_Carga!S351&lt;&gt;"",BD_Carga!S351,"")</f>
        <v/>
      </c>
      <c r="K350" s="4">
        <f>IF(BD_Carga!E351&lt;&gt;"",BD_Carga!E351,0)</f>
        <v/>
      </c>
      <c r="L350" s="4">
        <f>IF(BD_Carga!F351&lt;&gt;"",BD_Carga!F351,0)</f>
        <v/>
      </c>
      <c r="M350" s="4">
        <f>IF(BD_Carga!G351&lt;&gt;"",BD_Carga!G351,0)</f>
        <v/>
      </c>
      <c r="N350" s="4">
        <f>IF(BD_Carga!H351&lt;&gt;"",BD_Carga!H351,0)</f>
        <v/>
      </c>
      <c r="O350" s="4">
        <f>IF(BD_Carga!I351&lt;&gt;"",BD_Carga!I351,0)</f>
        <v/>
      </c>
      <c r="P350" s="4">
        <f>IF(BD_Carga!J351&lt;&gt;"",BD_Carga!J351,0)</f>
        <v/>
      </c>
      <c r="Q350" s="5">
        <f>IF(BD_Carga!K351&lt;&gt;"",BD_Carga!K351,0)</f>
        <v/>
      </c>
      <c r="R350" s="5">
        <f>IF(BD_Carga!L351&lt;&gt;"",BD_Carga!L351,0)</f>
        <v/>
      </c>
      <c r="S350">
        <f>IF(BD_Carga!N351&lt;&gt;"",BD_Carga!N351,0)</f>
        <v/>
      </c>
      <c r="T350">
        <f>IF(BD_Carga!O351&lt;&gt;"",BD_Carga!O351,0)</f>
        <v/>
      </c>
      <c r="U350">
        <f>IF(BD_Carga!P351&lt;&gt;"",BD_Carga!P351,0)</f>
        <v/>
      </c>
      <c r="V350">
        <f>IF(BD_Carga!U351&lt;&gt;"",BD_Carga!U351,0)</f>
        <v/>
      </c>
      <c r="W350">
        <f>IF(BD_Carga!T351&lt;&gt;"",BD_Carga!T351,0)</f>
        <v/>
      </c>
      <c r="X350">
        <f>IF(BD_Carga!W351&lt;&gt;"",BD_Carga!W351,0)</f>
        <v/>
      </c>
      <c r="Y350">
        <f>IF(BD_Carga!X351&lt;&gt;"",BD_Carga!X351,0)</f>
        <v/>
      </c>
      <c r="Z350">
        <f>IF(BD_Carga!Y351&lt;&gt;"",BD_Carga!Y351,0)</f>
        <v/>
      </c>
      <c r="AA350">
        <f>IF(BD_Carga!Z351&lt;&gt;"",BD_Carga!Z351,0)</f>
        <v/>
      </c>
      <c r="AB350">
        <f>IF(BD_Carga!AA351&lt;&gt;"",BD_Carga!AA351,0)</f>
        <v/>
      </c>
      <c r="AC350" s="6">
        <f t="array" ref="AC350">IFERROR((L350-AVERAGEIF($G$2:$G$462,G350,$L$2:$L$462))/_xlfn.STDEV.P(IF($G$2:$G$462=G350,$L$2:$L$462)),0)</f>
        <v/>
      </c>
      <c r="AD350" s="6">
        <f t="array" ref="AD350">IFERROR((M350-AVERAGEIF($G$2:$G$462,G350,$M$2:$M$462))/_xlfn.STDEV.P(IF($G$2:$G$462=G350,$M$2:$M$462)),0)</f>
        <v/>
      </c>
      <c r="AE350" s="6">
        <f t="array" ref="AE350">IFERROR((N350-AVERAGEIF($G$2:$G$462,G350,$N$2:$N$462))/_xlfn.STDEV.P(IF($G$2:$G$462=G350,$N$2:$N$462)),0)</f>
        <v/>
      </c>
      <c r="AF350" s="6">
        <f t="array" ref="AF350">IFERROR((O350-AVERAGEIF($G$2:$G$462,G350,$O$2:$O$462))/_xlfn.STDEV.P(IF($G$2:$G$462=G350,$O$2:$O$462)),0)</f>
        <v/>
      </c>
      <c r="AG350" s="6">
        <f t="array" ref="AG350">IFERROR((P350-AVERAGEIF($G$2:$G$462,G350,$P$2:$P$462))/_xlfn.STDEV.P(IF($G$2:$G$462=G350,$P$2:$P$462)),0)</f>
        <v/>
      </c>
      <c r="AH350" s="6">
        <f t="array" ref="AH350">IFERROR((R350-AVERAGEIF($G$2:$G$462,G350,$R$2:$R$462))/_xlfn.STDEV.P(IF($G$2:$G$462=G350,$R$2:$R$462)),0)</f>
        <v/>
      </c>
      <c r="AI350" s="6">
        <f>IFERROR((AC350+AD350+AE350+AF350+AG350+AH350)/6,0)</f>
        <v/>
      </c>
    </row>
    <row r="351">
      <c r="A351" s="2">
        <f>IF(BD_Carga!A352&lt;&gt;"",BD_Carga!A352,"")</f>
        <v/>
      </c>
      <c r="B351">
        <f>IF(A351&lt;&gt;"",YEAR(A351),"")</f>
        <v/>
      </c>
      <c r="C351">
        <f>IF(A351&lt;&gt;"",MONTH(A351),"")</f>
        <v/>
      </c>
      <c r="D351">
        <f>IF(A351&lt;&gt;"",_xlfn.ISOWEEKNUM(A351),"")</f>
        <v/>
      </c>
      <c r="E351">
        <f>IF(A351&lt;&gt;"",TEXT(A351,"dddd"),"")</f>
        <v/>
      </c>
      <c r="F351">
        <f>IF(BD_Carga!C352&lt;&gt;"",BD_Carga!C352,"")</f>
        <v/>
      </c>
      <c r="G351">
        <f>IF(BD_Carga!D352&lt;&gt;"",BD_Carga!D352,"")</f>
        <v/>
      </c>
      <c r="H351">
        <f>IF(BD_Carga!Q352&lt;&gt;"",BD_Carga!Q352,"")</f>
        <v/>
      </c>
      <c r="I351">
        <f>IF(BD_Carga!R352&lt;&gt;"",BD_Carga!R352,"")</f>
        <v/>
      </c>
      <c r="J351">
        <f>IF(BD_Carga!S352&lt;&gt;"",BD_Carga!S352,"")</f>
        <v/>
      </c>
      <c r="K351" s="4">
        <f>IF(BD_Carga!E352&lt;&gt;"",BD_Carga!E352,0)</f>
        <v/>
      </c>
      <c r="L351" s="4">
        <f>IF(BD_Carga!F352&lt;&gt;"",BD_Carga!F352,0)</f>
        <v/>
      </c>
      <c r="M351" s="4">
        <f>IF(BD_Carga!G352&lt;&gt;"",BD_Carga!G352,0)</f>
        <v/>
      </c>
      <c r="N351" s="4">
        <f>IF(BD_Carga!H352&lt;&gt;"",BD_Carga!H352,0)</f>
        <v/>
      </c>
      <c r="O351" s="4">
        <f>IF(BD_Carga!I352&lt;&gt;"",BD_Carga!I352,0)</f>
        <v/>
      </c>
      <c r="P351" s="4">
        <f>IF(BD_Carga!J352&lt;&gt;"",BD_Carga!J352,0)</f>
        <v/>
      </c>
      <c r="Q351" s="5">
        <f>IF(BD_Carga!K352&lt;&gt;"",BD_Carga!K352,0)</f>
        <v/>
      </c>
      <c r="R351" s="5">
        <f>IF(BD_Carga!L352&lt;&gt;"",BD_Carga!L352,0)</f>
        <v/>
      </c>
      <c r="S351">
        <f>IF(BD_Carga!N352&lt;&gt;"",BD_Carga!N352,0)</f>
        <v/>
      </c>
      <c r="T351">
        <f>IF(BD_Carga!O352&lt;&gt;"",BD_Carga!O352,0)</f>
        <v/>
      </c>
      <c r="U351">
        <f>IF(BD_Carga!P352&lt;&gt;"",BD_Carga!P352,0)</f>
        <v/>
      </c>
      <c r="V351">
        <f>IF(BD_Carga!U352&lt;&gt;"",BD_Carga!U352,0)</f>
        <v/>
      </c>
      <c r="W351">
        <f>IF(BD_Carga!T352&lt;&gt;"",BD_Carga!T352,0)</f>
        <v/>
      </c>
      <c r="X351">
        <f>IF(BD_Carga!W352&lt;&gt;"",BD_Carga!W352,0)</f>
        <v/>
      </c>
      <c r="Y351">
        <f>IF(BD_Carga!X352&lt;&gt;"",BD_Carga!X352,0)</f>
        <v/>
      </c>
      <c r="Z351">
        <f>IF(BD_Carga!Y352&lt;&gt;"",BD_Carga!Y352,0)</f>
        <v/>
      </c>
      <c r="AA351">
        <f>IF(BD_Carga!Z352&lt;&gt;"",BD_Carga!Z352,0)</f>
        <v/>
      </c>
      <c r="AB351">
        <f>IF(BD_Carga!AA352&lt;&gt;"",BD_Carga!AA352,0)</f>
        <v/>
      </c>
      <c r="AC351" s="6">
        <f t="array" ref="AC351">IFERROR((L351-AVERAGEIF($G$2:$G$462,G351,$L$2:$L$462))/_xlfn.STDEV.P(IF($G$2:$G$462=G351,$L$2:$L$462)),0)</f>
        <v/>
      </c>
      <c r="AD351" s="6">
        <f t="array" ref="AD351">IFERROR((M351-AVERAGEIF($G$2:$G$462,G351,$M$2:$M$462))/_xlfn.STDEV.P(IF($G$2:$G$462=G351,$M$2:$M$462)),0)</f>
        <v/>
      </c>
      <c r="AE351" s="6">
        <f t="array" ref="AE351">IFERROR((N351-AVERAGEIF($G$2:$G$462,G351,$N$2:$N$462))/_xlfn.STDEV.P(IF($G$2:$G$462=G351,$N$2:$N$462)),0)</f>
        <v/>
      </c>
      <c r="AF351" s="6">
        <f t="array" ref="AF351">IFERROR((O351-AVERAGEIF($G$2:$G$462,G351,$O$2:$O$462))/_xlfn.STDEV.P(IF($G$2:$G$462=G351,$O$2:$O$462)),0)</f>
        <v/>
      </c>
      <c r="AG351" s="6">
        <f t="array" ref="AG351">IFERROR((P351-AVERAGEIF($G$2:$G$462,G351,$P$2:$P$462))/_xlfn.STDEV.P(IF($G$2:$G$462=G351,$P$2:$P$462)),0)</f>
        <v/>
      </c>
      <c r="AH351" s="6">
        <f t="array" ref="AH351">IFERROR((R351-AVERAGEIF($G$2:$G$462,G351,$R$2:$R$462))/_xlfn.STDEV.P(IF($G$2:$G$462=G351,$R$2:$R$462)),0)</f>
        <v/>
      </c>
      <c r="AI351" s="6">
        <f>IFERROR((AC351+AD351+AE351+AF351+AG351+AH351)/6,0)</f>
        <v/>
      </c>
    </row>
    <row r="352">
      <c r="A352" s="2">
        <f>IF(BD_Carga!A353&lt;&gt;"",BD_Carga!A353,"")</f>
        <v/>
      </c>
      <c r="B352">
        <f>IF(A352&lt;&gt;"",YEAR(A352),"")</f>
        <v/>
      </c>
      <c r="C352">
        <f>IF(A352&lt;&gt;"",MONTH(A352),"")</f>
        <v/>
      </c>
      <c r="D352">
        <f>IF(A352&lt;&gt;"",_xlfn.ISOWEEKNUM(A352),"")</f>
        <v/>
      </c>
      <c r="E352">
        <f>IF(A352&lt;&gt;"",TEXT(A352,"dddd"),"")</f>
        <v/>
      </c>
      <c r="F352">
        <f>IF(BD_Carga!C353&lt;&gt;"",BD_Carga!C353,"")</f>
        <v/>
      </c>
      <c r="G352">
        <f>IF(BD_Carga!D353&lt;&gt;"",BD_Carga!D353,"")</f>
        <v/>
      </c>
      <c r="H352">
        <f>IF(BD_Carga!Q353&lt;&gt;"",BD_Carga!Q353,"")</f>
        <v/>
      </c>
      <c r="I352">
        <f>IF(BD_Carga!R353&lt;&gt;"",BD_Carga!R353,"")</f>
        <v/>
      </c>
      <c r="J352">
        <f>IF(BD_Carga!S353&lt;&gt;"",BD_Carga!S353,"")</f>
        <v/>
      </c>
      <c r="K352" s="4">
        <f>IF(BD_Carga!E353&lt;&gt;"",BD_Carga!E353,0)</f>
        <v/>
      </c>
      <c r="L352" s="4">
        <f>IF(BD_Carga!F353&lt;&gt;"",BD_Carga!F353,0)</f>
        <v/>
      </c>
      <c r="M352" s="4">
        <f>IF(BD_Carga!G353&lt;&gt;"",BD_Carga!G353,0)</f>
        <v/>
      </c>
      <c r="N352" s="4">
        <f>IF(BD_Carga!H353&lt;&gt;"",BD_Carga!H353,0)</f>
        <v/>
      </c>
      <c r="O352" s="4">
        <f>IF(BD_Carga!I353&lt;&gt;"",BD_Carga!I353,0)</f>
        <v/>
      </c>
      <c r="P352" s="4">
        <f>IF(BD_Carga!J353&lt;&gt;"",BD_Carga!J353,0)</f>
        <v/>
      </c>
      <c r="Q352" s="5">
        <f>IF(BD_Carga!K353&lt;&gt;"",BD_Carga!K353,0)</f>
        <v/>
      </c>
      <c r="R352" s="5">
        <f>IF(BD_Carga!L353&lt;&gt;"",BD_Carga!L353,0)</f>
        <v/>
      </c>
      <c r="S352">
        <f>IF(BD_Carga!N353&lt;&gt;"",BD_Carga!N353,0)</f>
        <v/>
      </c>
      <c r="T352">
        <f>IF(BD_Carga!O353&lt;&gt;"",BD_Carga!O353,0)</f>
        <v/>
      </c>
      <c r="U352">
        <f>IF(BD_Carga!P353&lt;&gt;"",BD_Carga!P353,0)</f>
        <v/>
      </c>
      <c r="V352">
        <f>IF(BD_Carga!U353&lt;&gt;"",BD_Carga!U353,0)</f>
        <v/>
      </c>
      <c r="W352">
        <f>IF(BD_Carga!T353&lt;&gt;"",BD_Carga!T353,0)</f>
        <v/>
      </c>
      <c r="X352">
        <f>IF(BD_Carga!W353&lt;&gt;"",BD_Carga!W353,0)</f>
        <v/>
      </c>
      <c r="Y352">
        <f>IF(BD_Carga!X353&lt;&gt;"",BD_Carga!X353,0)</f>
        <v/>
      </c>
      <c r="Z352">
        <f>IF(BD_Carga!Y353&lt;&gt;"",BD_Carga!Y353,0)</f>
        <v/>
      </c>
      <c r="AA352">
        <f>IF(BD_Carga!Z353&lt;&gt;"",BD_Carga!Z353,0)</f>
        <v/>
      </c>
      <c r="AB352">
        <f>IF(BD_Carga!AA353&lt;&gt;"",BD_Carga!AA353,0)</f>
        <v/>
      </c>
      <c r="AC352" s="6">
        <f t="array" ref="AC352">IFERROR((L352-AVERAGEIF($G$2:$G$462,G352,$L$2:$L$462))/_xlfn.STDEV.P(IF($G$2:$G$462=G352,$L$2:$L$462)),0)</f>
        <v/>
      </c>
      <c r="AD352" s="6">
        <f t="array" ref="AD352">IFERROR((M352-AVERAGEIF($G$2:$G$462,G352,$M$2:$M$462))/_xlfn.STDEV.P(IF($G$2:$G$462=G352,$M$2:$M$462)),0)</f>
        <v/>
      </c>
      <c r="AE352" s="6">
        <f t="array" ref="AE352">IFERROR((N352-AVERAGEIF($G$2:$G$462,G352,$N$2:$N$462))/_xlfn.STDEV.P(IF($G$2:$G$462=G352,$N$2:$N$462)),0)</f>
        <v/>
      </c>
      <c r="AF352" s="6">
        <f t="array" ref="AF352">IFERROR((O352-AVERAGEIF($G$2:$G$462,G352,$O$2:$O$462))/_xlfn.STDEV.P(IF($G$2:$G$462=G352,$O$2:$O$462)),0)</f>
        <v/>
      </c>
      <c r="AG352" s="6">
        <f t="array" ref="AG352">IFERROR((P352-AVERAGEIF($G$2:$G$462,G352,$P$2:$P$462))/_xlfn.STDEV.P(IF($G$2:$G$462=G352,$P$2:$P$462)),0)</f>
        <v/>
      </c>
      <c r="AH352" s="6">
        <f t="array" ref="AH352">IFERROR((R352-AVERAGEIF($G$2:$G$462,G352,$R$2:$R$462))/_xlfn.STDEV.P(IF($G$2:$G$462=G352,$R$2:$R$462)),0)</f>
        <v/>
      </c>
      <c r="AI352" s="6">
        <f>IFERROR((AC352+AD352+AE352+AF352+AG352+AH352)/6,0)</f>
        <v/>
      </c>
    </row>
    <row r="353">
      <c r="A353" s="2">
        <f>IF(BD_Carga!A354&lt;&gt;"",BD_Carga!A354,"")</f>
        <v/>
      </c>
      <c r="B353">
        <f>IF(A353&lt;&gt;"",YEAR(A353),"")</f>
        <v/>
      </c>
      <c r="C353">
        <f>IF(A353&lt;&gt;"",MONTH(A353),"")</f>
        <v/>
      </c>
      <c r="D353">
        <f>IF(A353&lt;&gt;"",_xlfn.ISOWEEKNUM(A353),"")</f>
        <v/>
      </c>
      <c r="E353">
        <f>IF(A353&lt;&gt;"",TEXT(A353,"dddd"),"")</f>
        <v/>
      </c>
      <c r="F353">
        <f>IF(BD_Carga!C354&lt;&gt;"",BD_Carga!C354,"")</f>
        <v/>
      </c>
      <c r="G353">
        <f>IF(BD_Carga!D354&lt;&gt;"",BD_Carga!D354,"")</f>
        <v/>
      </c>
      <c r="H353">
        <f>IF(BD_Carga!Q354&lt;&gt;"",BD_Carga!Q354,"")</f>
        <v/>
      </c>
      <c r="I353">
        <f>IF(BD_Carga!R354&lt;&gt;"",BD_Carga!R354,"")</f>
        <v/>
      </c>
      <c r="J353">
        <f>IF(BD_Carga!S354&lt;&gt;"",BD_Carga!S354,"")</f>
        <v/>
      </c>
      <c r="K353" s="4">
        <f>IF(BD_Carga!E354&lt;&gt;"",BD_Carga!E354,0)</f>
        <v/>
      </c>
      <c r="L353" s="4">
        <f>IF(BD_Carga!F354&lt;&gt;"",BD_Carga!F354,0)</f>
        <v/>
      </c>
      <c r="M353" s="4">
        <f>IF(BD_Carga!G354&lt;&gt;"",BD_Carga!G354,0)</f>
        <v/>
      </c>
      <c r="N353" s="4">
        <f>IF(BD_Carga!H354&lt;&gt;"",BD_Carga!H354,0)</f>
        <v/>
      </c>
      <c r="O353" s="4">
        <f>IF(BD_Carga!I354&lt;&gt;"",BD_Carga!I354,0)</f>
        <v/>
      </c>
      <c r="P353" s="4">
        <f>IF(BD_Carga!J354&lt;&gt;"",BD_Carga!J354,0)</f>
        <v/>
      </c>
      <c r="Q353" s="5">
        <f>IF(BD_Carga!K354&lt;&gt;"",BD_Carga!K354,0)</f>
        <v/>
      </c>
      <c r="R353" s="5">
        <f>IF(BD_Carga!L354&lt;&gt;"",BD_Carga!L354,0)</f>
        <v/>
      </c>
      <c r="S353">
        <f>IF(BD_Carga!N354&lt;&gt;"",BD_Carga!N354,0)</f>
        <v/>
      </c>
      <c r="T353">
        <f>IF(BD_Carga!O354&lt;&gt;"",BD_Carga!O354,0)</f>
        <v/>
      </c>
      <c r="U353">
        <f>IF(BD_Carga!P354&lt;&gt;"",BD_Carga!P354,0)</f>
        <v/>
      </c>
      <c r="V353">
        <f>IF(BD_Carga!U354&lt;&gt;"",BD_Carga!U354,0)</f>
        <v/>
      </c>
      <c r="W353">
        <f>IF(BD_Carga!T354&lt;&gt;"",BD_Carga!T354,0)</f>
        <v/>
      </c>
      <c r="X353">
        <f>IF(BD_Carga!W354&lt;&gt;"",BD_Carga!W354,0)</f>
        <v/>
      </c>
      <c r="Y353">
        <f>IF(BD_Carga!X354&lt;&gt;"",BD_Carga!X354,0)</f>
        <v/>
      </c>
      <c r="Z353">
        <f>IF(BD_Carga!Y354&lt;&gt;"",BD_Carga!Y354,0)</f>
        <v/>
      </c>
      <c r="AA353">
        <f>IF(BD_Carga!Z354&lt;&gt;"",BD_Carga!Z354,0)</f>
        <v/>
      </c>
      <c r="AB353">
        <f>IF(BD_Carga!AA354&lt;&gt;"",BD_Carga!AA354,0)</f>
        <v/>
      </c>
      <c r="AC353" s="6">
        <f t="array" ref="AC353">IFERROR((L353-AVERAGEIF($G$2:$G$462,G353,$L$2:$L$462))/_xlfn.STDEV.P(IF($G$2:$G$462=G353,$L$2:$L$462)),0)</f>
        <v/>
      </c>
      <c r="AD353" s="6">
        <f t="array" ref="AD353">IFERROR((M353-AVERAGEIF($G$2:$G$462,G353,$M$2:$M$462))/_xlfn.STDEV.P(IF($G$2:$G$462=G353,$M$2:$M$462)),0)</f>
        <v/>
      </c>
      <c r="AE353" s="6">
        <f t="array" ref="AE353">IFERROR((N353-AVERAGEIF($G$2:$G$462,G353,$N$2:$N$462))/_xlfn.STDEV.P(IF($G$2:$G$462=G353,$N$2:$N$462)),0)</f>
        <v/>
      </c>
      <c r="AF353" s="6">
        <f t="array" ref="AF353">IFERROR((O353-AVERAGEIF($G$2:$G$462,G353,$O$2:$O$462))/_xlfn.STDEV.P(IF($G$2:$G$462=G353,$O$2:$O$462)),0)</f>
        <v/>
      </c>
      <c r="AG353" s="6">
        <f t="array" ref="AG353">IFERROR((P353-AVERAGEIF($G$2:$G$462,G353,$P$2:$P$462))/_xlfn.STDEV.P(IF($G$2:$G$462=G353,$P$2:$P$462)),0)</f>
        <v/>
      </c>
      <c r="AH353" s="6">
        <f t="array" ref="AH353">IFERROR((R353-AVERAGEIF($G$2:$G$462,G353,$R$2:$R$462))/_xlfn.STDEV.P(IF($G$2:$G$462=G353,$R$2:$R$462)),0)</f>
        <v/>
      </c>
      <c r="AI353" s="6">
        <f>IFERROR((AC353+AD353+AE353+AF353+AG353+AH353)/6,0)</f>
        <v/>
      </c>
    </row>
    <row r="354">
      <c r="A354" s="2">
        <f>IF(BD_Carga!A355&lt;&gt;"",BD_Carga!A355,"")</f>
        <v/>
      </c>
      <c r="B354">
        <f>IF(A354&lt;&gt;"",YEAR(A354),"")</f>
        <v/>
      </c>
      <c r="C354">
        <f>IF(A354&lt;&gt;"",MONTH(A354),"")</f>
        <v/>
      </c>
      <c r="D354">
        <f>IF(A354&lt;&gt;"",_xlfn.ISOWEEKNUM(A354),"")</f>
        <v/>
      </c>
      <c r="E354">
        <f>IF(A354&lt;&gt;"",TEXT(A354,"dddd"),"")</f>
        <v/>
      </c>
      <c r="F354">
        <f>IF(BD_Carga!C355&lt;&gt;"",BD_Carga!C355,"")</f>
        <v/>
      </c>
      <c r="G354">
        <f>IF(BD_Carga!D355&lt;&gt;"",BD_Carga!D355,"")</f>
        <v/>
      </c>
      <c r="H354">
        <f>IF(BD_Carga!Q355&lt;&gt;"",BD_Carga!Q355,"")</f>
        <v/>
      </c>
      <c r="I354">
        <f>IF(BD_Carga!R355&lt;&gt;"",BD_Carga!R355,"")</f>
        <v/>
      </c>
      <c r="J354">
        <f>IF(BD_Carga!S355&lt;&gt;"",BD_Carga!S355,"")</f>
        <v/>
      </c>
      <c r="K354" s="4">
        <f>IF(BD_Carga!E355&lt;&gt;"",BD_Carga!E355,0)</f>
        <v/>
      </c>
      <c r="L354" s="4">
        <f>IF(BD_Carga!F355&lt;&gt;"",BD_Carga!F355,0)</f>
        <v/>
      </c>
      <c r="M354" s="4">
        <f>IF(BD_Carga!G355&lt;&gt;"",BD_Carga!G355,0)</f>
        <v/>
      </c>
      <c r="N354" s="4">
        <f>IF(BD_Carga!H355&lt;&gt;"",BD_Carga!H355,0)</f>
        <v/>
      </c>
      <c r="O354" s="4">
        <f>IF(BD_Carga!I355&lt;&gt;"",BD_Carga!I355,0)</f>
        <v/>
      </c>
      <c r="P354" s="4">
        <f>IF(BD_Carga!J355&lt;&gt;"",BD_Carga!J355,0)</f>
        <v/>
      </c>
      <c r="Q354" s="5">
        <f>IF(BD_Carga!K355&lt;&gt;"",BD_Carga!K355,0)</f>
        <v/>
      </c>
      <c r="R354" s="5">
        <f>IF(BD_Carga!L355&lt;&gt;"",BD_Carga!L355,0)</f>
        <v/>
      </c>
      <c r="S354">
        <f>IF(BD_Carga!N355&lt;&gt;"",BD_Carga!N355,0)</f>
        <v/>
      </c>
      <c r="T354">
        <f>IF(BD_Carga!O355&lt;&gt;"",BD_Carga!O355,0)</f>
        <v/>
      </c>
      <c r="U354">
        <f>IF(BD_Carga!P355&lt;&gt;"",BD_Carga!P355,0)</f>
        <v/>
      </c>
      <c r="V354">
        <f>IF(BD_Carga!U355&lt;&gt;"",BD_Carga!U355,0)</f>
        <v/>
      </c>
      <c r="W354">
        <f>IF(BD_Carga!T355&lt;&gt;"",BD_Carga!T355,0)</f>
        <v/>
      </c>
      <c r="X354">
        <f>IF(BD_Carga!W355&lt;&gt;"",BD_Carga!W355,0)</f>
        <v/>
      </c>
      <c r="Y354">
        <f>IF(BD_Carga!X355&lt;&gt;"",BD_Carga!X355,0)</f>
        <v/>
      </c>
      <c r="Z354">
        <f>IF(BD_Carga!Y355&lt;&gt;"",BD_Carga!Y355,0)</f>
        <v/>
      </c>
      <c r="AA354">
        <f>IF(BD_Carga!Z355&lt;&gt;"",BD_Carga!Z355,0)</f>
        <v/>
      </c>
      <c r="AB354">
        <f>IF(BD_Carga!AA355&lt;&gt;"",BD_Carga!AA355,0)</f>
        <v/>
      </c>
      <c r="AC354" s="6">
        <f t="array" ref="AC354">IFERROR((L354-AVERAGEIF($G$2:$G$462,G354,$L$2:$L$462))/_xlfn.STDEV.P(IF($G$2:$G$462=G354,$L$2:$L$462)),0)</f>
        <v/>
      </c>
      <c r="AD354" s="6">
        <f t="array" ref="AD354">IFERROR((M354-AVERAGEIF($G$2:$G$462,G354,$M$2:$M$462))/_xlfn.STDEV.P(IF($G$2:$G$462=G354,$M$2:$M$462)),0)</f>
        <v/>
      </c>
      <c r="AE354" s="6">
        <f t="array" ref="AE354">IFERROR((N354-AVERAGEIF($G$2:$G$462,G354,$N$2:$N$462))/_xlfn.STDEV.P(IF($G$2:$G$462=G354,$N$2:$N$462)),0)</f>
        <v/>
      </c>
      <c r="AF354" s="6">
        <f t="array" ref="AF354">IFERROR((O354-AVERAGEIF($G$2:$G$462,G354,$O$2:$O$462))/_xlfn.STDEV.P(IF($G$2:$G$462=G354,$O$2:$O$462)),0)</f>
        <v/>
      </c>
      <c r="AG354" s="6">
        <f t="array" ref="AG354">IFERROR((P354-AVERAGEIF($G$2:$G$462,G354,$P$2:$P$462))/_xlfn.STDEV.P(IF($G$2:$G$462=G354,$P$2:$P$462)),0)</f>
        <v/>
      </c>
      <c r="AH354" s="6">
        <f t="array" ref="AH354">IFERROR((R354-AVERAGEIF($G$2:$G$462,G354,$R$2:$R$462))/_xlfn.STDEV.P(IF($G$2:$G$462=G354,$R$2:$R$462)),0)</f>
        <v/>
      </c>
      <c r="AI354" s="6">
        <f>IFERROR((AC354+AD354+AE354+AF354+AG354+AH354)/6,0)</f>
        <v/>
      </c>
    </row>
    <row r="355">
      <c r="A355" s="2">
        <f>IF(BD_Carga!A356&lt;&gt;"",BD_Carga!A356,"")</f>
        <v/>
      </c>
      <c r="B355">
        <f>IF(A355&lt;&gt;"",YEAR(A355),"")</f>
        <v/>
      </c>
      <c r="C355">
        <f>IF(A355&lt;&gt;"",MONTH(A355),"")</f>
        <v/>
      </c>
      <c r="D355">
        <f>IF(A355&lt;&gt;"",_xlfn.ISOWEEKNUM(A355),"")</f>
        <v/>
      </c>
      <c r="E355">
        <f>IF(A355&lt;&gt;"",TEXT(A355,"dddd"),"")</f>
        <v/>
      </c>
      <c r="F355">
        <f>IF(BD_Carga!C356&lt;&gt;"",BD_Carga!C356,"")</f>
        <v/>
      </c>
      <c r="G355">
        <f>IF(BD_Carga!D356&lt;&gt;"",BD_Carga!D356,"")</f>
        <v/>
      </c>
      <c r="H355">
        <f>IF(BD_Carga!Q356&lt;&gt;"",BD_Carga!Q356,"")</f>
        <v/>
      </c>
      <c r="I355">
        <f>IF(BD_Carga!R356&lt;&gt;"",BD_Carga!R356,"")</f>
        <v/>
      </c>
      <c r="J355">
        <f>IF(BD_Carga!S356&lt;&gt;"",BD_Carga!S356,"")</f>
        <v/>
      </c>
      <c r="K355" s="4">
        <f>IF(BD_Carga!E356&lt;&gt;"",BD_Carga!E356,0)</f>
        <v/>
      </c>
      <c r="L355" s="4">
        <f>IF(BD_Carga!F356&lt;&gt;"",BD_Carga!F356,0)</f>
        <v/>
      </c>
      <c r="M355" s="4">
        <f>IF(BD_Carga!G356&lt;&gt;"",BD_Carga!G356,0)</f>
        <v/>
      </c>
      <c r="N355" s="4">
        <f>IF(BD_Carga!H356&lt;&gt;"",BD_Carga!H356,0)</f>
        <v/>
      </c>
      <c r="O355" s="4">
        <f>IF(BD_Carga!I356&lt;&gt;"",BD_Carga!I356,0)</f>
        <v/>
      </c>
      <c r="P355" s="4">
        <f>IF(BD_Carga!J356&lt;&gt;"",BD_Carga!J356,0)</f>
        <v/>
      </c>
      <c r="Q355" s="5">
        <f>IF(BD_Carga!K356&lt;&gt;"",BD_Carga!K356,0)</f>
        <v/>
      </c>
      <c r="R355" s="5">
        <f>IF(BD_Carga!L356&lt;&gt;"",BD_Carga!L356,0)</f>
        <v/>
      </c>
      <c r="S355">
        <f>IF(BD_Carga!N356&lt;&gt;"",BD_Carga!N356,0)</f>
        <v/>
      </c>
      <c r="T355">
        <f>IF(BD_Carga!O356&lt;&gt;"",BD_Carga!O356,0)</f>
        <v/>
      </c>
      <c r="U355">
        <f>IF(BD_Carga!P356&lt;&gt;"",BD_Carga!P356,0)</f>
        <v/>
      </c>
      <c r="V355">
        <f>IF(BD_Carga!U356&lt;&gt;"",BD_Carga!U356,0)</f>
        <v/>
      </c>
      <c r="W355">
        <f>IF(BD_Carga!T356&lt;&gt;"",BD_Carga!T356,0)</f>
        <v/>
      </c>
      <c r="X355">
        <f>IF(BD_Carga!W356&lt;&gt;"",BD_Carga!W356,0)</f>
        <v/>
      </c>
      <c r="Y355">
        <f>IF(BD_Carga!X356&lt;&gt;"",BD_Carga!X356,0)</f>
        <v/>
      </c>
      <c r="Z355">
        <f>IF(BD_Carga!Y356&lt;&gt;"",BD_Carga!Y356,0)</f>
        <v/>
      </c>
      <c r="AA355">
        <f>IF(BD_Carga!Z356&lt;&gt;"",BD_Carga!Z356,0)</f>
        <v/>
      </c>
      <c r="AB355">
        <f>IF(BD_Carga!AA356&lt;&gt;"",BD_Carga!AA356,0)</f>
        <v/>
      </c>
      <c r="AC355" s="6">
        <f t="array" ref="AC355">IFERROR((L355-AVERAGEIF($G$2:$G$462,G355,$L$2:$L$462))/_xlfn.STDEV.P(IF($G$2:$G$462=G355,$L$2:$L$462)),0)</f>
        <v/>
      </c>
      <c r="AD355" s="6">
        <f t="array" ref="AD355">IFERROR((M355-AVERAGEIF($G$2:$G$462,G355,$M$2:$M$462))/_xlfn.STDEV.P(IF($G$2:$G$462=G355,$M$2:$M$462)),0)</f>
        <v/>
      </c>
      <c r="AE355" s="6">
        <f t="array" ref="AE355">IFERROR((N355-AVERAGEIF($G$2:$G$462,G355,$N$2:$N$462))/_xlfn.STDEV.P(IF($G$2:$G$462=G355,$N$2:$N$462)),0)</f>
        <v/>
      </c>
      <c r="AF355" s="6">
        <f t="array" ref="AF355">IFERROR((O355-AVERAGEIF($G$2:$G$462,G355,$O$2:$O$462))/_xlfn.STDEV.P(IF($G$2:$G$462=G355,$O$2:$O$462)),0)</f>
        <v/>
      </c>
      <c r="AG355" s="6">
        <f t="array" ref="AG355">IFERROR((P355-AVERAGEIF($G$2:$G$462,G355,$P$2:$P$462))/_xlfn.STDEV.P(IF($G$2:$G$462=G355,$P$2:$P$462)),0)</f>
        <v/>
      </c>
      <c r="AH355" s="6">
        <f t="array" ref="AH355">IFERROR((R355-AVERAGEIF($G$2:$G$462,G355,$R$2:$R$462))/_xlfn.STDEV.P(IF($G$2:$G$462=G355,$R$2:$R$462)),0)</f>
        <v/>
      </c>
      <c r="AI355" s="6">
        <f>IFERROR((AC355+AD355+AE355+AF355+AG355+AH355)/6,0)</f>
        <v/>
      </c>
    </row>
    <row r="356">
      <c r="A356" s="2">
        <f>IF(BD_Carga!A357&lt;&gt;"",BD_Carga!A357,"")</f>
        <v/>
      </c>
      <c r="B356">
        <f>IF(A356&lt;&gt;"",YEAR(A356),"")</f>
        <v/>
      </c>
      <c r="C356">
        <f>IF(A356&lt;&gt;"",MONTH(A356),"")</f>
        <v/>
      </c>
      <c r="D356">
        <f>IF(A356&lt;&gt;"",_xlfn.ISOWEEKNUM(A356),"")</f>
        <v/>
      </c>
      <c r="E356">
        <f>IF(A356&lt;&gt;"",TEXT(A356,"dddd"),"")</f>
        <v/>
      </c>
      <c r="F356">
        <f>IF(BD_Carga!C357&lt;&gt;"",BD_Carga!C357,"")</f>
        <v/>
      </c>
      <c r="G356">
        <f>IF(BD_Carga!D357&lt;&gt;"",BD_Carga!D357,"")</f>
        <v/>
      </c>
      <c r="H356">
        <f>IF(BD_Carga!Q357&lt;&gt;"",BD_Carga!Q357,"")</f>
        <v/>
      </c>
      <c r="I356">
        <f>IF(BD_Carga!R357&lt;&gt;"",BD_Carga!R357,"")</f>
        <v/>
      </c>
      <c r="J356">
        <f>IF(BD_Carga!S357&lt;&gt;"",BD_Carga!S357,"")</f>
        <v/>
      </c>
      <c r="K356" s="4">
        <f>IF(BD_Carga!E357&lt;&gt;"",BD_Carga!E357,0)</f>
        <v/>
      </c>
      <c r="L356" s="4">
        <f>IF(BD_Carga!F357&lt;&gt;"",BD_Carga!F357,0)</f>
        <v/>
      </c>
      <c r="M356" s="4">
        <f>IF(BD_Carga!G357&lt;&gt;"",BD_Carga!G357,0)</f>
        <v/>
      </c>
      <c r="N356" s="4">
        <f>IF(BD_Carga!H357&lt;&gt;"",BD_Carga!H357,0)</f>
        <v/>
      </c>
      <c r="O356" s="4">
        <f>IF(BD_Carga!I357&lt;&gt;"",BD_Carga!I357,0)</f>
        <v/>
      </c>
      <c r="P356" s="4">
        <f>IF(BD_Carga!J357&lt;&gt;"",BD_Carga!J357,0)</f>
        <v/>
      </c>
      <c r="Q356" s="5">
        <f>IF(BD_Carga!K357&lt;&gt;"",BD_Carga!K357,0)</f>
        <v/>
      </c>
      <c r="R356" s="5">
        <f>IF(BD_Carga!L357&lt;&gt;"",BD_Carga!L357,0)</f>
        <v/>
      </c>
      <c r="S356">
        <f>IF(BD_Carga!N357&lt;&gt;"",BD_Carga!N357,0)</f>
        <v/>
      </c>
      <c r="T356">
        <f>IF(BD_Carga!O357&lt;&gt;"",BD_Carga!O357,0)</f>
        <v/>
      </c>
      <c r="U356">
        <f>IF(BD_Carga!P357&lt;&gt;"",BD_Carga!P357,0)</f>
        <v/>
      </c>
      <c r="V356">
        <f>IF(BD_Carga!U357&lt;&gt;"",BD_Carga!U357,0)</f>
        <v/>
      </c>
      <c r="W356">
        <f>IF(BD_Carga!T357&lt;&gt;"",BD_Carga!T357,0)</f>
        <v/>
      </c>
      <c r="X356">
        <f>IF(BD_Carga!W357&lt;&gt;"",BD_Carga!W357,0)</f>
        <v/>
      </c>
      <c r="Y356">
        <f>IF(BD_Carga!X357&lt;&gt;"",BD_Carga!X357,0)</f>
        <v/>
      </c>
      <c r="Z356">
        <f>IF(BD_Carga!Y357&lt;&gt;"",BD_Carga!Y357,0)</f>
        <v/>
      </c>
      <c r="AA356">
        <f>IF(BD_Carga!Z357&lt;&gt;"",BD_Carga!Z357,0)</f>
        <v/>
      </c>
      <c r="AB356">
        <f>IF(BD_Carga!AA357&lt;&gt;"",BD_Carga!AA357,0)</f>
        <v/>
      </c>
      <c r="AC356" s="6">
        <f t="array" ref="AC356">IFERROR((L356-AVERAGEIF($G$2:$G$462,G356,$L$2:$L$462))/_xlfn.STDEV.P(IF($G$2:$G$462=G356,$L$2:$L$462)),0)</f>
        <v/>
      </c>
      <c r="AD356" s="6">
        <f t="array" ref="AD356">IFERROR((M356-AVERAGEIF($G$2:$G$462,G356,$M$2:$M$462))/_xlfn.STDEV.P(IF($G$2:$G$462=G356,$M$2:$M$462)),0)</f>
        <v/>
      </c>
      <c r="AE356" s="6">
        <f t="array" ref="AE356">IFERROR((N356-AVERAGEIF($G$2:$G$462,G356,$N$2:$N$462))/_xlfn.STDEV.P(IF($G$2:$G$462=G356,$N$2:$N$462)),0)</f>
        <v/>
      </c>
      <c r="AF356" s="6">
        <f t="array" ref="AF356">IFERROR((O356-AVERAGEIF($G$2:$G$462,G356,$O$2:$O$462))/_xlfn.STDEV.P(IF($G$2:$G$462=G356,$O$2:$O$462)),0)</f>
        <v/>
      </c>
      <c r="AG356" s="6">
        <f t="array" ref="AG356">IFERROR((P356-AVERAGEIF($G$2:$G$462,G356,$P$2:$P$462))/_xlfn.STDEV.P(IF($G$2:$G$462=G356,$P$2:$P$462)),0)</f>
        <v/>
      </c>
      <c r="AH356" s="6">
        <f t="array" ref="AH356">IFERROR((R356-AVERAGEIF($G$2:$G$462,G356,$R$2:$R$462))/_xlfn.STDEV.P(IF($G$2:$G$462=G356,$R$2:$R$462)),0)</f>
        <v/>
      </c>
      <c r="AI356" s="6">
        <f>IFERROR((AC356+AD356+AE356+AF356+AG356+AH356)/6,0)</f>
        <v/>
      </c>
    </row>
    <row r="357">
      <c r="A357" s="2">
        <f>IF(BD_Carga!A358&lt;&gt;"",BD_Carga!A358,"")</f>
        <v/>
      </c>
      <c r="B357">
        <f>IF(A357&lt;&gt;"",YEAR(A357),"")</f>
        <v/>
      </c>
      <c r="C357">
        <f>IF(A357&lt;&gt;"",MONTH(A357),"")</f>
        <v/>
      </c>
      <c r="D357">
        <f>IF(A357&lt;&gt;"",_xlfn.ISOWEEKNUM(A357),"")</f>
        <v/>
      </c>
      <c r="E357">
        <f>IF(A357&lt;&gt;"",TEXT(A357,"dddd"),"")</f>
        <v/>
      </c>
      <c r="F357">
        <f>IF(BD_Carga!C358&lt;&gt;"",BD_Carga!C358,"")</f>
        <v/>
      </c>
      <c r="G357">
        <f>IF(BD_Carga!D358&lt;&gt;"",BD_Carga!D358,"")</f>
        <v/>
      </c>
      <c r="H357">
        <f>IF(BD_Carga!Q358&lt;&gt;"",BD_Carga!Q358,"")</f>
        <v/>
      </c>
      <c r="I357">
        <f>IF(BD_Carga!R358&lt;&gt;"",BD_Carga!R358,"")</f>
        <v/>
      </c>
      <c r="J357">
        <f>IF(BD_Carga!S358&lt;&gt;"",BD_Carga!S358,"")</f>
        <v/>
      </c>
      <c r="K357" s="4">
        <f>IF(BD_Carga!E358&lt;&gt;"",BD_Carga!E358,0)</f>
        <v/>
      </c>
      <c r="L357" s="4">
        <f>IF(BD_Carga!F358&lt;&gt;"",BD_Carga!F358,0)</f>
        <v/>
      </c>
      <c r="M357" s="4">
        <f>IF(BD_Carga!G358&lt;&gt;"",BD_Carga!G358,0)</f>
        <v/>
      </c>
      <c r="N357" s="4">
        <f>IF(BD_Carga!H358&lt;&gt;"",BD_Carga!H358,0)</f>
        <v/>
      </c>
      <c r="O357" s="4">
        <f>IF(BD_Carga!I358&lt;&gt;"",BD_Carga!I358,0)</f>
        <v/>
      </c>
      <c r="P357" s="4">
        <f>IF(BD_Carga!J358&lt;&gt;"",BD_Carga!J358,0)</f>
        <v/>
      </c>
      <c r="Q357" s="5">
        <f>IF(BD_Carga!K358&lt;&gt;"",BD_Carga!K358,0)</f>
        <v/>
      </c>
      <c r="R357" s="5">
        <f>IF(BD_Carga!L358&lt;&gt;"",BD_Carga!L358,0)</f>
        <v/>
      </c>
      <c r="S357">
        <f>IF(BD_Carga!N358&lt;&gt;"",BD_Carga!N358,0)</f>
        <v/>
      </c>
      <c r="T357">
        <f>IF(BD_Carga!O358&lt;&gt;"",BD_Carga!O358,0)</f>
        <v/>
      </c>
      <c r="U357">
        <f>IF(BD_Carga!P358&lt;&gt;"",BD_Carga!P358,0)</f>
        <v/>
      </c>
      <c r="V357">
        <f>IF(BD_Carga!U358&lt;&gt;"",BD_Carga!U358,0)</f>
        <v/>
      </c>
      <c r="W357">
        <f>IF(BD_Carga!T358&lt;&gt;"",BD_Carga!T358,0)</f>
        <v/>
      </c>
      <c r="X357">
        <f>IF(BD_Carga!W358&lt;&gt;"",BD_Carga!W358,0)</f>
        <v/>
      </c>
      <c r="Y357">
        <f>IF(BD_Carga!X358&lt;&gt;"",BD_Carga!X358,0)</f>
        <v/>
      </c>
      <c r="Z357">
        <f>IF(BD_Carga!Y358&lt;&gt;"",BD_Carga!Y358,0)</f>
        <v/>
      </c>
      <c r="AA357">
        <f>IF(BD_Carga!Z358&lt;&gt;"",BD_Carga!Z358,0)</f>
        <v/>
      </c>
      <c r="AB357">
        <f>IF(BD_Carga!AA358&lt;&gt;"",BD_Carga!AA358,0)</f>
        <v/>
      </c>
      <c r="AC357" s="6">
        <f t="array" ref="AC357">IFERROR((L357-AVERAGEIF($G$2:$G$462,G357,$L$2:$L$462))/_xlfn.STDEV.P(IF($G$2:$G$462=G357,$L$2:$L$462)),0)</f>
        <v/>
      </c>
      <c r="AD357" s="6">
        <f t="array" ref="AD357">IFERROR((M357-AVERAGEIF($G$2:$G$462,G357,$M$2:$M$462))/_xlfn.STDEV.P(IF($G$2:$G$462=G357,$M$2:$M$462)),0)</f>
        <v/>
      </c>
      <c r="AE357" s="6">
        <f t="array" ref="AE357">IFERROR((N357-AVERAGEIF($G$2:$G$462,G357,$N$2:$N$462))/_xlfn.STDEV.P(IF($G$2:$G$462=G357,$N$2:$N$462)),0)</f>
        <v/>
      </c>
      <c r="AF357" s="6">
        <f t="array" ref="AF357">IFERROR((O357-AVERAGEIF($G$2:$G$462,G357,$O$2:$O$462))/_xlfn.STDEV.P(IF($G$2:$G$462=G357,$O$2:$O$462)),0)</f>
        <v/>
      </c>
      <c r="AG357" s="6">
        <f t="array" ref="AG357">IFERROR((P357-AVERAGEIF($G$2:$G$462,G357,$P$2:$P$462))/_xlfn.STDEV.P(IF($G$2:$G$462=G357,$P$2:$P$462)),0)</f>
        <v/>
      </c>
      <c r="AH357" s="6">
        <f t="array" ref="AH357">IFERROR((R357-AVERAGEIF($G$2:$G$462,G357,$R$2:$R$462))/_xlfn.STDEV.P(IF($G$2:$G$462=G357,$R$2:$R$462)),0)</f>
        <v/>
      </c>
      <c r="AI357" s="6">
        <f>IFERROR((AC357+AD357+AE357+AF357+AG357+AH357)/6,0)</f>
        <v/>
      </c>
    </row>
    <row r="358">
      <c r="A358" s="2">
        <f>IF(BD_Carga!A359&lt;&gt;"",BD_Carga!A359,"")</f>
        <v/>
      </c>
      <c r="B358">
        <f>IF(A358&lt;&gt;"",YEAR(A358),"")</f>
        <v/>
      </c>
      <c r="C358">
        <f>IF(A358&lt;&gt;"",MONTH(A358),"")</f>
        <v/>
      </c>
      <c r="D358">
        <f>IF(A358&lt;&gt;"",_xlfn.ISOWEEKNUM(A358),"")</f>
        <v/>
      </c>
      <c r="E358">
        <f>IF(A358&lt;&gt;"",TEXT(A358,"dddd"),"")</f>
        <v/>
      </c>
      <c r="F358">
        <f>IF(BD_Carga!C359&lt;&gt;"",BD_Carga!C359,"")</f>
        <v/>
      </c>
      <c r="G358">
        <f>IF(BD_Carga!D359&lt;&gt;"",BD_Carga!D359,"")</f>
        <v/>
      </c>
      <c r="H358">
        <f>IF(BD_Carga!Q359&lt;&gt;"",BD_Carga!Q359,"")</f>
        <v/>
      </c>
      <c r="I358">
        <f>IF(BD_Carga!R359&lt;&gt;"",BD_Carga!R359,"")</f>
        <v/>
      </c>
      <c r="J358">
        <f>IF(BD_Carga!S359&lt;&gt;"",BD_Carga!S359,"")</f>
        <v/>
      </c>
      <c r="K358" s="4">
        <f>IF(BD_Carga!E359&lt;&gt;"",BD_Carga!E359,0)</f>
        <v/>
      </c>
      <c r="L358" s="4">
        <f>IF(BD_Carga!F359&lt;&gt;"",BD_Carga!F359,0)</f>
        <v/>
      </c>
      <c r="M358" s="4">
        <f>IF(BD_Carga!G359&lt;&gt;"",BD_Carga!G359,0)</f>
        <v/>
      </c>
      <c r="N358" s="4">
        <f>IF(BD_Carga!H359&lt;&gt;"",BD_Carga!H359,0)</f>
        <v/>
      </c>
      <c r="O358" s="4">
        <f>IF(BD_Carga!I359&lt;&gt;"",BD_Carga!I359,0)</f>
        <v/>
      </c>
      <c r="P358" s="4">
        <f>IF(BD_Carga!J359&lt;&gt;"",BD_Carga!J359,0)</f>
        <v/>
      </c>
      <c r="Q358" s="5">
        <f>IF(BD_Carga!K359&lt;&gt;"",BD_Carga!K359,0)</f>
        <v/>
      </c>
      <c r="R358" s="5">
        <f>IF(BD_Carga!L359&lt;&gt;"",BD_Carga!L359,0)</f>
        <v/>
      </c>
      <c r="S358">
        <f>IF(BD_Carga!N359&lt;&gt;"",BD_Carga!N359,0)</f>
        <v/>
      </c>
      <c r="T358">
        <f>IF(BD_Carga!O359&lt;&gt;"",BD_Carga!O359,0)</f>
        <v/>
      </c>
      <c r="U358">
        <f>IF(BD_Carga!P359&lt;&gt;"",BD_Carga!P359,0)</f>
        <v/>
      </c>
      <c r="V358">
        <f>IF(BD_Carga!U359&lt;&gt;"",BD_Carga!U359,0)</f>
        <v/>
      </c>
      <c r="W358">
        <f>IF(BD_Carga!T359&lt;&gt;"",BD_Carga!T359,0)</f>
        <v/>
      </c>
      <c r="X358">
        <f>IF(BD_Carga!W359&lt;&gt;"",BD_Carga!W359,0)</f>
        <v/>
      </c>
      <c r="Y358">
        <f>IF(BD_Carga!X359&lt;&gt;"",BD_Carga!X359,0)</f>
        <v/>
      </c>
      <c r="Z358">
        <f>IF(BD_Carga!Y359&lt;&gt;"",BD_Carga!Y359,0)</f>
        <v/>
      </c>
      <c r="AA358">
        <f>IF(BD_Carga!Z359&lt;&gt;"",BD_Carga!Z359,0)</f>
        <v/>
      </c>
      <c r="AB358">
        <f>IF(BD_Carga!AA359&lt;&gt;"",BD_Carga!AA359,0)</f>
        <v/>
      </c>
      <c r="AC358" s="6">
        <f t="array" ref="AC358">IFERROR((L358-AVERAGEIF($G$2:$G$462,G358,$L$2:$L$462))/_xlfn.STDEV.P(IF($G$2:$G$462=G358,$L$2:$L$462)),0)</f>
        <v/>
      </c>
      <c r="AD358" s="6">
        <f t="array" ref="AD358">IFERROR((M358-AVERAGEIF($G$2:$G$462,G358,$M$2:$M$462))/_xlfn.STDEV.P(IF($G$2:$G$462=G358,$M$2:$M$462)),0)</f>
        <v/>
      </c>
      <c r="AE358" s="6">
        <f t="array" ref="AE358">IFERROR((N358-AVERAGEIF($G$2:$G$462,G358,$N$2:$N$462))/_xlfn.STDEV.P(IF($G$2:$G$462=G358,$N$2:$N$462)),0)</f>
        <v/>
      </c>
      <c r="AF358" s="6">
        <f t="array" ref="AF358">IFERROR((O358-AVERAGEIF($G$2:$G$462,G358,$O$2:$O$462))/_xlfn.STDEV.P(IF($G$2:$G$462=G358,$O$2:$O$462)),0)</f>
        <v/>
      </c>
      <c r="AG358" s="6">
        <f t="array" ref="AG358">IFERROR((P358-AVERAGEIF($G$2:$G$462,G358,$P$2:$P$462))/_xlfn.STDEV.P(IF($G$2:$G$462=G358,$P$2:$P$462)),0)</f>
        <v/>
      </c>
      <c r="AH358" s="6">
        <f t="array" ref="AH358">IFERROR((R358-AVERAGEIF($G$2:$G$462,G358,$R$2:$R$462))/_xlfn.STDEV.P(IF($G$2:$G$462=G358,$R$2:$R$462)),0)</f>
        <v/>
      </c>
      <c r="AI358" s="6">
        <f>IFERROR((AC358+AD358+AE358+AF358+AG358+AH358)/6,0)</f>
        <v/>
      </c>
    </row>
    <row r="359">
      <c r="A359" s="2">
        <f>IF(BD_Carga!A360&lt;&gt;"",BD_Carga!A360,"")</f>
        <v/>
      </c>
      <c r="B359">
        <f>IF(A359&lt;&gt;"",YEAR(A359),"")</f>
        <v/>
      </c>
      <c r="C359">
        <f>IF(A359&lt;&gt;"",MONTH(A359),"")</f>
        <v/>
      </c>
      <c r="D359">
        <f>IF(A359&lt;&gt;"",_xlfn.ISOWEEKNUM(A359),"")</f>
        <v/>
      </c>
      <c r="E359">
        <f>IF(A359&lt;&gt;"",TEXT(A359,"dddd"),"")</f>
        <v/>
      </c>
      <c r="F359">
        <f>IF(BD_Carga!C360&lt;&gt;"",BD_Carga!C360,"")</f>
        <v/>
      </c>
      <c r="G359">
        <f>IF(BD_Carga!D360&lt;&gt;"",BD_Carga!D360,"")</f>
        <v/>
      </c>
      <c r="H359">
        <f>IF(BD_Carga!Q360&lt;&gt;"",BD_Carga!Q360,"")</f>
        <v/>
      </c>
      <c r="I359">
        <f>IF(BD_Carga!R360&lt;&gt;"",BD_Carga!R360,"")</f>
        <v/>
      </c>
      <c r="J359">
        <f>IF(BD_Carga!S360&lt;&gt;"",BD_Carga!S360,"")</f>
        <v/>
      </c>
      <c r="K359" s="4">
        <f>IF(BD_Carga!E360&lt;&gt;"",BD_Carga!E360,0)</f>
        <v/>
      </c>
      <c r="L359" s="4">
        <f>IF(BD_Carga!F360&lt;&gt;"",BD_Carga!F360,0)</f>
        <v/>
      </c>
      <c r="M359" s="4">
        <f>IF(BD_Carga!G360&lt;&gt;"",BD_Carga!G360,0)</f>
        <v/>
      </c>
      <c r="N359" s="4">
        <f>IF(BD_Carga!H360&lt;&gt;"",BD_Carga!H360,0)</f>
        <v/>
      </c>
      <c r="O359" s="4">
        <f>IF(BD_Carga!I360&lt;&gt;"",BD_Carga!I360,0)</f>
        <v/>
      </c>
      <c r="P359" s="4">
        <f>IF(BD_Carga!J360&lt;&gt;"",BD_Carga!J360,0)</f>
        <v/>
      </c>
      <c r="Q359" s="5">
        <f>IF(BD_Carga!K360&lt;&gt;"",BD_Carga!K360,0)</f>
        <v/>
      </c>
      <c r="R359" s="5">
        <f>IF(BD_Carga!L360&lt;&gt;"",BD_Carga!L360,0)</f>
        <v/>
      </c>
      <c r="S359">
        <f>IF(BD_Carga!N360&lt;&gt;"",BD_Carga!N360,0)</f>
        <v/>
      </c>
      <c r="T359">
        <f>IF(BD_Carga!O360&lt;&gt;"",BD_Carga!O360,0)</f>
        <v/>
      </c>
      <c r="U359">
        <f>IF(BD_Carga!P360&lt;&gt;"",BD_Carga!P360,0)</f>
        <v/>
      </c>
      <c r="V359">
        <f>IF(BD_Carga!U360&lt;&gt;"",BD_Carga!U360,0)</f>
        <v/>
      </c>
      <c r="W359">
        <f>IF(BD_Carga!T360&lt;&gt;"",BD_Carga!T360,0)</f>
        <v/>
      </c>
      <c r="X359">
        <f>IF(BD_Carga!W360&lt;&gt;"",BD_Carga!W360,0)</f>
        <v/>
      </c>
      <c r="Y359">
        <f>IF(BD_Carga!X360&lt;&gt;"",BD_Carga!X360,0)</f>
        <v/>
      </c>
      <c r="Z359">
        <f>IF(BD_Carga!Y360&lt;&gt;"",BD_Carga!Y360,0)</f>
        <v/>
      </c>
      <c r="AA359">
        <f>IF(BD_Carga!Z360&lt;&gt;"",BD_Carga!Z360,0)</f>
        <v/>
      </c>
      <c r="AB359">
        <f>IF(BD_Carga!AA360&lt;&gt;"",BD_Carga!AA360,0)</f>
        <v/>
      </c>
      <c r="AC359" s="6">
        <f t="array" ref="AC359">IFERROR((L359-AVERAGEIF($G$2:$G$462,G359,$L$2:$L$462))/_xlfn.STDEV.P(IF($G$2:$G$462=G359,$L$2:$L$462)),0)</f>
        <v/>
      </c>
      <c r="AD359" s="6">
        <f t="array" ref="AD359">IFERROR((M359-AVERAGEIF($G$2:$G$462,G359,$M$2:$M$462))/_xlfn.STDEV.P(IF($G$2:$G$462=G359,$M$2:$M$462)),0)</f>
        <v/>
      </c>
      <c r="AE359" s="6">
        <f t="array" ref="AE359">IFERROR((N359-AVERAGEIF($G$2:$G$462,G359,$N$2:$N$462))/_xlfn.STDEV.P(IF($G$2:$G$462=G359,$N$2:$N$462)),0)</f>
        <v/>
      </c>
      <c r="AF359" s="6">
        <f t="array" ref="AF359">IFERROR((O359-AVERAGEIF($G$2:$G$462,G359,$O$2:$O$462))/_xlfn.STDEV.P(IF($G$2:$G$462=G359,$O$2:$O$462)),0)</f>
        <v/>
      </c>
      <c r="AG359" s="6">
        <f t="array" ref="AG359">IFERROR((P359-AVERAGEIF($G$2:$G$462,G359,$P$2:$P$462))/_xlfn.STDEV.P(IF($G$2:$G$462=G359,$P$2:$P$462)),0)</f>
        <v/>
      </c>
      <c r="AH359" s="6">
        <f t="array" ref="AH359">IFERROR((R359-AVERAGEIF($G$2:$G$462,G359,$R$2:$R$462))/_xlfn.STDEV.P(IF($G$2:$G$462=G359,$R$2:$R$462)),0)</f>
        <v/>
      </c>
      <c r="AI359" s="6">
        <f>IFERROR((AC359+AD359+AE359+AF359+AG359+AH359)/6,0)</f>
        <v/>
      </c>
    </row>
    <row r="360">
      <c r="A360" s="2">
        <f>IF(BD_Carga!A361&lt;&gt;"",BD_Carga!A361,"")</f>
        <v/>
      </c>
      <c r="B360">
        <f>IF(A360&lt;&gt;"",YEAR(A360),"")</f>
        <v/>
      </c>
      <c r="C360">
        <f>IF(A360&lt;&gt;"",MONTH(A360),"")</f>
        <v/>
      </c>
      <c r="D360">
        <f>IF(A360&lt;&gt;"",_xlfn.ISOWEEKNUM(A360),"")</f>
        <v/>
      </c>
      <c r="E360">
        <f>IF(A360&lt;&gt;"",TEXT(A360,"dddd"),"")</f>
        <v/>
      </c>
      <c r="F360">
        <f>IF(BD_Carga!C361&lt;&gt;"",BD_Carga!C361,"")</f>
        <v/>
      </c>
      <c r="G360">
        <f>IF(BD_Carga!D361&lt;&gt;"",BD_Carga!D361,"")</f>
        <v/>
      </c>
      <c r="H360">
        <f>IF(BD_Carga!Q361&lt;&gt;"",BD_Carga!Q361,"")</f>
        <v/>
      </c>
      <c r="I360">
        <f>IF(BD_Carga!R361&lt;&gt;"",BD_Carga!R361,"")</f>
        <v/>
      </c>
      <c r="J360">
        <f>IF(BD_Carga!S361&lt;&gt;"",BD_Carga!S361,"")</f>
        <v/>
      </c>
      <c r="K360" s="4">
        <f>IF(BD_Carga!E361&lt;&gt;"",BD_Carga!E361,0)</f>
        <v/>
      </c>
      <c r="L360" s="4">
        <f>IF(BD_Carga!F361&lt;&gt;"",BD_Carga!F361,0)</f>
        <v/>
      </c>
      <c r="M360" s="4">
        <f>IF(BD_Carga!G361&lt;&gt;"",BD_Carga!G361,0)</f>
        <v/>
      </c>
      <c r="N360" s="4">
        <f>IF(BD_Carga!H361&lt;&gt;"",BD_Carga!H361,0)</f>
        <v/>
      </c>
      <c r="O360" s="4">
        <f>IF(BD_Carga!I361&lt;&gt;"",BD_Carga!I361,0)</f>
        <v/>
      </c>
      <c r="P360" s="4">
        <f>IF(BD_Carga!J361&lt;&gt;"",BD_Carga!J361,0)</f>
        <v/>
      </c>
      <c r="Q360" s="5">
        <f>IF(BD_Carga!K361&lt;&gt;"",BD_Carga!K361,0)</f>
        <v/>
      </c>
      <c r="R360" s="5">
        <f>IF(BD_Carga!L361&lt;&gt;"",BD_Carga!L361,0)</f>
        <v/>
      </c>
      <c r="S360">
        <f>IF(BD_Carga!N361&lt;&gt;"",BD_Carga!N361,0)</f>
        <v/>
      </c>
      <c r="T360">
        <f>IF(BD_Carga!O361&lt;&gt;"",BD_Carga!O361,0)</f>
        <v/>
      </c>
      <c r="U360">
        <f>IF(BD_Carga!P361&lt;&gt;"",BD_Carga!P361,0)</f>
        <v/>
      </c>
      <c r="V360">
        <f>IF(BD_Carga!U361&lt;&gt;"",BD_Carga!U361,0)</f>
        <v/>
      </c>
      <c r="W360">
        <f>IF(BD_Carga!T361&lt;&gt;"",BD_Carga!T361,0)</f>
        <v/>
      </c>
      <c r="X360">
        <f>IF(BD_Carga!W361&lt;&gt;"",BD_Carga!W361,0)</f>
        <v/>
      </c>
      <c r="Y360">
        <f>IF(BD_Carga!X361&lt;&gt;"",BD_Carga!X361,0)</f>
        <v/>
      </c>
      <c r="Z360">
        <f>IF(BD_Carga!Y361&lt;&gt;"",BD_Carga!Y361,0)</f>
        <v/>
      </c>
      <c r="AA360">
        <f>IF(BD_Carga!Z361&lt;&gt;"",BD_Carga!Z361,0)</f>
        <v/>
      </c>
      <c r="AB360">
        <f>IF(BD_Carga!AA361&lt;&gt;"",BD_Carga!AA361,0)</f>
        <v/>
      </c>
      <c r="AC360" s="6">
        <f t="array" ref="AC360">IFERROR((L360-AVERAGEIF($G$2:$G$462,G360,$L$2:$L$462))/_xlfn.STDEV.P(IF($G$2:$G$462=G360,$L$2:$L$462)),0)</f>
        <v/>
      </c>
      <c r="AD360" s="6">
        <f t="array" ref="AD360">IFERROR((M360-AVERAGEIF($G$2:$G$462,G360,$M$2:$M$462))/_xlfn.STDEV.P(IF($G$2:$G$462=G360,$M$2:$M$462)),0)</f>
        <v/>
      </c>
      <c r="AE360" s="6">
        <f t="array" ref="AE360">IFERROR((N360-AVERAGEIF($G$2:$G$462,G360,$N$2:$N$462))/_xlfn.STDEV.P(IF($G$2:$G$462=G360,$N$2:$N$462)),0)</f>
        <v/>
      </c>
      <c r="AF360" s="6">
        <f t="array" ref="AF360">IFERROR((O360-AVERAGEIF($G$2:$G$462,G360,$O$2:$O$462))/_xlfn.STDEV.P(IF($G$2:$G$462=G360,$O$2:$O$462)),0)</f>
        <v/>
      </c>
      <c r="AG360" s="6">
        <f t="array" ref="AG360">IFERROR((P360-AVERAGEIF($G$2:$G$462,G360,$P$2:$P$462))/_xlfn.STDEV.P(IF($G$2:$G$462=G360,$P$2:$P$462)),0)</f>
        <v/>
      </c>
      <c r="AH360" s="6">
        <f t="array" ref="AH360">IFERROR((R360-AVERAGEIF($G$2:$G$462,G360,$R$2:$R$462))/_xlfn.STDEV.P(IF($G$2:$G$462=G360,$R$2:$R$462)),0)</f>
        <v/>
      </c>
      <c r="AI360" s="6">
        <f>IFERROR((AC360+AD360+AE360+AF360+AG360+AH360)/6,0)</f>
        <v/>
      </c>
    </row>
    <row r="361">
      <c r="A361" s="2">
        <f>IF(BD_Carga!A362&lt;&gt;"",BD_Carga!A362,"")</f>
        <v/>
      </c>
      <c r="B361">
        <f>IF(A361&lt;&gt;"",YEAR(A361),"")</f>
        <v/>
      </c>
      <c r="C361">
        <f>IF(A361&lt;&gt;"",MONTH(A361),"")</f>
        <v/>
      </c>
      <c r="D361">
        <f>IF(A361&lt;&gt;"",_xlfn.ISOWEEKNUM(A361),"")</f>
        <v/>
      </c>
      <c r="E361">
        <f>IF(A361&lt;&gt;"",TEXT(A361,"dddd"),"")</f>
        <v/>
      </c>
      <c r="F361">
        <f>IF(BD_Carga!C362&lt;&gt;"",BD_Carga!C362,"")</f>
        <v/>
      </c>
      <c r="G361">
        <f>IF(BD_Carga!D362&lt;&gt;"",BD_Carga!D362,"")</f>
        <v/>
      </c>
      <c r="H361">
        <f>IF(BD_Carga!Q362&lt;&gt;"",BD_Carga!Q362,"")</f>
        <v/>
      </c>
      <c r="I361">
        <f>IF(BD_Carga!R362&lt;&gt;"",BD_Carga!R362,"")</f>
        <v/>
      </c>
      <c r="J361">
        <f>IF(BD_Carga!S362&lt;&gt;"",BD_Carga!S362,"")</f>
        <v/>
      </c>
      <c r="K361" s="4">
        <f>IF(BD_Carga!E362&lt;&gt;"",BD_Carga!E362,0)</f>
        <v/>
      </c>
      <c r="L361" s="4">
        <f>IF(BD_Carga!F362&lt;&gt;"",BD_Carga!F362,0)</f>
        <v/>
      </c>
      <c r="M361" s="4">
        <f>IF(BD_Carga!G362&lt;&gt;"",BD_Carga!G362,0)</f>
        <v/>
      </c>
      <c r="N361" s="4">
        <f>IF(BD_Carga!H362&lt;&gt;"",BD_Carga!H362,0)</f>
        <v/>
      </c>
      <c r="O361" s="4">
        <f>IF(BD_Carga!I362&lt;&gt;"",BD_Carga!I362,0)</f>
        <v/>
      </c>
      <c r="P361" s="4">
        <f>IF(BD_Carga!J362&lt;&gt;"",BD_Carga!J362,0)</f>
        <v/>
      </c>
      <c r="Q361" s="5">
        <f>IF(BD_Carga!K362&lt;&gt;"",BD_Carga!K362,0)</f>
        <v/>
      </c>
      <c r="R361" s="5">
        <f>IF(BD_Carga!L362&lt;&gt;"",BD_Carga!L362,0)</f>
        <v/>
      </c>
      <c r="S361">
        <f>IF(BD_Carga!N362&lt;&gt;"",BD_Carga!N362,0)</f>
        <v/>
      </c>
      <c r="T361">
        <f>IF(BD_Carga!O362&lt;&gt;"",BD_Carga!O362,0)</f>
        <v/>
      </c>
      <c r="U361">
        <f>IF(BD_Carga!P362&lt;&gt;"",BD_Carga!P362,0)</f>
        <v/>
      </c>
      <c r="V361">
        <f>IF(BD_Carga!U362&lt;&gt;"",BD_Carga!U362,0)</f>
        <v/>
      </c>
      <c r="W361">
        <f>IF(BD_Carga!T362&lt;&gt;"",BD_Carga!T362,0)</f>
        <v/>
      </c>
      <c r="X361">
        <f>IF(BD_Carga!W362&lt;&gt;"",BD_Carga!W362,0)</f>
        <v/>
      </c>
      <c r="Y361">
        <f>IF(BD_Carga!X362&lt;&gt;"",BD_Carga!X362,0)</f>
        <v/>
      </c>
      <c r="Z361">
        <f>IF(BD_Carga!Y362&lt;&gt;"",BD_Carga!Y362,0)</f>
        <v/>
      </c>
      <c r="AA361">
        <f>IF(BD_Carga!Z362&lt;&gt;"",BD_Carga!Z362,0)</f>
        <v/>
      </c>
      <c r="AB361">
        <f>IF(BD_Carga!AA362&lt;&gt;"",BD_Carga!AA362,0)</f>
        <v/>
      </c>
      <c r="AC361" s="6">
        <f t="array" ref="AC361">IFERROR((L361-AVERAGEIF($G$2:$G$462,G361,$L$2:$L$462))/_xlfn.STDEV.P(IF($G$2:$G$462=G361,$L$2:$L$462)),0)</f>
        <v/>
      </c>
      <c r="AD361" s="6">
        <f t="array" ref="AD361">IFERROR((M361-AVERAGEIF($G$2:$G$462,G361,$M$2:$M$462))/_xlfn.STDEV.P(IF($G$2:$G$462=G361,$M$2:$M$462)),0)</f>
        <v/>
      </c>
      <c r="AE361" s="6">
        <f t="array" ref="AE361">IFERROR((N361-AVERAGEIF($G$2:$G$462,G361,$N$2:$N$462))/_xlfn.STDEV.P(IF($G$2:$G$462=G361,$N$2:$N$462)),0)</f>
        <v/>
      </c>
      <c r="AF361" s="6">
        <f t="array" ref="AF361">IFERROR((O361-AVERAGEIF($G$2:$G$462,G361,$O$2:$O$462))/_xlfn.STDEV.P(IF($G$2:$G$462=G361,$O$2:$O$462)),0)</f>
        <v/>
      </c>
      <c r="AG361" s="6">
        <f t="array" ref="AG361">IFERROR((P361-AVERAGEIF($G$2:$G$462,G361,$P$2:$P$462))/_xlfn.STDEV.P(IF($G$2:$G$462=G361,$P$2:$P$462)),0)</f>
        <v/>
      </c>
      <c r="AH361" s="6">
        <f t="array" ref="AH361">IFERROR((R361-AVERAGEIF($G$2:$G$462,G361,$R$2:$R$462))/_xlfn.STDEV.P(IF($G$2:$G$462=G361,$R$2:$R$462)),0)</f>
        <v/>
      </c>
      <c r="AI361" s="6">
        <f>IFERROR((AC361+AD361+AE361+AF361+AG361+AH361)/6,0)</f>
        <v/>
      </c>
    </row>
    <row r="362">
      <c r="A362" s="2">
        <f>IF(BD_Carga!A363&lt;&gt;"",BD_Carga!A363,"")</f>
        <v/>
      </c>
      <c r="B362">
        <f>IF(A362&lt;&gt;"",YEAR(A362),"")</f>
        <v/>
      </c>
      <c r="C362">
        <f>IF(A362&lt;&gt;"",MONTH(A362),"")</f>
        <v/>
      </c>
      <c r="D362">
        <f>IF(A362&lt;&gt;"",_xlfn.ISOWEEKNUM(A362),"")</f>
        <v/>
      </c>
      <c r="E362">
        <f>IF(A362&lt;&gt;"",TEXT(A362,"dddd"),"")</f>
        <v/>
      </c>
      <c r="F362">
        <f>IF(BD_Carga!C363&lt;&gt;"",BD_Carga!C363,"")</f>
        <v/>
      </c>
      <c r="G362">
        <f>IF(BD_Carga!D363&lt;&gt;"",BD_Carga!D363,"")</f>
        <v/>
      </c>
      <c r="H362">
        <f>IF(BD_Carga!Q363&lt;&gt;"",BD_Carga!Q363,"")</f>
        <v/>
      </c>
      <c r="I362">
        <f>IF(BD_Carga!R363&lt;&gt;"",BD_Carga!R363,"")</f>
        <v/>
      </c>
      <c r="J362">
        <f>IF(BD_Carga!S363&lt;&gt;"",BD_Carga!S363,"")</f>
        <v/>
      </c>
      <c r="K362" s="4">
        <f>IF(BD_Carga!E363&lt;&gt;"",BD_Carga!E363,0)</f>
        <v/>
      </c>
      <c r="L362" s="4">
        <f>IF(BD_Carga!F363&lt;&gt;"",BD_Carga!F363,0)</f>
        <v/>
      </c>
      <c r="M362" s="4">
        <f>IF(BD_Carga!G363&lt;&gt;"",BD_Carga!G363,0)</f>
        <v/>
      </c>
      <c r="N362" s="4">
        <f>IF(BD_Carga!H363&lt;&gt;"",BD_Carga!H363,0)</f>
        <v/>
      </c>
      <c r="O362" s="4">
        <f>IF(BD_Carga!I363&lt;&gt;"",BD_Carga!I363,0)</f>
        <v/>
      </c>
      <c r="P362" s="4">
        <f>IF(BD_Carga!J363&lt;&gt;"",BD_Carga!J363,0)</f>
        <v/>
      </c>
      <c r="Q362" s="5">
        <f>IF(BD_Carga!K363&lt;&gt;"",BD_Carga!K363,0)</f>
        <v/>
      </c>
      <c r="R362" s="5">
        <f>IF(BD_Carga!L363&lt;&gt;"",BD_Carga!L363,0)</f>
        <v/>
      </c>
      <c r="S362">
        <f>IF(BD_Carga!N363&lt;&gt;"",BD_Carga!N363,0)</f>
        <v/>
      </c>
      <c r="T362">
        <f>IF(BD_Carga!O363&lt;&gt;"",BD_Carga!O363,0)</f>
        <v/>
      </c>
      <c r="U362">
        <f>IF(BD_Carga!P363&lt;&gt;"",BD_Carga!P363,0)</f>
        <v/>
      </c>
      <c r="V362">
        <f>IF(BD_Carga!U363&lt;&gt;"",BD_Carga!U363,0)</f>
        <v/>
      </c>
      <c r="W362">
        <f>IF(BD_Carga!T363&lt;&gt;"",BD_Carga!T363,0)</f>
        <v/>
      </c>
      <c r="X362">
        <f>IF(BD_Carga!W363&lt;&gt;"",BD_Carga!W363,0)</f>
        <v/>
      </c>
      <c r="Y362">
        <f>IF(BD_Carga!X363&lt;&gt;"",BD_Carga!X363,0)</f>
        <v/>
      </c>
      <c r="Z362">
        <f>IF(BD_Carga!Y363&lt;&gt;"",BD_Carga!Y363,0)</f>
        <v/>
      </c>
      <c r="AA362">
        <f>IF(BD_Carga!Z363&lt;&gt;"",BD_Carga!Z363,0)</f>
        <v/>
      </c>
      <c r="AB362">
        <f>IF(BD_Carga!AA363&lt;&gt;"",BD_Carga!AA363,0)</f>
        <v/>
      </c>
      <c r="AC362" s="6">
        <f t="array" ref="AC362">IFERROR((L362-AVERAGEIF($G$2:$G$462,G362,$L$2:$L$462))/_xlfn.STDEV.P(IF($G$2:$G$462=G362,$L$2:$L$462)),0)</f>
        <v/>
      </c>
      <c r="AD362" s="6">
        <f t="array" ref="AD362">IFERROR((M362-AVERAGEIF($G$2:$G$462,G362,$M$2:$M$462))/_xlfn.STDEV.P(IF($G$2:$G$462=G362,$M$2:$M$462)),0)</f>
        <v/>
      </c>
      <c r="AE362" s="6">
        <f t="array" ref="AE362">IFERROR((N362-AVERAGEIF($G$2:$G$462,G362,$N$2:$N$462))/_xlfn.STDEV.P(IF($G$2:$G$462=G362,$N$2:$N$462)),0)</f>
        <v/>
      </c>
      <c r="AF362" s="6">
        <f t="array" ref="AF362">IFERROR((O362-AVERAGEIF($G$2:$G$462,G362,$O$2:$O$462))/_xlfn.STDEV.P(IF($G$2:$G$462=G362,$O$2:$O$462)),0)</f>
        <v/>
      </c>
      <c r="AG362" s="6">
        <f t="array" ref="AG362">IFERROR((P362-AVERAGEIF($G$2:$G$462,G362,$P$2:$P$462))/_xlfn.STDEV.P(IF($G$2:$G$462=G362,$P$2:$P$462)),0)</f>
        <v/>
      </c>
      <c r="AH362" s="6">
        <f t="array" ref="AH362">IFERROR((R362-AVERAGEIF($G$2:$G$462,G362,$R$2:$R$462))/_xlfn.STDEV.P(IF($G$2:$G$462=G362,$R$2:$R$462)),0)</f>
        <v/>
      </c>
      <c r="AI362" s="6">
        <f>IFERROR((AC362+AD362+AE362+AF362+AG362+AH362)/6,0)</f>
        <v/>
      </c>
    </row>
    <row r="363">
      <c r="A363" s="2">
        <f>IF(BD_Carga!A364&lt;&gt;"",BD_Carga!A364,"")</f>
        <v/>
      </c>
      <c r="B363">
        <f>IF(A363&lt;&gt;"",YEAR(A363),"")</f>
        <v/>
      </c>
      <c r="C363">
        <f>IF(A363&lt;&gt;"",MONTH(A363),"")</f>
        <v/>
      </c>
      <c r="D363">
        <f>IF(A363&lt;&gt;"",_xlfn.ISOWEEKNUM(A363),"")</f>
        <v/>
      </c>
      <c r="E363">
        <f>IF(A363&lt;&gt;"",TEXT(A363,"dddd"),"")</f>
        <v/>
      </c>
      <c r="F363">
        <f>IF(BD_Carga!C364&lt;&gt;"",BD_Carga!C364,"")</f>
        <v/>
      </c>
      <c r="G363">
        <f>IF(BD_Carga!D364&lt;&gt;"",BD_Carga!D364,"")</f>
        <v/>
      </c>
      <c r="H363">
        <f>IF(BD_Carga!Q364&lt;&gt;"",BD_Carga!Q364,"")</f>
        <v/>
      </c>
      <c r="I363">
        <f>IF(BD_Carga!R364&lt;&gt;"",BD_Carga!R364,"")</f>
        <v/>
      </c>
      <c r="J363">
        <f>IF(BD_Carga!S364&lt;&gt;"",BD_Carga!S364,"")</f>
        <v/>
      </c>
      <c r="K363" s="4">
        <f>IF(BD_Carga!E364&lt;&gt;"",BD_Carga!E364,0)</f>
        <v/>
      </c>
      <c r="L363" s="4">
        <f>IF(BD_Carga!F364&lt;&gt;"",BD_Carga!F364,0)</f>
        <v/>
      </c>
      <c r="M363" s="4">
        <f>IF(BD_Carga!G364&lt;&gt;"",BD_Carga!G364,0)</f>
        <v/>
      </c>
      <c r="N363" s="4">
        <f>IF(BD_Carga!H364&lt;&gt;"",BD_Carga!H364,0)</f>
        <v/>
      </c>
      <c r="O363" s="4">
        <f>IF(BD_Carga!I364&lt;&gt;"",BD_Carga!I364,0)</f>
        <v/>
      </c>
      <c r="P363" s="4">
        <f>IF(BD_Carga!J364&lt;&gt;"",BD_Carga!J364,0)</f>
        <v/>
      </c>
      <c r="Q363" s="5">
        <f>IF(BD_Carga!K364&lt;&gt;"",BD_Carga!K364,0)</f>
        <v/>
      </c>
      <c r="R363" s="5">
        <f>IF(BD_Carga!L364&lt;&gt;"",BD_Carga!L364,0)</f>
        <v/>
      </c>
      <c r="S363">
        <f>IF(BD_Carga!N364&lt;&gt;"",BD_Carga!N364,0)</f>
        <v/>
      </c>
      <c r="T363">
        <f>IF(BD_Carga!O364&lt;&gt;"",BD_Carga!O364,0)</f>
        <v/>
      </c>
      <c r="U363">
        <f>IF(BD_Carga!P364&lt;&gt;"",BD_Carga!P364,0)</f>
        <v/>
      </c>
      <c r="V363">
        <f>IF(BD_Carga!U364&lt;&gt;"",BD_Carga!U364,0)</f>
        <v/>
      </c>
      <c r="W363">
        <f>IF(BD_Carga!T364&lt;&gt;"",BD_Carga!T364,0)</f>
        <v/>
      </c>
      <c r="X363">
        <f>IF(BD_Carga!W364&lt;&gt;"",BD_Carga!W364,0)</f>
        <v/>
      </c>
      <c r="Y363">
        <f>IF(BD_Carga!X364&lt;&gt;"",BD_Carga!X364,0)</f>
        <v/>
      </c>
      <c r="Z363">
        <f>IF(BD_Carga!Y364&lt;&gt;"",BD_Carga!Y364,0)</f>
        <v/>
      </c>
      <c r="AA363">
        <f>IF(BD_Carga!Z364&lt;&gt;"",BD_Carga!Z364,0)</f>
        <v/>
      </c>
      <c r="AB363">
        <f>IF(BD_Carga!AA364&lt;&gt;"",BD_Carga!AA364,0)</f>
        <v/>
      </c>
      <c r="AC363" s="6">
        <f t="array" ref="AC363">IFERROR((L363-AVERAGEIF($G$2:$G$462,G363,$L$2:$L$462))/_xlfn.STDEV.P(IF($G$2:$G$462=G363,$L$2:$L$462)),0)</f>
        <v/>
      </c>
      <c r="AD363" s="6">
        <f t="array" ref="AD363">IFERROR((M363-AVERAGEIF($G$2:$G$462,G363,$M$2:$M$462))/_xlfn.STDEV.P(IF($G$2:$G$462=G363,$M$2:$M$462)),0)</f>
        <v/>
      </c>
      <c r="AE363" s="6">
        <f t="array" ref="AE363">IFERROR((N363-AVERAGEIF($G$2:$G$462,G363,$N$2:$N$462))/_xlfn.STDEV.P(IF($G$2:$G$462=G363,$N$2:$N$462)),0)</f>
        <v/>
      </c>
      <c r="AF363" s="6">
        <f t="array" ref="AF363">IFERROR((O363-AVERAGEIF($G$2:$G$462,G363,$O$2:$O$462))/_xlfn.STDEV.P(IF($G$2:$G$462=G363,$O$2:$O$462)),0)</f>
        <v/>
      </c>
      <c r="AG363" s="6">
        <f t="array" ref="AG363">IFERROR((P363-AVERAGEIF($G$2:$G$462,G363,$P$2:$P$462))/_xlfn.STDEV.P(IF($G$2:$G$462=G363,$P$2:$P$462)),0)</f>
        <v/>
      </c>
      <c r="AH363" s="6">
        <f t="array" ref="AH363">IFERROR((R363-AVERAGEIF($G$2:$G$462,G363,$R$2:$R$462))/_xlfn.STDEV.P(IF($G$2:$G$462=G363,$R$2:$R$462)),0)</f>
        <v/>
      </c>
      <c r="AI363" s="6">
        <f>IFERROR((AC363+AD363+AE363+AF363+AG363+AH363)/6,0)</f>
        <v/>
      </c>
    </row>
    <row r="364">
      <c r="A364" s="2">
        <f>IF(BD_Carga!A365&lt;&gt;"",BD_Carga!A365,"")</f>
        <v/>
      </c>
      <c r="B364">
        <f>IF(A364&lt;&gt;"",YEAR(A364),"")</f>
        <v/>
      </c>
      <c r="C364">
        <f>IF(A364&lt;&gt;"",MONTH(A364),"")</f>
        <v/>
      </c>
      <c r="D364">
        <f>IF(A364&lt;&gt;"",_xlfn.ISOWEEKNUM(A364),"")</f>
        <v/>
      </c>
      <c r="E364">
        <f>IF(A364&lt;&gt;"",TEXT(A364,"dddd"),"")</f>
        <v/>
      </c>
      <c r="F364">
        <f>IF(BD_Carga!C365&lt;&gt;"",BD_Carga!C365,"")</f>
        <v/>
      </c>
      <c r="G364">
        <f>IF(BD_Carga!D365&lt;&gt;"",BD_Carga!D365,"")</f>
        <v/>
      </c>
      <c r="H364">
        <f>IF(BD_Carga!Q365&lt;&gt;"",BD_Carga!Q365,"")</f>
        <v/>
      </c>
      <c r="I364">
        <f>IF(BD_Carga!R365&lt;&gt;"",BD_Carga!R365,"")</f>
        <v/>
      </c>
      <c r="J364">
        <f>IF(BD_Carga!S365&lt;&gt;"",BD_Carga!S365,"")</f>
        <v/>
      </c>
      <c r="K364" s="4">
        <f>IF(BD_Carga!E365&lt;&gt;"",BD_Carga!E365,0)</f>
        <v/>
      </c>
      <c r="L364" s="4">
        <f>IF(BD_Carga!F365&lt;&gt;"",BD_Carga!F365,0)</f>
        <v/>
      </c>
      <c r="M364" s="4">
        <f>IF(BD_Carga!G365&lt;&gt;"",BD_Carga!G365,0)</f>
        <v/>
      </c>
      <c r="N364" s="4">
        <f>IF(BD_Carga!H365&lt;&gt;"",BD_Carga!H365,0)</f>
        <v/>
      </c>
      <c r="O364" s="4">
        <f>IF(BD_Carga!I365&lt;&gt;"",BD_Carga!I365,0)</f>
        <v/>
      </c>
      <c r="P364" s="4">
        <f>IF(BD_Carga!J365&lt;&gt;"",BD_Carga!J365,0)</f>
        <v/>
      </c>
      <c r="Q364" s="5">
        <f>IF(BD_Carga!K365&lt;&gt;"",BD_Carga!K365,0)</f>
        <v/>
      </c>
      <c r="R364" s="5">
        <f>IF(BD_Carga!L365&lt;&gt;"",BD_Carga!L365,0)</f>
        <v/>
      </c>
      <c r="S364">
        <f>IF(BD_Carga!N365&lt;&gt;"",BD_Carga!N365,0)</f>
        <v/>
      </c>
      <c r="T364">
        <f>IF(BD_Carga!O365&lt;&gt;"",BD_Carga!O365,0)</f>
        <v/>
      </c>
      <c r="U364">
        <f>IF(BD_Carga!P365&lt;&gt;"",BD_Carga!P365,0)</f>
        <v/>
      </c>
      <c r="V364">
        <f>IF(BD_Carga!U365&lt;&gt;"",BD_Carga!U365,0)</f>
        <v/>
      </c>
      <c r="W364">
        <f>IF(BD_Carga!T365&lt;&gt;"",BD_Carga!T365,0)</f>
        <v/>
      </c>
      <c r="X364">
        <f>IF(BD_Carga!W365&lt;&gt;"",BD_Carga!W365,0)</f>
        <v/>
      </c>
      <c r="Y364">
        <f>IF(BD_Carga!X365&lt;&gt;"",BD_Carga!X365,0)</f>
        <v/>
      </c>
      <c r="Z364">
        <f>IF(BD_Carga!Y365&lt;&gt;"",BD_Carga!Y365,0)</f>
        <v/>
      </c>
      <c r="AA364">
        <f>IF(BD_Carga!Z365&lt;&gt;"",BD_Carga!Z365,0)</f>
        <v/>
      </c>
      <c r="AB364">
        <f>IF(BD_Carga!AA365&lt;&gt;"",BD_Carga!AA365,0)</f>
        <v/>
      </c>
      <c r="AC364" s="6">
        <f t="array" ref="AC364">IFERROR((L364-AVERAGEIF($G$2:$G$462,G364,$L$2:$L$462))/_xlfn.STDEV.P(IF($G$2:$G$462=G364,$L$2:$L$462)),0)</f>
        <v/>
      </c>
      <c r="AD364" s="6">
        <f t="array" ref="AD364">IFERROR((M364-AVERAGEIF($G$2:$G$462,G364,$M$2:$M$462))/_xlfn.STDEV.P(IF($G$2:$G$462=G364,$M$2:$M$462)),0)</f>
        <v/>
      </c>
      <c r="AE364" s="6">
        <f t="array" ref="AE364">IFERROR((N364-AVERAGEIF($G$2:$G$462,G364,$N$2:$N$462))/_xlfn.STDEV.P(IF($G$2:$G$462=G364,$N$2:$N$462)),0)</f>
        <v/>
      </c>
      <c r="AF364" s="6">
        <f t="array" ref="AF364">IFERROR((O364-AVERAGEIF($G$2:$G$462,G364,$O$2:$O$462))/_xlfn.STDEV.P(IF($G$2:$G$462=G364,$O$2:$O$462)),0)</f>
        <v/>
      </c>
      <c r="AG364" s="6">
        <f t="array" ref="AG364">IFERROR((P364-AVERAGEIF($G$2:$G$462,G364,$P$2:$P$462))/_xlfn.STDEV.P(IF($G$2:$G$462=G364,$P$2:$P$462)),0)</f>
        <v/>
      </c>
      <c r="AH364" s="6">
        <f t="array" ref="AH364">IFERROR((R364-AVERAGEIF($G$2:$G$462,G364,$R$2:$R$462))/_xlfn.STDEV.P(IF($G$2:$G$462=G364,$R$2:$R$462)),0)</f>
        <v/>
      </c>
      <c r="AI364" s="6">
        <f>IFERROR((AC364+AD364+AE364+AF364+AG364+AH364)/6,0)</f>
        <v/>
      </c>
    </row>
    <row r="365">
      <c r="A365" s="2">
        <f>IF(BD_Carga!A366&lt;&gt;"",BD_Carga!A366,"")</f>
        <v/>
      </c>
      <c r="B365">
        <f>IF(A365&lt;&gt;"",YEAR(A365),"")</f>
        <v/>
      </c>
      <c r="C365">
        <f>IF(A365&lt;&gt;"",MONTH(A365),"")</f>
        <v/>
      </c>
      <c r="D365">
        <f>IF(A365&lt;&gt;"",_xlfn.ISOWEEKNUM(A365),"")</f>
        <v/>
      </c>
      <c r="E365">
        <f>IF(A365&lt;&gt;"",TEXT(A365,"dddd"),"")</f>
        <v/>
      </c>
      <c r="F365">
        <f>IF(BD_Carga!C366&lt;&gt;"",BD_Carga!C366,"")</f>
        <v/>
      </c>
      <c r="G365">
        <f>IF(BD_Carga!D366&lt;&gt;"",BD_Carga!D366,"")</f>
        <v/>
      </c>
      <c r="H365">
        <f>IF(BD_Carga!Q366&lt;&gt;"",BD_Carga!Q366,"")</f>
        <v/>
      </c>
      <c r="I365">
        <f>IF(BD_Carga!R366&lt;&gt;"",BD_Carga!R366,"")</f>
        <v/>
      </c>
      <c r="J365">
        <f>IF(BD_Carga!S366&lt;&gt;"",BD_Carga!S366,"")</f>
        <v/>
      </c>
      <c r="K365" s="4">
        <f>IF(BD_Carga!E366&lt;&gt;"",BD_Carga!E366,0)</f>
        <v/>
      </c>
      <c r="L365" s="4">
        <f>IF(BD_Carga!F366&lt;&gt;"",BD_Carga!F366,0)</f>
        <v/>
      </c>
      <c r="M365" s="4">
        <f>IF(BD_Carga!G366&lt;&gt;"",BD_Carga!G366,0)</f>
        <v/>
      </c>
      <c r="N365" s="4">
        <f>IF(BD_Carga!H366&lt;&gt;"",BD_Carga!H366,0)</f>
        <v/>
      </c>
      <c r="O365" s="4">
        <f>IF(BD_Carga!I366&lt;&gt;"",BD_Carga!I366,0)</f>
        <v/>
      </c>
      <c r="P365" s="4">
        <f>IF(BD_Carga!J366&lt;&gt;"",BD_Carga!J366,0)</f>
        <v/>
      </c>
      <c r="Q365" s="5">
        <f>IF(BD_Carga!K366&lt;&gt;"",BD_Carga!K366,0)</f>
        <v/>
      </c>
      <c r="R365" s="5">
        <f>IF(BD_Carga!L366&lt;&gt;"",BD_Carga!L366,0)</f>
        <v/>
      </c>
      <c r="S365">
        <f>IF(BD_Carga!N366&lt;&gt;"",BD_Carga!N366,0)</f>
        <v/>
      </c>
      <c r="T365">
        <f>IF(BD_Carga!O366&lt;&gt;"",BD_Carga!O366,0)</f>
        <v/>
      </c>
      <c r="U365">
        <f>IF(BD_Carga!P366&lt;&gt;"",BD_Carga!P366,0)</f>
        <v/>
      </c>
      <c r="V365">
        <f>IF(BD_Carga!U366&lt;&gt;"",BD_Carga!U366,0)</f>
        <v/>
      </c>
      <c r="W365">
        <f>IF(BD_Carga!T366&lt;&gt;"",BD_Carga!T366,0)</f>
        <v/>
      </c>
      <c r="X365">
        <f>IF(BD_Carga!W366&lt;&gt;"",BD_Carga!W366,0)</f>
        <v/>
      </c>
      <c r="Y365">
        <f>IF(BD_Carga!X366&lt;&gt;"",BD_Carga!X366,0)</f>
        <v/>
      </c>
      <c r="Z365">
        <f>IF(BD_Carga!Y366&lt;&gt;"",BD_Carga!Y366,0)</f>
        <v/>
      </c>
      <c r="AA365">
        <f>IF(BD_Carga!Z366&lt;&gt;"",BD_Carga!Z366,0)</f>
        <v/>
      </c>
      <c r="AB365">
        <f>IF(BD_Carga!AA366&lt;&gt;"",BD_Carga!AA366,0)</f>
        <v/>
      </c>
      <c r="AC365" s="6">
        <f t="array" ref="AC365">IFERROR((L365-AVERAGEIF($G$2:$G$462,G365,$L$2:$L$462))/_xlfn.STDEV.P(IF($G$2:$G$462=G365,$L$2:$L$462)),0)</f>
        <v/>
      </c>
      <c r="AD365" s="6">
        <f t="array" ref="AD365">IFERROR((M365-AVERAGEIF($G$2:$G$462,G365,$M$2:$M$462))/_xlfn.STDEV.P(IF($G$2:$G$462=G365,$M$2:$M$462)),0)</f>
        <v/>
      </c>
      <c r="AE365" s="6">
        <f t="array" ref="AE365">IFERROR((N365-AVERAGEIF($G$2:$G$462,G365,$N$2:$N$462))/_xlfn.STDEV.P(IF($G$2:$G$462=G365,$N$2:$N$462)),0)</f>
        <v/>
      </c>
      <c r="AF365" s="6">
        <f t="array" ref="AF365">IFERROR((O365-AVERAGEIF($G$2:$G$462,G365,$O$2:$O$462))/_xlfn.STDEV.P(IF($G$2:$G$462=G365,$O$2:$O$462)),0)</f>
        <v/>
      </c>
      <c r="AG365" s="6">
        <f t="array" ref="AG365">IFERROR((P365-AVERAGEIF($G$2:$G$462,G365,$P$2:$P$462))/_xlfn.STDEV.P(IF($G$2:$G$462=G365,$P$2:$P$462)),0)</f>
        <v/>
      </c>
      <c r="AH365" s="6">
        <f t="array" ref="AH365">IFERROR((R365-AVERAGEIF($G$2:$G$462,G365,$R$2:$R$462))/_xlfn.STDEV.P(IF($G$2:$G$462=G365,$R$2:$R$462)),0)</f>
        <v/>
      </c>
      <c r="AI365" s="6">
        <f>IFERROR((AC365+AD365+AE365+AF365+AG365+AH365)/6,0)</f>
        <v/>
      </c>
    </row>
    <row r="366">
      <c r="A366" s="2">
        <f>IF(BD_Carga!A367&lt;&gt;"",BD_Carga!A367,"")</f>
        <v/>
      </c>
      <c r="B366">
        <f>IF(A366&lt;&gt;"",YEAR(A366),"")</f>
        <v/>
      </c>
      <c r="C366">
        <f>IF(A366&lt;&gt;"",MONTH(A366),"")</f>
        <v/>
      </c>
      <c r="D366">
        <f>IF(A366&lt;&gt;"",_xlfn.ISOWEEKNUM(A366),"")</f>
        <v/>
      </c>
      <c r="E366">
        <f>IF(A366&lt;&gt;"",TEXT(A366,"dddd"),"")</f>
        <v/>
      </c>
      <c r="F366">
        <f>IF(BD_Carga!C367&lt;&gt;"",BD_Carga!C367,"")</f>
        <v/>
      </c>
      <c r="G366">
        <f>IF(BD_Carga!D367&lt;&gt;"",BD_Carga!D367,"")</f>
        <v/>
      </c>
      <c r="H366">
        <f>IF(BD_Carga!Q367&lt;&gt;"",BD_Carga!Q367,"")</f>
        <v/>
      </c>
      <c r="I366">
        <f>IF(BD_Carga!R367&lt;&gt;"",BD_Carga!R367,"")</f>
        <v/>
      </c>
      <c r="J366">
        <f>IF(BD_Carga!S367&lt;&gt;"",BD_Carga!S367,"")</f>
        <v/>
      </c>
      <c r="K366" s="4">
        <f>IF(BD_Carga!E367&lt;&gt;"",BD_Carga!E367,0)</f>
        <v/>
      </c>
      <c r="L366" s="4">
        <f>IF(BD_Carga!F367&lt;&gt;"",BD_Carga!F367,0)</f>
        <v/>
      </c>
      <c r="M366" s="4">
        <f>IF(BD_Carga!G367&lt;&gt;"",BD_Carga!G367,0)</f>
        <v/>
      </c>
      <c r="N366" s="4">
        <f>IF(BD_Carga!H367&lt;&gt;"",BD_Carga!H367,0)</f>
        <v/>
      </c>
      <c r="O366" s="4">
        <f>IF(BD_Carga!I367&lt;&gt;"",BD_Carga!I367,0)</f>
        <v/>
      </c>
      <c r="P366" s="4">
        <f>IF(BD_Carga!J367&lt;&gt;"",BD_Carga!J367,0)</f>
        <v/>
      </c>
      <c r="Q366" s="5">
        <f>IF(BD_Carga!K367&lt;&gt;"",BD_Carga!K367,0)</f>
        <v/>
      </c>
      <c r="R366" s="5">
        <f>IF(BD_Carga!L367&lt;&gt;"",BD_Carga!L367,0)</f>
        <v/>
      </c>
      <c r="S366">
        <f>IF(BD_Carga!N367&lt;&gt;"",BD_Carga!N367,0)</f>
        <v/>
      </c>
      <c r="T366">
        <f>IF(BD_Carga!O367&lt;&gt;"",BD_Carga!O367,0)</f>
        <v/>
      </c>
      <c r="U366">
        <f>IF(BD_Carga!P367&lt;&gt;"",BD_Carga!P367,0)</f>
        <v/>
      </c>
      <c r="V366">
        <f>IF(BD_Carga!U367&lt;&gt;"",BD_Carga!U367,0)</f>
        <v/>
      </c>
      <c r="W366">
        <f>IF(BD_Carga!T367&lt;&gt;"",BD_Carga!T367,0)</f>
        <v/>
      </c>
      <c r="X366">
        <f>IF(BD_Carga!W367&lt;&gt;"",BD_Carga!W367,0)</f>
        <v/>
      </c>
      <c r="Y366">
        <f>IF(BD_Carga!X367&lt;&gt;"",BD_Carga!X367,0)</f>
        <v/>
      </c>
      <c r="Z366">
        <f>IF(BD_Carga!Y367&lt;&gt;"",BD_Carga!Y367,0)</f>
        <v/>
      </c>
      <c r="AA366">
        <f>IF(BD_Carga!Z367&lt;&gt;"",BD_Carga!Z367,0)</f>
        <v/>
      </c>
      <c r="AB366">
        <f>IF(BD_Carga!AA367&lt;&gt;"",BD_Carga!AA367,0)</f>
        <v/>
      </c>
      <c r="AC366" s="6">
        <f t="array" ref="AC366">IFERROR((L366-AVERAGEIF($G$2:$G$462,G366,$L$2:$L$462))/_xlfn.STDEV.P(IF($G$2:$G$462=G366,$L$2:$L$462)),0)</f>
        <v/>
      </c>
      <c r="AD366" s="6">
        <f t="array" ref="AD366">IFERROR((M366-AVERAGEIF($G$2:$G$462,G366,$M$2:$M$462))/_xlfn.STDEV.P(IF($G$2:$G$462=G366,$M$2:$M$462)),0)</f>
        <v/>
      </c>
      <c r="AE366" s="6">
        <f t="array" ref="AE366">IFERROR((N366-AVERAGEIF($G$2:$G$462,G366,$N$2:$N$462))/_xlfn.STDEV.P(IF($G$2:$G$462=G366,$N$2:$N$462)),0)</f>
        <v/>
      </c>
      <c r="AF366" s="6">
        <f t="array" ref="AF366">IFERROR((O366-AVERAGEIF($G$2:$G$462,G366,$O$2:$O$462))/_xlfn.STDEV.P(IF($G$2:$G$462=G366,$O$2:$O$462)),0)</f>
        <v/>
      </c>
      <c r="AG366" s="6">
        <f t="array" ref="AG366">IFERROR((P366-AVERAGEIF($G$2:$G$462,G366,$P$2:$P$462))/_xlfn.STDEV.P(IF($G$2:$G$462=G366,$P$2:$P$462)),0)</f>
        <v/>
      </c>
      <c r="AH366" s="6">
        <f t="array" ref="AH366">IFERROR((R366-AVERAGEIF($G$2:$G$462,G366,$R$2:$R$462))/_xlfn.STDEV.P(IF($G$2:$G$462=G366,$R$2:$R$462)),0)</f>
        <v/>
      </c>
      <c r="AI366" s="6">
        <f>IFERROR((AC366+AD366+AE366+AF366+AG366+AH366)/6,0)</f>
        <v/>
      </c>
    </row>
    <row r="367">
      <c r="A367" s="2">
        <f>IF(BD_Carga!A368&lt;&gt;"",BD_Carga!A368,"")</f>
        <v/>
      </c>
      <c r="B367">
        <f>IF(A367&lt;&gt;"",YEAR(A367),"")</f>
        <v/>
      </c>
      <c r="C367">
        <f>IF(A367&lt;&gt;"",MONTH(A367),"")</f>
        <v/>
      </c>
      <c r="D367">
        <f>IF(A367&lt;&gt;"",_xlfn.ISOWEEKNUM(A367),"")</f>
        <v/>
      </c>
      <c r="E367">
        <f>IF(A367&lt;&gt;"",TEXT(A367,"dddd"),"")</f>
        <v/>
      </c>
      <c r="F367">
        <f>IF(BD_Carga!C368&lt;&gt;"",BD_Carga!C368,"")</f>
        <v/>
      </c>
      <c r="G367">
        <f>IF(BD_Carga!D368&lt;&gt;"",BD_Carga!D368,"")</f>
        <v/>
      </c>
      <c r="H367">
        <f>IF(BD_Carga!Q368&lt;&gt;"",BD_Carga!Q368,"")</f>
        <v/>
      </c>
      <c r="I367">
        <f>IF(BD_Carga!R368&lt;&gt;"",BD_Carga!R368,"")</f>
        <v/>
      </c>
      <c r="J367">
        <f>IF(BD_Carga!S368&lt;&gt;"",BD_Carga!S368,"")</f>
        <v/>
      </c>
      <c r="K367" s="4">
        <f>IF(BD_Carga!E368&lt;&gt;"",BD_Carga!E368,0)</f>
        <v/>
      </c>
      <c r="L367" s="4">
        <f>IF(BD_Carga!F368&lt;&gt;"",BD_Carga!F368,0)</f>
        <v/>
      </c>
      <c r="M367" s="4">
        <f>IF(BD_Carga!G368&lt;&gt;"",BD_Carga!G368,0)</f>
        <v/>
      </c>
      <c r="N367" s="4">
        <f>IF(BD_Carga!H368&lt;&gt;"",BD_Carga!H368,0)</f>
        <v/>
      </c>
      <c r="O367" s="4">
        <f>IF(BD_Carga!I368&lt;&gt;"",BD_Carga!I368,0)</f>
        <v/>
      </c>
      <c r="P367" s="4">
        <f>IF(BD_Carga!J368&lt;&gt;"",BD_Carga!J368,0)</f>
        <v/>
      </c>
      <c r="Q367" s="5">
        <f>IF(BD_Carga!K368&lt;&gt;"",BD_Carga!K368,0)</f>
        <v/>
      </c>
      <c r="R367" s="5">
        <f>IF(BD_Carga!L368&lt;&gt;"",BD_Carga!L368,0)</f>
        <v/>
      </c>
      <c r="S367">
        <f>IF(BD_Carga!N368&lt;&gt;"",BD_Carga!N368,0)</f>
        <v/>
      </c>
      <c r="T367">
        <f>IF(BD_Carga!O368&lt;&gt;"",BD_Carga!O368,0)</f>
        <v/>
      </c>
      <c r="U367">
        <f>IF(BD_Carga!P368&lt;&gt;"",BD_Carga!P368,0)</f>
        <v/>
      </c>
      <c r="V367">
        <f>IF(BD_Carga!U368&lt;&gt;"",BD_Carga!U368,0)</f>
        <v/>
      </c>
      <c r="W367">
        <f>IF(BD_Carga!T368&lt;&gt;"",BD_Carga!T368,0)</f>
        <v/>
      </c>
      <c r="X367">
        <f>IF(BD_Carga!W368&lt;&gt;"",BD_Carga!W368,0)</f>
        <v/>
      </c>
      <c r="Y367">
        <f>IF(BD_Carga!X368&lt;&gt;"",BD_Carga!X368,0)</f>
        <v/>
      </c>
      <c r="Z367">
        <f>IF(BD_Carga!Y368&lt;&gt;"",BD_Carga!Y368,0)</f>
        <v/>
      </c>
      <c r="AA367">
        <f>IF(BD_Carga!Z368&lt;&gt;"",BD_Carga!Z368,0)</f>
        <v/>
      </c>
      <c r="AB367">
        <f>IF(BD_Carga!AA368&lt;&gt;"",BD_Carga!AA368,0)</f>
        <v/>
      </c>
      <c r="AC367" s="6">
        <f t="array" ref="AC367">IFERROR((L367-AVERAGEIF($G$2:$G$462,G367,$L$2:$L$462))/_xlfn.STDEV.P(IF($G$2:$G$462=G367,$L$2:$L$462)),0)</f>
        <v/>
      </c>
      <c r="AD367" s="6">
        <f t="array" ref="AD367">IFERROR((M367-AVERAGEIF($G$2:$G$462,G367,$M$2:$M$462))/_xlfn.STDEV.P(IF($G$2:$G$462=G367,$M$2:$M$462)),0)</f>
        <v/>
      </c>
      <c r="AE367" s="6">
        <f t="array" ref="AE367">IFERROR((N367-AVERAGEIF($G$2:$G$462,G367,$N$2:$N$462))/_xlfn.STDEV.P(IF($G$2:$G$462=G367,$N$2:$N$462)),0)</f>
        <v/>
      </c>
      <c r="AF367" s="6">
        <f t="array" ref="AF367">IFERROR((O367-AVERAGEIF($G$2:$G$462,G367,$O$2:$O$462))/_xlfn.STDEV.P(IF($G$2:$G$462=G367,$O$2:$O$462)),0)</f>
        <v/>
      </c>
      <c r="AG367" s="6">
        <f t="array" ref="AG367">IFERROR((P367-AVERAGEIF($G$2:$G$462,G367,$P$2:$P$462))/_xlfn.STDEV.P(IF($G$2:$G$462=G367,$P$2:$P$462)),0)</f>
        <v/>
      </c>
      <c r="AH367" s="6">
        <f t="array" ref="AH367">IFERROR((R367-AVERAGEIF($G$2:$G$462,G367,$R$2:$R$462))/_xlfn.STDEV.P(IF($G$2:$G$462=G367,$R$2:$R$462)),0)</f>
        <v/>
      </c>
      <c r="AI367" s="6">
        <f>IFERROR((AC367+AD367+AE367+AF367+AG367+AH367)/6,0)</f>
        <v/>
      </c>
    </row>
    <row r="368">
      <c r="A368" s="2">
        <f>IF(BD_Carga!A369&lt;&gt;"",BD_Carga!A369,"")</f>
        <v/>
      </c>
      <c r="B368">
        <f>IF(A368&lt;&gt;"",YEAR(A368),"")</f>
        <v/>
      </c>
      <c r="C368">
        <f>IF(A368&lt;&gt;"",MONTH(A368),"")</f>
        <v/>
      </c>
      <c r="D368">
        <f>IF(A368&lt;&gt;"",_xlfn.ISOWEEKNUM(A368),"")</f>
        <v/>
      </c>
      <c r="E368">
        <f>IF(A368&lt;&gt;"",TEXT(A368,"dddd"),"")</f>
        <v/>
      </c>
      <c r="F368">
        <f>IF(BD_Carga!C369&lt;&gt;"",BD_Carga!C369,"")</f>
        <v/>
      </c>
      <c r="G368">
        <f>IF(BD_Carga!D369&lt;&gt;"",BD_Carga!D369,"")</f>
        <v/>
      </c>
      <c r="H368">
        <f>IF(BD_Carga!Q369&lt;&gt;"",BD_Carga!Q369,"")</f>
        <v/>
      </c>
      <c r="I368">
        <f>IF(BD_Carga!R369&lt;&gt;"",BD_Carga!R369,"")</f>
        <v/>
      </c>
      <c r="J368">
        <f>IF(BD_Carga!S369&lt;&gt;"",BD_Carga!S369,"")</f>
        <v/>
      </c>
      <c r="K368" s="4">
        <f>IF(BD_Carga!E369&lt;&gt;"",BD_Carga!E369,0)</f>
        <v/>
      </c>
      <c r="L368" s="4">
        <f>IF(BD_Carga!F369&lt;&gt;"",BD_Carga!F369,0)</f>
        <v/>
      </c>
      <c r="M368" s="4">
        <f>IF(BD_Carga!G369&lt;&gt;"",BD_Carga!G369,0)</f>
        <v/>
      </c>
      <c r="N368" s="4">
        <f>IF(BD_Carga!H369&lt;&gt;"",BD_Carga!H369,0)</f>
        <v/>
      </c>
      <c r="O368" s="4">
        <f>IF(BD_Carga!I369&lt;&gt;"",BD_Carga!I369,0)</f>
        <v/>
      </c>
      <c r="P368" s="4">
        <f>IF(BD_Carga!J369&lt;&gt;"",BD_Carga!J369,0)</f>
        <v/>
      </c>
      <c r="Q368" s="5">
        <f>IF(BD_Carga!K369&lt;&gt;"",BD_Carga!K369,0)</f>
        <v/>
      </c>
      <c r="R368" s="5">
        <f>IF(BD_Carga!L369&lt;&gt;"",BD_Carga!L369,0)</f>
        <v/>
      </c>
      <c r="S368">
        <f>IF(BD_Carga!N369&lt;&gt;"",BD_Carga!N369,0)</f>
        <v/>
      </c>
      <c r="T368">
        <f>IF(BD_Carga!O369&lt;&gt;"",BD_Carga!O369,0)</f>
        <v/>
      </c>
      <c r="U368">
        <f>IF(BD_Carga!P369&lt;&gt;"",BD_Carga!P369,0)</f>
        <v/>
      </c>
      <c r="V368">
        <f>IF(BD_Carga!U369&lt;&gt;"",BD_Carga!U369,0)</f>
        <v/>
      </c>
      <c r="W368">
        <f>IF(BD_Carga!T369&lt;&gt;"",BD_Carga!T369,0)</f>
        <v/>
      </c>
      <c r="X368">
        <f>IF(BD_Carga!W369&lt;&gt;"",BD_Carga!W369,0)</f>
        <v/>
      </c>
      <c r="Y368">
        <f>IF(BD_Carga!X369&lt;&gt;"",BD_Carga!X369,0)</f>
        <v/>
      </c>
      <c r="Z368">
        <f>IF(BD_Carga!Y369&lt;&gt;"",BD_Carga!Y369,0)</f>
        <v/>
      </c>
      <c r="AA368">
        <f>IF(BD_Carga!Z369&lt;&gt;"",BD_Carga!Z369,0)</f>
        <v/>
      </c>
      <c r="AB368">
        <f>IF(BD_Carga!AA369&lt;&gt;"",BD_Carga!AA369,0)</f>
        <v/>
      </c>
      <c r="AC368" s="6">
        <f t="array" ref="AC368">IFERROR((L368-AVERAGEIF($G$2:$G$462,G368,$L$2:$L$462))/_xlfn.STDEV.P(IF($G$2:$G$462=G368,$L$2:$L$462)),0)</f>
        <v/>
      </c>
      <c r="AD368" s="6">
        <f t="array" ref="AD368">IFERROR((M368-AVERAGEIF($G$2:$G$462,G368,$M$2:$M$462))/_xlfn.STDEV.P(IF($G$2:$G$462=G368,$M$2:$M$462)),0)</f>
        <v/>
      </c>
      <c r="AE368" s="6">
        <f t="array" ref="AE368">IFERROR((N368-AVERAGEIF($G$2:$G$462,G368,$N$2:$N$462))/_xlfn.STDEV.P(IF($G$2:$G$462=G368,$N$2:$N$462)),0)</f>
        <v/>
      </c>
      <c r="AF368" s="6">
        <f t="array" ref="AF368">IFERROR((O368-AVERAGEIF($G$2:$G$462,G368,$O$2:$O$462))/_xlfn.STDEV.P(IF($G$2:$G$462=G368,$O$2:$O$462)),0)</f>
        <v/>
      </c>
      <c r="AG368" s="6">
        <f t="array" ref="AG368">IFERROR((P368-AVERAGEIF($G$2:$G$462,G368,$P$2:$P$462))/_xlfn.STDEV.P(IF($G$2:$G$462=G368,$P$2:$P$462)),0)</f>
        <v/>
      </c>
      <c r="AH368" s="6">
        <f t="array" ref="AH368">IFERROR((R368-AVERAGEIF($G$2:$G$462,G368,$R$2:$R$462))/_xlfn.STDEV.P(IF($G$2:$G$462=G368,$R$2:$R$462)),0)</f>
        <v/>
      </c>
      <c r="AI368" s="6">
        <f>IFERROR((AC368+AD368+AE368+AF368+AG368+AH368)/6,0)</f>
        <v/>
      </c>
    </row>
    <row r="369">
      <c r="A369" s="2">
        <f>IF(BD_Carga!A370&lt;&gt;"",BD_Carga!A370,"")</f>
        <v/>
      </c>
      <c r="B369">
        <f>IF(A369&lt;&gt;"",YEAR(A369),"")</f>
        <v/>
      </c>
      <c r="C369">
        <f>IF(A369&lt;&gt;"",MONTH(A369),"")</f>
        <v/>
      </c>
      <c r="D369">
        <f>IF(A369&lt;&gt;"",_xlfn.ISOWEEKNUM(A369),"")</f>
        <v/>
      </c>
      <c r="E369">
        <f>IF(A369&lt;&gt;"",TEXT(A369,"dddd"),"")</f>
        <v/>
      </c>
      <c r="F369">
        <f>IF(BD_Carga!C370&lt;&gt;"",BD_Carga!C370,"")</f>
        <v/>
      </c>
      <c r="G369">
        <f>IF(BD_Carga!D370&lt;&gt;"",BD_Carga!D370,"")</f>
        <v/>
      </c>
      <c r="H369">
        <f>IF(BD_Carga!Q370&lt;&gt;"",BD_Carga!Q370,"")</f>
        <v/>
      </c>
      <c r="I369">
        <f>IF(BD_Carga!R370&lt;&gt;"",BD_Carga!R370,"")</f>
        <v/>
      </c>
      <c r="J369">
        <f>IF(BD_Carga!S370&lt;&gt;"",BD_Carga!S370,"")</f>
        <v/>
      </c>
      <c r="K369" s="4">
        <f>IF(BD_Carga!E370&lt;&gt;"",BD_Carga!E370,0)</f>
        <v/>
      </c>
      <c r="L369" s="4">
        <f>IF(BD_Carga!F370&lt;&gt;"",BD_Carga!F370,0)</f>
        <v/>
      </c>
      <c r="M369" s="4">
        <f>IF(BD_Carga!G370&lt;&gt;"",BD_Carga!G370,0)</f>
        <v/>
      </c>
      <c r="N369" s="4">
        <f>IF(BD_Carga!H370&lt;&gt;"",BD_Carga!H370,0)</f>
        <v/>
      </c>
      <c r="O369" s="4">
        <f>IF(BD_Carga!I370&lt;&gt;"",BD_Carga!I370,0)</f>
        <v/>
      </c>
      <c r="P369" s="4">
        <f>IF(BD_Carga!J370&lt;&gt;"",BD_Carga!J370,0)</f>
        <v/>
      </c>
      <c r="Q369" s="5">
        <f>IF(BD_Carga!K370&lt;&gt;"",BD_Carga!K370,0)</f>
        <v/>
      </c>
      <c r="R369" s="5">
        <f>IF(BD_Carga!L370&lt;&gt;"",BD_Carga!L370,0)</f>
        <v/>
      </c>
      <c r="S369">
        <f>IF(BD_Carga!N370&lt;&gt;"",BD_Carga!N370,0)</f>
        <v/>
      </c>
      <c r="T369">
        <f>IF(BD_Carga!O370&lt;&gt;"",BD_Carga!O370,0)</f>
        <v/>
      </c>
      <c r="U369">
        <f>IF(BD_Carga!P370&lt;&gt;"",BD_Carga!P370,0)</f>
        <v/>
      </c>
      <c r="V369">
        <f>IF(BD_Carga!U370&lt;&gt;"",BD_Carga!U370,0)</f>
        <v/>
      </c>
      <c r="W369">
        <f>IF(BD_Carga!T370&lt;&gt;"",BD_Carga!T370,0)</f>
        <v/>
      </c>
      <c r="X369">
        <f>IF(BD_Carga!W370&lt;&gt;"",BD_Carga!W370,0)</f>
        <v/>
      </c>
      <c r="Y369">
        <f>IF(BD_Carga!X370&lt;&gt;"",BD_Carga!X370,0)</f>
        <v/>
      </c>
      <c r="Z369">
        <f>IF(BD_Carga!Y370&lt;&gt;"",BD_Carga!Y370,0)</f>
        <v/>
      </c>
      <c r="AA369">
        <f>IF(BD_Carga!Z370&lt;&gt;"",BD_Carga!Z370,0)</f>
        <v/>
      </c>
      <c r="AB369">
        <f>IF(BD_Carga!AA370&lt;&gt;"",BD_Carga!AA370,0)</f>
        <v/>
      </c>
      <c r="AC369" s="6">
        <f t="array" ref="AC369">IFERROR((L369-AVERAGEIF($G$2:$G$462,G369,$L$2:$L$462))/_xlfn.STDEV.P(IF($G$2:$G$462=G369,$L$2:$L$462)),0)</f>
        <v/>
      </c>
      <c r="AD369" s="6">
        <f t="array" ref="AD369">IFERROR((M369-AVERAGEIF($G$2:$G$462,G369,$M$2:$M$462))/_xlfn.STDEV.P(IF($G$2:$G$462=G369,$M$2:$M$462)),0)</f>
        <v/>
      </c>
      <c r="AE369" s="6">
        <f t="array" ref="AE369">IFERROR((N369-AVERAGEIF($G$2:$G$462,G369,$N$2:$N$462))/_xlfn.STDEV.P(IF($G$2:$G$462=G369,$N$2:$N$462)),0)</f>
        <v/>
      </c>
      <c r="AF369" s="6">
        <f t="array" ref="AF369">IFERROR((O369-AVERAGEIF($G$2:$G$462,G369,$O$2:$O$462))/_xlfn.STDEV.P(IF($G$2:$G$462=G369,$O$2:$O$462)),0)</f>
        <v/>
      </c>
      <c r="AG369" s="6">
        <f t="array" ref="AG369">IFERROR((P369-AVERAGEIF($G$2:$G$462,G369,$P$2:$P$462))/_xlfn.STDEV.P(IF($G$2:$G$462=G369,$P$2:$P$462)),0)</f>
        <v/>
      </c>
      <c r="AH369" s="6">
        <f t="array" ref="AH369">IFERROR((R369-AVERAGEIF($G$2:$G$462,G369,$R$2:$R$462))/_xlfn.STDEV.P(IF($G$2:$G$462=G369,$R$2:$R$462)),0)</f>
        <v/>
      </c>
      <c r="AI369" s="6">
        <f>IFERROR((AC369+AD369+AE369+AF369+AG369+AH369)/6,0)</f>
        <v/>
      </c>
    </row>
    <row r="370">
      <c r="A370" s="2">
        <f>IF(BD_Carga!A371&lt;&gt;"",BD_Carga!A371,"")</f>
        <v/>
      </c>
      <c r="B370">
        <f>IF(A370&lt;&gt;"",YEAR(A370),"")</f>
        <v/>
      </c>
      <c r="C370">
        <f>IF(A370&lt;&gt;"",MONTH(A370),"")</f>
        <v/>
      </c>
      <c r="D370">
        <f>IF(A370&lt;&gt;"",_xlfn.ISOWEEKNUM(A370),"")</f>
        <v/>
      </c>
      <c r="E370">
        <f>IF(A370&lt;&gt;"",TEXT(A370,"dddd"),"")</f>
        <v/>
      </c>
      <c r="F370">
        <f>IF(BD_Carga!C371&lt;&gt;"",BD_Carga!C371,"")</f>
        <v/>
      </c>
      <c r="G370">
        <f>IF(BD_Carga!D371&lt;&gt;"",BD_Carga!D371,"")</f>
        <v/>
      </c>
      <c r="H370">
        <f>IF(BD_Carga!Q371&lt;&gt;"",BD_Carga!Q371,"")</f>
        <v/>
      </c>
      <c r="I370">
        <f>IF(BD_Carga!R371&lt;&gt;"",BD_Carga!R371,"")</f>
        <v/>
      </c>
      <c r="J370">
        <f>IF(BD_Carga!S371&lt;&gt;"",BD_Carga!S371,"")</f>
        <v/>
      </c>
      <c r="K370" s="4">
        <f>IF(BD_Carga!E371&lt;&gt;"",BD_Carga!E371,0)</f>
        <v/>
      </c>
      <c r="L370" s="4">
        <f>IF(BD_Carga!F371&lt;&gt;"",BD_Carga!F371,0)</f>
        <v/>
      </c>
      <c r="M370" s="4">
        <f>IF(BD_Carga!G371&lt;&gt;"",BD_Carga!G371,0)</f>
        <v/>
      </c>
      <c r="N370" s="4">
        <f>IF(BD_Carga!H371&lt;&gt;"",BD_Carga!H371,0)</f>
        <v/>
      </c>
      <c r="O370" s="4">
        <f>IF(BD_Carga!I371&lt;&gt;"",BD_Carga!I371,0)</f>
        <v/>
      </c>
      <c r="P370" s="4">
        <f>IF(BD_Carga!J371&lt;&gt;"",BD_Carga!J371,0)</f>
        <v/>
      </c>
      <c r="Q370" s="5">
        <f>IF(BD_Carga!K371&lt;&gt;"",BD_Carga!K371,0)</f>
        <v/>
      </c>
      <c r="R370" s="5">
        <f>IF(BD_Carga!L371&lt;&gt;"",BD_Carga!L371,0)</f>
        <v/>
      </c>
      <c r="S370">
        <f>IF(BD_Carga!N371&lt;&gt;"",BD_Carga!N371,0)</f>
        <v/>
      </c>
      <c r="T370">
        <f>IF(BD_Carga!O371&lt;&gt;"",BD_Carga!O371,0)</f>
        <v/>
      </c>
      <c r="U370">
        <f>IF(BD_Carga!P371&lt;&gt;"",BD_Carga!P371,0)</f>
        <v/>
      </c>
      <c r="V370">
        <f>IF(BD_Carga!U371&lt;&gt;"",BD_Carga!U371,0)</f>
        <v/>
      </c>
      <c r="W370">
        <f>IF(BD_Carga!T371&lt;&gt;"",BD_Carga!T371,0)</f>
        <v/>
      </c>
      <c r="X370">
        <f>IF(BD_Carga!W371&lt;&gt;"",BD_Carga!W371,0)</f>
        <v/>
      </c>
      <c r="Y370">
        <f>IF(BD_Carga!X371&lt;&gt;"",BD_Carga!X371,0)</f>
        <v/>
      </c>
      <c r="Z370">
        <f>IF(BD_Carga!Y371&lt;&gt;"",BD_Carga!Y371,0)</f>
        <v/>
      </c>
      <c r="AA370">
        <f>IF(BD_Carga!Z371&lt;&gt;"",BD_Carga!Z371,0)</f>
        <v/>
      </c>
      <c r="AB370">
        <f>IF(BD_Carga!AA371&lt;&gt;"",BD_Carga!AA371,0)</f>
        <v/>
      </c>
      <c r="AC370" s="6">
        <f t="array" ref="AC370">IFERROR((L370-AVERAGEIF($G$2:$G$462,G370,$L$2:$L$462))/_xlfn.STDEV.P(IF($G$2:$G$462=G370,$L$2:$L$462)),0)</f>
        <v/>
      </c>
      <c r="AD370" s="6">
        <f t="array" ref="AD370">IFERROR((M370-AVERAGEIF($G$2:$G$462,G370,$M$2:$M$462))/_xlfn.STDEV.P(IF($G$2:$G$462=G370,$M$2:$M$462)),0)</f>
        <v/>
      </c>
      <c r="AE370" s="6">
        <f t="array" ref="AE370">IFERROR((N370-AVERAGEIF($G$2:$G$462,G370,$N$2:$N$462))/_xlfn.STDEV.P(IF($G$2:$G$462=G370,$N$2:$N$462)),0)</f>
        <v/>
      </c>
      <c r="AF370" s="6">
        <f t="array" ref="AF370">IFERROR((O370-AVERAGEIF($G$2:$G$462,G370,$O$2:$O$462))/_xlfn.STDEV.P(IF($G$2:$G$462=G370,$O$2:$O$462)),0)</f>
        <v/>
      </c>
      <c r="AG370" s="6">
        <f t="array" ref="AG370">IFERROR((P370-AVERAGEIF($G$2:$G$462,G370,$P$2:$P$462))/_xlfn.STDEV.P(IF($G$2:$G$462=G370,$P$2:$P$462)),0)</f>
        <v/>
      </c>
      <c r="AH370" s="6">
        <f t="array" ref="AH370">IFERROR((R370-AVERAGEIF($G$2:$G$462,G370,$R$2:$R$462))/_xlfn.STDEV.P(IF($G$2:$G$462=G370,$R$2:$R$462)),0)</f>
        <v/>
      </c>
      <c r="AI370" s="6">
        <f>IFERROR((AC370+AD370+AE370+AF370+AG370+AH370)/6,0)</f>
        <v/>
      </c>
    </row>
    <row r="371">
      <c r="A371" s="2">
        <f>IF(BD_Carga!A372&lt;&gt;"",BD_Carga!A372,"")</f>
        <v/>
      </c>
      <c r="B371">
        <f>IF(A371&lt;&gt;"",YEAR(A371),"")</f>
        <v/>
      </c>
      <c r="C371">
        <f>IF(A371&lt;&gt;"",MONTH(A371),"")</f>
        <v/>
      </c>
      <c r="D371">
        <f>IF(A371&lt;&gt;"",_xlfn.ISOWEEKNUM(A371),"")</f>
        <v/>
      </c>
      <c r="E371">
        <f>IF(A371&lt;&gt;"",TEXT(A371,"dddd"),"")</f>
        <v/>
      </c>
      <c r="F371">
        <f>IF(BD_Carga!C372&lt;&gt;"",BD_Carga!C372,"")</f>
        <v/>
      </c>
      <c r="G371">
        <f>IF(BD_Carga!D372&lt;&gt;"",BD_Carga!D372,"")</f>
        <v/>
      </c>
      <c r="H371">
        <f>IF(BD_Carga!Q372&lt;&gt;"",BD_Carga!Q372,"")</f>
        <v/>
      </c>
      <c r="I371">
        <f>IF(BD_Carga!R372&lt;&gt;"",BD_Carga!R372,"")</f>
        <v/>
      </c>
      <c r="J371">
        <f>IF(BD_Carga!S372&lt;&gt;"",BD_Carga!S372,"")</f>
        <v/>
      </c>
      <c r="K371" s="4">
        <f>IF(BD_Carga!E372&lt;&gt;"",BD_Carga!E372,0)</f>
        <v/>
      </c>
      <c r="L371" s="4">
        <f>IF(BD_Carga!F372&lt;&gt;"",BD_Carga!F372,0)</f>
        <v/>
      </c>
      <c r="M371" s="4">
        <f>IF(BD_Carga!G372&lt;&gt;"",BD_Carga!G372,0)</f>
        <v/>
      </c>
      <c r="N371" s="4">
        <f>IF(BD_Carga!H372&lt;&gt;"",BD_Carga!H372,0)</f>
        <v/>
      </c>
      <c r="O371" s="4">
        <f>IF(BD_Carga!I372&lt;&gt;"",BD_Carga!I372,0)</f>
        <v/>
      </c>
      <c r="P371" s="4">
        <f>IF(BD_Carga!J372&lt;&gt;"",BD_Carga!J372,0)</f>
        <v/>
      </c>
      <c r="Q371" s="5">
        <f>IF(BD_Carga!K372&lt;&gt;"",BD_Carga!K372,0)</f>
        <v/>
      </c>
      <c r="R371" s="5">
        <f>IF(BD_Carga!L372&lt;&gt;"",BD_Carga!L372,0)</f>
        <v/>
      </c>
      <c r="S371">
        <f>IF(BD_Carga!N372&lt;&gt;"",BD_Carga!N372,0)</f>
        <v/>
      </c>
      <c r="T371">
        <f>IF(BD_Carga!O372&lt;&gt;"",BD_Carga!O372,0)</f>
        <v/>
      </c>
      <c r="U371">
        <f>IF(BD_Carga!P372&lt;&gt;"",BD_Carga!P372,0)</f>
        <v/>
      </c>
      <c r="V371">
        <f>IF(BD_Carga!U372&lt;&gt;"",BD_Carga!U372,0)</f>
        <v/>
      </c>
      <c r="W371">
        <f>IF(BD_Carga!T372&lt;&gt;"",BD_Carga!T372,0)</f>
        <v/>
      </c>
      <c r="X371">
        <f>IF(BD_Carga!W372&lt;&gt;"",BD_Carga!W372,0)</f>
        <v/>
      </c>
      <c r="Y371">
        <f>IF(BD_Carga!X372&lt;&gt;"",BD_Carga!X372,0)</f>
        <v/>
      </c>
      <c r="Z371">
        <f>IF(BD_Carga!Y372&lt;&gt;"",BD_Carga!Y372,0)</f>
        <v/>
      </c>
      <c r="AA371">
        <f>IF(BD_Carga!Z372&lt;&gt;"",BD_Carga!Z372,0)</f>
        <v/>
      </c>
      <c r="AB371">
        <f>IF(BD_Carga!AA372&lt;&gt;"",BD_Carga!AA372,0)</f>
        <v/>
      </c>
      <c r="AC371" s="6">
        <f t="array" ref="AC371">IFERROR((L371-AVERAGEIF($G$2:$G$462,G371,$L$2:$L$462))/_xlfn.STDEV.P(IF($G$2:$G$462=G371,$L$2:$L$462)),0)</f>
        <v/>
      </c>
      <c r="AD371" s="6">
        <f t="array" ref="AD371">IFERROR((M371-AVERAGEIF($G$2:$G$462,G371,$M$2:$M$462))/_xlfn.STDEV.P(IF($G$2:$G$462=G371,$M$2:$M$462)),0)</f>
        <v/>
      </c>
      <c r="AE371" s="6">
        <f t="array" ref="AE371">IFERROR((N371-AVERAGEIF($G$2:$G$462,G371,$N$2:$N$462))/_xlfn.STDEV.P(IF($G$2:$G$462=G371,$N$2:$N$462)),0)</f>
        <v/>
      </c>
      <c r="AF371" s="6">
        <f t="array" ref="AF371">IFERROR((O371-AVERAGEIF($G$2:$G$462,G371,$O$2:$O$462))/_xlfn.STDEV.P(IF($G$2:$G$462=G371,$O$2:$O$462)),0)</f>
        <v/>
      </c>
      <c r="AG371" s="6">
        <f t="array" ref="AG371">IFERROR((P371-AVERAGEIF($G$2:$G$462,G371,$P$2:$P$462))/_xlfn.STDEV.P(IF($G$2:$G$462=G371,$P$2:$P$462)),0)</f>
        <v/>
      </c>
      <c r="AH371" s="6">
        <f t="array" ref="AH371">IFERROR((R371-AVERAGEIF($G$2:$G$462,G371,$R$2:$R$462))/_xlfn.STDEV.P(IF($G$2:$G$462=G371,$R$2:$R$462)),0)</f>
        <v/>
      </c>
      <c r="AI371" s="6">
        <f>IFERROR((AC371+AD371+AE371+AF371+AG371+AH371)/6,0)</f>
        <v/>
      </c>
    </row>
    <row r="372">
      <c r="A372" s="2">
        <f>IF(BD_Carga!A373&lt;&gt;"",BD_Carga!A373,"")</f>
        <v/>
      </c>
      <c r="B372">
        <f>IF(A372&lt;&gt;"",YEAR(A372),"")</f>
        <v/>
      </c>
      <c r="C372">
        <f>IF(A372&lt;&gt;"",MONTH(A372),"")</f>
        <v/>
      </c>
      <c r="D372">
        <f>IF(A372&lt;&gt;"",_xlfn.ISOWEEKNUM(A372),"")</f>
        <v/>
      </c>
      <c r="E372">
        <f>IF(A372&lt;&gt;"",TEXT(A372,"dddd"),"")</f>
        <v/>
      </c>
      <c r="F372">
        <f>IF(BD_Carga!C373&lt;&gt;"",BD_Carga!C373,"")</f>
        <v/>
      </c>
      <c r="G372">
        <f>IF(BD_Carga!D373&lt;&gt;"",BD_Carga!D373,"")</f>
        <v/>
      </c>
      <c r="H372">
        <f>IF(BD_Carga!Q373&lt;&gt;"",BD_Carga!Q373,"")</f>
        <v/>
      </c>
      <c r="I372">
        <f>IF(BD_Carga!R373&lt;&gt;"",BD_Carga!R373,"")</f>
        <v/>
      </c>
      <c r="J372">
        <f>IF(BD_Carga!S373&lt;&gt;"",BD_Carga!S373,"")</f>
        <v/>
      </c>
      <c r="K372" s="4">
        <f>IF(BD_Carga!E373&lt;&gt;"",BD_Carga!E373,0)</f>
        <v/>
      </c>
      <c r="L372" s="4">
        <f>IF(BD_Carga!F373&lt;&gt;"",BD_Carga!F373,0)</f>
        <v/>
      </c>
      <c r="M372" s="4">
        <f>IF(BD_Carga!G373&lt;&gt;"",BD_Carga!G373,0)</f>
        <v/>
      </c>
      <c r="N372" s="4">
        <f>IF(BD_Carga!H373&lt;&gt;"",BD_Carga!H373,0)</f>
        <v/>
      </c>
      <c r="O372" s="4">
        <f>IF(BD_Carga!I373&lt;&gt;"",BD_Carga!I373,0)</f>
        <v/>
      </c>
      <c r="P372" s="4">
        <f>IF(BD_Carga!J373&lt;&gt;"",BD_Carga!J373,0)</f>
        <v/>
      </c>
      <c r="Q372" s="5">
        <f>IF(BD_Carga!K373&lt;&gt;"",BD_Carga!K373,0)</f>
        <v/>
      </c>
      <c r="R372" s="5">
        <f>IF(BD_Carga!L373&lt;&gt;"",BD_Carga!L373,0)</f>
        <v/>
      </c>
      <c r="S372">
        <f>IF(BD_Carga!N373&lt;&gt;"",BD_Carga!N373,0)</f>
        <v/>
      </c>
      <c r="T372">
        <f>IF(BD_Carga!O373&lt;&gt;"",BD_Carga!O373,0)</f>
        <v/>
      </c>
      <c r="U372">
        <f>IF(BD_Carga!P373&lt;&gt;"",BD_Carga!P373,0)</f>
        <v/>
      </c>
      <c r="V372">
        <f>IF(BD_Carga!U373&lt;&gt;"",BD_Carga!U373,0)</f>
        <v/>
      </c>
      <c r="W372">
        <f>IF(BD_Carga!T373&lt;&gt;"",BD_Carga!T373,0)</f>
        <v/>
      </c>
      <c r="X372">
        <f>IF(BD_Carga!W373&lt;&gt;"",BD_Carga!W373,0)</f>
        <v/>
      </c>
      <c r="Y372">
        <f>IF(BD_Carga!X373&lt;&gt;"",BD_Carga!X373,0)</f>
        <v/>
      </c>
      <c r="Z372">
        <f>IF(BD_Carga!Y373&lt;&gt;"",BD_Carga!Y373,0)</f>
        <v/>
      </c>
      <c r="AA372">
        <f>IF(BD_Carga!Z373&lt;&gt;"",BD_Carga!Z373,0)</f>
        <v/>
      </c>
      <c r="AB372">
        <f>IF(BD_Carga!AA373&lt;&gt;"",BD_Carga!AA373,0)</f>
        <v/>
      </c>
      <c r="AC372" s="6">
        <f t="array" ref="AC372">IFERROR((L372-AVERAGEIF($G$2:$G$462,G372,$L$2:$L$462))/_xlfn.STDEV.P(IF($G$2:$G$462=G372,$L$2:$L$462)),0)</f>
        <v/>
      </c>
      <c r="AD372" s="6">
        <f t="array" ref="AD372">IFERROR((M372-AVERAGEIF($G$2:$G$462,G372,$M$2:$M$462))/_xlfn.STDEV.P(IF($G$2:$G$462=G372,$M$2:$M$462)),0)</f>
        <v/>
      </c>
      <c r="AE372" s="6">
        <f t="array" ref="AE372">IFERROR((N372-AVERAGEIF($G$2:$G$462,G372,$N$2:$N$462))/_xlfn.STDEV.P(IF($G$2:$G$462=G372,$N$2:$N$462)),0)</f>
        <v/>
      </c>
      <c r="AF372" s="6">
        <f t="array" ref="AF372">IFERROR((O372-AVERAGEIF($G$2:$G$462,G372,$O$2:$O$462))/_xlfn.STDEV.P(IF($G$2:$G$462=G372,$O$2:$O$462)),0)</f>
        <v/>
      </c>
      <c r="AG372" s="6">
        <f t="array" ref="AG372">IFERROR((P372-AVERAGEIF($G$2:$G$462,G372,$P$2:$P$462))/_xlfn.STDEV.P(IF($G$2:$G$462=G372,$P$2:$P$462)),0)</f>
        <v/>
      </c>
      <c r="AH372" s="6">
        <f t="array" ref="AH372">IFERROR((R372-AVERAGEIF($G$2:$G$462,G372,$R$2:$R$462))/_xlfn.STDEV.P(IF($G$2:$G$462=G372,$R$2:$R$462)),0)</f>
        <v/>
      </c>
      <c r="AI372" s="6">
        <f>IFERROR((AC372+AD372+AE372+AF372+AG372+AH372)/6,0)</f>
        <v/>
      </c>
    </row>
    <row r="373">
      <c r="A373" s="2">
        <f>IF(BD_Carga!A374&lt;&gt;"",BD_Carga!A374,"")</f>
        <v/>
      </c>
      <c r="B373">
        <f>IF(A373&lt;&gt;"",YEAR(A373),"")</f>
        <v/>
      </c>
      <c r="C373">
        <f>IF(A373&lt;&gt;"",MONTH(A373),"")</f>
        <v/>
      </c>
      <c r="D373">
        <f>IF(A373&lt;&gt;"",_xlfn.ISOWEEKNUM(A373),"")</f>
        <v/>
      </c>
      <c r="E373">
        <f>IF(A373&lt;&gt;"",TEXT(A373,"dddd"),"")</f>
        <v/>
      </c>
      <c r="F373">
        <f>IF(BD_Carga!C374&lt;&gt;"",BD_Carga!C374,"")</f>
        <v/>
      </c>
      <c r="G373">
        <f>IF(BD_Carga!D374&lt;&gt;"",BD_Carga!D374,"")</f>
        <v/>
      </c>
      <c r="H373">
        <f>IF(BD_Carga!Q374&lt;&gt;"",BD_Carga!Q374,"")</f>
        <v/>
      </c>
      <c r="I373">
        <f>IF(BD_Carga!R374&lt;&gt;"",BD_Carga!R374,"")</f>
        <v/>
      </c>
      <c r="J373">
        <f>IF(BD_Carga!S374&lt;&gt;"",BD_Carga!S374,"")</f>
        <v/>
      </c>
      <c r="K373" s="4">
        <f>IF(BD_Carga!E374&lt;&gt;"",BD_Carga!E374,0)</f>
        <v/>
      </c>
      <c r="L373" s="4">
        <f>IF(BD_Carga!F374&lt;&gt;"",BD_Carga!F374,0)</f>
        <v/>
      </c>
      <c r="M373" s="4">
        <f>IF(BD_Carga!G374&lt;&gt;"",BD_Carga!G374,0)</f>
        <v/>
      </c>
      <c r="N373" s="4">
        <f>IF(BD_Carga!H374&lt;&gt;"",BD_Carga!H374,0)</f>
        <v/>
      </c>
      <c r="O373" s="4">
        <f>IF(BD_Carga!I374&lt;&gt;"",BD_Carga!I374,0)</f>
        <v/>
      </c>
      <c r="P373" s="4">
        <f>IF(BD_Carga!J374&lt;&gt;"",BD_Carga!J374,0)</f>
        <v/>
      </c>
      <c r="Q373" s="5">
        <f>IF(BD_Carga!K374&lt;&gt;"",BD_Carga!K374,0)</f>
        <v/>
      </c>
      <c r="R373" s="5">
        <f>IF(BD_Carga!L374&lt;&gt;"",BD_Carga!L374,0)</f>
        <v/>
      </c>
      <c r="S373">
        <f>IF(BD_Carga!N374&lt;&gt;"",BD_Carga!N374,0)</f>
        <v/>
      </c>
      <c r="T373">
        <f>IF(BD_Carga!O374&lt;&gt;"",BD_Carga!O374,0)</f>
        <v/>
      </c>
      <c r="U373">
        <f>IF(BD_Carga!P374&lt;&gt;"",BD_Carga!P374,0)</f>
        <v/>
      </c>
      <c r="V373">
        <f>IF(BD_Carga!U374&lt;&gt;"",BD_Carga!U374,0)</f>
        <v/>
      </c>
      <c r="W373">
        <f>IF(BD_Carga!T374&lt;&gt;"",BD_Carga!T374,0)</f>
        <v/>
      </c>
      <c r="X373">
        <f>IF(BD_Carga!W374&lt;&gt;"",BD_Carga!W374,0)</f>
        <v/>
      </c>
      <c r="Y373">
        <f>IF(BD_Carga!X374&lt;&gt;"",BD_Carga!X374,0)</f>
        <v/>
      </c>
      <c r="Z373">
        <f>IF(BD_Carga!Y374&lt;&gt;"",BD_Carga!Y374,0)</f>
        <v/>
      </c>
      <c r="AA373">
        <f>IF(BD_Carga!Z374&lt;&gt;"",BD_Carga!Z374,0)</f>
        <v/>
      </c>
      <c r="AB373">
        <f>IF(BD_Carga!AA374&lt;&gt;"",BD_Carga!AA374,0)</f>
        <v/>
      </c>
      <c r="AC373" s="6">
        <f t="array" ref="AC373">IFERROR((L373-AVERAGEIF($G$2:$G$462,G373,$L$2:$L$462))/_xlfn.STDEV.P(IF($G$2:$G$462=G373,$L$2:$L$462)),0)</f>
        <v/>
      </c>
      <c r="AD373" s="6">
        <f t="array" ref="AD373">IFERROR((M373-AVERAGEIF($G$2:$G$462,G373,$M$2:$M$462))/_xlfn.STDEV.P(IF($G$2:$G$462=G373,$M$2:$M$462)),0)</f>
        <v/>
      </c>
      <c r="AE373" s="6">
        <f t="array" ref="AE373">IFERROR((N373-AVERAGEIF($G$2:$G$462,G373,$N$2:$N$462))/_xlfn.STDEV.P(IF($G$2:$G$462=G373,$N$2:$N$462)),0)</f>
        <v/>
      </c>
      <c r="AF373" s="6">
        <f t="array" ref="AF373">IFERROR((O373-AVERAGEIF($G$2:$G$462,G373,$O$2:$O$462))/_xlfn.STDEV.P(IF($G$2:$G$462=G373,$O$2:$O$462)),0)</f>
        <v/>
      </c>
      <c r="AG373" s="6">
        <f t="array" ref="AG373">IFERROR((P373-AVERAGEIF($G$2:$G$462,G373,$P$2:$P$462))/_xlfn.STDEV.P(IF($G$2:$G$462=G373,$P$2:$P$462)),0)</f>
        <v/>
      </c>
      <c r="AH373" s="6">
        <f t="array" ref="AH373">IFERROR((R373-AVERAGEIF($G$2:$G$462,G373,$R$2:$R$462))/_xlfn.STDEV.P(IF($G$2:$G$462=G373,$R$2:$R$462)),0)</f>
        <v/>
      </c>
      <c r="AI373" s="6">
        <f>IFERROR((AC373+AD373+AE373+AF373+AG373+AH373)/6,0)</f>
        <v/>
      </c>
    </row>
    <row r="374">
      <c r="A374" s="2">
        <f>IF(BD_Carga!A375&lt;&gt;"",BD_Carga!A375,"")</f>
        <v/>
      </c>
      <c r="B374">
        <f>IF(A374&lt;&gt;"",YEAR(A374),"")</f>
        <v/>
      </c>
      <c r="C374">
        <f>IF(A374&lt;&gt;"",MONTH(A374),"")</f>
        <v/>
      </c>
      <c r="D374">
        <f>IF(A374&lt;&gt;"",_xlfn.ISOWEEKNUM(A374),"")</f>
        <v/>
      </c>
      <c r="E374">
        <f>IF(A374&lt;&gt;"",TEXT(A374,"dddd"),"")</f>
        <v/>
      </c>
      <c r="F374">
        <f>IF(BD_Carga!C375&lt;&gt;"",BD_Carga!C375,"")</f>
        <v/>
      </c>
      <c r="G374">
        <f>IF(BD_Carga!D375&lt;&gt;"",BD_Carga!D375,"")</f>
        <v/>
      </c>
      <c r="H374">
        <f>IF(BD_Carga!Q375&lt;&gt;"",BD_Carga!Q375,"")</f>
        <v/>
      </c>
      <c r="I374">
        <f>IF(BD_Carga!R375&lt;&gt;"",BD_Carga!R375,"")</f>
        <v/>
      </c>
      <c r="J374">
        <f>IF(BD_Carga!S375&lt;&gt;"",BD_Carga!S375,"")</f>
        <v/>
      </c>
      <c r="K374" s="4">
        <f>IF(BD_Carga!E375&lt;&gt;"",BD_Carga!E375,0)</f>
        <v/>
      </c>
      <c r="L374" s="4">
        <f>IF(BD_Carga!F375&lt;&gt;"",BD_Carga!F375,0)</f>
        <v/>
      </c>
      <c r="M374" s="4">
        <f>IF(BD_Carga!G375&lt;&gt;"",BD_Carga!G375,0)</f>
        <v/>
      </c>
      <c r="N374" s="4">
        <f>IF(BD_Carga!H375&lt;&gt;"",BD_Carga!H375,0)</f>
        <v/>
      </c>
      <c r="O374" s="4">
        <f>IF(BD_Carga!I375&lt;&gt;"",BD_Carga!I375,0)</f>
        <v/>
      </c>
      <c r="P374" s="4">
        <f>IF(BD_Carga!J375&lt;&gt;"",BD_Carga!J375,0)</f>
        <v/>
      </c>
      <c r="Q374" s="5">
        <f>IF(BD_Carga!K375&lt;&gt;"",BD_Carga!K375,0)</f>
        <v/>
      </c>
      <c r="R374" s="5">
        <f>IF(BD_Carga!L375&lt;&gt;"",BD_Carga!L375,0)</f>
        <v/>
      </c>
      <c r="S374">
        <f>IF(BD_Carga!N375&lt;&gt;"",BD_Carga!N375,0)</f>
        <v/>
      </c>
      <c r="T374">
        <f>IF(BD_Carga!O375&lt;&gt;"",BD_Carga!O375,0)</f>
        <v/>
      </c>
      <c r="U374">
        <f>IF(BD_Carga!P375&lt;&gt;"",BD_Carga!P375,0)</f>
        <v/>
      </c>
      <c r="V374">
        <f>IF(BD_Carga!U375&lt;&gt;"",BD_Carga!U375,0)</f>
        <v/>
      </c>
      <c r="W374">
        <f>IF(BD_Carga!T375&lt;&gt;"",BD_Carga!T375,0)</f>
        <v/>
      </c>
      <c r="X374">
        <f>IF(BD_Carga!W375&lt;&gt;"",BD_Carga!W375,0)</f>
        <v/>
      </c>
      <c r="Y374">
        <f>IF(BD_Carga!X375&lt;&gt;"",BD_Carga!X375,0)</f>
        <v/>
      </c>
      <c r="Z374">
        <f>IF(BD_Carga!Y375&lt;&gt;"",BD_Carga!Y375,0)</f>
        <v/>
      </c>
      <c r="AA374">
        <f>IF(BD_Carga!Z375&lt;&gt;"",BD_Carga!Z375,0)</f>
        <v/>
      </c>
      <c r="AB374">
        <f>IF(BD_Carga!AA375&lt;&gt;"",BD_Carga!AA375,0)</f>
        <v/>
      </c>
      <c r="AC374" s="6">
        <f t="array" ref="AC374">IFERROR((L374-AVERAGEIF($G$2:$G$462,G374,$L$2:$L$462))/_xlfn.STDEV.P(IF($G$2:$G$462=G374,$L$2:$L$462)),0)</f>
        <v/>
      </c>
      <c r="AD374" s="6">
        <f t="array" ref="AD374">IFERROR((M374-AVERAGEIF($G$2:$G$462,G374,$M$2:$M$462))/_xlfn.STDEV.P(IF($G$2:$G$462=G374,$M$2:$M$462)),0)</f>
        <v/>
      </c>
      <c r="AE374" s="6">
        <f t="array" ref="AE374">IFERROR((N374-AVERAGEIF($G$2:$G$462,G374,$N$2:$N$462))/_xlfn.STDEV.P(IF($G$2:$G$462=G374,$N$2:$N$462)),0)</f>
        <v/>
      </c>
      <c r="AF374" s="6">
        <f t="array" ref="AF374">IFERROR((O374-AVERAGEIF($G$2:$G$462,G374,$O$2:$O$462))/_xlfn.STDEV.P(IF($G$2:$G$462=G374,$O$2:$O$462)),0)</f>
        <v/>
      </c>
      <c r="AG374" s="6">
        <f t="array" ref="AG374">IFERROR((P374-AVERAGEIF($G$2:$G$462,G374,$P$2:$P$462))/_xlfn.STDEV.P(IF($G$2:$G$462=G374,$P$2:$P$462)),0)</f>
        <v/>
      </c>
      <c r="AH374" s="6">
        <f t="array" ref="AH374">IFERROR((R374-AVERAGEIF($G$2:$G$462,G374,$R$2:$R$462))/_xlfn.STDEV.P(IF($G$2:$G$462=G374,$R$2:$R$462)),0)</f>
        <v/>
      </c>
      <c r="AI374" s="6">
        <f>IFERROR((AC374+AD374+AE374+AF374+AG374+AH374)/6,0)</f>
        <v/>
      </c>
    </row>
    <row r="375">
      <c r="A375" s="2">
        <f>IF(BD_Carga!A376&lt;&gt;"",BD_Carga!A376,"")</f>
        <v/>
      </c>
      <c r="B375">
        <f>IF(A375&lt;&gt;"",YEAR(A375),"")</f>
        <v/>
      </c>
      <c r="C375">
        <f>IF(A375&lt;&gt;"",MONTH(A375),"")</f>
        <v/>
      </c>
      <c r="D375">
        <f>IF(A375&lt;&gt;"",_xlfn.ISOWEEKNUM(A375),"")</f>
        <v/>
      </c>
      <c r="E375">
        <f>IF(A375&lt;&gt;"",TEXT(A375,"dddd"),"")</f>
        <v/>
      </c>
      <c r="F375">
        <f>IF(BD_Carga!C376&lt;&gt;"",BD_Carga!C376,"")</f>
        <v/>
      </c>
      <c r="G375">
        <f>IF(BD_Carga!D376&lt;&gt;"",BD_Carga!D376,"")</f>
        <v/>
      </c>
      <c r="H375">
        <f>IF(BD_Carga!Q376&lt;&gt;"",BD_Carga!Q376,"")</f>
        <v/>
      </c>
      <c r="I375">
        <f>IF(BD_Carga!R376&lt;&gt;"",BD_Carga!R376,"")</f>
        <v/>
      </c>
      <c r="J375">
        <f>IF(BD_Carga!S376&lt;&gt;"",BD_Carga!S376,"")</f>
        <v/>
      </c>
      <c r="K375" s="4">
        <f>IF(BD_Carga!E376&lt;&gt;"",BD_Carga!E376,0)</f>
        <v/>
      </c>
      <c r="L375" s="4">
        <f>IF(BD_Carga!F376&lt;&gt;"",BD_Carga!F376,0)</f>
        <v/>
      </c>
      <c r="M375" s="4">
        <f>IF(BD_Carga!G376&lt;&gt;"",BD_Carga!G376,0)</f>
        <v/>
      </c>
      <c r="N375" s="4">
        <f>IF(BD_Carga!H376&lt;&gt;"",BD_Carga!H376,0)</f>
        <v/>
      </c>
      <c r="O375" s="4">
        <f>IF(BD_Carga!I376&lt;&gt;"",BD_Carga!I376,0)</f>
        <v/>
      </c>
      <c r="P375" s="4">
        <f>IF(BD_Carga!J376&lt;&gt;"",BD_Carga!J376,0)</f>
        <v/>
      </c>
      <c r="Q375" s="5">
        <f>IF(BD_Carga!K376&lt;&gt;"",BD_Carga!K376,0)</f>
        <v/>
      </c>
      <c r="R375" s="5">
        <f>IF(BD_Carga!L376&lt;&gt;"",BD_Carga!L376,0)</f>
        <v/>
      </c>
      <c r="S375">
        <f>IF(BD_Carga!N376&lt;&gt;"",BD_Carga!N376,0)</f>
        <v/>
      </c>
      <c r="T375">
        <f>IF(BD_Carga!O376&lt;&gt;"",BD_Carga!O376,0)</f>
        <v/>
      </c>
      <c r="U375">
        <f>IF(BD_Carga!P376&lt;&gt;"",BD_Carga!P376,0)</f>
        <v/>
      </c>
      <c r="V375">
        <f>IF(BD_Carga!U376&lt;&gt;"",BD_Carga!U376,0)</f>
        <v/>
      </c>
      <c r="W375">
        <f>IF(BD_Carga!T376&lt;&gt;"",BD_Carga!T376,0)</f>
        <v/>
      </c>
      <c r="X375">
        <f>IF(BD_Carga!W376&lt;&gt;"",BD_Carga!W376,0)</f>
        <v/>
      </c>
      <c r="Y375">
        <f>IF(BD_Carga!X376&lt;&gt;"",BD_Carga!X376,0)</f>
        <v/>
      </c>
      <c r="Z375">
        <f>IF(BD_Carga!Y376&lt;&gt;"",BD_Carga!Y376,0)</f>
        <v/>
      </c>
      <c r="AA375">
        <f>IF(BD_Carga!Z376&lt;&gt;"",BD_Carga!Z376,0)</f>
        <v/>
      </c>
      <c r="AB375">
        <f>IF(BD_Carga!AA376&lt;&gt;"",BD_Carga!AA376,0)</f>
        <v/>
      </c>
      <c r="AC375" s="6">
        <f t="array" ref="AC375">IFERROR((L375-AVERAGEIF($G$2:$G$462,G375,$L$2:$L$462))/_xlfn.STDEV.P(IF($G$2:$G$462=G375,$L$2:$L$462)),0)</f>
        <v/>
      </c>
      <c r="AD375" s="6">
        <f t="array" ref="AD375">IFERROR((M375-AVERAGEIF($G$2:$G$462,G375,$M$2:$M$462))/_xlfn.STDEV.P(IF($G$2:$G$462=G375,$M$2:$M$462)),0)</f>
        <v/>
      </c>
      <c r="AE375" s="6">
        <f t="array" ref="AE375">IFERROR((N375-AVERAGEIF($G$2:$G$462,G375,$N$2:$N$462))/_xlfn.STDEV.P(IF($G$2:$G$462=G375,$N$2:$N$462)),0)</f>
        <v/>
      </c>
      <c r="AF375" s="6">
        <f t="array" ref="AF375">IFERROR((O375-AVERAGEIF($G$2:$G$462,G375,$O$2:$O$462))/_xlfn.STDEV.P(IF($G$2:$G$462=G375,$O$2:$O$462)),0)</f>
        <v/>
      </c>
      <c r="AG375" s="6">
        <f t="array" ref="AG375">IFERROR((P375-AVERAGEIF($G$2:$G$462,G375,$P$2:$P$462))/_xlfn.STDEV.P(IF($G$2:$G$462=G375,$P$2:$P$462)),0)</f>
        <v/>
      </c>
      <c r="AH375" s="6">
        <f t="array" ref="AH375">IFERROR((R375-AVERAGEIF($G$2:$G$462,G375,$R$2:$R$462))/_xlfn.STDEV.P(IF($G$2:$G$462=G375,$R$2:$R$462)),0)</f>
        <v/>
      </c>
      <c r="AI375" s="6">
        <f>IFERROR((AC375+AD375+AE375+AF375+AG375+AH375)/6,0)</f>
        <v/>
      </c>
    </row>
    <row r="376">
      <c r="A376" s="2">
        <f>IF(BD_Carga!A377&lt;&gt;"",BD_Carga!A377,"")</f>
        <v/>
      </c>
      <c r="B376">
        <f>IF(A376&lt;&gt;"",YEAR(A376),"")</f>
        <v/>
      </c>
      <c r="C376">
        <f>IF(A376&lt;&gt;"",MONTH(A376),"")</f>
        <v/>
      </c>
      <c r="D376">
        <f>IF(A376&lt;&gt;"",_xlfn.ISOWEEKNUM(A376),"")</f>
        <v/>
      </c>
      <c r="E376">
        <f>IF(A376&lt;&gt;"",TEXT(A376,"dddd"),"")</f>
        <v/>
      </c>
      <c r="F376">
        <f>IF(BD_Carga!C377&lt;&gt;"",BD_Carga!C377,"")</f>
        <v/>
      </c>
      <c r="G376">
        <f>IF(BD_Carga!D377&lt;&gt;"",BD_Carga!D377,"")</f>
        <v/>
      </c>
      <c r="H376">
        <f>IF(BD_Carga!Q377&lt;&gt;"",BD_Carga!Q377,"")</f>
        <v/>
      </c>
      <c r="I376">
        <f>IF(BD_Carga!R377&lt;&gt;"",BD_Carga!R377,"")</f>
        <v/>
      </c>
      <c r="J376">
        <f>IF(BD_Carga!S377&lt;&gt;"",BD_Carga!S377,"")</f>
        <v/>
      </c>
      <c r="K376" s="4">
        <f>IF(BD_Carga!E377&lt;&gt;"",BD_Carga!E377,0)</f>
        <v/>
      </c>
      <c r="L376" s="4">
        <f>IF(BD_Carga!F377&lt;&gt;"",BD_Carga!F377,0)</f>
        <v/>
      </c>
      <c r="M376" s="4">
        <f>IF(BD_Carga!G377&lt;&gt;"",BD_Carga!G377,0)</f>
        <v/>
      </c>
      <c r="N376" s="4">
        <f>IF(BD_Carga!H377&lt;&gt;"",BD_Carga!H377,0)</f>
        <v/>
      </c>
      <c r="O376" s="4">
        <f>IF(BD_Carga!I377&lt;&gt;"",BD_Carga!I377,0)</f>
        <v/>
      </c>
      <c r="P376" s="4">
        <f>IF(BD_Carga!J377&lt;&gt;"",BD_Carga!J377,0)</f>
        <v/>
      </c>
      <c r="Q376" s="5">
        <f>IF(BD_Carga!K377&lt;&gt;"",BD_Carga!K377,0)</f>
        <v/>
      </c>
      <c r="R376" s="5">
        <f>IF(BD_Carga!L377&lt;&gt;"",BD_Carga!L377,0)</f>
        <v/>
      </c>
      <c r="S376">
        <f>IF(BD_Carga!N377&lt;&gt;"",BD_Carga!N377,0)</f>
        <v/>
      </c>
      <c r="T376">
        <f>IF(BD_Carga!O377&lt;&gt;"",BD_Carga!O377,0)</f>
        <v/>
      </c>
      <c r="U376">
        <f>IF(BD_Carga!P377&lt;&gt;"",BD_Carga!P377,0)</f>
        <v/>
      </c>
      <c r="V376">
        <f>IF(BD_Carga!U377&lt;&gt;"",BD_Carga!U377,0)</f>
        <v/>
      </c>
      <c r="W376">
        <f>IF(BD_Carga!T377&lt;&gt;"",BD_Carga!T377,0)</f>
        <v/>
      </c>
      <c r="X376">
        <f>IF(BD_Carga!W377&lt;&gt;"",BD_Carga!W377,0)</f>
        <v/>
      </c>
      <c r="Y376">
        <f>IF(BD_Carga!X377&lt;&gt;"",BD_Carga!X377,0)</f>
        <v/>
      </c>
      <c r="Z376">
        <f>IF(BD_Carga!Y377&lt;&gt;"",BD_Carga!Y377,0)</f>
        <v/>
      </c>
      <c r="AA376">
        <f>IF(BD_Carga!Z377&lt;&gt;"",BD_Carga!Z377,0)</f>
        <v/>
      </c>
      <c r="AB376">
        <f>IF(BD_Carga!AA377&lt;&gt;"",BD_Carga!AA377,0)</f>
        <v/>
      </c>
      <c r="AC376" s="6">
        <f t="array" ref="AC376">IFERROR((L376-AVERAGEIF($G$2:$G$462,G376,$L$2:$L$462))/_xlfn.STDEV.P(IF($G$2:$G$462=G376,$L$2:$L$462)),0)</f>
        <v/>
      </c>
      <c r="AD376" s="6">
        <f t="array" ref="AD376">IFERROR((M376-AVERAGEIF($G$2:$G$462,G376,$M$2:$M$462))/_xlfn.STDEV.P(IF($G$2:$G$462=G376,$M$2:$M$462)),0)</f>
        <v/>
      </c>
      <c r="AE376" s="6">
        <f t="array" ref="AE376">IFERROR((N376-AVERAGEIF($G$2:$G$462,G376,$N$2:$N$462))/_xlfn.STDEV.P(IF($G$2:$G$462=G376,$N$2:$N$462)),0)</f>
        <v/>
      </c>
      <c r="AF376" s="6">
        <f t="array" ref="AF376">IFERROR((O376-AVERAGEIF($G$2:$G$462,G376,$O$2:$O$462))/_xlfn.STDEV.P(IF($G$2:$G$462=G376,$O$2:$O$462)),0)</f>
        <v/>
      </c>
      <c r="AG376" s="6">
        <f t="array" ref="AG376">IFERROR((P376-AVERAGEIF($G$2:$G$462,G376,$P$2:$P$462))/_xlfn.STDEV.P(IF($G$2:$G$462=G376,$P$2:$P$462)),0)</f>
        <v/>
      </c>
      <c r="AH376" s="6">
        <f t="array" ref="AH376">IFERROR((R376-AVERAGEIF($G$2:$G$462,G376,$R$2:$R$462))/_xlfn.STDEV.P(IF($G$2:$G$462=G376,$R$2:$R$462)),0)</f>
        <v/>
      </c>
      <c r="AI376" s="6">
        <f>IFERROR((AC376+AD376+AE376+AF376+AG376+AH376)/6,0)</f>
        <v/>
      </c>
    </row>
    <row r="377">
      <c r="A377" s="2">
        <f>IF(BD_Carga!A378&lt;&gt;"",BD_Carga!A378,"")</f>
        <v/>
      </c>
      <c r="B377">
        <f>IF(A377&lt;&gt;"",YEAR(A377),"")</f>
        <v/>
      </c>
      <c r="C377">
        <f>IF(A377&lt;&gt;"",MONTH(A377),"")</f>
        <v/>
      </c>
      <c r="D377">
        <f>IF(A377&lt;&gt;"",_xlfn.ISOWEEKNUM(A377),"")</f>
        <v/>
      </c>
      <c r="E377">
        <f>IF(A377&lt;&gt;"",TEXT(A377,"dddd"),"")</f>
        <v/>
      </c>
      <c r="F377">
        <f>IF(BD_Carga!C378&lt;&gt;"",BD_Carga!C378,"")</f>
        <v/>
      </c>
      <c r="G377">
        <f>IF(BD_Carga!D378&lt;&gt;"",BD_Carga!D378,"")</f>
        <v/>
      </c>
      <c r="H377">
        <f>IF(BD_Carga!Q378&lt;&gt;"",BD_Carga!Q378,"")</f>
        <v/>
      </c>
      <c r="I377">
        <f>IF(BD_Carga!R378&lt;&gt;"",BD_Carga!R378,"")</f>
        <v/>
      </c>
      <c r="J377">
        <f>IF(BD_Carga!S378&lt;&gt;"",BD_Carga!S378,"")</f>
        <v/>
      </c>
      <c r="K377" s="4">
        <f>IF(BD_Carga!E378&lt;&gt;"",BD_Carga!E378,0)</f>
        <v/>
      </c>
      <c r="L377" s="4">
        <f>IF(BD_Carga!F378&lt;&gt;"",BD_Carga!F378,0)</f>
        <v/>
      </c>
      <c r="M377" s="4">
        <f>IF(BD_Carga!G378&lt;&gt;"",BD_Carga!G378,0)</f>
        <v/>
      </c>
      <c r="N377" s="4">
        <f>IF(BD_Carga!H378&lt;&gt;"",BD_Carga!H378,0)</f>
        <v/>
      </c>
      <c r="O377" s="4">
        <f>IF(BD_Carga!I378&lt;&gt;"",BD_Carga!I378,0)</f>
        <v/>
      </c>
      <c r="P377" s="4">
        <f>IF(BD_Carga!J378&lt;&gt;"",BD_Carga!J378,0)</f>
        <v/>
      </c>
      <c r="Q377" s="5">
        <f>IF(BD_Carga!K378&lt;&gt;"",BD_Carga!K378,0)</f>
        <v/>
      </c>
      <c r="R377" s="5">
        <f>IF(BD_Carga!L378&lt;&gt;"",BD_Carga!L378,0)</f>
        <v/>
      </c>
      <c r="S377">
        <f>IF(BD_Carga!N378&lt;&gt;"",BD_Carga!N378,0)</f>
        <v/>
      </c>
      <c r="T377">
        <f>IF(BD_Carga!O378&lt;&gt;"",BD_Carga!O378,0)</f>
        <v/>
      </c>
      <c r="U377">
        <f>IF(BD_Carga!P378&lt;&gt;"",BD_Carga!P378,0)</f>
        <v/>
      </c>
      <c r="V377">
        <f>IF(BD_Carga!U378&lt;&gt;"",BD_Carga!U378,0)</f>
        <v/>
      </c>
      <c r="W377">
        <f>IF(BD_Carga!T378&lt;&gt;"",BD_Carga!T378,0)</f>
        <v/>
      </c>
      <c r="X377">
        <f>IF(BD_Carga!W378&lt;&gt;"",BD_Carga!W378,0)</f>
        <v/>
      </c>
      <c r="Y377">
        <f>IF(BD_Carga!X378&lt;&gt;"",BD_Carga!X378,0)</f>
        <v/>
      </c>
      <c r="Z377">
        <f>IF(BD_Carga!Y378&lt;&gt;"",BD_Carga!Y378,0)</f>
        <v/>
      </c>
      <c r="AA377">
        <f>IF(BD_Carga!Z378&lt;&gt;"",BD_Carga!Z378,0)</f>
        <v/>
      </c>
      <c r="AB377">
        <f>IF(BD_Carga!AA378&lt;&gt;"",BD_Carga!AA378,0)</f>
        <v/>
      </c>
      <c r="AC377" s="6">
        <f t="array" ref="AC377">IFERROR((L377-AVERAGEIF($G$2:$G$462,G377,$L$2:$L$462))/_xlfn.STDEV.P(IF($G$2:$G$462=G377,$L$2:$L$462)),0)</f>
        <v/>
      </c>
      <c r="AD377" s="6">
        <f t="array" ref="AD377">IFERROR((M377-AVERAGEIF($G$2:$G$462,G377,$M$2:$M$462))/_xlfn.STDEV.P(IF($G$2:$G$462=G377,$M$2:$M$462)),0)</f>
        <v/>
      </c>
      <c r="AE377" s="6">
        <f t="array" ref="AE377">IFERROR((N377-AVERAGEIF($G$2:$G$462,G377,$N$2:$N$462))/_xlfn.STDEV.P(IF($G$2:$G$462=G377,$N$2:$N$462)),0)</f>
        <v/>
      </c>
      <c r="AF377" s="6">
        <f t="array" ref="AF377">IFERROR((O377-AVERAGEIF($G$2:$G$462,G377,$O$2:$O$462))/_xlfn.STDEV.P(IF($G$2:$G$462=G377,$O$2:$O$462)),0)</f>
        <v/>
      </c>
      <c r="AG377" s="6">
        <f t="array" ref="AG377">IFERROR((P377-AVERAGEIF($G$2:$G$462,G377,$P$2:$P$462))/_xlfn.STDEV.P(IF($G$2:$G$462=G377,$P$2:$P$462)),0)</f>
        <v/>
      </c>
      <c r="AH377" s="6">
        <f t="array" ref="AH377">IFERROR((R377-AVERAGEIF($G$2:$G$462,G377,$R$2:$R$462))/_xlfn.STDEV.P(IF($G$2:$G$462=G377,$R$2:$R$462)),0)</f>
        <v/>
      </c>
      <c r="AI377" s="6">
        <f>IFERROR((AC377+AD377+AE377+AF377+AG377+AH377)/6,0)</f>
        <v/>
      </c>
    </row>
    <row r="378">
      <c r="A378" s="2">
        <f>IF(BD_Carga!A379&lt;&gt;"",BD_Carga!A379,"")</f>
        <v/>
      </c>
      <c r="B378">
        <f>IF(A378&lt;&gt;"",YEAR(A378),"")</f>
        <v/>
      </c>
      <c r="C378">
        <f>IF(A378&lt;&gt;"",MONTH(A378),"")</f>
        <v/>
      </c>
      <c r="D378">
        <f>IF(A378&lt;&gt;"",_xlfn.ISOWEEKNUM(A378),"")</f>
        <v/>
      </c>
      <c r="E378">
        <f>IF(A378&lt;&gt;"",TEXT(A378,"dddd"),"")</f>
        <v/>
      </c>
      <c r="F378">
        <f>IF(BD_Carga!C379&lt;&gt;"",BD_Carga!C379,"")</f>
        <v/>
      </c>
      <c r="G378">
        <f>IF(BD_Carga!D379&lt;&gt;"",BD_Carga!D379,"")</f>
        <v/>
      </c>
      <c r="H378">
        <f>IF(BD_Carga!Q379&lt;&gt;"",BD_Carga!Q379,"")</f>
        <v/>
      </c>
      <c r="I378">
        <f>IF(BD_Carga!R379&lt;&gt;"",BD_Carga!R379,"")</f>
        <v/>
      </c>
      <c r="J378">
        <f>IF(BD_Carga!S379&lt;&gt;"",BD_Carga!S379,"")</f>
        <v/>
      </c>
      <c r="K378" s="4">
        <f>IF(BD_Carga!E379&lt;&gt;"",BD_Carga!E379,0)</f>
        <v/>
      </c>
      <c r="L378" s="4">
        <f>IF(BD_Carga!F379&lt;&gt;"",BD_Carga!F379,0)</f>
        <v/>
      </c>
      <c r="M378" s="4">
        <f>IF(BD_Carga!G379&lt;&gt;"",BD_Carga!G379,0)</f>
        <v/>
      </c>
      <c r="N378" s="4">
        <f>IF(BD_Carga!H379&lt;&gt;"",BD_Carga!H379,0)</f>
        <v/>
      </c>
      <c r="O378" s="4">
        <f>IF(BD_Carga!I379&lt;&gt;"",BD_Carga!I379,0)</f>
        <v/>
      </c>
      <c r="P378" s="4">
        <f>IF(BD_Carga!J379&lt;&gt;"",BD_Carga!J379,0)</f>
        <v/>
      </c>
      <c r="Q378" s="5">
        <f>IF(BD_Carga!K379&lt;&gt;"",BD_Carga!K379,0)</f>
        <v/>
      </c>
      <c r="R378" s="5">
        <f>IF(BD_Carga!L379&lt;&gt;"",BD_Carga!L379,0)</f>
        <v/>
      </c>
      <c r="S378">
        <f>IF(BD_Carga!N379&lt;&gt;"",BD_Carga!N379,0)</f>
        <v/>
      </c>
      <c r="T378">
        <f>IF(BD_Carga!O379&lt;&gt;"",BD_Carga!O379,0)</f>
        <v/>
      </c>
      <c r="U378">
        <f>IF(BD_Carga!P379&lt;&gt;"",BD_Carga!P379,0)</f>
        <v/>
      </c>
      <c r="V378">
        <f>IF(BD_Carga!U379&lt;&gt;"",BD_Carga!U379,0)</f>
        <v/>
      </c>
      <c r="W378">
        <f>IF(BD_Carga!T379&lt;&gt;"",BD_Carga!T379,0)</f>
        <v/>
      </c>
      <c r="X378">
        <f>IF(BD_Carga!W379&lt;&gt;"",BD_Carga!W379,0)</f>
        <v/>
      </c>
      <c r="Y378">
        <f>IF(BD_Carga!X379&lt;&gt;"",BD_Carga!X379,0)</f>
        <v/>
      </c>
      <c r="Z378">
        <f>IF(BD_Carga!Y379&lt;&gt;"",BD_Carga!Y379,0)</f>
        <v/>
      </c>
      <c r="AA378">
        <f>IF(BD_Carga!Z379&lt;&gt;"",BD_Carga!Z379,0)</f>
        <v/>
      </c>
      <c r="AB378">
        <f>IF(BD_Carga!AA379&lt;&gt;"",BD_Carga!AA379,0)</f>
        <v/>
      </c>
      <c r="AC378" s="6">
        <f t="array" ref="AC378">IFERROR((L378-AVERAGEIF($G$2:$G$462,G378,$L$2:$L$462))/_xlfn.STDEV.P(IF($G$2:$G$462=G378,$L$2:$L$462)),0)</f>
        <v/>
      </c>
      <c r="AD378" s="6">
        <f t="array" ref="AD378">IFERROR((M378-AVERAGEIF($G$2:$G$462,G378,$M$2:$M$462))/_xlfn.STDEV.P(IF($G$2:$G$462=G378,$M$2:$M$462)),0)</f>
        <v/>
      </c>
      <c r="AE378" s="6">
        <f t="array" ref="AE378">IFERROR((N378-AVERAGEIF($G$2:$G$462,G378,$N$2:$N$462))/_xlfn.STDEV.P(IF($G$2:$G$462=G378,$N$2:$N$462)),0)</f>
        <v/>
      </c>
      <c r="AF378" s="6">
        <f t="array" ref="AF378">IFERROR((O378-AVERAGEIF($G$2:$G$462,G378,$O$2:$O$462))/_xlfn.STDEV.P(IF($G$2:$G$462=G378,$O$2:$O$462)),0)</f>
        <v/>
      </c>
      <c r="AG378" s="6">
        <f t="array" ref="AG378">IFERROR((P378-AVERAGEIF($G$2:$G$462,G378,$P$2:$P$462))/_xlfn.STDEV.P(IF($G$2:$G$462=G378,$P$2:$P$462)),0)</f>
        <v/>
      </c>
      <c r="AH378" s="6">
        <f t="array" ref="AH378">IFERROR((R378-AVERAGEIF($G$2:$G$462,G378,$R$2:$R$462))/_xlfn.STDEV.P(IF($G$2:$G$462=G378,$R$2:$R$462)),0)</f>
        <v/>
      </c>
      <c r="AI378" s="6">
        <f>IFERROR((AC378+AD378+AE378+AF378+AG378+AH378)/6,0)</f>
        <v/>
      </c>
    </row>
    <row r="379">
      <c r="A379" s="2">
        <f>IF(BD_Carga!A380&lt;&gt;"",BD_Carga!A380,"")</f>
        <v/>
      </c>
      <c r="B379">
        <f>IF(A379&lt;&gt;"",YEAR(A379),"")</f>
        <v/>
      </c>
      <c r="C379">
        <f>IF(A379&lt;&gt;"",MONTH(A379),"")</f>
        <v/>
      </c>
      <c r="D379">
        <f>IF(A379&lt;&gt;"",_xlfn.ISOWEEKNUM(A379),"")</f>
        <v/>
      </c>
      <c r="E379">
        <f>IF(A379&lt;&gt;"",TEXT(A379,"dddd"),"")</f>
        <v/>
      </c>
      <c r="F379">
        <f>IF(BD_Carga!C380&lt;&gt;"",BD_Carga!C380,"")</f>
        <v/>
      </c>
      <c r="G379">
        <f>IF(BD_Carga!D380&lt;&gt;"",BD_Carga!D380,"")</f>
        <v/>
      </c>
      <c r="H379">
        <f>IF(BD_Carga!Q380&lt;&gt;"",BD_Carga!Q380,"")</f>
        <v/>
      </c>
      <c r="I379">
        <f>IF(BD_Carga!R380&lt;&gt;"",BD_Carga!R380,"")</f>
        <v/>
      </c>
      <c r="J379">
        <f>IF(BD_Carga!S380&lt;&gt;"",BD_Carga!S380,"")</f>
        <v/>
      </c>
      <c r="K379" s="4">
        <f>IF(BD_Carga!E380&lt;&gt;"",BD_Carga!E380,0)</f>
        <v/>
      </c>
      <c r="L379" s="4">
        <f>IF(BD_Carga!F380&lt;&gt;"",BD_Carga!F380,0)</f>
        <v/>
      </c>
      <c r="M379" s="4">
        <f>IF(BD_Carga!G380&lt;&gt;"",BD_Carga!G380,0)</f>
        <v/>
      </c>
      <c r="N379" s="4">
        <f>IF(BD_Carga!H380&lt;&gt;"",BD_Carga!H380,0)</f>
        <v/>
      </c>
      <c r="O379" s="4">
        <f>IF(BD_Carga!I380&lt;&gt;"",BD_Carga!I380,0)</f>
        <v/>
      </c>
      <c r="P379" s="4">
        <f>IF(BD_Carga!J380&lt;&gt;"",BD_Carga!J380,0)</f>
        <v/>
      </c>
      <c r="Q379" s="5">
        <f>IF(BD_Carga!K380&lt;&gt;"",BD_Carga!K380,0)</f>
        <v/>
      </c>
      <c r="R379" s="5">
        <f>IF(BD_Carga!L380&lt;&gt;"",BD_Carga!L380,0)</f>
        <v/>
      </c>
      <c r="S379">
        <f>IF(BD_Carga!N380&lt;&gt;"",BD_Carga!N380,0)</f>
        <v/>
      </c>
      <c r="T379">
        <f>IF(BD_Carga!O380&lt;&gt;"",BD_Carga!O380,0)</f>
        <v/>
      </c>
      <c r="U379">
        <f>IF(BD_Carga!P380&lt;&gt;"",BD_Carga!P380,0)</f>
        <v/>
      </c>
      <c r="V379">
        <f>IF(BD_Carga!U380&lt;&gt;"",BD_Carga!U380,0)</f>
        <v/>
      </c>
      <c r="W379">
        <f>IF(BD_Carga!T380&lt;&gt;"",BD_Carga!T380,0)</f>
        <v/>
      </c>
      <c r="X379">
        <f>IF(BD_Carga!W380&lt;&gt;"",BD_Carga!W380,0)</f>
        <v/>
      </c>
      <c r="Y379">
        <f>IF(BD_Carga!X380&lt;&gt;"",BD_Carga!X380,0)</f>
        <v/>
      </c>
      <c r="Z379">
        <f>IF(BD_Carga!Y380&lt;&gt;"",BD_Carga!Y380,0)</f>
        <v/>
      </c>
      <c r="AA379">
        <f>IF(BD_Carga!Z380&lt;&gt;"",BD_Carga!Z380,0)</f>
        <v/>
      </c>
      <c r="AB379">
        <f>IF(BD_Carga!AA380&lt;&gt;"",BD_Carga!AA380,0)</f>
        <v/>
      </c>
      <c r="AC379" s="6">
        <f t="array" ref="AC379">IFERROR((L379-AVERAGEIF($G$2:$G$462,G379,$L$2:$L$462))/_xlfn.STDEV.P(IF($G$2:$G$462=G379,$L$2:$L$462)),0)</f>
        <v/>
      </c>
      <c r="AD379" s="6">
        <f t="array" ref="AD379">IFERROR((M379-AVERAGEIF($G$2:$G$462,G379,$M$2:$M$462))/_xlfn.STDEV.P(IF($G$2:$G$462=G379,$M$2:$M$462)),0)</f>
        <v/>
      </c>
      <c r="AE379" s="6">
        <f t="array" ref="AE379">IFERROR((N379-AVERAGEIF($G$2:$G$462,G379,$N$2:$N$462))/_xlfn.STDEV.P(IF($G$2:$G$462=G379,$N$2:$N$462)),0)</f>
        <v/>
      </c>
      <c r="AF379" s="6">
        <f t="array" ref="AF379">IFERROR((O379-AVERAGEIF($G$2:$G$462,G379,$O$2:$O$462))/_xlfn.STDEV.P(IF($G$2:$G$462=G379,$O$2:$O$462)),0)</f>
        <v/>
      </c>
      <c r="AG379" s="6">
        <f t="array" ref="AG379">IFERROR((P379-AVERAGEIF($G$2:$G$462,G379,$P$2:$P$462))/_xlfn.STDEV.P(IF($G$2:$G$462=G379,$P$2:$P$462)),0)</f>
        <v/>
      </c>
      <c r="AH379" s="6">
        <f t="array" ref="AH379">IFERROR((R379-AVERAGEIF($G$2:$G$462,G379,$R$2:$R$462))/_xlfn.STDEV.P(IF($G$2:$G$462=G379,$R$2:$R$462)),0)</f>
        <v/>
      </c>
      <c r="AI379" s="6">
        <f>IFERROR((AC379+AD379+AE379+AF379+AG379+AH379)/6,0)</f>
        <v/>
      </c>
    </row>
    <row r="380">
      <c r="A380" s="2">
        <f>IF(BD_Carga!A381&lt;&gt;"",BD_Carga!A381,"")</f>
        <v/>
      </c>
      <c r="B380">
        <f>IF(A380&lt;&gt;"",YEAR(A380),"")</f>
        <v/>
      </c>
      <c r="C380">
        <f>IF(A380&lt;&gt;"",MONTH(A380),"")</f>
        <v/>
      </c>
      <c r="D380">
        <f>IF(A380&lt;&gt;"",_xlfn.ISOWEEKNUM(A380),"")</f>
        <v/>
      </c>
      <c r="E380">
        <f>IF(A380&lt;&gt;"",TEXT(A380,"dddd"),"")</f>
        <v/>
      </c>
      <c r="F380">
        <f>IF(BD_Carga!C381&lt;&gt;"",BD_Carga!C381,"")</f>
        <v/>
      </c>
      <c r="G380">
        <f>IF(BD_Carga!D381&lt;&gt;"",BD_Carga!D381,"")</f>
        <v/>
      </c>
      <c r="H380">
        <f>IF(BD_Carga!Q381&lt;&gt;"",BD_Carga!Q381,"")</f>
        <v/>
      </c>
      <c r="I380">
        <f>IF(BD_Carga!R381&lt;&gt;"",BD_Carga!R381,"")</f>
        <v/>
      </c>
      <c r="J380">
        <f>IF(BD_Carga!S381&lt;&gt;"",BD_Carga!S381,"")</f>
        <v/>
      </c>
      <c r="K380" s="4">
        <f>IF(BD_Carga!E381&lt;&gt;"",BD_Carga!E381,0)</f>
        <v/>
      </c>
      <c r="L380" s="4">
        <f>IF(BD_Carga!F381&lt;&gt;"",BD_Carga!F381,0)</f>
        <v/>
      </c>
      <c r="M380" s="4">
        <f>IF(BD_Carga!G381&lt;&gt;"",BD_Carga!G381,0)</f>
        <v/>
      </c>
      <c r="N380" s="4">
        <f>IF(BD_Carga!H381&lt;&gt;"",BD_Carga!H381,0)</f>
        <v/>
      </c>
      <c r="O380" s="4">
        <f>IF(BD_Carga!I381&lt;&gt;"",BD_Carga!I381,0)</f>
        <v/>
      </c>
      <c r="P380" s="4">
        <f>IF(BD_Carga!J381&lt;&gt;"",BD_Carga!J381,0)</f>
        <v/>
      </c>
      <c r="Q380" s="5">
        <f>IF(BD_Carga!K381&lt;&gt;"",BD_Carga!K381,0)</f>
        <v/>
      </c>
      <c r="R380" s="5">
        <f>IF(BD_Carga!L381&lt;&gt;"",BD_Carga!L381,0)</f>
        <v/>
      </c>
      <c r="S380">
        <f>IF(BD_Carga!N381&lt;&gt;"",BD_Carga!N381,0)</f>
        <v/>
      </c>
      <c r="T380">
        <f>IF(BD_Carga!O381&lt;&gt;"",BD_Carga!O381,0)</f>
        <v/>
      </c>
      <c r="U380">
        <f>IF(BD_Carga!P381&lt;&gt;"",BD_Carga!P381,0)</f>
        <v/>
      </c>
      <c r="V380">
        <f>IF(BD_Carga!U381&lt;&gt;"",BD_Carga!U381,0)</f>
        <v/>
      </c>
      <c r="W380">
        <f>IF(BD_Carga!T381&lt;&gt;"",BD_Carga!T381,0)</f>
        <v/>
      </c>
      <c r="X380">
        <f>IF(BD_Carga!W381&lt;&gt;"",BD_Carga!W381,0)</f>
        <v/>
      </c>
      <c r="Y380">
        <f>IF(BD_Carga!X381&lt;&gt;"",BD_Carga!X381,0)</f>
        <v/>
      </c>
      <c r="Z380">
        <f>IF(BD_Carga!Y381&lt;&gt;"",BD_Carga!Y381,0)</f>
        <v/>
      </c>
      <c r="AA380">
        <f>IF(BD_Carga!Z381&lt;&gt;"",BD_Carga!Z381,0)</f>
        <v/>
      </c>
      <c r="AB380">
        <f>IF(BD_Carga!AA381&lt;&gt;"",BD_Carga!AA381,0)</f>
        <v/>
      </c>
      <c r="AC380" s="6">
        <f t="array" ref="AC380">IFERROR((L380-AVERAGEIF($G$2:$G$462,G380,$L$2:$L$462))/_xlfn.STDEV.P(IF($G$2:$G$462=G380,$L$2:$L$462)),0)</f>
        <v/>
      </c>
      <c r="AD380" s="6">
        <f t="array" ref="AD380">IFERROR((M380-AVERAGEIF($G$2:$G$462,G380,$M$2:$M$462))/_xlfn.STDEV.P(IF($G$2:$G$462=G380,$M$2:$M$462)),0)</f>
        <v/>
      </c>
      <c r="AE380" s="6">
        <f t="array" ref="AE380">IFERROR((N380-AVERAGEIF($G$2:$G$462,G380,$N$2:$N$462))/_xlfn.STDEV.P(IF($G$2:$G$462=G380,$N$2:$N$462)),0)</f>
        <v/>
      </c>
      <c r="AF380" s="6">
        <f t="array" ref="AF380">IFERROR((O380-AVERAGEIF($G$2:$G$462,G380,$O$2:$O$462))/_xlfn.STDEV.P(IF($G$2:$G$462=G380,$O$2:$O$462)),0)</f>
        <v/>
      </c>
      <c r="AG380" s="6">
        <f t="array" ref="AG380">IFERROR((P380-AVERAGEIF($G$2:$G$462,G380,$P$2:$P$462))/_xlfn.STDEV.P(IF($G$2:$G$462=G380,$P$2:$P$462)),0)</f>
        <v/>
      </c>
      <c r="AH380" s="6">
        <f t="array" ref="AH380">IFERROR((R380-AVERAGEIF($G$2:$G$462,G380,$R$2:$R$462))/_xlfn.STDEV.P(IF($G$2:$G$462=G380,$R$2:$R$462)),0)</f>
        <v/>
      </c>
      <c r="AI380" s="6">
        <f>IFERROR((AC380+AD380+AE380+AF380+AG380+AH380)/6,0)</f>
        <v/>
      </c>
    </row>
    <row r="381">
      <c r="A381" s="2">
        <f>IF(BD_Carga!A382&lt;&gt;"",BD_Carga!A382,"")</f>
        <v/>
      </c>
      <c r="B381">
        <f>IF(A381&lt;&gt;"",YEAR(A381),"")</f>
        <v/>
      </c>
      <c r="C381">
        <f>IF(A381&lt;&gt;"",MONTH(A381),"")</f>
        <v/>
      </c>
      <c r="D381">
        <f>IF(A381&lt;&gt;"",_xlfn.ISOWEEKNUM(A381),"")</f>
        <v/>
      </c>
      <c r="E381">
        <f>IF(A381&lt;&gt;"",TEXT(A381,"dddd"),"")</f>
        <v/>
      </c>
      <c r="F381">
        <f>IF(BD_Carga!C382&lt;&gt;"",BD_Carga!C382,"")</f>
        <v/>
      </c>
      <c r="G381">
        <f>IF(BD_Carga!D382&lt;&gt;"",BD_Carga!D382,"")</f>
        <v/>
      </c>
      <c r="H381">
        <f>IF(BD_Carga!Q382&lt;&gt;"",BD_Carga!Q382,"")</f>
        <v/>
      </c>
      <c r="I381">
        <f>IF(BD_Carga!R382&lt;&gt;"",BD_Carga!R382,"")</f>
        <v/>
      </c>
      <c r="J381">
        <f>IF(BD_Carga!S382&lt;&gt;"",BD_Carga!S382,"")</f>
        <v/>
      </c>
      <c r="K381" s="4">
        <f>IF(BD_Carga!E382&lt;&gt;"",BD_Carga!E382,0)</f>
        <v/>
      </c>
      <c r="L381" s="4">
        <f>IF(BD_Carga!F382&lt;&gt;"",BD_Carga!F382,0)</f>
        <v/>
      </c>
      <c r="M381" s="4">
        <f>IF(BD_Carga!G382&lt;&gt;"",BD_Carga!G382,0)</f>
        <v/>
      </c>
      <c r="N381" s="4">
        <f>IF(BD_Carga!H382&lt;&gt;"",BD_Carga!H382,0)</f>
        <v/>
      </c>
      <c r="O381" s="4">
        <f>IF(BD_Carga!I382&lt;&gt;"",BD_Carga!I382,0)</f>
        <v/>
      </c>
      <c r="P381" s="4">
        <f>IF(BD_Carga!J382&lt;&gt;"",BD_Carga!J382,0)</f>
        <v/>
      </c>
      <c r="Q381" s="5">
        <f>IF(BD_Carga!K382&lt;&gt;"",BD_Carga!K382,0)</f>
        <v/>
      </c>
      <c r="R381" s="5">
        <f>IF(BD_Carga!L382&lt;&gt;"",BD_Carga!L382,0)</f>
        <v/>
      </c>
      <c r="S381">
        <f>IF(BD_Carga!N382&lt;&gt;"",BD_Carga!N382,0)</f>
        <v/>
      </c>
      <c r="T381">
        <f>IF(BD_Carga!O382&lt;&gt;"",BD_Carga!O382,0)</f>
        <v/>
      </c>
      <c r="U381">
        <f>IF(BD_Carga!P382&lt;&gt;"",BD_Carga!P382,0)</f>
        <v/>
      </c>
      <c r="V381">
        <f>IF(BD_Carga!U382&lt;&gt;"",BD_Carga!U382,0)</f>
        <v/>
      </c>
      <c r="W381">
        <f>IF(BD_Carga!T382&lt;&gt;"",BD_Carga!T382,0)</f>
        <v/>
      </c>
      <c r="X381">
        <f>IF(BD_Carga!W382&lt;&gt;"",BD_Carga!W382,0)</f>
        <v/>
      </c>
      <c r="Y381">
        <f>IF(BD_Carga!X382&lt;&gt;"",BD_Carga!X382,0)</f>
        <v/>
      </c>
      <c r="Z381">
        <f>IF(BD_Carga!Y382&lt;&gt;"",BD_Carga!Y382,0)</f>
        <v/>
      </c>
      <c r="AA381">
        <f>IF(BD_Carga!Z382&lt;&gt;"",BD_Carga!Z382,0)</f>
        <v/>
      </c>
      <c r="AB381">
        <f>IF(BD_Carga!AA382&lt;&gt;"",BD_Carga!AA382,0)</f>
        <v/>
      </c>
      <c r="AC381" s="6">
        <f t="array" ref="AC381">IFERROR((L381-AVERAGEIF($G$2:$G$462,G381,$L$2:$L$462))/_xlfn.STDEV.P(IF($G$2:$G$462=G381,$L$2:$L$462)),0)</f>
        <v/>
      </c>
      <c r="AD381" s="6">
        <f t="array" ref="AD381">IFERROR((M381-AVERAGEIF($G$2:$G$462,G381,$M$2:$M$462))/_xlfn.STDEV.P(IF($G$2:$G$462=G381,$M$2:$M$462)),0)</f>
        <v/>
      </c>
      <c r="AE381" s="6">
        <f t="array" ref="AE381">IFERROR((N381-AVERAGEIF($G$2:$G$462,G381,$N$2:$N$462))/_xlfn.STDEV.P(IF($G$2:$G$462=G381,$N$2:$N$462)),0)</f>
        <v/>
      </c>
      <c r="AF381" s="6">
        <f t="array" ref="AF381">IFERROR((O381-AVERAGEIF($G$2:$G$462,G381,$O$2:$O$462))/_xlfn.STDEV.P(IF($G$2:$G$462=G381,$O$2:$O$462)),0)</f>
        <v/>
      </c>
      <c r="AG381" s="6">
        <f t="array" ref="AG381">IFERROR((P381-AVERAGEIF($G$2:$G$462,G381,$P$2:$P$462))/_xlfn.STDEV.P(IF($G$2:$G$462=G381,$P$2:$P$462)),0)</f>
        <v/>
      </c>
      <c r="AH381" s="6">
        <f t="array" ref="AH381">IFERROR((R381-AVERAGEIF($G$2:$G$462,G381,$R$2:$R$462))/_xlfn.STDEV.P(IF($G$2:$G$462=G381,$R$2:$R$462)),0)</f>
        <v/>
      </c>
      <c r="AI381" s="6">
        <f>IFERROR((AC381+AD381+AE381+AF381+AG381+AH381)/6,0)</f>
        <v/>
      </c>
    </row>
    <row r="382">
      <c r="A382" s="2">
        <f>IF(BD_Carga!A383&lt;&gt;"",BD_Carga!A383,"")</f>
        <v/>
      </c>
      <c r="B382">
        <f>IF(A382&lt;&gt;"",YEAR(A382),"")</f>
        <v/>
      </c>
      <c r="C382">
        <f>IF(A382&lt;&gt;"",MONTH(A382),"")</f>
        <v/>
      </c>
      <c r="D382">
        <f>IF(A382&lt;&gt;"",_xlfn.ISOWEEKNUM(A382),"")</f>
        <v/>
      </c>
      <c r="E382">
        <f>IF(A382&lt;&gt;"",TEXT(A382,"dddd"),"")</f>
        <v/>
      </c>
      <c r="F382">
        <f>IF(BD_Carga!C383&lt;&gt;"",BD_Carga!C383,"")</f>
        <v/>
      </c>
      <c r="G382">
        <f>IF(BD_Carga!D383&lt;&gt;"",BD_Carga!D383,"")</f>
        <v/>
      </c>
      <c r="H382">
        <f>IF(BD_Carga!Q383&lt;&gt;"",BD_Carga!Q383,"")</f>
        <v/>
      </c>
      <c r="I382">
        <f>IF(BD_Carga!R383&lt;&gt;"",BD_Carga!R383,"")</f>
        <v/>
      </c>
      <c r="J382">
        <f>IF(BD_Carga!S383&lt;&gt;"",BD_Carga!S383,"")</f>
        <v/>
      </c>
      <c r="K382" s="4">
        <f>IF(BD_Carga!E383&lt;&gt;"",BD_Carga!E383,0)</f>
        <v/>
      </c>
      <c r="L382" s="4">
        <f>IF(BD_Carga!F383&lt;&gt;"",BD_Carga!F383,0)</f>
        <v/>
      </c>
      <c r="M382" s="4">
        <f>IF(BD_Carga!G383&lt;&gt;"",BD_Carga!G383,0)</f>
        <v/>
      </c>
      <c r="N382" s="4">
        <f>IF(BD_Carga!H383&lt;&gt;"",BD_Carga!H383,0)</f>
        <v/>
      </c>
      <c r="O382" s="4">
        <f>IF(BD_Carga!I383&lt;&gt;"",BD_Carga!I383,0)</f>
        <v/>
      </c>
      <c r="P382" s="4">
        <f>IF(BD_Carga!J383&lt;&gt;"",BD_Carga!J383,0)</f>
        <v/>
      </c>
      <c r="Q382" s="5">
        <f>IF(BD_Carga!K383&lt;&gt;"",BD_Carga!K383,0)</f>
        <v/>
      </c>
      <c r="R382" s="5">
        <f>IF(BD_Carga!L383&lt;&gt;"",BD_Carga!L383,0)</f>
        <v/>
      </c>
      <c r="S382">
        <f>IF(BD_Carga!N383&lt;&gt;"",BD_Carga!N383,0)</f>
        <v/>
      </c>
      <c r="T382">
        <f>IF(BD_Carga!O383&lt;&gt;"",BD_Carga!O383,0)</f>
        <v/>
      </c>
      <c r="U382">
        <f>IF(BD_Carga!P383&lt;&gt;"",BD_Carga!P383,0)</f>
        <v/>
      </c>
      <c r="V382">
        <f>IF(BD_Carga!U383&lt;&gt;"",BD_Carga!U383,0)</f>
        <v/>
      </c>
      <c r="W382">
        <f>IF(BD_Carga!T383&lt;&gt;"",BD_Carga!T383,0)</f>
        <v/>
      </c>
      <c r="X382">
        <f>IF(BD_Carga!W383&lt;&gt;"",BD_Carga!W383,0)</f>
        <v/>
      </c>
      <c r="Y382">
        <f>IF(BD_Carga!X383&lt;&gt;"",BD_Carga!X383,0)</f>
        <v/>
      </c>
      <c r="Z382">
        <f>IF(BD_Carga!Y383&lt;&gt;"",BD_Carga!Y383,0)</f>
        <v/>
      </c>
      <c r="AA382">
        <f>IF(BD_Carga!Z383&lt;&gt;"",BD_Carga!Z383,0)</f>
        <v/>
      </c>
      <c r="AB382">
        <f>IF(BD_Carga!AA383&lt;&gt;"",BD_Carga!AA383,0)</f>
        <v/>
      </c>
      <c r="AC382" s="6">
        <f t="array" ref="AC382">IFERROR((L382-AVERAGEIF($G$2:$G$462,G382,$L$2:$L$462))/_xlfn.STDEV.P(IF($G$2:$G$462=G382,$L$2:$L$462)),0)</f>
        <v/>
      </c>
      <c r="AD382" s="6">
        <f t="array" ref="AD382">IFERROR((M382-AVERAGEIF($G$2:$G$462,G382,$M$2:$M$462))/_xlfn.STDEV.P(IF($G$2:$G$462=G382,$M$2:$M$462)),0)</f>
        <v/>
      </c>
      <c r="AE382" s="6">
        <f t="array" ref="AE382">IFERROR((N382-AVERAGEIF($G$2:$G$462,G382,$N$2:$N$462))/_xlfn.STDEV.P(IF($G$2:$G$462=G382,$N$2:$N$462)),0)</f>
        <v/>
      </c>
      <c r="AF382" s="6">
        <f t="array" ref="AF382">IFERROR((O382-AVERAGEIF($G$2:$G$462,G382,$O$2:$O$462))/_xlfn.STDEV.P(IF($G$2:$G$462=G382,$O$2:$O$462)),0)</f>
        <v/>
      </c>
      <c r="AG382" s="6">
        <f t="array" ref="AG382">IFERROR((P382-AVERAGEIF($G$2:$G$462,G382,$P$2:$P$462))/_xlfn.STDEV.P(IF($G$2:$G$462=G382,$P$2:$P$462)),0)</f>
        <v/>
      </c>
      <c r="AH382" s="6">
        <f t="array" ref="AH382">IFERROR((R382-AVERAGEIF($G$2:$G$462,G382,$R$2:$R$462))/_xlfn.STDEV.P(IF($G$2:$G$462=G382,$R$2:$R$462)),0)</f>
        <v/>
      </c>
      <c r="AI382" s="6">
        <f>IFERROR((AC382+AD382+AE382+AF382+AG382+AH382)/6,0)</f>
        <v/>
      </c>
    </row>
    <row r="383">
      <c r="A383" s="2">
        <f>IF(BD_Carga!A384&lt;&gt;"",BD_Carga!A384,"")</f>
        <v/>
      </c>
      <c r="B383">
        <f>IF(A383&lt;&gt;"",YEAR(A383),"")</f>
        <v/>
      </c>
      <c r="C383">
        <f>IF(A383&lt;&gt;"",MONTH(A383),"")</f>
        <v/>
      </c>
      <c r="D383">
        <f>IF(A383&lt;&gt;"",_xlfn.ISOWEEKNUM(A383),"")</f>
        <v/>
      </c>
      <c r="E383">
        <f>IF(A383&lt;&gt;"",TEXT(A383,"dddd"),"")</f>
        <v/>
      </c>
      <c r="F383">
        <f>IF(BD_Carga!C384&lt;&gt;"",BD_Carga!C384,"")</f>
        <v/>
      </c>
      <c r="G383">
        <f>IF(BD_Carga!D384&lt;&gt;"",BD_Carga!D384,"")</f>
        <v/>
      </c>
      <c r="H383">
        <f>IF(BD_Carga!Q384&lt;&gt;"",BD_Carga!Q384,"")</f>
        <v/>
      </c>
      <c r="I383">
        <f>IF(BD_Carga!R384&lt;&gt;"",BD_Carga!R384,"")</f>
        <v/>
      </c>
      <c r="J383">
        <f>IF(BD_Carga!S384&lt;&gt;"",BD_Carga!S384,"")</f>
        <v/>
      </c>
      <c r="K383" s="4">
        <f>IF(BD_Carga!E384&lt;&gt;"",BD_Carga!E384,0)</f>
        <v/>
      </c>
      <c r="L383" s="4">
        <f>IF(BD_Carga!F384&lt;&gt;"",BD_Carga!F384,0)</f>
        <v/>
      </c>
      <c r="M383" s="4">
        <f>IF(BD_Carga!G384&lt;&gt;"",BD_Carga!G384,0)</f>
        <v/>
      </c>
      <c r="N383" s="4">
        <f>IF(BD_Carga!H384&lt;&gt;"",BD_Carga!H384,0)</f>
        <v/>
      </c>
      <c r="O383" s="4">
        <f>IF(BD_Carga!I384&lt;&gt;"",BD_Carga!I384,0)</f>
        <v/>
      </c>
      <c r="P383" s="4">
        <f>IF(BD_Carga!J384&lt;&gt;"",BD_Carga!J384,0)</f>
        <v/>
      </c>
      <c r="Q383" s="5">
        <f>IF(BD_Carga!K384&lt;&gt;"",BD_Carga!K384,0)</f>
        <v/>
      </c>
      <c r="R383" s="5">
        <f>IF(BD_Carga!L384&lt;&gt;"",BD_Carga!L384,0)</f>
        <v/>
      </c>
      <c r="S383">
        <f>IF(BD_Carga!N384&lt;&gt;"",BD_Carga!N384,0)</f>
        <v/>
      </c>
      <c r="T383">
        <f>IF(BD_Carga!O384&lt;&gt;"",BD_Carga!O384,0)</f>
        <v/>
      </c>
      <c r="U383">
        <f>IF(BD_Carga!P384&lt;&gt;"",BD_Carga!P384,0)</f>
        <v/>
      </c>
      <c r="V383">
        <f>IF(BD_Carga!U384&lt;&gt;"",BD_Carga!U384,0)</f>
        <v/>
      </c>
      <c r="W383">
        <f>IF(BD_Carga!T384&lt;&gt;"",BD_Carga!T384,0)</f>
        <v/>
      </c>
      <c r="X383">
        <f>IF(BD_Carga!W384&lt;&gt;"",BD_Carga!W384,0)</f>
        <v/>
      </c>
      <c r="Y383">
        <f>IF(BD_Carga!X384&lt;&gt;"",BD_Carga!X384,0)</f>
        <v/>
      </c>
      <c r="Z383">
        <f>IF(BD_Carga!Y384&lt;&gt;"",BD_Carga!Y384,0)</f>
        <v/>
      </c>
      <c r="AA383">
        <f>IF(BD_Carga!Z384&lt;&gt;"",BD_Carga!Z384,0)</f>
        <v/>
      </c>
      <c r="AB383">
        <f>IF(BD_Carga!AA384&lt;&gt;"",BD_Carga!AA384,0)</f>
        <v/>
      </c>
      <c r="AC383" s="6">
        <f t="array" ref="AC383">IFERROR((L383-AVERAGEIF($G$2:$G$462,G383,$L$2:$L$462))/_xlfn.STDEV.P(IF($G$2:$G$462=G383,$L$2:$L$462)),0)</f>
        <v/>
      </c>
      <c r="AD383" s="6">
        <f t="array" ref="AD383">IFERROR((M383-AVERAGEIF($G$2:$G$462,G383,$M$2:$M$462))/_xlfn.STDEV.P(IF($G$2:$G$462=G383,$M$2:$M$462)),0)</f>
        <v/>
      </c>
      <c r="AE383" s="6">
        <f t="array" ref="AE383">IFERROR((N383-AVERAGEIF($G$2:$G$462,G383,$N$2:$N$462))/_xlfn.STDEV.P(IF($G$2:$G$462=G383,$N$2:$N$462)),0)</f>
        <v/>
      </c>
      <c r="AF383" s="6">
        <f t="array" ref="AF383">IFERROR((O383-AVERAGEIF($G$2:$G$462,G383,$O$2:$O$462))/_xlfn.STDEV.P(IF($G$2:$G$462=G383,$O$2:$O$462)),0)</f>
        <v/>
      </c>
      <c r="AG383" s="6">
        <f t="array" ref="AG383">IFERROR((P383-AVERAGEIF($G$2:$G$462,G383,$P$2:$P$462))/_xlfn.STDEV.P(IF($G$2:$G$462=G383,$P$2:$P$462)),0)</f>
        <v/>
      </c>
      <c r="AH383" s="6">
        <f t="array" ref="AH383">IFERROR((R383-AVERAGEIF($G$2:$G$462,G383,$R$2:$R$462))/_xlfn.STDEV.P(IF($G$2:$G$462=G383,$R$2:$R$462)),0)</f>
        <v/>
      </c>
      <c r="AI383" s="6">
        <f>IFERROR((AC383+AD383+AE383+AF383+AG383+AH383)/6,0)</f>
        <v/>
      </c>
    </row>
    <row r="384">
      <c r="A384" s="2">
        <f>IF(BD_Carga!A385&lt;&gt;"",BD_Carga!A385,"")</f>
        <v/>
      </c>
      <c r="B384">
        <f>IF(A384&lt;&gt;"",YEAR(A384),"")</f>
        <v/>
      </c>
      <c r="C384">
        <f>IF(A384&lt;&gt;"",MONTH(A384),"")</f>
        <v/>
      </c>
      <c r="D384">
        <f>IF(A384&lt;&gt;"",_xlfn.ISOWEEKNUM(A384),"")</f>
        <v/>
      </c>
      <c r="E384">
        <f>IF(A384&lt;&gt;"",TEXT(A384,"dddd"),"")</f>
        <v/>
      </c>
      <c r="F384">
        <f>IF(BD_Carga!C385&lt;&gt;"",BD_Carga!C385,"")</f>
        <v/>
      </c>
      <c r="G384">
        <f>IF(BD_Carga!D385&lt;&gt;"",BD_Carga!D385,"")</f>
        <v/>
      </c>
      <c r="H384">
        <f>IF(BD_Carga!Q385&lt;&gt;"",BD_Carga!Q385,"")</f>
        <v/>
      </c>
      <c r="I384">
        <f>IF(BD_Carga!R385&lt;&gt;"",BD_Carga!R385,"")</f>
        <v/>
      </c>
      <c r="J384">
        <f>IF(BD_Carga!S385&lt;&gt;"",BD_Carga!S385,"")</f>
        <v/>
      </c>
      <c r="K384" s="4">
        <f>IF(BD_Carga!E385&lt;&gt;"",BD_Carga!E385,0)</f>
        <v/>
      </c>
      <c r="L384" s="4">
        <f>IF(BD_Carga!F385&lt;&gt;"",BD_Carga!F385,0)</f>
        <v/>
      </c>
      <c r="M384" s="4">
        <f>IF(BD_Carga!G385&lt;&gt;"",BD_Carga!G385,0)</f>
        <v/>
      </c>
      <c r="N384" s="4">
        <f>IF(BD_Carga!H385&lt;&gt;"",BD_Carga!H385,0)</f>
        <v/>
      </c>
      <c r="O384" s="4">
        <f>IF(BD_Carga!I385&lt;&gt;"",BD_Carga!I385,0)</f>
        <v/>
      </c>
      <c r="P384" s="4">
        <f>IF(BD_Carga!J385&lt;&gt;"",BD_Carga!J385,0)</f>
        <v/>
      </c>
      <c r="Q384" s="5">
        <f>IF(BD_Carga!K385&lt;&gt;"",BD_Carga!K385,0)</f>
        <v/>
      </c>
      <c r="R384" s="5">
        <f>IF(BD_Carga!L385&lt;&gt;"",BD_Carga!L385,0)</f>
        <v/>
      </c>
      <c r="S384">
        <f>IF(BD_Carga!N385&lt;&gt;"",BD_Carga!N385,0)</f>
        <v/>
      </c>
      <c r="T384">
        <f>IF(BD_Carga!O385&lt;&gt;"",BD_Carga!O385,0)</f>
        <v/>
      </c>
      <c r="U384">
        <f>IF(BD_Carga!P385&lt;&gt;"",BD_Carga!P385,0)</f>
        <v/>
      </c>
      <c r="V384">
        <f>IF(BD_Carga!U385&lt;&gt;"",BD_Carga!U385,0)</f>
        <v/>
      </c>
      <c r="W384">
        <f>IF(BD_Carga!T385&lt;&gt;"",BD_Carga!T385,0)</f>
        <v/>
      </c>
      <c r="X384">
        <f>IF(BD_Carga!W385&lt;&gt;"",BD_Carga!W385,0)</f>
        <v/>
      </c>
      <c r="Y384">
        <f>IF(BD_Carga!X385&lt;&gt;"",BD_Carga!X385,0)</f>
        <v/>
      </c>
      <c r="Z384">
        <f>IF(BD_Carga!Y385&lt;&gt;"",BD_Carga!Y385,0)</f>
        <v/>
      </c>
      <c r="AA384">
        <f>IF(BD_Carga!Z385&lt;&gt;"",BD_Carga!Z385,0)</f>
        <v/>
      </c>
      <c r="AB384">
        <f>IF(BD_Carga!AA385&lt;&gt;"",BD_Carga!AA385,0)</f>
        <v/>
      </c>
      <c r="AC384" s="6">
        <f t="array" ref="AC384">IFERROR((L384-AVERAGEIF($G$2:$G$462,G384,$L$2:$L$462))/_xlfn.STDEV.P(IF($G$2:$G$462=G384,$L$2:$L$462)),0)</f>
        <v/>
      </c>
      <c r="AD384" s="6">
        <f t="array" ref="AD384">IFERROR((M384-AVERAGEIF($G$2:$G$462,G384,$M$2:$M$462))/_xlfn.STDEV.P(IF($G$2:$G$462=G384,$M$2:$M$462)),0)</f>
        <v/>
      </c>
      <c r="AE384" s="6">
        <f t="array" ref="AE384">IFERROR((N384-AVERAGEIF($G$2:$G$462,G384,$N$2:$N$462))/_xlfn.STDEV.P(IF($G$2:$G$462=G384,$N$2:$N$462)),0)</f>
        <v/>
      </c>
      <c r="AF384" s="6">
        <f t="array" ref="AF384">IFERROR((O384-AVERAGEIF($G$2:$G$462,G384,$O$2:$O$462))/_xlfn.STDEV.P(IF($G$2:$G$462=G384,$O$2:$O$462)),0)</f>
        <v/>
      </c>
      <c r="AG384" s="6">
        <f t="array" ref="AG384">IFERROR((P384-AVERAGEIF($G$2:$G$462,G384,$P$2:$P$462))/_xlfn.STDEV.P(IF($G$2:$G$462=G384,$P$2:$P$462)),0)</f>
        <v/>
      </c>
      <c r="AH384" s="6">
        <f t="array" ref="AH384">IFERROR((R384-AVERAGEIF($G$2:$G$462,G384,$R$2:$R$462))/_xlfn.STDEV.P(IF($G$2:$G$462=G384,$R$2:$R$462)),0)</f>
        <v/>
      </c>
      <c r="AI384" s="6">
        <f>IFERROR((AC384+AD384+AE384+AF384+AG384+AH384)/6,0)</f>
        <v/>
      </c>
    </row>
    <row r="385">
      <c r="A385" s="2">
        <f>IF(BD_Carga!A386&lt;&gt;"",BD_Carga!A386,"")</f>
        <v/>
      </c>
      <c r="B385">
        <f>IF(A385&lt;&gt;"",YEAR(A385),"")</f>
        <v/>
      </c>
      <c r="C385">
        <f>IF(A385&lt;&gt;"",MONTH(A385),"")</f>
        <v/>
      </c>
      <c r="D385">
        <f>IF(A385&lt;&gt;"",_xlfn.ISOWEEKNUM(A385),"")</f>
        <v/>
      </c>
      <c r="E385">
        <f>IF(A385&lt;&gt;"",TEXT(A385,"dddd"),"")</f>
        <v/>
      </c>
      <c r="F385">
        <f>IF(BD_Carga!C386&lt;&gt;"",BD_Carga!C386,"")</f>
        <v/>
      </c>
      <c r="G385">
        <f>IF(BD_Carga!D386&lt;&gt;"",BD_Carga!D386,"")</f>
        <v/>
      </c>
      <c r="H385">
        <f>IF(BD_Carga!Q386&lt;&gt;"",BD_Carga!Q386,"")</f>
        <v/>
      </c>
      <c r="I385">
        <f>IF(BD_Carga!R386&lt;&gt;"",BD_Carga!R386,"")</f>
        <v/>
      </c>
      <c r="J385">
        <f>IF(BD_Carga!S386&lt;&gt;"",BD_Carga!S386,"")</f>
        <v/>
      </c>
      <c r="K385" s="4">
        <f>IF(BD_Carga!E386&lt;&gt;"",BD_Carga!E386,0)</f>
        <v/>
      </c>
      <c r="L385" s="4">
        <f>IF(BD_Carga!F386&lt;&gt;"",BD_Carga!F386,0)</f>
        <v/>
      </c>
      <c r="M385" s="4">
        <f>IF(BD_Carga!G386&lt;&gt;"",BD_Carga!G386,0)</f>
        <v/>
      </c>
      <c r="N385" s="4">
        <f>IF(BD_Carga!H386&lt;&gt;"",BD_Carga!H386,0)</f>
        <v/>
      </c>
      <c r="O385" s="4">
        <f>IF(BD_Carga!I386&lt;&gt;"",BD_Carga!I386,0)</f>
        <v/>
      </c>
      <c r="P385" s="4">
        <f>IF(BD_Carga!J386&lt;&gt;"",BD_Carga!J386,0)</f>
        <v/>
      </c>
      <c r="Q385" s="5">
        <f>IF(BD_Carga!K386&lt;&gt;"",BD_Carga!K386,0)</f>
        <v/>
      </c>
      <c r="R385" s="5">
        <f>IF(BD_Carga!L386&lt;&gt;"",BD_Carga!L386,0)</f>
        <v/>
      </c>
      <c r="S385">
        <f>IF(BD_Carga!N386&lt;&gt;"",BD_Carga!N386,0)</f>
        <v/>
      </c>
      <c r="T385">
        <f>IF(BD_Carga!O386&lt;&gt;"",BD_Carga!O386,0)</f>
        <v/>
      </c>
      <c r="U385">
        <f>IF(BD_Carga!P386&lt;&gt;"",BD_Carga!P386,0)</f>
        <v/>
      </c>
      <c r="V385">
        <f>IF(BD_Carga!U386&lt;&gt;"",BD_Carga!U386,0)</f>
        <v/>
      </c>
      <c r="W385">
        <f>IF(BD_Carga!T386&lt;&gt;"",BD_Carga!T386,0)</f>
        <v/>
      </c>
      <c r="X385">
        <f>IF(BD_Carga!W386&lt;&gt;"",BD_Carga!W386,0)</f>
        <v/>
      </c>
      <c r="Y385">
        <f>IF(BD_Carga!X386&lt;&gt;"",BD_Carga!X386,0)</f>
        <v/>
      </c>
      <c r="Z385">
        <f>IF(BD_Carga!Y386&lt;&gt;"",BD_Carga!Y386,0)</f>
        <v/>
      </c>
      <c r="AA385">
        <f>IF(BD_Carga!Z386&lt;&gt;"",BD_Carga!Z386,0)</f>
        <v/>
      </c>
      <c r="AB385">
        <f>IF(BD_Carga!AA386&lt;&gt;"",BD_Carga!AA386,0)</f>
        <v/>
      </c>
      <c r="AC385" s="6">
        <f t="array" ref="AC385">IFERROR((L385-AVERAGEIF($G$2:$G$462,G385,$L$2:$L$462))/_xlfn.STDEV.P(IF($G$2:$G$462=G385,$L$2:$L$462)),0)</f>
        <v/>
      </c>
      <c r="AD385" s="6">
        <f t="array" ref="AD385">IFERROR((M385-AVERAGEIF($G$2:$G$462,G385,$M$2:$M$462))/_xlfn.STDEV.P(IF($G$2:$G$462=G385,$M$2:$M$462)),0)</f>
        <v/>
      </c>
      <c r="AE385" s="6">
        <f t="array" ref="AE385">IFERROR((N385-AVERAGEIF($G$2:$G$462,G385,$N$2:$N$462))/_xlfn.STDEV.P(IF($G$2:$G$462=G385,$N$2:$N$462)),0)</f>
        <v/>
      </c>
      <c r="AF385" s="6">
        <f t="array" ref="AF385">IFERROR((O385-AVERAGEIF($G$2:$G$462,G385,$O$2:$O$462))/_xlfn.STDEV.P(IF($G$2:$G$462=G385,$O$2:$O$462)),0)</f>
        <v/>
      </c>
      <c r="AG385" s="6">
        <f t="array" ref="AG385">IFERROR((P385-AVERAGEIF($G$2:$G$462,G385,$P$2:$P$462))/_xlfn.STDEV.P(IF($G$2:$G$462=G385,$P$2:$P$462)),0)</f>
        <v/>
      </c>
      <c r="AH385" s="6">
        <f t="array" ref="AH385">IFERROR((R385-AVERAGEIF($G$2:$G$462,G385,$R$2:$R$462))/_xlfn.STDEV.P(IF($G$2:$G$462=G385,$R$2:$R$462)),0)</f>
        <v/>
      </c>
      <c r="AI385" s="6">
        <f>IFERROR((AC385+AD385+AE385+AF385+AG385+AH385)/6,0)</f>
        <v/>
      </c>
    </row>
    <row r="386">
      <c r="A386" s="2">
        <f>IF(BD_Carga!A387&lt;&gt;"",BD_Carga!A387,"")</f>
        <v/>
      </c>
      <c r="B386">
        <f>IF(A386&lt;&gt;"",YEAR(A386),"")</f>
        <v/>
      </c>
      <c r="C386">
        <f>IF(A386&lt;&gt;"",MONTH(A386),"")</f>
        <v/>
      </c>
      <c r="D386">
        <f>IF(A386&lt;&gt;"",_xlfn.ISOWEEKNUM(A386),"")</f>
        <v/>
      </c>
      <c r="E386">
        <f>IF(A386&lt;&gt;"",TEXT(A386,"dddd"),"")</f>
        <v/>
      </c>
      <c r="F386">
        <f>IF(BD_Carga!C387&lt;&gt;"",BD_Carga!C387,"")</f>
        <v/>
      </c>
      <c r="G386">
        <f>IF(BD_Carga!D387&lt;&gt;"",BD_Carga!D387,"")</f>
        <v/>
      </c>
      <c r="H386">
        <f>IF(BD_Carga!Q387&lt;&gt;"",BD_Carga!Q387,"")</f>
        <v/>
      </c>
      <c r="I386">
        <f>IF(BD_Carga!R387&lt;&gt;"",BD_Carga!R387,"")</f>
        <v/>
      </c>
      <c r="J386">
        <f>IF(BD_Carga!S387&lt;&gt;"",BD_Carga!S387,"")</f>
        <v/>
      </c>
      <c r="K386" s="4">
        <f>IF(BD_Carga!E387&lt;&gt;"",BD_Carga!E387,0)</f>
        <v/>
      </c>
      <c r="L386" s="4">
        <f>IF(BD_Carga!F387&lt;&gt;"",BD_Carga!F387,0)</f>
        <v/>
      </c>
      <c r="M386" s="4">
        <f>IF(BD_Carga!G387&lt;&gt;"",BD_Carga!G387,0)</f>
        <v/>
      </c>
      <c r="N386" s="4">
        <f>IF(BD_Carga!H387&lt;&gt;"",BD_Carga!H387,0)</f>
        <v/>
      </c>
      <c r="O386" s="4">
        <f>IF(BD_Carga!I387&lt;&gt;"",BD_Carga!I387,0)</f>
        <v/>
      </c>
      <c r="P386" s="4">
        <f>IF(BD_Carga!J387&lt;&gt;"",BD_Carga!J387,0)</f>
        <v/>
      </c>
      <c r="Q386" s="5">
        <f>IF(BD_Carga!K387&lt;&gt;"",BD_Carga!K387,0)</f>
        <v/>
      </c>
      <c r="R386" s="5">
        <f>IF(BD_Carga!L387&lt;&gt;"",BD_Carga!L387,0)</f>
        <v/>
      </c>
      <c r="S386">
        <f>IF(BD_Carga!N387&lt;&gt;"",BD_Carga!N387,0)</f>
        <v/>
      </c>
      <c r="T386">
        <f>IF(BD_Carga!O387&lt;&gt;"",BD_Carga!O387,0)</f>
        <v/>
      </c>
      <c r="U386">
        <f>IF(BD_Carga!P387&lt;&gt;"",BD_Carga!P387,0)</f>
        <v/>
      </c>
      <c r="V386">
        <f>IF(BD_Carga!U387&lt;&gt;"",BD_Carga!U387,0)</f>
        <v/>
      </c>
      <c r="W386">
        <f>IF(BD_Carga!T387&lt;&gt;"",BD_Carga!T387,0)</f>
        <v/>
      </c>
      <c r="X386">
        <f>IF(BD_Carga!W387&lt;&gt;"",BD_Carga!W387,0)</f>
        <v/>
      </c>
      <c r="Y386">
        <f>IF(BD_Carga!X387&lt;&gt;"",BD_Carga!X387,0)</f>
        <v/>
      </c>
      <c r="Z386">
        <f>IF(BD_Carga!Y387&lt;&gt;"",BD_Carga!Y387,0)</f>
        <v/>
      </c>
      <c r="AA386">
        <f>IF(BD_Carga!Z387&lt;&gt;"",BD_Carga!Z387,0)</f>
        <v/>
      </c>
      <c r="AB386">
        <f>IF(BD_Carga!AA387&lt;&gt;"",BD_Carga!AA387,0)</f>
        <v/>
      </c>
      <c r="AC386" s="6">
        <f t="array" ref="AC386">IFERROR((L386-AVERAGEIF($G$2:$G$462,G386,$L$2:$L$462))/_xlfn.STDEV.P(IF($G$2:$G$462=G386,$L$2:$L$462)),0)</f>
        <v/>
      </c>
      <c r="AD386" s="6">
        <f t="array" ref="AD386">IFERROR((M386-AVERAGEIF($G$2:$G$462,G386,$M$2:$M$462))/_xlfn.STDEV.P(IF($G$2:$G$462=G386,$M$2:$M$462)),0)</f>
        <v/>
      </c>
      <c r="AE386" s="6">
        <f t="array" ref="AE386">IFERROR((N386-AVERAGEIF($G$2:$G$462,G386,$N$2:$N$462))/_xlfn.STDEV.P(IF($G$2:$G$462=G386,$N$2:$N$462)),0)</f>
        <v/>
      </c>
      <c r="AF386" s="6">
        <f t="array" ref="AF386">IFERROR((O386-AVERAGEIF($G$2:$G$462,G386,$O$2:$O$462))/_xlfn.STDEV.P(IF($G$2:$G$462=G386,$O$2:$O$462)),0)</f>
        <v/>
      </c>
      <c r="AG386" s="6">
        <f t="array" ref="AG386">IFERROR((P386-AVERAGEIF($G$2:$G$462,G386,$P$2:$P$462))/_xlfn.STDEV.P(IF($G$2:$G$462=G386,$P$2:$P$462)),0)</f>
        <v/>
      </c>
      <c r="AH386" s="6">
        <f t="array" ref="AH386">IFERROR((R386-AVERAGEIF($G$2:$G$462,G386,$R$2:$R$462))/_xlfn.STDEV.P(IF($G$2:$G$462=G386,$R$2:$R$462)),0)</f>
        <v/>
      </c>
      <c r="AI386" s="6">
        <f>IFERROR((AC386+AD386+AE386+AF386+AG386+AH386)/6,0)</f>
        <v/>
      </c>
    </row>
    <row r="387">
      <c r="A387" s="2">
        <f>IF(BD_Carga!A388&lt;&gt;"",BD_Carga!A388,"")</f>
        <v/>
      </c>
      <c r="B387">
        <f>IF(A387&lt;&gt;"",YEAR(A387),"")</f>
        <v/>
      </c>
      <c r="C387">
        <f>IF(A387&lt;&gt;"",MONTH(A387),"")</f>
        <v/>
      </c>
      <c r="D387">
        <f>IF(A387&lt;&gt;"",_xlfn.ISOWEEKNUM(A387),"")</f>
        <v/>
      </c>
      <c r="E387">
        <f>IF(A387&lt;&gt;"",TEXT(A387,"dddd"),"")</f>
        <v/>
      </c>
      <c r="F387">
        <f>IF(BD_Carga!C388&lt;&gt;"",BD_Carga!C388,"")</f>
        <v/>
      </c>
      <c r="G387">
        <f>IF(BD_Carga!D388&lt;&gt;"",BD_Carga!D388,"")</f>
        <v/>
      </c>
      <c r="H387">
        <f>IF(BD_Carga!Q388&lt;&gt;"",BD_Carga!Q388,"")</f>
        <v/>
      </c>
      <c r="I387">
        <f>IF(BD_Carga!R388&lt;&gt;"",BD_Carga!R388,"")</f>
        <v/>
      </c>
      <c r="J387">
        <f>IF(BD_Carga!S388&lt;&gt;"",BD_Carga!S388,"")</f>
        <v/>
      </c>
      <c r="K387" s="4">
        <f>IF(BD_Carga!E388&lt;&gt;"",BD_Carga!E388,0)</f>
        <v/>
      </c>
      <c r="L387" s="4">
        <f>IF(BD_Carga!F388&lt;&gt;"",BD_Carga!F388,0)</f>
        <v/>
      </c>
      <c r="M387" s="4">
        <f>IF(BD_Carga!G388&lt;&gt;"",BD_Carga!G388,0)</f>
        <v/>
      </c>
      <c r="N387" s="4">
        <f>IF(BD_Carga!H388&lt;&gt;"",BD_Carga!H388,0)</f>
        <v/>
      </c>
      <c r="O387" s="4">
        <f>IF(BD_Carga!I388&lt;&gt;"",BD_Carga!I388,0)</f>
        <v/>
      </c>
      <c r="P387" s="4">
        <f>IF(BD_Carga!J388&lt;&gt;"",BD_Carga!J388,0)</f>
        <v/>
      </c>
      <c r="Q387" s="5">
        <f>IF(BD_Carga!K388&lt;&gt;"",BD_Carga!K388,0)</f>
        <v/>
      </c>
      <c r="R387" s="5">
        <f>IF(BD_Carga!L388&lt;&gt;"",BD_Carga!L388,0)</f>
        <v/>
      </c>
      <c r="S387">
        <f>IF(BD_Carga!N388&lt;&gt;"",BD_Carga!N388,0)</f>
        <v/>
      </c>
      <c r="T387">
        <f>IF(BD_Carga!O388&lt;&gt;"",BD_Carga!O388,0)</f>
        <v/>
      </c>
      <c r="U387">
        <f>IF(BD_Carga!P388&lt;&gt;"",BD_Carga!P388,0)</f>
        <v/>
      </c>
      <c r="V387">
        <f>IF(BD_Carga!U388&lt;&gt;"",BD_Carga!U388,0)</f>
        <v/>
      </c>
      <c r="W387">
        <f>IF(BD_Carga!T388&lt;&gt;"",BD_Carga!T388,0)</f>
        <v/>
      </c>
      <c r="X387">
        <f>IF(BD_Carga!W388&lt;&gt;"",BD_Carga!W388,0)</f>
        <v/>
      </c>
      <c r="Y387">
        <f>IF(BD_Carga!X388&lt;&gt;"",BD_Carga!X388,0)</f>
        <v/>
      </c>
      <c r="Z387">
        <f>IF(BD_Carga!Y388&lt;&gt;"",BD_Carga!Y388,0)</f>
        <v/>
      </c>
      <c r="AA387">
        <f>IF(BD_Carga!Z388&lt;&gt;"",BD_Carga!Z388,0)</f>
        <v/>
      </c>
      <c r="AB387">
        <f>IF(BD_Carga!AA388&lt;&gt;"",BD_Carga!AA388,0)</f>
        <v/>
      </c>
      <c r="AC387" s="6">
        <f t="array" ref="AC387">IFERROR((L387-AVERAGEIF($G$2:$G$462,G387,$L$2:$L$462))/_xlfn.STDEV.P(IF($G$2:$G$462=G387,$L$2:$L$462)),0)</f>
        <v/>
      </c>
      <c r="AD387" s="6">
        <f t="array" ref="AD387">IFERROR((M387-AVERAGEIF($G$2:$G$462,G387,$M$2:$M$462))/_xlfn.STDEV.P(IF($G$2:$G$462=G387,$M$2:$M$462)),0)</f>
        <v/>
      </c>
      <c r="AE387" s="6">
        <f t="array" ref="AE387">IFERROR((N387-AVERAGEIF($G$2:$G$462,G387,$N$2:$N$462))/_xlfn.STDEV.P(IF($G$2:$G$462=G387,$N$2:$N$462)),0)</f>
        <v/>
      </c>
      <c r="AF387" s="6">
        <f t="array" ref="AF387">IFERROR((O387-AVERAGEIF($G$2:$G$462,G387,$O$2:$O$462))/_xlfn.STDEV.P(IF($G$2:$G$462=G387,$O$2:$O$462)),0)</f>
        <v/>
      </c>
      <c r="AG387" s="6">
        <f t="array" ref="AG387">IFERROR((P387-AVERAGEIF($G$2:$G$462,G387,$P$2:$P$462))/_xlfn.STDEV.P(IF($G$2:$G$462=G387,$P$2:$P$462)),0)</f>
        <v/>
      </c>
      <c r="AH387" s="6">
        <f t="array" ref="AH387">IFERROR((R387-AVERAGEIF($G$2:$G$462,G387,$R$2:$R$462))/_xlfn.STDEV.P(IF($G$2:$G$462=G387,$R$2:$R$462)),0)</f>
        <v/>
      </c>
      <c r="AI387" s="6">
        <f>IFERROR((AC387+AD387+AE387+AF387+AG387+AH387)/6,0)</f>
        <v/>
      </c>
    </row>
    <row r="388">
      <c r="A388" s="2">
        <f>IF(BD_Carga!A389&lt;&gt;"",BD_Carga!A389,"")</f>
        <v/>
      </c>
      <c r="B388">
        <f>IF(A388&lt;&gt;"",YEAR(A388),"")</f>
        <v/>
      </c>
      <c r="C388">
        <f>IF(A388&lt;&gt;"",MONTH(A388),"")</f>
        <v/>
      </c>
      <c r="D388">
        <f>IF(A388&lt;&gt;"",_xlfn.ISOWEEKNUM(A388),"")</f>
        <v/>
      </c>
      <c r="E388">
        <f>IF(A388&lt;&gt;"",TEXT(A388,"dddd"),"")</f>
        <v/>
      </c>
      <c r="F388">
        <f>IF(BD_Carga!C389&lt;&gt;"",BD_Carga!C389,"")</f>
        <v/>
      </c>
      <c r="G388">
        <f>IF(BD_Carga!D389&lt;&gt;"",BD_Carga!D389,"")</f>
        <v/>
      </c>
      <c r="H388">
        <f>IF(BD_Carga!Q389&lt;&gt;"",BD_Carga!Q389,"")</f>
        <v/>
      </c>
      <c r="I388">
        <f>IF(BD_Carga!R389&lt;&gt;"",BD_Carga!R389,"")</f>
        <v/>
      </c>
      <c r="J388">
        <f>IF(BD_Carga!S389&lt;&gt;"",BD_Carga!S389,"")</f>
        <v/>
      </c>
      <c r="K388" s="4">
        <f>IF(BD_Carga!E389&lt;&gt;"",BD_Carga!E389,0)</f>
        <v/>
      </c>
      <c r="L388" s="4">
        <f>IF(BD_Carga!F389&lt;&gt;"",BD_Carga!F389,0)</f>
        <v/>
      </c>
      <c r="M388" s="4">
        <f>IF(BD_Carga!G389&lt;&gt;"",BD_Carga!G389,0)</f>
        <v/>
      </c>
      <c r="N388" s="4">
        <f>IF(BD_Carga!H389&lt;&gt;"",BD_Carga!H389,0)</f>
        <v/>
      </c>
      <c r="O388" s="4">
        <f>IF(BD_Carga!I389&lt;&gt;"",BD_Carga!I389,0)</f>
        <v/>
      </c>
      <c r="P388" s="4">
        <f>IF(BD_Carga!J389&lt;&gt;"",BD_Carga!J389,0)</f>
        <v/>
      </c>
      <c r="Q388" s="5">
        <f>IF(BD_Carga!K389&lt;&gt;"",BD_Carga!K389,0)</f>
        <v/>
      </c>
      <c r="R388" s="5">
        <f>IF(BD_Carga!L389&lt;&gt;"",BD_Carga!L389,0)</f>
        <v/>
      </c>
      <c r="S388">
        <f>IF(BD_Carga!N389&lt;&gt;"",BD_Carga!N389,0)</f>
        <v/>
      </c>
      <c r="T388">
        <f>IF(BD_Carga!O389&lt;&gt;"",BD_Carga!O389,0)</f>
        <v/>
      </c>
      <c r="U388">
        <f>IF(BD_Carga!P389&lt;&gt;"",BD_Carga!P389,0)</f>
        <v/>
      </c>
      <c r="V388">
        <f>IF(BD_Carga!U389&lt;&gt;"",BD_Carga!U389,0)</f>
        <v/>
      </c>
      <c r="W388">
        <f>IF(BD_Carga!T389&lt;&gt;"",BD_Carga!T389,0)</f>
        <v/>
      </c>
      <c r="X388">
        <f>IF(BD_Carga!W389&lt;&gt;"",BD_Carga!W389,0)</f>
        <v/>
      </c>
      <c r="Y388">
        <f>IF(BD_Carga!X389&lt;&gt;"",BD_Carga!X389,0)</f>
        <v/>
      </c>
      <c r="Z388">
        <f>IF(BD_Carga!Y389&lt;&gt;"",BD_Carga!Y389,0)</f>
        <v/>
      </c>
      <c r="AA388">
        <f>IF(BD_Carga!Z389&lt;&gt;"",BD_Carga!Z389,0)</f>
        <v/>
      </c>
      <c r="AB388">
        <f>IF(BD_Carga!AA389&lt;&gt;"",BD_Carga!AA389,0)</f>
        <v/>
      </c>
      <c r="AC388" s="6">
        <f t="array" ref="AC388">IFERROR((L388-AVERAGEIF($G$2:$G$462,G388,$L$2:$L$462))/_xlfn.STDEV.P(IF($G$2:$G$462=G388,$L$2:$L$462)),0)</f>
        <v/>
      </c>
      <c r="AD388" s="6">
        <f t="array" ref="AD388">IFERROR((M388-AVERAGEIF($G$2:$G$462,G388,$M$2:$M$462))/_xlfn.STDEV.P(IF($G$2:$G$462=G388,$M$2:$M$462)),0)</f>
        <v/>
      </c>
      <c r="AE388" s="6">
        <f t="array" ref="AE388">IFERROR((N388-AVERAGEIF($G$2:$G$462,G388,$N$2:$N$462))/_xlfn.STDEV.P(IF($G$2:$G$462=G388,$N$2:$N$462)),0)</f>
        <v/>
      </c>
      <c r="AF388" s="6">
        <f t="array" ref="AF388">IFERROR((O388-AVERAGEIF($G$2:$G$462,G388,$O$2:$O$462))/_xlfn.STDEV.P(IF($G$2:$G$462=G388,$O$2:$O$462)),0)</f>
        <v/>
      </c>
      <c r="AG388" s="6">
        <f t="array" ref="AG388">IFERROR((P388-AVERAGEIF($G$2:$G$462,G388,$P$2:$P$462))/_xlfn.STDEV.P(IF($G$2:$G$462=G388,$P$2:$P$462)),0)</f>
        <v/>
      </c>
      <c r="AH388" s="6">
        <f t="array" ref="AH388">IFERROR((R388-AVERAGEIF($G$2:$G$462,G388,$R$2:$R$462))/_xlfn.STDEV.P(IF($G$2:$G$462=G388,$R$2:$R$462)),0)</f>
        <v/>
      </c>
      <c r="AI388" s="6">
        <f>IFERROR((AC388+AD388+AE388+AF388+AG388+AH388)/6,0)</f>
        <v/>
      </c>
    </row>
    <row r="389">
      <c r="A389" s="2">
        <f>IF(BD_Carga!A390&lt;&gt;"",BD_Carga!A390,"")</f>
        <v/>
      </c>
      <c r="B389">
        <f>IF(A389&lt;&gt;"",YEAR(A389),"")</f>
        <v/>
      </c>
      <c r="C389">
        <f>IF(A389&lt;&gt;"",MONTH(A389),"")</f>
        <v/>
      </c>
      <c r="D389">
        <f>IF(A389&lt;&gt;"",_xlfn.ISOWEEKNUM(A389),"")</f>
        <v/>
      </c>
      <c r="E389">
        <f>IF(A389&lt;&gt;"",TEXT(A389,"dddd"),"")</f>
        <v/>
      </c>
      <c r="F389">
        <f>IF(BD_Carga!C390&lt;&gt;"",BD_Carga!C390,"")</f>
        <v/>
      </c>
      <c r="G389">
        <f>IF(BD_Carga!D390&lt;&gt;"",BD_Carga!D390,"")</f>
        <v/>
      </c>
      <c r="H389">
        <f>IF(BD_Carga!Q390&lt;&gt;"",BD_Carga!Q390,"")</f>
        <v/>
      </c>
      <c r="I389">
        <f>IF(BD_Carga!R390&lt;&gt;"",BD_Carga!R390,"")</f>
        <v/>
      </c>
      <c r="J389">
        <f>IF(BD_Carga!S390&lt;&gt;"",BD_Carga!S390,"")</f>
        <v/>
      </c>
      <c r="K389" s="4">
        <f>IF(BD_Carga!E390&lt;&gt;"",BD_Carga!E390,0)</f>
        <v/>
      </c>
      <c r="L389" s="4">
        <f>IF(BD_Carga!F390&lt;&gt;"",BD_Carga!F390,0)</f>
        <v/>
      </c>
      <c r="M389" s="4">
        <f>IF(BD_Carga!G390&lt;&gt;"",BD_Carga!G390,0)</f>
        <v/>
      </c>
      <c r="N389" s="4">
        <f>IF(BD_Carga!H390&lt;&gt;"",BD_Carga!H390,0)</f>
        <v/>
      </c>
      <c r="O389" s="4">
        <f>IF(BD_Carga!I390&lt;&gt;"",BD_Carga!I390,0)</f>
        <v/>
      </c>
      <c r="P389" s="4">
        <f>IF(BD_Carga!J390&lt;&gt;"",BD_Carga!J390,0)</f>
        <v/>
      </c>
      <c r="Q389" s="5">
        <f>IF(BD_Carga!K390&lt;&gt;"",BD_Carga!K390,0)</f>
        <v/>
      </c>
      <c r="R389" s="5">
        <f>IF(BD_Carga!L390&lt;&gt;"",BD_Carga!L390,0)</f>
        <v/>
      </c>
      <c r="S389">
        <f>IF(BD_Carga!N390&lt;&gt;"",BD_Carga!N390,0)</f>
        <v/>
      </c>
      <c r="T389">
        <f>IF(BD_Carga!O390&lt;&gt;"",BD_Carga!O390,0)</f>
        <v/>
      </c>
      <c r="U389">
        <f>IF(BD_Carga!P390&lt;&gt;"",BD_Carga!P390,0)</f>
        <v/>
      </c>
      <c r="V389">
        <f>IF(BD_Carga!U390&lt;&gt;"",BD_Carga!U390,0)</f>
        <v/>
      </c>
      <c r="W389">
        <f>IF(BD_Carga!T390&lt;&gt;"",BD_Carga!T390,0)</f>
        <v/>
      </c>
      <c r="X389">
        <f>IF(BD_Carga!W390&lt;&gt;"",BD_Carga!W390,0)</f>
        <v/>
      </c>
      <c r="Y389">
        <f>IF(BD_Carga!X390&lt;&gt;"",BD_Carga!X390,0)</f>
        <v/>
      </c>
      <c r="Z389">
        <f>IF(BD_Carga!Y390&lt;&gt;"",BD_Carga!Y390,0)</f>
        <v/>
      </c>
      <c r="AA389">
        <f>IF(BD_Carga!Z390&lt;&gt;"",BD_Carga!Z390,0)</f>
        <v/>
      </c>
      <c r="AB389">
        <f>IF(BD_Carga!AA390&lt;&gt;"",BD_Carga!AA390,0)</f>
        <v/>
      </c>
      <c r="AC389" s="6">
        <f t="array" ref="AC389">IFERROR((L389-AVERAGEIF($G$2:$G$462,G389,$L$2:$L$462))/_xlfn.STDEV.P(IF($G$2:$G$462=G389,$L$2:$L$462)),0)</f>
        <v/>
      </c>
      <c r="AD389" s="6">
        <f t="array" ref="AD389">IFERROR((M389-AVERAGEIF($G$2:$G$462,G389,$M$2:$M$462))/_xlfn.STDEV.P(IF($G$2:$G$462=G389,$M$2:$M$462)),0)</f>
        <v/>
      </c>
      <c r="AE389" s="6">
        <f t="array" ref="AE389">IFERROR((N389-AVERAGEIF($G$2:$G$462,G389,$N$2:$N$462))/_xlfn.STDEV.P(IF($G$2:$G$462=G389,$N$2:$N$462)),0)</f>
        <v/>
      </c>
      <c r="AF389" s="6">
        <f t="array" ref="AF389">IFERROR((O389-AVERAGEIF($G$2:$G$462,G389,$O$2:$O$462))/_xlfn.STDEV.P(IF($G$2:$G$462=G389,$O$2:$O$462)),0)</f>
        <v/>
      </c>
      <c r="AG389" s="6">
        <f t="array" ref="AG389">IFERROR((P389-AVERAGEIF($G$2:$G$462,G389,$P$2:$P$462))/_xlfn.STDEV.P(IF($G$2:$G$462=G389,$P$2:$P$462)),0)</f>
        <v/>
      </c>
      <c r="AH389" s="6">
        <f t="array" ref="AH389">IFERROR((R389-AVERAGEIF($G$2:$G$462,G389,$R$2:$R$462))/_xlfn.STDEV.P(IF($G$2:$G$462=G389,$R$2:$R$462)),0)</f>
        <v/>
      </c>
      <c r="AI389" s="6">
        <f>IFERROR((AC389+AD389+AE389+AF389+AG389+AH389)/6,0)</f>
        <v/>
      </c>
    </row>
    <row r="390">
      <c r="A390" s="2">
        <f>IF(BD_Carga!A391&lt;&gt;"",BD_Carga!A391,"")</f>
        <v/>
      </c>
      <c r="B390">
        <f>IF(A390&lt;&gt;"",YEAR(A390),"")</f>
        <v/>
      </c>
      <c r="C390">
        <f>IF(A390&lt;&gt;"",MONTH(A390),"")</f>
        <v/>
      </c>
      <c r="D390">
        <f>IF(A390&lt;&gt;"",_xlfn.ISOWEEKNUM(A390),"")</f>
        <v/>
      </c>
      <c r="E390">
        <f>IF(A390&lt;&gt;"",TEXT(A390,"dddd"),"")</f>
        <v/>
      </c>
      <c r="F390">
        <f>IF(BD_Carga!C391&lt;&gt;"",BD_Carga!C391,"")</f>
        <v/>
      </c>
      <c r="G390">
        <f>IF(BD_Carga!D391&lt;&gt;"",BD_Carga!D391,"")</f>
        <v/>
      </c>
      <c r="H390">
        <f>IF(BD_Carga!Q391&lt;&gt;"",BD_Carga!Q391,"")</f>
        <v/>
      </c>
      <c r="I390">
        <f>IF(BD_Carga!R391&lt;&gt;"",BD_Carga!R391,"")</f>
        <v/>
      </c>
      <c r="J390">
        <f>IF(BD_Carga!S391&lt;&gt;"",BD_Carga!S391,"")</f>
        <v/>
      </c>
      <c r="K390" s="4">
        <f>IF(BD_Carga!E391&lt;&gt;"",BD_Carga!E391,0)</f>
        <v/>
      </c>
      <c r="L390" s="4">
        <f>IF(BD_Carga!F391&lt;&gt;"",BD_Carga!F391,0)</f>
        <v/>
      </c>
      <c r="M390" s="4">
        <f>IF(BD_Carga!G391&lt;&gt;"",BD_Carga!G391,0)</f>
        <v/>
      </c>
      <c r="N390" s="4">
        <f>IF(BD_Carga!H391&lt;&gt;"",BD_Carga!H391,0)</f>
        <v/>
      </c>
      <c r="O390" s="4">
        <f>IF(BD_Carga!I391&lt;&gt;"",BD_Carga!I391,0)</f>
        <v/>
      </c>
      <c r="P390" s="4">
        <f>IF(BD_Carga!J391&lt;&gt;"",BD_Carga!J391,0)</f>
        <v/>
      </c>
      <c r="Q390" s="5">
        <f>IF(BD_Carga!K391&lt;&gt;"",BD_Carga!K391,0)</f>
        <v/>
      </c>
      <c r="R390" s="5">
        <f>IF(BD_Carga!L391&lt;&gt;"",BD_Carga!L391,0)</f>
        <v/>
      </c>
      <c r="S390">
        <f>IF(BD_Carga!N391&lt;&gt;"",BD_Carga!N391,0)</f>
        <v/>
      </c>
      <c r="T390">
        <f>IF(BD_Carga!O391&lt;&gt;"",BD_Carga!O391,0)</f>
        <v/>
      </c>
      <c r="U390">
        <f>IF(BD_Carga!P391&lt;&gt;"",BD_Carga!P391,0)</f>
        <v/>
      </c>
      <c r="V390">
        <f>IF(BD_Carga!U391&lt;&gt;"",BD_Carga!U391,0)</f>
        <v/>
      </c>
      <c r="W390">
        <f>IF(BD_Carga!T391&lt;&gt;"",BD_Carga!T391,0)</f>
        <v/>
      </c>
      <c r="X390">
        <f>IF(BD_Carga!W391&lt;&gt;"",BD_Carga!W391,0)</f>
        <v/>
      </c>
      <c r="Y390">
        <f>IF(BD_Carga!X391&lt;&gt;"",BD_Carga!X391,0)</f>
        <v/>
      </c>
      <c r="Z390">
        <f>IF(BD_Carga!Y391&lt;&gt;"",BD_Carga!Y391,0)</f>
        <v/>
      </c>
      <c r="AA390">
        <f>IF(BD_Carga!Z391&lt;&gt;"",BD_Carga!Z391,0)</f>
        <v/>
      </c>
      <c r="AB390">
        <f>IF(BD_Carga!AA391&lt;&gt;"",BD_Carga!AA391,0)</f>
        <v/>
      </c>
      <c r="AC390" s="6">
        <f t="array" ref="AC390">IFERROR((L390-AVERAGEIF($G$2:$G$462,G390,$L$2:$L$462))/_xlfn.STDEV.P(IF($G$2:$G$462=G390,$L$2:$L$462)),0)</f>
        <v/>
      </c>
      <c r="AD390" s="6">
        <f t="array" ref="AD390">IFERROR((M390-AVERAGEIF($G$2:$G$462,G390,$M$2:$M$462))/_xlfn.STDEV.P(IF($G$2:$G$462=G390,$M$2:$M$462)),0)</f>
        <v/>
      </c>
      <c r="AE390" s="6">
        <f t="array" ref="AE390">IFERROR((N390-AVERAGEIF($G$2:$G$462,G390,$N$2:$N$462))/_xlfn.STDEV.P(IF($G$2:$G$462=G390,$N$2:$N$462)),0)</f>
        <v/>
      </c>
      <c r="AF390" s="6">
        <f t="array" ref="AF390">IFERROR((O390-AVERAGEIF($G$2:$G$462,G390,$O$2:$O$462))/_xlfn.STDEV.P(IF($G$2:$G$462=G390,$O$2:$O$462)),0)</f>
        <v/>
      </c>
      <c r="AG390" s="6">
        <f t="array" ref="AG390">IFERROR((P390-AVERAGEIF($G$2:$G$462,G390,$P$2:$P$462))/_xlfn.STDEV.P(IF($G$2:$G$462=G390,$P$2:$P$462)),0)</f>
        <v/>
      </c>
      <c r="AH390" s="6">
        <f t="array" ref="AH390">IFERROR((R390-AVERAGEIF($G$2:$G$462,G390,$R$2:$R$462))/_xlfn.STDEV.P(IF($G$2:$G$462=G390,$R$2:$R$462)),0)</f>
        <v/>
      </c>
      <c r="AI390" s="6">
        <f>IFERROR((AC390+AD390+AE390+AF390+AG390+AH390)/6,0)</f>
        <v/>
      </c>
    </row>
    <row r="391">
      <c r="A391" s="2">
        <f>IF(BD_Carga!A392&lt;&gt;"",BD_Carga!A392,"")</f>
        <v/>
      </c>
      <c r="B391">
        <f>IF(A391&lt;&gt;"",YEAR(A391),"")</f>
        <v/>
      </c>
      <c r="C391">
        <f>IF(A391&lt;&gt;"",MONTH(A391),"")</f>
        <v/>
      </c>
      <c r="D391">
        <f>IF(A391&lt;&gt;"",_xlfn.ISOWEEKNUM(A391),"")</f>
        <v/>
      </c>
      <c r="E391">
        <f>IF(A391&lt;&gt;"",TEXT(A391,"dddd"),"")</f>
        <v/>
      </c>
      <c r="F391">
        <f>IF(BD_Carga!C392&lt;&gt;"",BD_Carga!C392,"")</f>
        <v/>
      </c>
      <c r="G391">
        <f>IF(BD_Carga!D392&lt;&gt;"",BD_Carga!D392,"")</f>
        <v/>
      </c>
      <c r="H391">
        <f>IF(BD_Carga!Q392&lt;&gt;"",BD_Carga!Q392,"")</f>
        <v/>
      </c>
      <c r="I391">
        <f>IF(BD_Carga!R392&lt;&gt;"",BD_Carga!R392,"")</f>
        <v/>
      </c>
      <c r="J391">
        <f>IF(BD_Carga!S392&lt;&gt;"",BD_Carga!S392,"")</f>
        <v/>
      </c>
      <c r="K391" s="4">
        <f>IF(BD_Carga!E392&lt;&gt;"",BD_Carga!E392,0)</f>
        <v/>
      </c>
      <c r="L391" s="4">
        <f>IF(BD_Carga!F392&lt;&gt;"",BD_Carga!F392,0)</f>
        <v/>
      </c>
      <c r="M391" s="4">
        <f>IF(BD_Carga!G392&lt;&gt;"",BD_Carga!G392,0)</f>
        <v/>
      </c>
      <c r="N391" s="4">
        <f>IF(BD_Carga!H392&lt;&gt;"",BD_Carga!H392,0)</f>
        <v/>
      </c>
      <c r="O391" s="4">
        <f>IF(BD_Carga!I392&lt;&gt;"",BD_Carga!I392,0)</f>
        <v/>
      </c>
      <c r="P391" s="4">
        <f>IF(BD_Carga!J392&lt;&gt;"",BD_Carga!J392,0)</f>
        <v/>
      </c>
      <c r="Q391" s="5">
        <f>IF(BD_Carga!K392&lt;&gt;"",BD_Carga!K392,0)</f>
        <v/>
      </c>
      <c r="R391" s="5">
        <f>IF(BD_Carga!L392&lt;&gt;"",BD_Carga!L392,0)</f>
        <v/>
      </c>
      <c r="S391">
        <f>IF(BD_Carga!N392&lt;&gt;"",BD_Carga!N392,0)</f>
        <v/>
      </c>
      <c r="T391">
        <f>IF(BD_Carga!O392&lt;&gt;"",BD_Carga!O392,0)</f>
        <v/>
      </c>
      <c r="U391">
        <f>IF(BD_Carga!P392&lt;&gt;"",BD_Carga!P392,0)</f>
        <v/>
      </c>
      <c r="V391">
        <f>IF(BD_Carga!U392&lt;&gt;"",BD_Carga!U392,0)</f>
        <v/>
      </c>
      <c r="W391">
        <f>IF(BD_Carga!T392&lt;&gt;"",BD_Carga!T392,0)</f>
        <v/>
      </c>
      <c r="X391">
        <f>IF(BD_Carga!W392&lt;&gt;"",BD_Carga!W392,0)</f>
        <v/>
      </c>
      <c r="Y391">
        <f>IF(BD_Carga!X392&lt;&gt;"",BD_Carga!X392,0)</f>
        <v/>
      </c>
      <c r="Z391">
        <f>IF(BD_Carga!Y392&lt;&gt;"",BD_Carga!Y392,0)</f>
        <v/>
      </c>
      <c r="AA391">
        <f>IF(BD_Carga!Z392&lt;&gt;"",BD_Carga!Z392,0)</f>
        <v/>
      </c>
      <c r="AB391">
        <f>IF(BD_Carga!AA392&lt;&gt;"",BD_Carga!AA392,0)</f>
        <v/>
      </c>
      <c r="AC391" s="6">
        <f t="array" ref="AC391">IFERROR((L391-AVERAGEIF($G$2:$G$462,G391,$L$2:$L$462))/_xlfn.STDEV.P(IF($G$2:$G$462=G391,$L$2:$L$462)),0)</f>
        <v/>
      </c>
      <c r="AD391" s="6">
        <f t="array" ref="AD391">IFERROR((M391-AVERAGEIF($G$2:$G$462,G391,$M$2:$M$462))/_xlfn.STDEV.P(IF($G$2:$G$462=G391,$M$2:$M$462)),0)</f>
        <v/>
      </c>
      <c r="AE391" s="6">
        <f t="array" ref="AE391">IFERROR((N391-AVERAGEIF($G$2:$G$462,G391,$N$2:$N$462))/_xlfn.STDEV.P(IF($G$2:$G$462=G391,$N$2:$N$462)),0)</f>
        <v/>
      </c>
      <c r="AF391" s="6">
        <f t="array" ref="AF391">IFERROR((O391-AVERAGEIF($G$2:$G$462,G391,$O$2:$O$462))/_xlfn.STDEV.P(IF($G$2:$G$462=G391,$O$2:$O$462)),0)</f>
        <v/>
      </c>
      <c r="AG391" s="6">
        <f t="array" ref="AG391">IFERROR((P391-AVERAGEIF($G$2:$G$462,G391,$P$2:$P$462))/_xlfn.STDEV.P(IF($G$2:$G$462=G391,$P$2:$P$462)),0)</f>
        <v/>
      </c>
      <c r="AH391" s="6">
        <f t="array" ref="AH391">IFERROR((R391-AVERAGEIF($G$2:$G$462,G391,$R$2:$R$462))/_xlfn.STDEV.P(IF($G$2:$G$462=G391,$R$2:$R$462)),0)</f>
        <v/>
      </c>
      <c r="AI391" s="6">
        <f>IFERROR((AC391+AD391+AE391+AF391+AG391+AH391)/6,0)</f>
        <v/>
      </c>
    </row>
    <row r="392">
      <c r="A392" s="2">
        <f>IF(BD_Carga!A393&lt;&gt;"",BD_Carga!A393,"")</f>
        <v/>
      </c>
      <c r="B392">
        <f>IF(A392&lt;&gt;"",YEAR(A392),"")</f>
        <v/>
      </c>
      <c r="C392">
        <f>IF(A392&lt;&gt;"",MONTH(A392),"")</f>
        <v/>
      </c>
      <c r="D392">
        <f>IF(A392&lt;&gt;"",_xlfn.ISOWEEKNUM(A392),"")</f>
        <v/>
      </c>
      <c r="E392">
        <f>IF(A392&lt;&gt;"",TEXT(A392,"dddd"),"")</f>
        <v/>
      </c>
      <c r="F392">
        <f>IF(BD_Carga!C393&lt;&gt;"",BD_Carga!C393,"")</f>
        <v/>
      </c>
      <c r="G392">
        <f>IF(BD_Carga!D393&lt;&gt;"",BD_Carga!D393,"")</f>
        <v/>
      </c>
      <c r="H392">
        <f>IF(BD_Carga!Q393&lt;&gt;"",BD_Carga!Q393,"")</f>
        <v/>
      </c>
      <c r="I392">
        <f>IF(BD_Carga!R393&lt;&gt;"",BD_Carga!R393,"")</f>
        <v/>
      </c>
      <c r="J392">
        <f>IF(BD_Carga!S393&lt;&gt;"",BD_Carga!S393,"")</f>
        <v/>
      </c>
      <c r="K392" s="4">
        <f>IF(BD_Carga!E393&lt;&gt;"",BD_Carga!E393,0)</f>
        <v/>
      </c>
      <c r="L392" s="4">
        <f>IF(BD_Carga!F393&lt;&gt;"",BD_Carga!F393,0)</f>
        <v/>
      </c>
      <c r="M392" s="4">
        <f>IF(BD_Carga!G393&lt;&gt;"",BD_Carga!G393,0)</f>
        <v/>
      </c>
      <c r="N392" s="4">
        <f>IF(BD_Carga!H393&lt;&gt;"",BD_Carga!H393,0)</f>
        <v/>
      </c>
      <c r="O392" s="4">
        <f>IF(BD_Carga!I393&lt;&gt;"",BD_Carga!I393,0)</f>
        <v/>
      </c>
      <c r="P392" s="4">
        <f>IF(BD_Carga!J393&lt;&gt;"",BD_Carga!J393,0)</f>
        <v/>
      </c>
      <c r="Q392" s="5">
        <f>IF(BD_Carga!K393&lt;&gt;"",BD_Carga!K393,0)</f>
        <v/>
      </c>
      <c r="R392" s="5">
        <f>IF(BD_Carga!L393&lt;&gt;"",BD_Carga!L393,0)</f>
        <v/>
      </c>
      <c r="S392">
        <f>IF(BD_Carga!N393&lt;&gt;"",BD_Carga!N393,0)</f>
        <v/>
      </c>
      <c r="T392">
        <f>IF(BD_Carga!O393&lt;&gt;"",BD_Carga!O393,0)</f>
        <v/>
      </c>
      <c r="U392">
        <f>IF(BD_Carga!P393&lt;&gt;"",BD_Carga!P393,0)</f>
        <v/>
      </c>
      <c r="V392">
        <f>IF(BD_Carga!U393&lt;&gt;"",BD_Carga!U393,0)</f>
        <v/>
      </c>
      <c r="W392">
        <f>IF(BD_Carga!T393&lt;&gt;"",BD_Carga!T393,0)</f>
        <v/>
      </c>
      <c r="X392">
        <f>IF(BD_Carga!W393&lt;&gt;"",BD_Carga!W393,0)</f>
        <v/>
      </c>
      <c r="Y392">
        <f>IF(BD_Carga!X393&lt;&gt;"",BD_Carga!X393,0)</f>
        <v/>
      </c>
      <c r="Z392">
        <f>IF(BD_Carga!Y393&lt;&gt;"",BD_Carga!Y393,0)</f>
        <v/>
      </c>
      <c r="AA392">
        <f>IF(BD_Carga!Z393&lt;&gt;"",BD_Carga!Z393,0)</f>
        <v/>
      </c>
      <c r="AB392">
        <f>IF(BD_Carga!AA393&lt;&gt;"",BD_Carga!AA393,0)</f>
        <v/>
      </c>
      <c r="AC392" s="6">
        <f t="array" ref="AC392">IFERROR((L392-AVERAGEIF($G$2:$G$462,G392,$L$2:$L$462))/_xlfn.STDEV.P(IF($G$2:$G$462=G392,$L$2:$L$462)),0)</f>
        <v/>
      </c>
      <c r="AD392" s="6">
        <f t="array" ref="AD392">IFERROR((M392-AVERAGEIF($G$2:$G$462,G392,$M$2:$M$462))/_xlfn.STDEV.P(IF($G$2:$G$462=G392,$M$2:$M$462)),0)</f>
        <v/>
      </c>
      <c r="AE392" s="6">
        <f t="array" ref="AE392">IFERROR((N392-AVERAGEIF($G$2:$G$462,G392,$N$2:$N$462))/_xlfn.STDEV.P(IF($G$2:$G$462=G392,$N$2:$N$462)),0)</f>
        <v/>
      </c>
      <c r="AF392" s="6">
        <f t="array" ref="AF392">IFERROR((O392-AVERAGEIF($G$2:$G$462,G392,$O$2:$O$462))/_xlfn.STDEV.P(IF($G$2:$G$462=G392,$O$2:$O$462)),0)</f>
        <v/>
      </c>
      <c r="AG392" s="6">
        <f t="array" ref="AG392">IFERROR((P392-AVERAGEIF($G$2:$G$462,G392,$P$2:$P$462))/_xlfn.STDEV.P(IF($G$2:$G$462=G392,$P$2:$P$462)),0)</f>
        <v/>
      </c>
      <c r="AH392" s="6">
        <f t="array" ref="AH392">IFERROR((R392-AVERAGEIF($G$2:$G$462,G392,$R$2:$R$462))/_xlfn.STDEV.P(IF($G$2:$G$462=G392,$R$2:$R$462)),0)</f>
        <v/>
      </c>
      <c r="AI392" s="6">
        <f>IFERROR((AC392+AD392+AE392+AF392+AG392+AH392)/6,0)</f>
        <v/>
      </c>
    </row>
    <row r="393">
      <c r="A393" s="2">
        <f>IF(BD_Carga!A394&lt;&gt;"",BD_Carga!A394,"")</f>
        <v/>
      </c>
      <c r="B393">
        <f>IF(A393&lt;&gt;"",YEAR(A393),"")</f>
        <v/>
      </c>
      <c r="C393">
        <f>IF(A393&lt;&gt;"",MONTH(A393),"")</f>
        <v/>
      </c>
      <c r="D393">
        <f>IF(A393&lt;&gt;"",_xlfn.ISOWEEKNUM(A393),"")</f>
        <v/>
      </c>
      <c r="E393">
        <f>IF(A393&lt;&gt;"",TEXT(A393,"dddd"),"")</f>
        <v/>
      </c>
      <c r="F393">
        <f>IF(BD_Carga!C394&lt;&gt;"",BD_Carga!C394,"")</f>
        <v/>
      </c>
      <c r="G393">
        <f>IF(BD_Carga!D394&lt;&gt;"",BD_Carga!D394,"")</f>
        <v/>
      </c>
      <c r="H393">
        <f>IF(BD_Carga!Q394&lt;&gt;"",BD_Carga!Q394,"")</f>
        <v/>
      </c>
      <c r="I393">
        <f>IF(BD_Carga!R394&lt;&gt;"",BD_Carga!R394,"")</f>
        <v/>
      </c>
      <c r="J393">
        <f>IF(BD_Carga!S394&lt;&gt;"",BD_Carga!S394,"")</f>
        <v/>
      </c>
      <c r="K393" s="4">
        <f>IF(BD_Carga!E394&lt;&gt;"",BD_Carga!E394,0)</f>
        <v/>
      </c>
      <c r="L393" s="4">
        <f>IF(BD_Carga!F394&lt;&gt;"",BD_Carga!F394,0)</f>
        <v/>
      </c>
      <c r="M393" s="4">
        <f>IF(BD_Carga!G394&lt;&gt;"",BD_Carga!G394,0)</f>
        <v/>
      </c>
      <c r="N393" s="4">
        <f>IF(BD_Carga!H394&lt;&gt;"",BD_Carga!H394,0)</f>
        <v/>
      </c>
      <c r="O393" s="4">
        <f>IF(BD_Carga!I394&lt;&gt;"",BD_Carga!I394,0)</f>
        <v/>
      </c>
      <c r="P393" s="4">
        <f>IF(BD_Carga!J394&lt;&gt;"",BD_Carga!J394,0)</f>
        <v/>
      </c>
      <c r="Q393" s="5">
        <f>IF(BD_Carga!K394&lt;&gt;"",BD_Carga!K394,0)</f>
        <v/>
      </c>
      <c r="R393" s="5">
        <f>IF(BD_Carga!L394&lt;&gt;"",BD_Carga!L394,0)</f>
        <v/>
      </c>
      <c r="S393">
        <f>IF(BD_Carga!N394&lt;&gt;"",BD_Carga!N394,0)</f>
        <v/>
      </c>
      <c r="T393">
        <f>IF(BD_Carga!O394&lt;&gt;"",BD_Carga!O394,0)</f>
        <v/>
      </c>
      <c r="U393">
        <f>IF(BD_Carga!P394&lt;&gt;"",BD_Carga!P394,0)</f>
        <v/>
      </c>
      <c r="V393">
        <f>IF(BD_Carga!U394&lt;&gt;"",BD_Carga!U394,0)</f>
        <v/>
      </c>
      <c r="W393">
        <f>IF(BD_Carga!T394&lt;&gt;"",BD_Carga!T394,0)</f>
        <v/>
      </c>
      <c r="X393">
        <f>IF(BD_Carga!W394&lt;&gt;"",BD_Carga!W394,0)</f>
        <v/>
      </c>
      <c r="Y393">
        <f>IF(BD_Carga!X394&lt;&gt;"",BD_Carga!X394,0)</f>
        <v/>
      </c>
      <c r="Z393">
        <f>IF(BD_Carga!Y394&lt;&gt;"",BD_Carga!Y394,0)</f>
        <v/>
      </c>
      <c r="AA393">
        <f>IF(BD_Carga!Z394&lt;&gt;"",BD_Carga!Z394,0)</f>
        <v/>
      </c>
      <c r="AB393">
        <f>IF(BD_Carga!AA394&lt;&gt;"",BD_Carga!AA394,0)</f>
        <v/>
      </c>
      <c r="AC393" s="6">
        <f t="array" ref="AC393">IFERROR((L393-AVERAGEIF($G$2:$G$462,G393,$L$2:$L$462))/_xlfn.STDEV.P(IF($G$2:$G$462=G393,$L$2:$L$462)),0)</f>
        <v/>
      </c>
      <c r="AD393" s="6">
        <f t="array" ref="AD393">IFERROR((M393-AVERAGEIF($G$2:$G$462,G393,$M$2:$M$462))/_xlfn.STDEV.P(IF($G$2:$G$462=G393,$M$2:$M$462)),0)</f>
        <v/>
      </c>
      <c r="AE393" s="6">
        <f t="array" ref="AE393">IFERROR((N393-AVERAGEIF($G$2:$G$462,G393,$N$2:$N$462))/_xlfn.STDEV.P(IF($G$2:$G$462=G393,$N$2:$N$462)),0)</f>
        <v/>
      </c>
      <c r="AF393" s="6">
        <f t="array" ref="AF393">IFERROR((O393-AVERAGEIF($G$2:$G$462,G393,$O$2:$O$462))/_xlfn.STDEV.P(IF($G$2:$G$462=G393,$O$2:$O$462)),0)</f>
        <v/>
      </c>
      <c r="AG393" s="6">
        <f t="array" ref="AG393">IFERROR((P393-AVERAGEIF($G$2:$G$462,G393,$P$2:$P$462))/_xlfn.STDEV.P(IF($G$2:$G$462=G393,$P$2:$P$462)),0)</f>
        <v/>
      </c>
      <c r="AH393" s="6">
        <f t="array" ref="AH393">IFERROR((R393-AVERAGEIF($G$2:$G$462,G393,$R$2:$R$462))/_xlfn.STDEV.P(IF($G$2:$G$462=G393,$R$2:$R$462)),0)</f>
        <v/>
      </c>
      <c r="AI393" s="6">
        <f>IFERROR((AC393+AD393+AE393+AF393+AG393+AH393)/6,0)</f>
        <v/>
      </c>
    </row>
    <row r="394">
      <c r="A394" s="2">
        <f>IF(BD_Carga!A395&lt;&gt;"",BD_Carga!A395,"")</f>
        <v/>
      </c>
      <c r="B394">
        <f>IF(A394&lt;&gt;"",YEAR(A394),"")</f>
        <v/>
      </c>
      <c r="C394">
        <f>IF(A394&lt;&gt;"",MONTH(A394),"")</f>
        <v/>
      </c>
      <c r="D394">
        <f>IF(A394&lt;&gt;"",_xlfn.ISOWEEKNUM(A394),"")</f>
        <v/>
      </c>
      <c r="E394">
        <f>IF(A394&lt;&gt;"",TEXT(A394,"dddd"),"")</f>
        <v/>
      </c>
      <c r="F394">
        <f>IF(BD_Carga!C395&lt;&gt;"",BD_Carga!C395,"")</f>
        <v/>
      </c>
      <c r="G394">
        <f>IF(BD_Carga!D395&lt;&gt;"",BD_Carga!D395,"")</f>
        <v/>
      </c>
      <c r="H394">
        <f>IF(BD_Carga!Q395&lt;&gt;"",BD_Carga!Q395,"")</f>
        <v/>
      </c>
      <c r="I394">
        <f>IF(BD_Carga!R395&lt;&gt;"",BD_Carga!R395,"")</f>
        <v/>
      </c>
      <c r="J394">
        <f>IF(BD_Carga!S395&lt;&gt;"",BD_Carga!S395,"")</f>
        <v/>
      </c>
      <c r="K394" s="4">
        <f>IF(BD_Carga!E395&lt;&gt;"",BD_Carga!E395,0)</f>
        <v/>
      </c>
      <c r="L394" s="4">
        <f>IF(BD_Carga!F395&lt;&gt;"",BD_Carga!F395,0)</f>
        <v/>
      </c>
      <c r="M394" s="4">
        <f>IF(BD_Carga!G395&lt;&gt;"",BD_Carga!G395,0)</f>
        <v/>
      </c>
      <c r="N394" s="4">
        <f>IF(BD_Carga!H395&lt;&gt;"",BD_Carga!H395,0)</f>
        <v/>
      </c>
      <c r="O394" s="4">
        <f>IF(BD_Carga!I395&lt;&gt;"",BD_Carga!I395,0)</f>
        <v/>
      </c>
      <c r="P394" s="4">
        <f>IF(BD_Carga!J395&lt;&gt;"",BD_Carga!J395,0)</f>
        <v/>
      </c>
      <c r="Q394" s="5">
        <f>IF(BD_Carga!K395&lt;&gt;"",BD_Carga!K395,0)</f>
        <v/>
      </c>
      <c r="R394" s="5">
        <f>IF(BD_Carga!L395&lt;&gt;"",BD_Carga!L395,0)</f>
        <v/>
      </c>
      <c r="S394">
        <f>IF(BD_Carga!N395&lt;&gt;"",BD_Carga!N395,0)</f>
        <v/>
      </c>
      <c r="T394">
        <f>IF(BD_Carga!O395&lt;&gt;"",BD_Carga!O395,0)</f>
        <v/>
      </c>
      <c r="U394">
        <f>IF(BD_Carga!P395&lt;&gt;"",BD_Carga!P395,0)</f>
        <v/>
      </c>
      <c r="V394">
        <f>IF(BD_Carga!U395&lt;&gt;"",BD_Carga!U395,0)</f>
        <v/>
      </c>
      <c r="W394">
        <f>IF(BD_Carga!T395&lt;&gt;"",BD_Carga!T395,0)</f>
        <v/>
      </c>
      <c r="X394">
        <f>IF(BD_Carga!W395&lt;&gt;"",BD_Carga!W395,0)</f>
        <v/>
      </c>
      <c r="Y394">
        <f>IF(BD_Carga!X395&lt;&gt;"",BD_Carga!X395,0)</f>
        <v/>
      </c>
      <c r="Z394">
        <f>IF(BD_Carga!Y395&lt;&gt;"",BD_Carga!Y395,0)</f>
        <v/>
      </c>
      <c r="AA394">
        <f>IF(BD_Carga!Z395&lt;&gt;"",BD_Carga!Z395,0)</f>
        <v/>
      </c>
      <c r="AB394">
        <f>IF(BD_Carga!AA395&lt;&gt;"",BD_Carga!AA395,0)</f>
        <v/>
      </c>
      <c r="AC394" s="6">
        <f t="array" ref="AC394">IFERROR((L394-AVERAGEIF($G$2:$G$462,G394,$L$2:$L$462))/_xlfn.STDEV.P(IF($G$2:$G$462=G394,$L$2:$L$462)),0)</f>
        <v/>
      </c>
      <c r="AD394" s="6">
        <f t="array" ref="AD394">IFERROR((M394-AVERAGEIF($G$2:$G$462,G394,$M$2:$M$462))/_xlfn.STDEV.P(IF($G$2:$G$462=G394,$M$2:$M$462)),0)</f>
        <v/>
      </c>
      <c r="AE394" s="6">
        <f t="array" ref="AE394">IFERROR((N394-AVERAGEIF($G$2:$G$462,G394,$N$2:$N$462))/_xlfn.STDEV.P(IF($G$2:$G$462=G394,$N$2:$N$462)),0)</f>
        <v/>
      </c>
      <c r="AF394" s="6">
        <f t="array" ref="AF394">IFERROR((O394-AVERAGEIF($G$2:$G$462,G394,$O$2:$O$462))/_xlfn.STDEV.P(IF($G$2:$G$462=G394,$O$2:$O$462)),0)</f>
        <v/>
      </c>
      <c r="AG394" s="6">
        <f t="array" ref="AG394">IFERROR((P394-AVERAGEIF($G$2:$G$462,G394,$P$2:$P$462))/_xlfn.STDEV.P(IF($G$2:$G$462=G394,$P$2:$P$462)),0)</f>
        <v/>
      </c>
      <c r="AH394" s="6">
        <f t="array" ref="AH394">IFERROR((R394-AVERAGEIF($G$2:$G$462,G394,$R$2:$R$462))/_xlfn.STDEV.P(IF($G$2:$G$462=G394,$R$2:$R$462)),0)</f>
        <v/>
      </c>
      <c r="AI394" s="6">
        <f>IFERROR((AC394+AD394+AE394+AF394+AG394+AH394)/6,0)</f>
        <v/>
      </c>
    </row>
    <row r="395">
      <c r="A395" s="2">
        <f>IF(BD_Carga!A396&lt;&gt;"",BD_Carga!A396,"")</f>
        <v/>
      </c>
      <c r="B395">
        <f>IF(A395&lt;&gt;"",YEAR(A395),"")</f>
        <v/>
      </c>
      <c r="C395">
        <f>IF(A395&lt;&gt;"",MONTH(A395),"")</f>
        <v/>
      </c>
      <c r="D395">
        <f>IF(A395&lt;&gt;"",_xlfn.ISOWEEKNUM(A395),"")</f>
        <v/>
      </c>
      <c r="E395">
        <f>IF(A395&lt;&gt;"",TEXT(A395,"dddd"),"")</f>
        <v/>
      </c>
      <c r="F395">
        <f>IF(BD_Carga!C396&lt;&gt;"",BD_Carga!C396,"")</f>
        <v/>
      </c>
      <c r="G395">
        <f>IF(BD_Carga!D396&lt;&gt;"",BD_Carga!D396,"")</f>
        <v/>
      </c>
      <c r="H395">
        <f>IF(BD_Carga!Q396&lt;&gt;"",BD_Carga!Q396,"")</f>
        <v/>
      </c>
      <c r="I395">
        <f>IF(BD_Carga!R396&lt;&gt;"",BD_Carga!R396,"")</f>
        <v/>
      </c>
      <c r="J395">
        <f>IF(BD_Carga!S396&lt;&gt;"",BD_Carga!S396,"")</f>
        <v/>
      </c>
      <c r="K395" s="4">
        <f>IF(BD_Carga!E396&lt;&gt;"",BD_Carga!E396,0)</f>
        <v/>
      </c>
      <c r="L395" s="4">
        <f>IF(BD_Carga!F396&lt;&gt;"",BD_Carga!F396,0)</f>
        <v/>
      </c>
      <c r="M395" s="4">
        <f>IF(BD_Carga!G396&lt;&gt;"",BD_Carga!G396,0)</f>
        <v/>
      </c>
      <c r="N395" s="4">
        <f>IF(BD_Carga!H396&lt;&gt;"",BD_Carga!H396,0)</f>
        <v/>
      </c>
      <c r="O395" s="4">
        <f>IF(BD_Carga!I396&lt;&gt;"",BD_Carga!I396,0)</f>
        <v/>
      </c>
      <c r="P395" s="4">
        <f>IF(BD_Carga!J396&lt;&gt;"",BD_Carga!J396,0)</f>
        <v/>
      </c>
      <c r="Q395" s="5">
        <f>IF(BD_Carga!K396&lt;&gt;"",BD_Carga!K396,0)</f>
        <v/>
      </c>
      <c r="R395" s="5">
        <f>IF(BD_Carga!L396&lt;&gt;"",BD_Carga!L396,0)</f>
        <v/>
      </c>
      <c r="S395">
        <f>IF(BD_Carga!N396&lt;&gt;"",BD_Carga!N396,0)</f>
        <v/>
      </c>
      <c r="T395">
        <f>IF(BD_Carga!O396&lt;&gt;"",BD_Carga!O396,0)</f>
        <v/>
      </c>
      <c r="U395">
        <f>IF(BD_Carga!P396&lt;&gt;"",BD_Carga!P396,0)</f>
        <v/>
      </c>
      <c r="V395">
        <f>IF(BD_Carga!U396&lt;&gt;"",BD_Carga!U396,0)</f>
        <v/>
      </c>
      <c r="W395">
        <f>IF(BD_Carga!T396&lt;&gt;"",BD_Carga!T396,0)</f>
        <v/>
      </c>
      <c r="X395">
        <f>IF(BD_Carga!W396&lt;&gt;"",BD_Carga!W396,0)</f>
        <v/>
      </c>
      <c r="Y395">
        <f>IF(BD_Carga!X396&lt;&gt;"",BD_Carga!X396,0)</f>
        <v/>
      </c>
      <c r="Z395">
        <f>IF(BD_Carga!Y396&lt;&gt;"",BD_Carga!Y396,0)</f>
        <v/>
      </c>
      <c r="AA395">
        <f>IF(BD_Carga!Z396&lt;&gt;"",BD_Carga!Z396,0)</f>
        <v/>
      </c>
      <c r="AB395">
        <f>IF(BD_Carga!AA396&lt;&gt;"",BD_Carga!AA396,0)</f>
        <v/>
      </c>
      <c r="AC395" s="6">
        <f t="array" ref="AC395">IFERROR((L395-AVERAGEIF($G$2:$G$462,G395,$L$2:$L$462))/_xlfn.STDEV.P(IF($G$2:$G$462=G395,$L$2:$L$462)),0)</f>
        <v/>
      </c>
      <c r="AD395" s="6">
        <f t="array" ref="AD395">IFERROR((M395-AVERAGEIF($G$2:$G$462,G395,$M$2:$M$462))/_xlfn.STDEV.P(IF($G$2:$G$462=G395,$M$2:$M$462)),0)</f>
        <v/>
      </c>
      <c r="AE395" s="6">
        <f t="array" ref="AE395">IFERROR((N395-AVERAGEIF($G$2:$G$462,G395,$N$2:$N$462))/_xlfn.STDEV.P(IF($G$2:$G$462=G395,$N$2:$N$462)),0)</f>
        <v/>
      </c>
      <c r="AF395" s="6">
        <f t="array" ref="AF395">IFERROR((O395-AVERAGEIF($G$2:$G$462,G395,$O$2:$O$462))/_xlfn.STDEV.P(IF($G$2:$G$462=G395,$O$2:$O$462)),0)</f>
        <v/>
      </c>
      <c r="AG395" s="6">
        <f t="array" ref="AG395">IFERROR((P395-AVERAGEIF($G$2:$G$462,G395,$P$2:$P$462))/_xlfn.STDEV.P(IF($G$2:$G$462=G395,$P$2:$P$462)),0)</f>
        <v/>
      </c>
      <c r="AH395" s="6">
        <f t="array" ref="AH395">IFERROR((R395-AVERAGEIF($G$2:$G$462,G395,$R$2:$R$462))/_xlfn.STDEV.P(IF($G$2:$G$462=G395,$R$2:$R$462)),0)</f>
        <v/>
      </c>
      <c r="AI395" s="6">
        <f>IFERROR((AC395+AD395+AE395+AF395+AG395+AH395)/6,0)</f>
        <v/>
      </c>
    </row>
    <row r="396">
      <c r="A396" s="2">
        <f>IF(BD_Carga!A397&lt;&gt;"",BD_Carga!A397,"")</f>
        <v/>
      </c>
      <c r="B396">
        <f>IF(A396&lt;&gt;"",YEAR(A396),"")</f>
        <v/>
      </c>
      <c r="C396">
        <f>IF(A396&lt;&gt;"",MONTH(A396),"")</f>
        <v/>
      </c>
      <c r="D396">
        <f>IF(A396&lt;&gt;"",_xlfn.ISOWEEKNUM(A396),"")</f>
        <v/>
      </c>
      <c r="E396">
        <f>IF(A396&lt;&gt;"",TEXT(A396,"dddd"),"")</f>
        <v/>
      </c>
      <c r="F396">
        <f>IF(BD_Carga!C397&lt;&gt;"",BD_Carga!C397,"")</f>
        <v/>
      </c>
      <c r="G396">
        <f>IF(BD_Carga!D397&lt;&gt;"",BD_Carga!D397,"")</f>
        <v/>
      </c>
      <c r="H396">
        <f>IF(BD_Carga!Q397&lt;&gt;"",BD_Carga!Q397,"")</f>
        <v/>
      </c>
      <c r="I396">
        <f>IF(BD_Carga!R397&lt;&gt;"",BD_Carga!R397,"")</f>
        <v/>
      </c>
      <c r="J396">
        <f>IF(BD_Carga!S397&lt;&gt;"",BD_Carga!S397,"")</f>
        <v/>
      </c>
      <c r="K396" s="4">
        <f>IF(BD_Carga!E397&lt;&gt;"",BD_Carga!E397,0)</f>
        <v/>
      </c>
      <c r="L396" s="4">
        <f>IF(BD_Carga!F397&lt;&gt;"",BD_Carga!F397,0)</f>
        <v/>
      </c>
      <c r="M396" s="4">
        <f>IF(BD_Carga!G397&lt;&gt;"",BD_Carga!G397,0)</f>
        <v/>
      </c>
      <c r="N396" s="4">
        <f>IF(BD_Carga!H397&lt;&gt;"",BD_Carga!H397,0)</f>
        <v/>
      </c>
      <c r="O396" s="4">
        <f>IF(BD_Carga!I397&lt;&gt;"",BD_Carga!I397,0)</f>
        <v/>
      </c>
      <c r="P396" s="4">
        <f>IF(BD_Carga!J397&lt;&gt;"",BD_Carga!J397,0)</f>
        <v/>
      </c>
      <c r="Q396" s="5">
        <f>IF(BD_Carga!K397&lt;&gt;"",BD_Carga!K397,0)</f>
        <v/>
      </c>
      <c r="R396" s="5">
        <f>IF(BD_Carga!L397&lt;&gt;"",BD_Carga!L397,0)</f>
        <v/>
      </c>
      <c r="S396">
        <f>IF(BD_Carga!N397&lt;&gt;"",BD_Carga!N397,0)</f>
        <v/>
      </c>
      <c r="T396">
        <f>IF(BD_Carga!O397&lt;&gt;"",BD_Carga!O397,0)</f>
        <v/>
      </c>
      <c r="U396">
        <f>IF(BD_Carga!P397&lt;&gt;"",BD_Carga!P397,0)</f>
        <v/>
      </c>
      <c r="V396">
        <f>IF(BD_Carga!U397&lt;&gt;"",BD_Carga!U397,0)</f>
        <v/>
      </c>
      <c r="W396">
        <f>IF(BD_Carga!T397&lt;&gt;"",BD_Carga!T397,0)</f>
        <v/>
      </c>
      <c r="X396">
        <f>IF(BD_Carga!W397&lt;&gt;"",BD_Carga!W397,0)</f>
        <v/>
      </c>
      <c r="Y396">
        <f>IF(BD_Carga!X397&lt;&gt;"",BD_Carga!X397,0)</f>
        <v/>
      </c>
      <c r="Z396">
        <f>IF(BD_Carga!Y397&lt;&gt;"",BD_Carga!Y397,0)</f>
        <v/>
      </c>
      <c r="AA396">
        <f>IF(BD_Carga!Z397&lt;&gt;"",BD_Carga!Z397,0)</f>
        <v/>
      </c>
      <c r="AB396">
        <f>IF(BD_Carga!AA397&lt;&gt;"",BD_Carga!AA397,0)</f>
        <v/>
      </c>
      <c r="AC396" s="6">
        <f t="array" ref="AC396">IFERROR((L396-AVERAGEIF($G$2:$G$462,G396,$L$2:$L$462))/_xlfn.STDEV.P(IF($G$2:$G$462=G396,$L$2:$L$462)),0)</f>
        <v/>
      </c>
      <c r="AD396" s="6">
        <f t="array" ref="AD396">IFERROR((M396-AVERAGEIF($G$2:$G$462,G396,$M$2:$M$462))/_xlfn.STDEV.P(IF($G$2:$G$462=G396,$M$2:$M$462)),0)</f>
        <v/>
      </c>
      <c r="AE396" s="6">
        <f t="array" ref="AE396">IFERROR((N396-AVERAGEIF($G$2:$G$462,G396,$N$2:$N$462))/_xlfn.STDEV.P(IF($G$2:$G$462=G396,$N$2:$N$462)),0)</f>
        <v/>
      </c>
      <c r="AF396" s="6">
        <f t="array" ref="AF396">IFERROR((O396-AVERAGEIF($G$2:$G$462,G396,$O$2:$O$462))/_xlfn.STDEV.P(IF($G$2:$G$462=G396,$O$2:$O$462)),0)</f>
        <v/>
      </c>
      <c r="AG396" s="6">
        <f t="array" ref="AG396">IFERROR((P396-AVERAGEIF($G$2:$G$462,G396,$P$2:$P$462))/_xlfn.STDEV.P(IF($G$2:$G$462=G396,$P$2:$P$462)),0)</f>
        <v/>
      </c>
      <c r="AH396" s="6">
        <f t="array" ref="AH396">IFERROR((R396-AVERAGEIF($G$2:$G$462,G396,$R$2:$R$462))/_xlfn.STDEV.P(IF($G$2:$G$462=G396,$R$2:$R$462)),0)</f>
        <v/>
      </c>
      <c r="AI396" s="6">
        <f>IFERROR((AC396+AD396+AE396+AF396+AG396+AH396)/6,0)</f>
        <v/>
      </c>
    </row>
    <row r="397">
      <c r="A397" s="2">
        <f>IF(BD_Carga!A398&lt;&gt;"",BD_Carga!A398,"")</f>
        <v/>
      </c>
      <c r="B397">
        <f>IF(A397&lt;&gt;"",YEAR(A397),"")</f>
        <v/>
      </c>
      <c r="C397">
        <f>IF(A397&lt;&gt;"",MONTH(A397),"")</f>
        <v/>
      </c>
      <c r="D397">
        <f>IF(A397&lt;&gt;"",_xlfn.ISOWEEKNUM(A397),"")</f>
        <v/>
      </c>
      <c r="E397">
        <f>IF(A397&lt;&gt;"",TEXT(A397,"dddd"),"")</f>
        <v/>
      </c>
      <c r="F397">
        <f>IF(BD_Carga!C398&lt;&gt;"",BD_Carga!C398,"")</f>
        <v/>
      </c>
      <c r="G397">
        <f>IF(BD_Carga!D398&lt;&gt;"",BD_Carga!D398,"")</f>
        <v/>
      </c>
      <c r="H397">
        <f>IF(BD_Carga!Q398&lt;&gt;"",BD_Carga!Q398,"")</f>
        <v/>
      </c>
      <c r="I397">
        <f>IF(BD_Carga!R398&lt;&gt;"",BD_Carga!R398,"")</f>
        <v/>
      </c>
      <c r="J397">
        <f>IF(BD_Carga!S398&lt;&gt;"",BD_Carga!S398,"")</f>
        <v/>
      </c>
      <c r="K397" s="4">
        <f>IF(BD_Carga!E398&lt;&gt;"",BD_Carga!E398,0)</f>
        <v/>
      </c>
      <c r="L397" s="4">
        <f>IF(BD_Carga!F398&lt;&gt;"",BD_Carga!F398,0)</f>
        <v/>
      </c>
      <c r="M397" s="4">
        <f>IF(BD_Carga!G398&lt;&gt;"",BD_Carga!G398,0)</f>
        <v/>
      </c>
      <c r="N397" s="4">
        <f>IF(BD_Carga!H398&lt;&gt;"",BD_Carga!H398,0)</f>
        <v/>
      </c>
      <c r="O397" s="4">
        <f>IF(BD_Carga!I398&lt;&gt;"",BD_Carga!I398,0)</f>
        <v/>
      </c>
      <c r="P397" s="4">
        <f>IF(BD_Carga!J398&lt;&gt;"",BD_Carga!J398,0)</f>
        <v/>
      </c>
      <c r="Q397" s="5">
        <f>IF(BD_Carga!K398&lt;&gt;"",BD_Carga!K398,0)</f>
        <v/>
      </c>
      <c r="R397" s="5">
        <f>IF(BD_Carga!L398&lt;&gt;"",BD_Carga!L398,0)</f>
        <v/>
      </c>
      <c r="S397">
        <f>IF(BD_Carga!N398&lt;&gt;"",BD_Carga!N398,0)</f>
        <v/>
      </c>
      <c r="T397">
        <f>IF(BD_Carga!O398&lt;&gt;"",BD_Carga!O398,0)</f>
        <v/>
      </c>
      <c r="U397">
        <f>IF(BD_Carga!P398&lt;&gt;"",BD_Carga!P398,0)</f>
        <v/>
      </c>
      <c r="V397">
        <f>IF(BD_Carga!U398&lt;&gt;"",BD_Carga!U398,0)</f>
        <v/>
      </c>
      <c r="W397">
        <f>IF(BD_Carga!T398&lt;&gt;"",BD_Carga!T398,0)</f>
        <v/>
      </c>
      <c r="X397">
        <f>IF(BD_Carga!W398&lt;&gt;"",BD_Carga!W398,0)</f>
        <v/>
      </c>
      <c r="Y397">
        <f>IF(BD_Carga!X398&lt;&gt;"",BD_Carga!X398,0)</f>
        <v/>
      </c>
      <c r="Z397">
        <f>IF(BD_Carga!Y398&lt;&gt;"",BD_Carga!Y398,0)</f>
        <v/>
      </c>
      <c r="AA397">
        <f>IF(BD_Carga!Z398&lt;&gt;"",BD_Carga!Z398,0)</f>
        <v/>
      </c>
      <c r="AB397">
        <f>IF(BD_Carga!AA398&lt;&gt;"",BD_Carga!AA398,0)</f>
        <v/>
      </c>
      <c r="AC397" s="6">
        <f t="array" ref="AC397">IFERROR((L397-AVERAGEIF($G$2:$G$462,G397,$L$2:$L$462))/_xlfn.STDEV.P(IF($G$2:$G$462=G397,$L$2:$L$462)),0)</f>
        <v/>
      </c>
      <c r="AD397" s="6">
        <f t="array" ref="AD397">IFERROR((M397-AVERAGEIF($G$2:$G$462,G397,$M$2:$M$462))/_xlfn.STDEV.P(IF($G$2:$G$462=G397,$M$2:$M$462)),0)</f>
        <v/>
      </c>
      <c r="AE397" s="6">
        <f t="array" ref="AE397">IFERROR((N397-AVERAGEIF($G$2:$G$462,G397,$N$2:$N$462))/_xlfn.STDEV.P(IF($G$2:$G$462=G397,$N$2:$N$462)),0)</f>
        <v/>
      </c>
      <c r="AF397" s="6">
        <f t="array" ref="AF397">IFERROR((O397-AVERAGEIF($G$2:$G$462,G397,$O$2:$O$462))/_xlfn.STDEV.P(IF($G$2:$G$462=G397,$O$2:$O$462)),0)</f>
        <v/>
      </c>
      <c r="AG397" s="6">
        <f t="array" ref="AG397">IFERROR((P397-AVERAGEIF($G$2:$G$462,G397,$P$2:$P$462))/_xlfn.STDEV.P(IF($G$2:$G$462=G397,$P$2:$P$462)),0)</f>
        <v/>
      </c>
      <c r="AH397" s="6">
        <f t="array" ref="AH397">IFERROR((R397-AVERAGEIF($G$2:$G$462,G397,$R$2:$R$462))/_xlfn.STDEV.P(IF($G$2:$G$462=G397,$R$2:$R$462)),0)</f>
        <v/>
      </c>
      <c r="AI397" s="6">
        <f>IFERROR((AC397+AD397+AE397+AF397+AG397+AH397)/6,0)</f>
        <v/>
      </c>
    </row>
    <row r="398">
      <c r="A398" s="2">
        <f>IF(BD_Carga!A399&lt;&gt;"",BD_Carga!A399,"")</f>
        <v/>
      </c>
      <c r="B398">
        <f>IF(A398&lt;&gt;"",YEAR(A398),"")</f>
        <v/>
      </c>
      <c r="C398">
        <f>IF(A398&lt;&gt;"",MONTH(A398),"")</f>
        <v/>
      </c>
      <c r="D398">
        <f>IF(A398&lt;&gt;"",_xlfn.ISOWEEKNUM(A398),"")</f>
        <v/>
      </c>
      <c r="E398">
        <f>IF(A398&lt;&gt;"",TEXT(A398,"dddd"),"")</f>
        <v/>
      </c>
      <c r="F398">
        <f>IF(BD_Carga!C399&lt;&gt;"",BD_Carga!C399,"")</f>
        <v/>
      </c>
      <c r="G398">
        <f>IF(BD_Carga!D399&lt;&gt;"",BD_Carga!D399,"")</f>
        <v/>
      </c>
      <c r="H398">
        <f>IF(BD_Carga!Q399&lt;&gt;"",BD_Carga!Q399,"")</f>
        <v/>
      </c>
      <c r="I398">
        <f>IF(BD_Carga!R399&lt;&gt;"",BD_Carga!R399,"")</f>
        <v/>
      </c>
      <c r="J398">
        <f>IF(BD_Carga!S399&lt;&gt;"",BD_Carga!S399,"")</f>
        <v/>
      </c>
      <c r="K398" s="4">
        <f>IF(BD_Carga!E399&lt;&gt;"",BD_Carga!E399,0)</f>
        <v/>
      </c>
      <c r="L398" s="4">
        <f>IF(BD_Carga!F399&lt;&gt;"",BD_Carga!F399,0)</f>
        <v/>
      </c>
      <c r="M398" s="4">
        <f>IF(BD_Carga!G399&lt;&gt;"",BD_Carga!G399,0)</f>
        <v/>
      </c>
      <c r="N398" s="4">
        <f>IF(BD_Carga!H399&lt;&gt;"",BD_Carga!H399,0)</f>
        <v/>
      </c>
      <c r="O398" s="4">
        <f>IF(BD_Carga!I399&lt;&gt;"",BD_Carga!I399,0)</f>
        <v/>
      </c>
      <c r="P398" s="4">
        <f>IF(BD_Carga!J399&lt;&gt;"",BD_Carga!J399,0)</f>
        <v/>
      </c>
      <c r="Q398" s="5">
        <f>IF(BD_Carga!K399&lt;&gt;"",BD_Carga!K399,0)</f>
        <v/>
      </c>
      <c r="R398" s="5">
        <f>IF(BD_Carga!L399&lt;&gt;"",BD_Carga!L399,0)</f>
        <v/>
      </c>
      <c r="S398">
        <f>IF(BD_Carga!N399&lt;&gt;"",BD_Carga!N399,0)</f>
        <v/>
      </c>
      <c r="T398">
        <f>IF(BD_Carga!O399&lt;&gt;"",BD_Carga!O399,0)</f>
        <v/>
      </c>
      <c r="U398">
        <f>IF(BD_Carga!P399&lt;&gt;"",BD_Carga!P399,0)</f>
        <v/>
      </c>
      <c r="V398">
        <f>IF(BD_Carga!U399&lt;&gt;"",BD_Carga!U399,0)</f>
        <v/>
      </c>
      <c r="W398">
        <f>IF(BD_Carga!T399&lt;&gt;"",BD_Carga!T399,0)</f>
        <v/>
      </c>
      <c r="X398">
        <f>IF(BD_Carga!W399&lt;&gt;"",BD_Carga!W399,0)</f>
        <v/>
      </c>
      <c r="Y398">
        <f>IF(BD_Carga!X399&lt;&gt;"",BD_Carga!X399,0)</f>
        <v/>
      </c>
      <c r="Z398">
        <f>IF(BD_Carga!Y399&lt;&gt;"",BD_Carga!Y399,0)</f>
        <v/>
      </c>
      <c r="AA398">
        <f>IF(BD_Carga!Z399&lt;&gt;"",BD_Carga!Z399,0)</f>
        <v/>
      </c>
      <c r="AB398">
        <f>IF(BD_Carga!AA399&lt;&gt;"",BD_Carga!AA399,0)</f>
        <v/>
      </c>
      <c r="AC398" s="6">
        <f t="array" ref="AC398">IFERROR((L398-AVERAGEIF($G$2:$G$462,G398,$L$2:$L$462))/_xlfn.STDEV.P(IF($G$2:$G$462=G398,$L$2:$L$462)),0)</f>
        <v/>
      </c>
      <c r="AD398" s="6">
        <f t="array" ref="AD398">IFERROR((M398-AVERAGEIF($G$2:$G$462,G398,$M$2:$M$462))/_xlfn.STDEV.P(IF($G$2:$G$462=G398,$M$2:$M$462)),0)</f>
        <v/>
      </c>
      <c r="AE398" s="6">
        <f t="array" ref="AE398">IFERROR((N398-AVERAGEIF($G$2:$G$462,G398,$N$2:$N$462))/_xlfn.STDEV.P(IF($G$2:$G$462=G398,$N$2:$N$462)),0)</f>
        <v/>
      </c>
      <c r="AF398" s="6">
        <f t="array" ref="AF398">IFERROR((O398-AVERAGEIF($G$2:$G$462,G398,$O$2:$O$462))/_xlfn.STDEV.P(IF($G$2:$G$462=G398,$O$2:$O$462)),0)</f>
        <v/>
      </c>
      <c r="AG398" s="6">
        <f t="array" ref="AG398">IFERROR((P398-AVERAGEIF($G$2:$G$462,G398,$P$2:$P$462))/_xlfn.STDEV.P(IF($G$2:$G$462=G398,$P$2:$P$462)),0)</f>
        <v/>
      </c>
      <c r="AH398" s="6">
        <f t="array" ref="AH398">IFERROR((R398-AVERAGEIF($G$2:$G$462,G398,$R$2:$R$462))/_xlfn.STDEV.P(IF($G$2:$G$462=G398,$R$2:$R$462)),0)</f>
        <v/>
      </c>
      <c r="AI398" s="6">
        <f>IFERROR((AC398+AD398+AE398+AF398+AG398+AH398)/6,0)</f>
        <v/>
      </c>
    </row>
    <row r="399">
      <c r="A399" s="2">
        <f>IF(BD_Carga!A400&lt;&gt;"",BD_Carga!A400,"")</f>
        <v/>
      </c>
      <c r="B399">
        <f>IF(A399&lt;&gt;"",YEAR(A399),"")</f>
        <v/>
      </c>
      <c r="C399">
        <f>IF(A399&lt;&gt;"",MONTH(A399),"")</f>
        <v/>
      </c>
      <c r="D399">
        <f>IF(A399&lt;&gt;"",_xlfn.ISOWEEKNUM(A399),"")</f>
        <v/>
      </c>
      <c r="E399">
        <f>IF(A399&lt;&gt;"",TEXT(A399,"dddd"),"")</f>
        <v/>
      </c>
      <c r="F399">
        <f>IF(BD_Carga!C400&lt;&gt;"",BD_Carga!C400,"")</f>
        <v/>
      </c>
      <c r="G399">
        <f>IF(BD_Carga!D400&lt;&gt;"",BD_Carga!D400,"")</f>
        <v/>
      </c>
      <c r="H399">
        <f>IF(BD_Carga!Q400&lt;&gt;"",BD_Carga!Q400,"")</f>
        <v/>
      </c>
      <c r="I399">
        <f>IF(BD_Carga!R400&lt;&gt;"",BD_Carga!R400,"")</f>
        <v/>
      </c>
      <c r="J399">
        <f>IF(BD_Carga!S400&lt;&gt;"",BD_Carga!S400,"")</f>
        <v/>
      </c>
      <c r="K399" s="4">
        <f>IF(BD_Carga!E400&lt;&gt;"",BD_Carga!E400,0)</f>
        <v/>
      </c>
      <c r="L399" s="4">
        <f>IF(BD_Carga!F400&lt;&gt;"",BD_Carga!F400,0)</f>
        <v/>
      </c>
      <c r="M399" s="4">
        <f>IF(BD_Carga!G400&lt;&gt;"",BD_Carga!G400,0)</f>
        <v/>
      </c>
      <c r="N399" s="4">
        <f>IF(BD_Carga!H400&lt;&gt;"",BD_Carga!H400,0)</f>
        <v/>
      </c>
      <c r="O399" s="4">
        <f>IF(BD_Carga!I400&lt;&gt;"",BD_Carga!I400,0)</f>
        <v/>
      </c>
      <c r="P399" s="4">
        <f>IF(BD_Carga!J400&lt;&gt;"",BD_Carga!J400,0)</f>
        <v/>
      </c>
      <c r="Q399" s="5">
        <f>IF(BD_Carga!K400&lt;&gt;"",BD_Carga!K400,0)</f>
        <v/>
      </c>
      <c r="R399" s="5">
        <f>IF(BD_Carga!L400&lt;&gt;"",BD_Carga!L400,0)</f>
        <v/>
      </c>
      <c r="S399">
        <f>IF(BD_Carga!N400&lt;&gt;"",BD_Carga!N400,0)</f>
        <v/>
      </c>
      <c r="T399">
        <f>IF(BD_Carga!O400&lt;&gt;"",BD_Carga!O400,0)</f>
        <v/>
      </c>
      <c r="U399">
        <f>IF(BD_Carga!P400&lt;&gt;"",BD_Carga!P400,0)</f>
        <v/>
      </c>
      <c r="V399">
        <f>IF(BD_Carga!U400&lt;&gt;"",BD_Carga!U400,0)</f>
        <v/>
      </c>
      <c r="W399">
        <f>IF(BD_Carga!T400&lt;&gt;"",BD_Carga!T400,0)</f>
        <v/>
      </c>
      <c r="X399">
        <f>IF(BD_Carga!W400&lt;&gt;"",BD_Carga!W400,0)</f>
        <v/>
      </c>
      <c r="Y399">
        <f>IF(BD_Carga!X400&lt;&gt;"",BD_Carga!X400,0)</f>
        <v/>
      </c>
      <c r="Z399">
        <f>IF(BD_Carga!Y400&lt;&gt;"",BD_Carga!Y400,0)</f>
        <v/>
      </c>
      <c r="AA399">
        <f>IF(BD_Carga!Z400&lt;&gt;"",BD_Carga!Z400,0)</f>
        <v/>
      </c>
      <c r="AB399">
        <f>IF(BD_Carga!AA400&lt;&gt;"",BD_Carga!AA400,0)</f>
        <v/>
      </c>
      <c r="AC399" s="6">
        <f t="array" ref="AC399">IFERROR((L399-AVERAGEIF($G$2:$G$462,G399,$L$2:$L$462))/_xlfn.STDEV.P(IF($G$2:$G$462=G399,$L$2:$L$462)),0)</f>
        <v/>
      </c>
      <c r="AD399" s="6">
        <f t="array" ref="AD399">IFERROR((M399-AVERAGEIF($G$2:$G$462,G399,$M$2:$M$462))/_xlfn.STDEV.P(IF($G$2:$G$462=G399,$M$2:$M$462)),0)</f>
        <v/>
      </c>
      <c r="AE399" s="6">
        <f t="array" ref="AE399">IFERROR((N399-AVERAGEIF($G$2:$G$462,G399,$N$2:$N$462))/_xlfn.STDEV.P(IF($G$2:$G$462=G399,$N$2:$N$462)),0)</f>
        <v/>
      </c>
      <c r="AF399" s="6">
        <f t="array" ref="AF399">IFERROR((O399-AVERAGEIF($G$2:$G$462,G399,$O$2:$O$462))/_xlfn.STDEV.P(IF($G$2:$G$462=G399,$O$2:$O$462)),0)</f>
        <v/>
      </c>
      <c r="AG399" s="6">
        <f t="array" ref="AG399">IFERROR((P399-AVERAGEIF($G$2:$G$462,G399,$P$2:$P$462))/_xlfn.STDEV.P(IF($G$2:$G$462=G399,$P$2:$P$462)),0)</f>
        <v/>
      </c>
      <c r="AH399" s="6">
        <f t="array" ref="AH399">IFERROR((R399-AVERAGEIF($G$2:$G$462,G399,$R$2:$R$462))/_xlfn.STDEV.P(IF($G$2:$G$462=G399,$R$2:$R$462)),0)</f>
        <v/>
      </c>
      <c r="AI399" s="6">
        <f>IFERROR((AC399+AD399+AE399+AF399+AG399+AH399)/6,0)</f>
        <v/>
      </c>
    </row>
    <row r="400">
      <c r="A400" s="2">
        <f>IF(BD_Carga!A401&lt;&gt;"",BD_Carga!A401,"")</f>
        <v/>
      </c>
      <c r="B400">
        <f>IF(A400&lt;&gt;"",YEAR(A400),"")</f>
        <v/>
      </c>
      <c r="C400">
        <f>IF(A400&lt;&gt;"",MONTH(A400),"")</f>
        <v/>
      </c>
      <c r="D400">
        <f>IF(A400&lt;&gt;"",_xlfn.ISOWEEKNUM(A400),"")</f>
        <v/>
      </c>
      <c r="E400">
        <f>IF(A400&lt;&gt;"",TEXT(A400,"dddd"),"")</f>
        <v/>
      </c>
      <c r="F400">
        <f>IF(BD_Carga!C401&lt;&gt;"",BD_Carga!C401,"")</f>
        <v/>
      </c>
      <c r="G400">
        <f>IF(BD_Carga!D401&lt;&gt;"",BD_Carga!D401,"")</f>
        <v/>
      </c>
      <c r="H400">
        <f>IF(BD_Carga!Q401&lt;&gt;"",BD_Carga!Q401,"")</f>
        <v/>
      </c>
      <c r="I400">
        <f>IF(BD_Carga!R401&lt;&gt;"",BD_Carga!R401,"")</f>
        <v/>
      </c>
      <c r="J400">
        <f>IF(BD_Carga!S401&lt;&gt;"",BD_Carga!S401,"")</f>
        <v/>
      </c>
      <c r="K400" s="4">
        <f>IF(BD_Carga!E401&lt;&gt;"",BD_Carga!E401,0)</f>
        <v/>
      </c>
      <c r="L400" s="4">
        <f>IF(BD_Carga!F401&lt;&gt;"",BD_Carga!F401,0)</f>
        <v/>
      </c>
      <c r="M400" s="4">
        <f>IF(BD_Carga!G401&lt;&gt;"",BD_Carga!G401,0)</f>
        <v/>
      </c>
      <c r="N400" s="4">
        <f>IF(BD_Carga!H401&lt;&gt;"",BD_Carga!H401,0)</f>
        <v/>
      </c>
      <c r="O400" s="4">
        <f>IF(BD_Carga!I401&lt;&gt;"",BD_Carga!I401,0)</f>
        <v/>
      </c>
      <c r="P400" s="4">
        <f>IF(BD_Carga!J401&lt;&gt;"",BD_Carga!J401,0)</f>
        <v/>
      </c>
      <c r="Q400" s="5">
        <f>IF(BD_Carga!K401&lt;&gt;"",BD_Carga!K401,0)</f>
        <v/>
      </c>
      <c r="R400" s="5">
        <f>IF(BD_Carga!L401&lt;&gt;"",BD_Carga!L401,0)</f>
        <v/>
      </c>
      <c r="S400">
        <f>IF(BD_Carga!N401&lt;&gt;"",BD_Carga!N401,0)</f>
        <v/>
      </c>
      <c r="T400">
        <f>IF(BD_Carga!O401&lt;&gt;"",BD_Carga!O401,0)</f>
        <v/>
      </c>
      <c r="U400">
        <f>IF(BD_Carga!P401&lt;&gt;"",BD_Carga!P401,0)</f>
        <v/>
      </c>
      <c r="V400">
        <f>IF(BD_Carga!U401&lt;&gt;"",BD_Carga!U401,0)</f>
        <v/>
      </c>
      <c r="W400">
        <f>IF(BD_Carga!T401&lt;&gt;"",BD_Carga!T401,0)</f>
        <v/>
      </c>
      <c r="X400">
        <f>IF(BD_Carga!W401&lt;&gt;"",BD_Carga!W401,0)</f>
        <v/>
      </c>
      <c r="Y400">
        <f>IF(BD_Carga!X401&lt;&gt;"",BD_Carga!X401,0)</f>
        <v/>
      </c>
      <c r="Z400">
        <f>IF(BD_Carga!Y401&lt;&gt;"",BD_Carga!Y401,0)</f>
        <v/>
      </c>
      <c r="AA400">
        <f>IF(BD_Carga!Z401&lt;&gt;"",BD_Carga!Z401,0)</f>
        <v/>
      </c>
      <c r="AB400">
        <f>IF(BD_Carga!AA401&lt;&gt;"",BD_Carga!AA401,0)</f>
        <v/>
      </c>
      <c r="AC400" s="6">
        <f t="array" ref="AC400">IFERROR((L400-AVERAGEIF($G$2:$G$462,G400,$L$2:$L$462))/_xlfn.STDEV.P(IF($G$2:$G$462=G400,$L$2:$L$462)),0)</f>
        <v/>
      </c>
      <c r="AD400" s="6">
        <f t="array" ref="AD400">IFERROR((M400-AVERAGEIF($G$2:$G$462,G400,$M$2:$M$462))/_xlfn.STDEV.P(IF($G$2:$G$462=G400,$M$2:$M$462)),0)</f>
        <v/>
      </c>
      <c r="AE400" s="6">
        <f t="array" ref="AE400">IFERROR((N400-AVERAGEIF($G$2:$G$462,G400,$N$2:$N$462))/_xlfn.STDEV.P(IF($G$2:$G$462=G400,$N$2:$N$462)),0)</f>
        <v/>
      </c>
      <c r="AF400" s="6">
        <f t="array" ref="AF400">IFERROR((O400-AVERAGEIF($G$2:$G$462,G400,$O$2:$O$462))/_xlfn.STDEV.P(IF($G$2:$G$462=G400,$O$2:$O$462)),0)</f>
        <v/>
      </c>
      <c r="AG400" s="6">
        <f t="array" ref="AG400">IFERROR((P400-AVERAGEIF($G$2:$G$462,G400,$P$2:$P$462))/_xlfn.STDEV.P(IF($G$2:$G$462=G400,$P$2:$P$462)),0)</f>
        <v/>
      </c>
      <c r="AH400" s="6">
        <f t="array" ref="AH400">IFERROR((R400-AVERAGEIF($G$2:$G$462,G400,$R$2:$R$462))/_xlfn.STDEV.P(IF($G$2:$G$462=G400,$R$2:$R$462)),0)</f>
        <v/>
      </c>
      <c r="AI400" s="6">
        <f>IFERROR((AC400+AD400+AE400+AF400+AG400+AH400)/6,0)</f>
        <v/>
      </c>
    </row>
    <row r="401">
      <c r="A401" s="2">
        <f>IF(BD_Carga!A402&lt;&gt;"",BD_Carga!A402,"")</f>
        <v/>
      </c>
      <c r="B401">
        <f>IF(A401&lt;&gt;"",YEAR(A401),"")</f>
        <v/>
      </c>
      <c r="C401">
        <f>IF(A401&lt;&gt;"",MONTH(A401),"")</f>
        <v/>
      </c>
      <c r="D401">
        <f>IF(A401&lt;&gt;"",_xlfn.ISOWEEKNUM(A401),"")</f>
        <v/>
      </c>
      <c r="E401">
        <f>IF(A401&lt;&gt;"",TEXT(A401,"dddd"),"")</f>
        <v/>
      </c>
      <c r="F401">
        <f>IF(BD_Carga!C402&lt;&gt;"",BD_Carga!C402,"")</f>
        <v/>
      </c>
      <c r="G401">
        <f>IF(BD_Carga!D402&lt;&gt;"",BD_Carga!D402,"")</f>
        <v/>
      </c>
      <c r="H401">
        <f>IF(BD_Carga!Q402&lt;&gt;"",BD_Carga!Q402,"")</f>
        <v/>
      </c>
      <c r="I401">
        <f>IF(BD_Carga!R402&lt;&gt;"",BD_Carga!R402,"")</f>
        <v/>
      </c>
      <c r="J401">
        <f>IF(BD_Carga!S402&lt;&gt;"",BD_Carga!S402,"")</f>
        <v/>
      </c>
      <c r="K401" s="4">
        <f>IF(BD_Carga!E402&lt;&gt;"",BD_Carga!E402,0)</f>
        <v/>
      </c>
      <c r="L401" s="4">
        <f>IF(BD_Carga!F402&lt;&gt;"",BD_Carga!F402,0)</f>
        <v/>
      </c>
      <c r="M401" s="4">
        <f>IF(BD_Carga!G402&lt;&gt;"",BD_Carga!G402,0)</f>
        <v/>
      </c>
      <c r="N401" s="4">
        <f>IF(BD_Carga!H402&lt;&gt;"",BD_Carga!H402,0)</f>
        <v/>
      </c>
      <c r="O401" s="4">
        <f>IF(BD_Carga!I402&lt;&gt;"",BD_Carga!I402,0)</f>
        <v/>
      </c>
      <c r="P401" s="4">
        <f>IF(BD_Carga!J402&lt;&gt;"",BD_Carga!J402,0)</f>
        <v/>
      </c>
      <c r="Q401" s="5">
        <f>IF(BD_Carga!K402&lt;&gt;"",BD_Carga!K402,0)</f>
        <v/>
      </c>
      <c r="R401" s="5">
        <f>IF(BD_Carga!L402&lt;&gt;"",BD_Carga!L402,0)</f>
        <v/>
      </c>
      <c r="S401">
        <f>IF(BD_Carga!N402&lt;&gt;"",BD_Carga!N402,0)</f>
        <v/>
      </c>
      <c r="T401">
        <f>IF(BD_Carga!O402&lt;&gt;"",BD_Carga!O402,0)</f>
        <v/>
      </c>
      <c r="U401">
        <f>IF(BD_Carga!P402&lt;&gt;"",BD_Carga!P402,0)</f>
        <v/>
      </c>
      <c r="V401">
        <f>IF(BD_Carga!U402&lt;&gt;"",BD_Carga!U402,0)</f>
        <v/>
      </c>
      <c r="W401">
        <f>IF(BD_Carga!T402&lt;&gt;"",BD_Carga!T402,0)</f>
        <v/>
      </c>
      <c r="X401">
        <f>IF(BD_Carga!W402&lt;&gt;"",BD_Carga!W402,0)</f>
        <v/>
      </c>
      <c r="Y401">
        <f>IF(BD_Carga!X402&lt;&gt;"",BD_Carga!X402,0)</f>
        <v/>
      </c>
      <c r="Z401">
        <f>IF(BD_Carga!Y402&lt;&gt;"",BD_Carga!Y402,0)</f>
        <v/>
      </c>
      <c r="AA401">
        <f>IF(BD_Carga!Z402&lt;&gt;"",BD_Carga!Z402,0)</f>
        <v/>
      </c>
      <c r="AB401">
        <f>IF(BD_Carga!AA402&lt;&gt;"",BD_Carga!AA402,0)</f>
        <v/>
      </c>
      <c r="AC401" s="6">
        <f t="array" ref="AC401">IFERROR((L401-AVERAGEIF($G$2:$G$462,G401,$L$2:$L$462))/_xlfn.STDEV.P(IF($G$2:$G$462=G401,$L$2:$L$462)),0)</f>
        <v/>
      </c>
      <c r="AD401" s="6">
        <f t="array" ref="AD401">IFERROR((M401-AVERAGEIF($G$2:$G$462,G401,$M$2:$M$462))/_xlfn.STDEV.P(IF($G$2:$G$462=G401,$M$2:$M$462)),0)</f>
        <v/>
      </c>
      <c r="AE401" s="6">
        <f t="array" ref="AE401">IFERROR((N401-AVERAGEIF($G$2:$G$462,G401,$N$2:$N$462))/_xlfn.STDEV.P(IF($G$2:$G$462=G401,$N$2:$N$462)),0)</f>
        <v/>
      </c>
      <c r="AF401" s="6">
        <f t="array" ref="AF401">IFERROR((O401-AVERAGEIF($G$2:$G$462,G401,$O$2:$O$462))/_xlfn.STDEV.P(IF($G$2:$G$462=G401,$O$2:$O$462)),0)</f>
        <v/>
      </c>
      <c r="AG401" s="6">
        <f t="array" ref="AG401">IFERROR((P401-AVERAGEIF($G$2:$G$462,G401,$P$2:$P$462))/_xlfn.STDEV.P(IF($G$2:$G$462=G401,$P$2:$P$462)),0)</f>
        <v/>
      </c>
      <c r="AH401" s="6">
        <f t="array" ref="AH401">IFERROR((R401-AVERAGEIF($G$2:$G$462,G401,$R$2:$R$462))/_xlfn.STDEV.P(IF($G$2:$G$462=G401,$R$2:$R$462)),0)</f>
        <v/>
      </c>
      <c r="AI401" s="6">
        <f>IFERROR((AC401+AD401+AE401+AF401+AG401+AH401)/6,0)</f>
        <v/>
      </c>
    </row>
    <row r="402">
      <c r="A402" s="2">
        <f>IF(BD_Carga!A403&lt;&gt;"",BD_Carga!A403,"")</f>
        <v/>
      </c>
      <c r="B402">
        <f>IF(A402&lt;&gt;"",YEAR(A402),"")</f>
        <v/>
      </c>
      <c r="C402">
        <f>IF(A402&lt;&gt;"",MONTH(A402),"")</f>
        <v/>
      </c>
      <c r="D402">
        <f>IF(A402&lt;&gt;"",_xlfn.ISOWEEKNUM(A402),"")</f>
        <v/>
      </c>
      <c r="E402">
        <f>IF(A402&lt;&gt;"",TEXT(A402,"dddd"),"")</f>
        <v/>
      </c>
      <c r="F402">
        <f>IF(BD_Carga!C403&lt;&gt;"",BD_Carga!C403,"")</f>
        <v/>
      </c>
      <c r="G402">
        <f>IF(BD_Carga!D403&lt;&gt;"",BD_Carga!D403,"")</f>
        <v/>
      </c>
      <c r="H402">
        <f>IF(BD_Carga!Q403&lt;&gt;"",BD_Carga!Q403,"")</f>
        <v/>
      </c>
      <c r="I402">
        <f>IF(BD_Carga!R403&lt;&gt;"",BD_Carga!R403,"")</f>
        <v/>
      </c>
      <c r="J402">
        <f>IF(BD_Carga!S403&lt;&gt;"",BD_Carga!S403,"")</f>
        <v/>
      </c>
      <c r="K402" s="4">
        <f>IF(BD_Carga!E403&lt;&gt;"",BD_Carga!E403,0)</f>
        <v/>
      </c>
      <c r="L402" s="4">
        <f>IF(BD_Carga!F403&lt;&gt;"",BD_Carga!F403,0)</f>
        <v/>
      </c>
      <c r="M402" s="4">
        <f>IF(BD_Carga!G403&lt;&gt;"",BD_Carga!G403,0)</f>
        <v/>
      </c>
      <c r="N402" s="4">
        <f>IF(BD_Carga!H403&lt;&gt;"",BD_Carga!H403,0)</f>
        <v/>
      </c>
      <c r="O402" s="4">
        <f>IF(BD_Carga!I403&lt;&gt;"",BD_Carga!I403,0)</f>
        <v/>
      </c>
      <c r="P402" s="4">
        <f>IF(BD_Carga!J403&lt;&gt;"",BD_Carga!J403,0)</f>
        <v/>
      </c>
      <c r="Q402" s="5">
        <f>IF(BD_Carga!K403&lt;&gt;"",BD_Carga!K403,0)</f>
        <v/>
      </c>
      <c r="R402" s="5">
        <f>IF(BD_Carga!L403&lt;&gt;"",BD_Carga!L403,0)</f>
        <v/>
      </c>
      <c r="S402">
        <f>IF(BD_Carga!N403&lt;&gt;"",BD_Carga!N403,0)</f>
        <v/>
      </c>
      <c r="T402">
        <f>IF(BD_Carga!O403&lt;&gt;"",BD_Carga!O403,0)</f>
        <v/>
      </c>
      <c r="U402">
        <f>IF(BD_Carga!P403&lt;&gt;"",BD_Carga!P403,0)</f>
        <v/>
      </c>
      <c r="V402">
        <f>IF(BD_Carga!U403&lt;&gt;"",BD_Carga!U403,0)</f>
        <v/>
      </c>
      <c r="W402">
        <f>IF(BD_Carga!T403&lt;&gt;"",BD_Carga!T403,0)</f>
        <v/>
      </c>
      <c r="X402">
        <f>IF(BD_Carga!W403&lt;&gt;"",BD_Carga!W403,0)</f>
        <v/>
      </c>
      <c r="Y402">
        <f>IF(BD_Carga!X403&lt;&gt;"",BD_Carga!X403,0)</f>
        <v/>
      </c>
      <c r="Z402">
        <f>IF(BD_Carga!Y403&lt;&gt;"",BD_Carga!Y403,0)</f>
        <v/>
      </c>
      <c r="AA402">
        <f>IF(BD_Carga!Z403&lt;&gt;"",BD_Carga!Z403,0)</f>
        <v/>
      </c>
      <c r="AB402">
        <f>IF(BD_Carga!AA403&lt;&gt;"",BD_Carga!AA403,0)</f>
        <v/>
      </c>
      <c r="AC402" s="6">
        <f t="array" ref="AC402">IFERROR((L402-AVERAGEIF($G$2:$G$462,G402,$L$2:$L$462))/_xlfn.STDEV.P(IF($G$2:$G$462=G402,$L$2:$L$462)),0)</f>
        <v/>
      </c>
      <c r="AD402" s="6">
        <f t="array" ref="AD402">IFERROR((M402-AVERAGEIF($G$2:$G$462,G402,$M$2:$M$462))/_xlfn.STDEV.P(IF($G$2:$G$462=G402,$M$2:$M$462)),0)</f>
        <v/>
      </c>
      <c r="AE402" s="6">
        <f t="array" ref="AE402">IFERROR((N402-AVERAGEIF($G$2:$G$462,G402,$N$2:$N$462))/_xlfn.STDEV.P(IF($G$2:$G$462=G402,$N$2:$N$462)),0)</f>
        <v/>
      </c>
      <c r="AF402" s="6">
        <f t="array" ref="AF402">IFERROR((O402-AVERAGEIF($G$2:$G$462,G402,$O$2:$O$462))/_xlfn.STDEV.P(IF($G$2:$G$462=G402,$O$2:$O$462)),0)</f>
        <v/>
      </c>
      <c r="AG402" s="6">
        <f t="array" ref="AG402">IFERROR((P402-AVERAGEIF($G$2:$G$462,G402,$P$2:$P$462))/_xlfn.STDEV.P(IF($G$2:$G$462=G402,$P$2:$P$462)),0)</f>
        <v/>
      </c>
      <c r="AH402" s="6">
        <f t="array" ref="AH402">IFERROR((R402-AVERAGEIF($G$2:$G$462,G402,$R$2:$R$462))/_xlfn.STDEV.P(IF($G$2:$G$462=G402,$R$2:$R$462)),0)</f>
        <v/>
      </c>
      <c r="AI402" s="6">
        <f>IFERROR((AC402+AD402+AE402+AF402+AG402+AH402)/6,0)</f>
        <v/>
      </c>
    </row>
    <row r="403">
      <c r="A403" s="2">
        <f>IF(BD_Carga!A404&lt;&gt;"",BD_Carga!A404,"")</f>
        <v/>
      </c>
      <c r="B403">
        <f>IF(A403&lt;&gt;"",YEAR(A403),"")</f>
        <v/>
      </c>
      <c r="C403">
        <f>IF(A403&lt;&gt;"",MONTH(A403),"")</f>
        <v/>
      </c>
      <c r="D403">
        <f>IF(A403&lt;&gt;"",_xlfn.ISOWEEKNUM(A403),"")</f>
        <v/>
      </c>
      <c r="E403">
        <f>IF(A403&lt;&gt;"",TEXT(A403,"dddd"),"")</f>
        <v/>
      </c>
      <c r="F403">
        <f>IF(BD_Carga!C404&lt;&gt;"",BD_Carga!C404,"")</f>
        <v/>
      </c>
      <c r="G403">
        <f>IF(BD_Carga!D404&lt;&gt;"",BD_Carga!D404,"")</f>
        <v/>
      </c>
      <c r="H403">
        <f>IF(BD_Carga!Q404&lt;&gt;"",BD_Carga!Q404,"")</f>
        <v/>
      </c>
      <c r="I403">
        <f>IF(BD_Carga!R404&lt;&gt;"",BD_Carga!R404,"")</f>
        <v/>
      </c>
      <c r="J403">
        <f>IF(BD_Carga!S404&lt;&gt;"",BD_Carga!S404,"")</f>
        <v/>
      </c>
      <c r="K403" s="4">
        <f>IF(BD_Carga!E404&lt;&gt;"",BD_Carga!E404,0)</f>
        <v/>
      </c>
      <c r="L403" s="4">
        <f>IF(BD_Carga!F404&lt;&gt;"",BD_Carga!F404,0)</f>
        <v/>
      </c>
      <c r="M403" s="4">
        <f>IF(BD_Carga!G404&lt;&gt;"",BD_Carga!G404,0)</f>
        <v/>
      </c>
      <c r="N403" s="4">
        <f>IF(BD_Carga!H404&lt;&gt;"",BD_Carga!H404,0)</f>
        <v/>
      </c>
      <c r="O403" s="4">
        <f>IF(BD_Carga!I404&lt;&gt;"",BD_Carga!I404,0)</f>
        <v/>
      </c>
      <c r="P403" s="4">
        <f>IF(BD_Carga!J404&lt;&gt;"",BD_Carga!J404,0)</f>
        <v/>
      </c>
      <c r="Q403" s="5">
        <f>IF(BD_Carga!K404&lt;&gt;"",BD_Carga!K404,0)</f>
        <v/>
      </c>
      <c r="R403" s="5">
        <f>IF(BD_Carga!L404&lt;&gt;"",BD_Carga!L404,0)</f>
        <v/>
      </c>
      <c r="S403">
        <f>IF(BD_Carga!N404&lt;&gt;"",BD_Carga!N404,0)</f>
        <v/>
      </c>
      <c r="T403">
        <f>IF(BD_Carga!O404&lt;&gt;"",BD_Carga!O404,0)</f>
        <v/>
      </c>
      <c r="U403">
        <f>IF(BD_Carga!P404&lt;&gt;"",BD_Carga!P404,0)</f>
        <v/>
      </c>
      <c r="V403">
        <f>IF(BD_Carga!U404&lt;&gt;"",BD_Carga!U404,0)</f>
        <v/>
      </c>
      <c r="W403">
        <f>IF(BD_Carga!T404&lt;&gt;"",BD_Carga!T404,0)</f>
        <v/>
      </c>
      <c r="X403">
        <f>IF(BD_Carga!W404&lt;&gt;"",BD_Carga!W404,0)</f>
        <v/>
      </c>
      <c r="Y403">
        <f>IF(BD_Carga!X404&lt;&gt;"",BD_Carga!X404,0)</f>
        <v/>
      </c>
      <c r="Z403">
        <f>IF(BD_Carga!Y404&lt;&gt;"",BD_Carga!Y404,0)</f>
        <v/>
      </c>
      <c r="AA403">
        <f>IF(BD_Carga!Z404&lt;&gt;"",BD_Carga!Z404,0)</f>
        <v/>
      </c>
      <c r="AB403">
        <f>IF(BD_Carga!AA404&lt;&gt;"",BD_Carga!AA404,0)</f>
        <v/>
      </c>
      <c r="AC403" s="6">
        <f t="array" ref="AC403">IFERROR((L403-AVERAGEIF($G$2:$G$462,G403,$L$2:$L$462))/_xlfn.STDEV.P(IF($G$2:$G$462=G403,$L$2:$L$462)),0)</f>
        <v/>
      </c>
      <c r="AD403" s="6">
        <f t="array" ref="AD403">IFERROR((M403-AVERAGEIF($G$2:$G$462,G403,$M$2:$M$462))/_xlfn.STDEV.P(IF($G$2:$G$462=G403,$M$2:$M$462)),0)</f>
        <v/>
      </c>
      <c r="AE403" s="6">
        <f t="array" ref="AE403">IFERROR((N403-AVERAGEIF($G$2:$G$462,G403,$N$2:$N$462))/_xlfn.STDEV.P(IF($G$2:$G$462=G403,$N$2:$N$462)),0)</f>
        <v/>
      </c>
      <c r="AF403" s="6">
        <f t="array" ref="AF403">IFERROR((O403-AVERAGEIF($G$2:$G$462,G403,$O$2:$O$462))/_xlfn.STDEV.P(IF($G$2:$G$462=G403,$O$2:$O$462)),0)</f>
        <v/>
      </c>
      <c r="AG403" s="6">
        <f t="array" ref="AG403">IFERROR((P403-AVERAGEIF($G$2:$G$462,G403,$P$2:$P$462))/_xlfn.STDEV.P(IF($G$2:$G$462=G403,$P$2:$P$462)),0)</f>
        <v/>
      </c>
      <c r="AH403" s="6">
        <f t="array" ref="AH403">IFERROR((R403-AVERAGEIF($G$2:$G$462,G403,$R$2:$R$462))/_xlfn.STDEV.P(IF($G$2:$G$462=G403,$R$2:$R$462)),0)</f>
        <v/>
      </c>
      <c r="AI403" s="6">
        <f>IFERROR((AC403+AD403+AE403+AF403+AG403+AH403)/6,0)</f>
        <v/>
      </c>
    </row>
    <row r="404">
      <c r="A404" s="2">
        <f>IF(BD_Carga!A405&lt;&gt;"",BD_Carga!A405,"")</f>
        <v/>
      </c>
      <c r="B404">
        <f>IF(A404&lt;&gt;"",YEAR(A404),"")</f>
        <v/>
      </c>
      <c r="C404">
        <f>IF(A404&lt;&gt;"",MONTH(A404),"")</f>
        <v/>
      </c>
      <c r="D404">
        <f>IF(A404&lt;&gt;"",_xlfn.ISOWEEKNUM(A404),"")</f>
        <v/>
      </c>
      <c r="E404">
        <f>IF(A404&lt;&gt;"",TEXT(A404,"dddd"),"")</f>
        <v/>
      </c>
      <c r="F404">
        <f>IF(BD_Carga!C405&lt;&gt;"",BD_Carga!C405,"")</f>
        <v/>
      </c>
      <c r="G404">
        <f>IF(BD_Carga!D405&lt;&gt;"",BD_Carga!D405,"")</f>
        <v/>
      </c>
      <c r="H404">
        <f>IF(BD_Carga!Q405&lt;&gt;"",BD_Carga!Q405,"")</f>
        <v/>
      </c>
      <c r="I404">
        <f>IF(BD_Carga!R405&lt;&gt;"",BD_Carga!R405,"")</f>
        <v/>
      </c>
      <c r="J404">
        <f>IF(BD_Carga!S405&lt;&gt;"",BD_Carga!S405,"")</f>
        <v/>
      </c>
      <c r="K404" s="4">
        <f>IF(BD_Carga!E405&lt;&gt;"",BD_Carga!E405,0)</f>
        <v/>
      </c>
      <c r="L404" s="4">
        <f>IF(BD_Carga!F405&lt;&gt;"",BD_Carga!F405,0)</f>
        <v/>
      </c>
      <c r="M404" s="4">
        <f>IF(BD_Carga!G405&lt;&gt;"",BD_Carga!G405,0)</f>
        <v/>
      </c>
      <c r="N404" s="4">
        <f>IF(BD_Carga!H405&lt;&gt;"",BD_Carga!H405,0)</f>
        <v/>
      </c>
      <c r="O404" s="4">
        <f>IF(BD_Carga!I405&lt;&gt;"",BD_Carga!I405,0)</f>
        <v/>
      </c>
      <c r="P404" s="4">
        <f>IF(BD_Carga!J405&lt;&gt;"",BD_Carga!J405,0)</f>
        <v/>
      </c>
      <c r="Q404" s="5">
        <f>IF(BD_Carga!K405&lt;&gt;"",BD_Carga!K405,0)</f>
        <v/>
      </c>
      <c r="R404" s="5">
        <f>IF(BD_Carga!L405&lt;&gt;"",BD_Carga!L405,0)</f>
        <v/>
      </c>
      <c r="S404">
        <f>IF(BD_Carga!N405&lt;&gt;"",BD_Carga!N405,0)</f>
        <v/>
      </c>
      <c r="T404">
        <f>IF(BD_Carga!O405&lt;&gt;"",BD_Carga!O405,0)</f>
        <v/>
      </c>
      <c r="U404">
        <f>IF(BD_Carga!P405&lt;&gt;"",BD_Carga!P405,0)</f>
        <v/>
      </c>
      <c r="V404">
        <f>IF(BD_Carga!U405&lt;&gt;"",BD_Carga!U405,0)</f>
        <v/>
      </c>
      <c r="W404">
        <f>IF(BD_Carga!T405&lt;&gt;"",BD_Carga!T405,0)</f>
        <v/>
      </c>
      <c r="X404">
        <f>IF(BD_Carga!W405&lt;&gt;"",BD_Carga!W405,0)</f>
        <v/>
      </c>
      <c r="Y404">
        <f>IF(BD_Carga!X405&lt;&gt;"",BD_Carga!X405,0)</f>
        <v/>
      </c>
      <c r="Z404">
        <f>IF(BD_Carga!Y405&lt;&gt;"",BD_Carga!Y405,0)</f>
        <v/>
      </c>
      <c r="AA404">
        <f>IF(BD_Carga!Z405&lt;&gt;"",BD_Carga!Z405,0)</f>
        <v/>
      </c>
      <c r="AB404">
        <f>IF(BD_Carga!AA405&lt;&gt;"",BD_Carga!AA405,0)</f>
        <v/>
      </c>
      <c r="AC404" s="6">
        <f t="array" ref="AC404">IFERROR((L404-AVERAGEIF($G$2:$G$462,G404,$L$2:$L$462))/_xlfn.STDEV.P(IF($G$2:$G$462=G404,$L$2:$L$462)),0)</f>
        <v/>
      </c>
      <c r="AD404" s="6">
        <f t="array" ref="AD404">IFERROR((M404-AVERAGEIF($G$2:$G$462,G404,$M$2:$M$462))/_xlfn.STDEV.P(IF($G$2:$G$462=G404,$M$2:$M$462)),0)</f>
        <v/>
      </c>
      <c r="AE404" s="6">
        <f t="array" ref="AE404">IFERROR((N404-AVERAGEIF($G$2:$G$462,G404,$N$2:$N$462))/_xlfn.STDEV.P(IF($G$2:$G$462=G404,$N$2:$N$462)),0)</f>
        <v/>
      </c>
      <c r="AF404" s="6">
        <f t="array" ref="AF404">IFERROR((O404-AVERAGEIF($G$2:$G$462,G404,$O$2:$O$462))/_xlfn.STDEV.P(IF($G$2:$G$462=G404,$O$2:$O$462)),0)</f>
        <v/>
      </c>
      <c r="AG404" s="6">
        <f t="array" ref="AG404">IFERROR((P404-AVERAGEIF($G$2:$G$462,G404,$P$2:$P$462))/_xlfn.STDEV.P(IF($G$2:$G$462=G404,$P$2:$P$462)),0)</f>
        <v/>
      </c>
      <c r="AH404" s="6">
        <f t="array" ref="AH404">IFERROR((R404-AVERAGEIF($G$2:$G$462,G404,$R$2:$R$462))/_xlfn.STDEV.P(IF($G$2:$G$462=G404,$R$2:$R$462)),0)</f>
        <v/>
      </c>
      <c r="AI404" s="6">
        <f>IFERROR((AC404+AD404+AE404+AF404+AG404+AH404)/6,0)</f>
        <v/>
      </c>
    </row>
    <row r="405">
      <c r="A405" s="2">
        <f>IF(BD_Carga!A406&lt;&gt;"",BD_Carga!A406,"")</f>
        <v/>
      </c>
      <c r="B405">
        <f>IF(A405&lt;&gt;"",YEAR(A405),"")</f>
        <v/>
      </c>
      <c r="C405">
        <f>IF(A405&lt;&gt;"",MONTH(A405),"")</f>
        <v/>
      </c>
      <c r="D405">
        <f>IF(A405&lt;&gt;"",_xlfn.ISOWEEKNUM(A405),"")</f>
        <v/>
      </c>
      <c r="E405">
        <f>IF(A405&lt;&gt;"",TEXT(A405,"dddd"),"")</f>
        <v/>
      </c>
      <c r="F405">
        <f>IF(BD_Carga!C406&lt;&gt;"",BD_Carga!C406,"")</f>
        <v/>
      </c>
      <c r="G405">
        <f>IF(BD_Carga!D406&lt;&gt;"",BD_Carga!D406,"")</f>
        <v/>
      </c>
      <c r="H405">
        <f>IF(BD_Carga!Q406&lt;&gt;"",BD_Carga!Q406,"")</f>
        <v/>
      </c>
      <c r="I405">
        <f>IF(BD_Carga!R406&lt;&gt;"",BD_Carga!R406,"")</f>
        <v/>
      </c>
      <c r="J405">
        <f>IF(BD_Carga!S406&lt;&gt;"",BD_Carga!S406,"")</f>
        <v/>
      </c>
      <c r="K405" s="4">
        <f>IF(BD_Carga!E406&lt;&gt;"",BD_Carga!E406,0)</f>
        <v/>
      </c>
      <c r="L405" s="4">
        <f>IF(BD_Carga!F406&lt;&gt;"",BD_Carga!F406,0)</f>
        <v/>
      </c>
      <c r="M405" s="4">
        <f>IF(BD_Carga!G406&lt;&gt;"",BD_Carga!G406,0)</f>
        <v/>
      </c>
      <c r="N405" s="4">
        <f>IF(BD_Carga!H406&lt;&gt;"",BD_Carga!H406,0)</f>
        <v/>
      </c>
      <c r="O405" s="4">
        <f>IF(BD_Carga!I406&lt;&gt;"",BD_Carga!I406,0)</f>
        <v/>
      </c>
      <c r="P405" s="4">
        <f>IF(BD_Carga!J406&lt;&gt;"",BD_Carga!J406,0)</f>
        <v/>
      </c>
      <c r="Q405" s="5">
        <f>IF(BD_Carga!K406&lt;&gt;"",BD_Carga!K406,0)</f>
        <v/>
      </c>
      <c r="R405" s="5">
        <f>IF(BD_Carga!L406&lt;&gt;"",BD_Carga!L406,0)</f>
        <v/>
      </c>
      <c r="S405">
        <f>IF(BD_Carga!N406&lt;&gt;"",BD_Carga!N406,0)</f>
        <v/>
      </c>
      <c r="T405">
        <f>IF(BD_Carga!O406&lt;&gt;"",BD_Carga!O406,0)</f>
        <v/>
      </c>
      <c r="U405">
        <f>IF(BD_Carga!P406&lt;&gt;"",BD_Carga!P406,0)</f>
        <v/>
      </c>
      <c r="V405">
        <f>IF(BD_Carga!U406&lt;&gt;"",BD_Carga!U406,0)</f>
        <v/>
      </c>
      <c r="W405">
        <f>IF(BD_Carga!T406&lt;&gt;"",BD_Carga!T406,0)</f>
        <v/>
      </c>
      <c r="X405">
        <f>IF(BD_Carga!W406&lt;&gt;"",BD_Carga!W406,0)</f>
        <v/>
      </c>
      <c r="Y405">
        <f>IF(BD_Carga!X406&lt;&gt;"",BD_Carga!X406,0)</f>
        <v/>
      </c>
      <c r="Z405">
        <f>IF(BD_Carga!Y406&lt;&gt;"",BD_Carga!Y406,0)</f>
        <v/>
      </c>
      <c r="AA405">
        <f>IF(BD_Carga!Z406&lt;&gt;"",BD_Carga!Z406,0)</f>
        <v/>
      </c>
      <c r="AB405">
        <f>IF(BD_Carga!AA406&lt;&gt;"",BD_Carga!AA406,0)</f>
        <v/>
      </c>
      <c r="AC405" s="6">
        <f t="array" ref="AC405">IFERROR((L405-AVERAGEIF($G$2:$G$462,G405,$L$2:$L$462))/_xlfn.STDEV.P(IF($G$2:$G$462=G405,$L$2:$L$462)),0)</f>
        <v/>
      </c>
      <c r="AD405" s="6">
        <f t="array" ref="AD405">IFERROR((M405-AVERAGEIF($G$2:$G$462,G405,$M$2:$M$462))/_xlfn.STDEV.P(IF($G$2:$G$462=G405,$M$2:$M$462)),0)</f>
        <v/>
      </c>
      <c r="AE405" s="6">
        <f t="array" ref="AE405">IFERROR((N405-AVERAGEIF($G$2:$G$462,G405,$N$2:$N$462))/_xlfn.STDEV.P(IF($G$2:$G$462=G405,$N$2:$N$462)),0)</f>
        <v/>
      </c>
      <c r="AF405" s="6">
        <f t="array" ref="AF405">IFERROR((O405-AVERAGEIF($G$2:$G$462,G405,$O$2:$O$462))/_xlfn.STDEV.P(IF($G$2:$G$462=G405,$O$2:$O$462)),0)</f>
        <v/>
      </c>
      <c r="AG405" s="6">
        <f t="array" ref="AG405">IFERROR((P405-AVERAGEIF($G$2:$G$462,G405,$P$2:$P$462))/_xlfn.STDEV.P(IF($G$2:$G$462=G405,$P$2:$P$462)),0)</f>
        <v/>
      </c>
      <c r="AH405" s="6">
        <f t="array" ref="AH405">IFERROR((R405-AVERAGEIF($G$2:$G$462,G405,$R$2:$R$462))/_xlfn.STDEV.P(IF($G$2:$G$462=G405,$R$2:$R$462)),0)</f>
        <v/>
      </c>
      <c r="AI405" s="6">
        <f>IFERROR((AC405+AD405+AE405+AF405+AG405+AH405)/6,0)</f>
        <v/>
      </c>
    </row>
    <row r="406">
      <c r="A406" s="2">
        <f>IF(BD_Carga!A407&lt;&gt;"",BD_Carga!A407,"")</f>
        <v/>
      </c>
      <c r="B406">
        <f>IF(A406&lt;&gt;"",YEAR(A406),"")</f>
        <v/>
      </c>
      <c r="C406">
        <f>IF(A406&lt;&gt;"",MONTH(A406),"")</f>
        <v/>
      </c>
      <c r="D406">
        <f>IF(A406&lt;&gt;"",_xlfn.ISOWEEKNUM(A406),"")</f>
        <v/>
      </c>
      <c r="E406">
        <f>IF(A406&lt;&gt;"",TEXT(A406,"dddd"),"")</f>
        <v/>
      </c>
      <c r="F406">
        <f>IF(BD_Carga!C407&lt;&gt;"",BD_Carga!C407,"")</f>
        <v/>
      </c>
      <c r="G406">
        <f>IF(BD_Carga!D407&lt;&gt;"",BD_Carga!D407,"")</f>
        <v/>
      </c>
      <c r="H406">
        <f>IF(BD_Carga!Q407&lt;&gt;"",BD_Carga!Q407,"")</f>
        <v/>
      </c>
      <c r="I406">
        <f>IF(BD_Carga!R407&lt;&gt;"",BD_Carga!R407,"")</f>
        <v/>
      </c>
      <c r="J406">
        <f>IF(BD_Carga!S407&lt;&gt;"",BD_Carga!S407,"")</f>
        <v/>
      </c>
      <c r="K406" s="4">
        <f>IF(BD_Carga!E407&lt;&gt;"",BD_Carga!E407,0)</f>
        <v/>
      </c>
      <c r="L406" s="4">
        <f>IF(BD_Carga!F407&lt;&gt;"",BD_Carga!F407,0)</f>
        <v/>
      </c>
      <c r="M406" s="4">
        <f>IF(BD_Carga!G407&lt;&gt;"",BD_Carga!G407,0)</f>
        <v/>
      </c>
      <c r="N406" s="4">
        <f>IF(BD_Carga!H407&lt;&gt;"",BD_Carga!H407,0)</f>
        <v/>
      </c>
      <c r="O406" s="4">
        <f>IF(BD_Carga!I407&lt;&gt;"",BD_Carga!I407,0)</f>
        <v/>
      </c>
      <c r="P406" s="4">
        <f>IF(BD_Carga!J407&lt;&gt;"",BD_Carga!J407,0)</f>
        <v/>
      </c>
      <c r="Q406" s="5">
        <f>IF(BD_Carga!K407&lt;&gt;"",BD_Carga!K407,0)</f>
        <v/>
      </c>
      <c r="R406" s="5">
        <f>IF(BD_Carga!L407&lt;&gt;"",BD_Carga!L407,0)</f>
        <v/>
      </c>
      <c r="S406">
        <f>IF(BD_Carga!N407&lt;&gt;"",BD_Carga!N407,0)</f>
        <v/>
      </c>
      <c r="T406">
        <f>IF(BD_Carga!O407&lt;&gt;"",BD_Carga!O407,0)</f>
        <v/>
      </c>
      <c r="U406">
        <f>IF(BD_Carga!P407&lt;&gt;"",BD_Carga!P407,0)</f>
        <v/>
      </c>
      <c r="V406">
        <f>IF(BD_Carga!U407&lt;&gt;"",BD_Carga!U407,0)</f>
        <v/>
      </c>
      <c r="W406">
        <f>IF(BD_Carga!T407&lt;&gt;"",BD_Carga!T407,0)</f>
        <v/>
      </c>
      <c r="X406">
        <f>IF(BD_Carga!W407&lt;&gt;"",BD_Carga!W407,0)</f>
        <v/>
      </c>
      <c r="Y406">
        <f>IF(BD_Carga!X407&lt;&gt;"",BD_Carga!X407,0)</f>
        <v/>
      </c>
      <c r="Z406">
        <f>IF(BD_Carga!Y407&lt;&gt;"",BD_Carga!Y407,0)</f>
        <v/>
      </c>
      <c r="AA406">
        <f>IF(BD_Carga!Z407&lt;&gt;"",BD_Carga!Z407,0)</f>
        <v/>
      </c>
      <c r="AB406">
        <f>IF(BD_Carga!AA407&lt;&gt;"",BD_Carga!AA407,0)</f>
        <v/>
      </c>
      <c r="AC406" s="6">
        <f t="array" ref="AC406">IFERROR((L406-AVERAGEIF($G$2:$G$462,G406,$L$2:$L$462))/_xlfn.STDEV.P(IF($G$2:$G$462=G406,$L$2:$L$462)),0)</f>
        <v/>
      </c>
      <c r="AD406" s="6">
        <f t="array" ref="AD406">IFERROR((M406-AVERAGEIF($G$2:$G$462,G406,$M$2:$M$462))/_xlfn.STDEV.P(IF($G$2:$G$462=G406,$M$2:$M$462)),0)</f>
        <v/>
      </c>
      <c r="AE406" s="6">
        <f t="array" ref="AE406">IFERROR((N406-AVERAGEIF($G$2:$G$462,G406,$N$2:$N$462))/_xlfn.STDEV.P(IF($G$2:$G$462=G406,$N$2:$N$462)),0)</f>
        <v/>
      </c>
      <c r="AF406" s="6">
        <f t="array" ref="AF406">IFERROR((O406-AVERAGEIF($G$2:$G$462,G406,$O$2:$O$462))/_xlfn.STDEV.P(IF($G$2:$G$462=G406,$O$2:$O$462)),0)</f>
        <v/>
      </c>
      <c r="AG406" s="6">
        <f t="array" ref="AG406">IFERROR((P406-AVERAGEIF($G$2:$G$462,G406,$P$2:$P$462))/_xlfn.STDEV.P(IF($G$2:$G$462=G406,$P$2:$P$462)),0)</f>
        <v/>
      </c>
      <c r="AH406" s="6">
        <f t="array" ref="AH406">IFERROR((R406-AVERAGEIF($G$2:$G$462,G406,$R$2:$R$462))/_xlfn.STDEV.P(IF($G$2:$G$462=G406,$R$2:$R$462)),0)</f>
        <v/>
      </c>
      <c r="AI406" s="6">
        <f>IFERROR((AC406+AD406+AE406+AF406+AG406+AH406)/6,0)</f>
        <v/>
      </c>
    </row>
    <row r="407">
      <c r="A407" s="2">
        <f>IF(BD_Carga!A408&lt;&gt;"",BD_Carga!A408,"")</f>
        <v/>
      </c>
      <c r="B407">
        <f>IF(A407&lt;&gt;"",YEAR(A407),"")</f>
        <v/>
      </c>
      <c r="C407">
        <f>IF(A407&lt;&gt;"",MONTH(A407),"")</f>
        <v/>
      </c>
      <c r="D407">
        <f>IF(A407&lt;&gt;"",_xlfn.ISOWEEKNUM(A407),"")</f>
        <v/>
      </c>
      <c r="E407">
        <f>IF(A407&lt;&gt;"",TEXT(A407,"dddd"),"")</f>
        <v/>
      </c>
      <c r="F407">
        <f>IF(BD_Carga!C408&lt;&gt;"",BD_Carga!C408,"")</f>
        <v/>
      </c>
      <c r="G407">
        <f>IF(BD_Carga!D408&lt;&gt;"",BD_Carga!D408,"")</f>
        <v/>
      </c>
      <c r="H407">
        <f>IF(BD_Carga!Q408&lt;&gt;"",BD_Carga!Q408,"")</f>
        <v/>
      </c>
      <c r="I407">
        <f>IF(BD_Carga!R408&lt;&gt;"",BD_Carga!R408,"")</f>
        <v/>
      </c>
      <c r="J407">
        <f>IF(BD_Carga!S408&lt;&gt;"",BD_Carga!S408,"")</f>
        <v/>
      </c>
      <c r="K407" s="4">
        <f>IF(BD_Carga!E408&lt;&gt;"",BD_Carga!E408,0)</f>
        <v/>
      </c>
      <c r="L407" s="4">
        <f>IF(BD_Carga!F408&lt;&gt;"",BD_Carga!F408,0)</f>
        <v/>
      </c>
      <c r="M407" s="4">
        <f>IF(BD_Carga!G408&lt;&gt;"",BD_Carga!G408,0)</f>
        <v/>
      </c>
      <c r="N407" s="4">
        <f>IF(BD_Carga!H408&lt;&gt;"",BD_Carga!H408,0)</f>
        <v/>
      </c>
      <c r="O407" s="4">
        <f>IF(BD_Carga!I408&lt;&gt;"",BD_Carga!I408,0)</f>
        <v/>
      </c>
      <c r="P407" s="4">
        <f>IF(BD_Carga!J408&lt;&gt;"",BD_Carga!J408,0)</f>
        <v/>
      </c>
      <c r="Q407" s="5">
        <f>IF(BD_Carga!K408&lt;&gt;"",BD_Carga!K408,0)</f>
        <v/>
      </c>
      <c r="R407" s="5">
        <f>IF(BD_Carga!L408&lt;&gt;"",BD_Carga!L408,0)</f>
        <v/>
      </c>
      <c r="S407">
        <f>IF(BD_Carga!N408&lt;&gt;"",BD_Carga!N408,0)</f>
        <v/>
      </c>
      <c r="T407">
        <f>IF(BD_Carga!O408&lt;&gt;"",BD_Carga!O408,0)</f>
        <v/>
      </c>
      <c r="U407">
        <f>IF(BD_Carga!P408&lt;&gt;"",BD_Carga!P408,0)</f>
        <v/>
      </c>
      <c r="V407">
        <f>IF(BD_Carga!U408&lt;&gt;"",BD_Carga!U408,0)</f>
        <v/>
      </c>
      <c r="W407">
        <f>IF(BD_Carga!T408&lt;&gt;"",BD_Carga!T408,0)</f>
        <v/>
      </c>
      <c r="X407">
        <f>IF(BD_Carga!W408&lt;&gt;"",BD_Carga!W408,0)</f>
        <v/>
      </c>
      <c r="Y407">
        <f>IF(BD_Carga!X408&lt;&gt;"",BD_Carga!X408,0)</f>
        <v/>
      </c>
      <c r="Z407">
        <f>IF(BD_Carga!Y408&lt;&gt;"",BD_Carga!Y408,0)</f>
        <v/>
      </c>
      <c r="AA407">
        <f>IF(BD_Carga!Z408&lt;&gt;"",BD_Carga!Z408,0)</f>
        <v/>
      </c>
      <c r="AB407">
        <f>IF(BD_Carga!AA408&lt;&gt;"",BD_Carga!AA408,0)</f>
        <v/>
      </c>
      <c r="AC407" s="6">
        <f t="array" ref="AC407">IFERROR((L407-AVERAGEIF($G$2:$G$462,G407,$L$2:$L$462))/_xlfn.STDEV.P(IF($G$2:$G$462=G407,$L$2:$L$462)),0)</f>
        <v/>
      </c>
      <c r="AD407" s="6">
        <f t="array" ref="AD407">IFERROR((M407-AVERAGEIF($G$2:$G$462,G407,$M$2:$M$462))/_xlfn.STDEV.P(IF($G$2:$G$462=G407,$M$2:$M$462)),0)</f>
        <v/>
      </c>
      <c r="AE407" s="6">
        <f t="array" ref="AE407">IFERROR((N407-AVERAGEIF($G$2:$G$462,G407,$N$2:$N$462))/_xlfn.STDEV.P(IF($G$2:$G$462=G407,$N$2:$N$462)),0)</f>
        <v/>
      </c>
      <c r="AF407" s="6">
        <f t="array" ref="AF407">IFERROR((O407-AVERAGEIF($G$2:$G$462,G407,$O$2:$O$462))/_xlfn.STDEV.P(IF($G$2:$G$462=G407,$O$2:$O$462)),0)</f>
        <v/>
      </c>
      <c r="AG407" s="6">
        <f t="array" ref="AG407">IFERROR((P407-AVERAGEIF($G$2:$G$462,G407,$P$2:$P$462))/_xlfn.STDEV.P(IF($G$2:$G$462=G407,$P$2:$P$462)),0)</f>
        <v/>
      </c>
      <c r="AH407" s="6">
        <f t="array" ref="AH407">IFERROR((R407-AVERAGEIF($G$2:$G$462,G407,$R$2:$R$462))/_xlfn.STDEV.P(IF($G$2:$G$462=G407,$R$2:$R$462)),0)</f>
        <v/>
      </c>
      <c r="AI407" s="6">
        <f>IFERROR((AC407+AD407+AE407+AF407+AG407+AH407)/6,0)</f>
        <v/>
      </c>
    </row>
    <row r="408">
      <c r="A408" s="2">
        <f>IF(BD_Carga!A409&lt;&gt;"",BD_Carga!A409,"")</f>
        <v/>
      </c>
      <c r="B408">
        <f>IF(A408&lt;&gt;"",YEAR(A408),"")</f>
        <v/>
      </c>
      <c r="C408">
        <f>IF(A408&lt;&gt;"",MONTH(A408),"")</f>
        <v/>
      </c>
      <c r="D408">
        <f>IF(A408&lt;&gt;"",_xlfn.ISOWEEKNUM(A408),"")</f>
        <v/>
      </c>
      <c r="E408">
        <f>IF(A408&lt;&gt;"",TEXT(A408,"dddd"),"")</f>
        <v/>
      </c>
      <c r="F408">
        <f>IF(BD_Carga!C409&lt;&gt;"",BD_Carga!C409,"")</f>
        <v/>
      </c>
      <c r="G408">
        <f>IF(BD_Carga!D409&lt;&gt;"",BD_Carga!D409,"")</f>
        <v/>
      </c>
      <c r="H408">
        <f>IF(BD_Carga!Q409&lt;&gt;"",BD_Carga!Q409,"")</f>
        <v/>
      </c>
      <c r="I408">
        <f>IF(BD_Carga!R409&lt;&gt;"",BD_Carga!R409,"")</f>
        <v/>
      </c>
      <c r="J408">
        <f>IF(BD_Carga!S409&lt;&gt;"",BD_Carga!S409,"")</f>
        <v/>
      </c>
      <c r="K408" s="4">
        <f>IF(BD_Carga!E409&lt;&gt;"",BD_Carga!E409,0)</f>
        <v/>
      </c>
      <c r="L408" s="4">
        <f>IF(BD_Carga!F409&lt;&gt;"",BD_Carga!F409,0)</f>
        <v/>
      </c>
      <c r="M408" s="4">
        <f>IF(BD_Carga!G409&lt;&gt;"",BD_Carga!G409,0)</f>
        <v/>
      </c>
      <c r="N408" s="4">
        <f>IF(BD_Carga!H409&lt;&gt;"",BD_Carga!H409,0)</f>
        <v/>
      </c>
      <c r="O408" s="4">
        <f>IF(BD_Carga!I409&lt;&gt;"",BD_Carga!I409,0)</f>
        <v/>
      </c>
      <c r="P408" s="4">
        <f>IF(BD_Carga!J409&lt;&gt;"",BD_Carga!J409,0)</f>
        <v/>
      </c>
      <c r="Q408" s="5">
        <f>IF(BD_Carga!K409&lt;&gt;"",BD_Carga!K409,0)</f>
        <v/>
      </c>
      <c r="R408" s="5">
        <f>IF(BD_Carga!L409&lt;&gt;"",BD_Carga!L409,0)</f>
        <v/>
      </c>
      <c r="S408">
        <f>IF(BD_Carga!N409&lt;&gt;"",BD_Carga!N409,0)</f>
        <v/>
      </c>
      <c r="T408">
        <f>IF(BD_Carga!O409&lt;&gt;"",BD_Carga!O409,0)</f>
        <v/>
      </c>
      <c r="U408">
        <f>IF(BD_Carga!P409&lt;&gt;"",BD_Carga!P409,0)</f>
        <v/>
      </c>
      <c r="V408">
        <f>IF(BD_Carga!U409&lt;&gt;"",BD_Carga!U409,0)</f>
        <v/>
      </c>
      <c r="W408">
        <f>IF(BD_Carga!T409&lt;&gt;"",BD_Carga!T409,0)</f>
        <v/>
      </c>
      <c r="X408">
        <f>IF(BD_Carga!W409&lt;&gt;"",BD_Carga!W409,0)</f>
        <v/>
      </c>
      <c r="Y408">
        <f>IF(BD_Carga!X409&lt;&gt;"",BD_Carga!X409,0)</f>
        <v/>
      </c>
      <c r="Z408">
        <f>IF(BD_Carga!Y409&lt;&gt;"",BD_Carga!Y409,0)</f>
        <v/>
      </c>
      <c r="AA408">
        <f>IF(BD_Carga!Z409&lt;&gt;"",BD_Carga!Z409,0)</f>
        <v/>
      </c>
      <c r="AB408">
        <f>IF(BD_Carga!AA409&lt;&gt;"",BD_Carga!AA409,0)</f>
        <v/>
      </c>
      <c r="AC408" s="6">
        <f t="array" ref="AC408">IFERROR((L408-AVERAGEIF($G$2:$G$462,G408,$L$2:$L$462))/_xlfn.STDEV.P(IF($G$2:$G$462=G408,$L$2:$L$462)),0)</f>
        <v/>
      </c>
      <c r="AD408" s="6">
        <f t="array" ref="AD408">IFERROR((M408-AVERAGEIF($G$2:$G$462,G408,$M$2:$M$462))/_xlfn.STDEV.P(IF($G$2:$G$462=G408,$M$2:$M$462)),0)</f>
        <v/>
      </c>
      <c r="AE408" s="6">
        <f t="array" ref="AE408">IFERROR((N408-AVERAGEIF($G$2:$G$462,G408,$N$2:$N$462))/_xlfn.STDEV.P(IF($G$2:$G$462=G408,$N$2:$N$462)),0)</f>
        <v/>
      </c>
      <c r="AF408" s="6">
        <f t="array" ref="AF408">IFERROR((O408-AVERAGEIF($G$2:$G$462,G408,$O$2:$O$462))/_xlfn.STDEV.P(IF($G$2:$G$462=G408,$O$2:$O$462)),0)</f>
        <v/>
      </c>
      <c r="AG408" s="6">
        <f t="array" ref="AG408">IFERROR((P408-AVERAGEIF($G$2:$G$462,G408,$P$2:$P$462))/_xlfn.STDEV.P(IF($G$2:$G$462=G408,$P$2:$P$462)),0)</f>
        <v/>
      </c>
      <c r="AH408" s="6">
        <f t="array" ref="AH408">IFERROR((R408-AVERAGEIF($G$2:$G$462,G408,$R$2:$R$462))/_xlfn.STDEV.P(IF($G$2:$G$462=G408,$R$2:$R$462)),0)</f>
        <v/>
      </c>
      <c r="AI408" s="6">
        <f>IFERROR((AC408+AD408+AE408+AF408+AG408+AH408)/6,0)</f>
        <v/>
      </c>
    </row>
    <row r="409">
      <c r="A409" s="2">
        <f>IF(BD_Carga!A410&lt;&gt;"",BD_Carga!A410,"")</f>
        <v/>
      </c>
      <c r="B409">
        <f>IF(A409&lt;&gt;"",YEAR(A409),"")</f>
        <v/>
      </c>
      <c r="C409">
        <f>IF(A409&lt;&gt;"",MONTH(A409),"")</f>
        <v/>
      </c>
      <c r="D409">
        <f>IF(A409&lt;&gt;"",_xlfn.ISOWEEKNUM(A409),"")</f>
        <v/>
      </c>
      <c r="E409">
        <f>IF(A409&lt;&gt;"",TEXT(A409,"dddd"),"")</f>
        <v/>
      </c>
      <c r="F409">
        <f>IF(BD_Carga!C410&lt;&gt;"",BD_Carga!C410,"")</f>
        <v/>
      </c>
      <c r="G409">
        <f>IF(BD_Carga!D410&lt;&gt;"",BD_Carga!D410,"")</f>
        <v/>
      </c>
      <c r="H409">
        <f>IF(BD_Carga!Q410&lt;&gt;"",BD_Carga!Q410,"")</f>
        <v/>
      </c>
      <c r="I409">
        <f>IF(BD_Carga!R410&lt;&gt;"",BD_Carga!R410,"")</f>
        <v/>
      </c>
      <c r="J409">
        <f>IF(BD_Carga!S410&lt;&gt;"",BD_Carga!S410,"")</f>
        <v/>
      </c>
      <c r="K409" s="4">
        <f>IF(BD_Carga!E410&lt;&gt;"",BD_Carga!E410,0)</f>
        <v/>
      </c>
      <c r="L409" s="4">
        <f>IF(BD_Carga!F410&lt;&gt;"",BD_Carga!F410,0)</f>
        <v/>
      </c>
      <c r="M409" s="4">
        <f>IF(BD_Carga!G410&lt;&gt;"",BD_Carga!G410,0)</f>
        <v/>
      </c>
      <c r="N409" s="4">
        <f>IF(BD_Carga!H410&lt;&gt;"",BD_Carga!H410,0)</f>
        <v/>
      </c>
      <c r="O409" s="4">
        <f>IF(BD_Carga!I410&lt;&gt;"",BD_Carga!I410,0)</f>
        <v/>
      </c>
      <c r="P409" s="4">
        <f>IF(BD_Carga!J410&lt;&gt;"",BD_Carga!J410,0)</f>
        <v/>
      </c>
      <c r="Q409" s="5">
        <f>IF(BD_Carga!K410&lt;&gt;"",BD_Carga!K410,0)</f>
        <v/>
      </c>
      <c r="R409" s="5">
        <f>IF(BD_Carga!L410&lt;&gt;"",BD_Carga!L410,0)</f>
        <v/>
      </c>
      <c r="S409">
        <f>IF(BD_Carga!N410&lt;&gt;"",BD_Carga!N410,0)</f>
        <v/>
      </c>
      <c r="T409">
        <f>IF(BD_Carga!O410&lt;&gt;"",BD_Carga!O410,0)</f>
        <v/>
      </c>
      <c r="U409">
        <f>IF(BD_Carga!P410&lt;&gt;"",BD_Carga!P410,0)</f>
        <v/>
      </c>
      <c r="V409">
        <f>IF(BD_Carga!U410&lt;&gt;"",BD_Carga!U410,0)</f>
        <v/>
      </c>
      <c r="W409">
        <f>IF(BD_Carga!T410&lt;&gt;"",BD_Carga!T410,0)</f>
        <v/>
      </c>
      <c r="X409">
        <f>IF(BD_Carga!W410&lt;&gt;"",BD_Carga!W410,0)</f>
        <v/>
      </c>
      <c r="Y409">
        <f>IF(BD_Carga!X410&lt;&gt;"",BD_Carga!X410,0)</f>
        <v/>
      </c>
      <c r="Z409">
        <f>IF(BD_Carga!Y410&lt;&gt;"",BD_Carga!Y410,0)</f>
        <v/>
      </c>
      <c r="AA409">
        <f>IF(BD_Carga!Z410&lt;&gt;"",BD_Carga!Z410,0)</f>
        <v/>
      </c>
      <c r="AB409">
        <f>IF(BD_Carga!AA410&lt;&gt;"",BD_Carga!AA410,0)</f>
        <v/>
      </c>
      <c r="AC409" s="6">
        <f t="array" ref="AC409">IFERROR((L409-AVERAGEIF($G$2:$G$462,G409,$L$2:$L$462))/_xlfn.STDEV.P(IF($G$2:$G$462=G409,$L$2:$L$462)),0)</f>
        <v/>
      </c>
      <c r="AD409" s="6">
        <f t="array" ref="AD409">IFERROR((M409-AVERAGEIF($G$2:$G$462,G409,$M$2:$M$462))/_xlfn.STDEV.P(IF($G$2:$G$462=G409,$M$2:$M$462)),0)</f>
        <v/>
      </c>
      <c r="AE409" s="6">
        <f t="array" ref="AE409">IFERROR((N409-AVERAGEIF($G$2:$G$462,G409,$N$2:$N$462))/_xlfn.STDEV.P(IF($G$2:$G$462=G409,$N$2:$N$462)),0)</f>
        <v/>
      </c>
      <c r="AF409" s="6">
        <f t="array" ref="AF409">IFERROR((O409-AVERAGEIF($G$2:$G$462,G409,$O$2:$O$462))/_xlfn.STDEV.P(IF($G$2:$G$462=G409,$O$2:$O$462)),0)</f>
        <v/>
      </c>
      <c r="AG409" s="6">
        <f t="array" ref="AG409">IFERROR((P409-AVERAGEIF($G$2:$G$462,G409,$P$2:$P$462))/_xlfn.STDEV.P(IF($G$2:$G$462=G409,$P$2:$P$462)),0)</f>
        <v/>
      </c>
      <c r="AH409" s="6">
        <f t="array" ref="AH409">IFERROR((R409-AVERAGEIF($G$2:$G$462,G409,$R$2:$R$462))/_xlfn.STDEV.P(IF($G$2:$G$462=G409,$R$2:$R$462)),0)</f>
        <v/>
      </c>
      <c r="AI409" s="6">
        <f>IFERROR((AC409+AD409+AE409+AF409+AG409+AH409)/6,0)</f>
        <v/>
      </c>
    </row>
    <row r="410">
      <c r="A410" s="2">
        <f>IF(BD_Carga!A411&lt;&gt;"",BD_Carga!A411,"")</f>
        <v/>
      </c>
      <c r="B410">
        <f>IF(A410&lt;&gt;"",YEAR(A410),"")</f>
        <v/>
      </c>
      <c r="C410">
        <f>IF(A410&lt;&gt;"",MONTH(A410),"")</f>
        <v/>
      </c>
      <c r="D410">
        <f>IF(A410&lt;&gt;"",_xlfn.ISOWEEKNUM(A410),"")</f>
        <v/>
      </c>
      <c r="E410">
        <f>IF(A410&lt;&gt;"",TEXT(A410,"dddd"),"")</f>
        <v/>
      </c>
      <c r="F410">
        <f>IF(BD_Carga!C411&lt;&gt;"",BD_Carga!C411,"")</f>
        <v/>
      </c>
      <c r="G410">
        <f>IF(BD_Carga!D411&lt;&gt;"",BD_Carga!D411,"")</f>
        <v/>
      </c>
      <c r="H410">
        <f>IF(BD_Carga!Q411&lt;&gt;"",BD_Carga!Q411,"")</f>
        <v/>
      </c>
      <c r="I410">
        <f>IF(BD_Carga!R411&lt;&gt;"",BD_Carga!R411,"")</f>
        <v/>
      </c>
      <c r="J410">
        <f>IF(BD_Carga!S411&lt;&gt;"",BD_Carga!S411,"")</f>
        <v/>
      </c>
      <c r="K410" s="4">
        <f>IF(BD_Carga!E411&lt;&gt;"",BD_Carga!E411,0)</f>
        <v/>
      </c>
      <c r="L410" s="4">
        <f>IF(BD_Carga!F411&lt;&gt;"",BD_Carga!F411,0)</f>
        <v/>
      </c>
      <c r="M410" s="4">
        <f>IF(BD_Carga!G411&lt;&gt;"",BD_Carga!G411,0)</f>
        <v/>
      </c>
      <c r="N410" s="4">
        <f>IF(BD_Carga!H411&lt;&gt;"",BD_Carga!H411,0)</f>
        <v/>
      </c>
      <c r="O410" s="4">
        <f>IF(BD_Carga!I411&lt;&gt;"",BD_Carga!I411,0)</f>
        <v/>
      </c>
      <c r="P410" s="4">
        <f>IF(BD_Carga!J411&lt;&gt;"",BD_Carga!J411,0)</f>
        <v/>
      </c>
      <c r="Q410" s="5">
        <f>IF(BD_Carga!K411&lt;&gt;"",BD_Carga!K411,0)</f>
        <v/>
      </c>
      <c r="R410" s="5">
        <f>IF(BD_Carga!L411&lt;&gt;"",BD_Carga!L411,0)</f>
        <v/>
      </c>
      <c r="S410">
        <f>IF(BD_Carga!N411&lt;&gt;"",BD_Carga!N411,0)</f>
        <v/>
      </c>
      <c r="T410">
        <f>IF(BD_Carga!O411&lt;&gt;"",BD_Carga!O411,0)</f>
        <v/>
      </c>
      <c r="U410">
        <f>IF(BD_Carga!P411&lt;&gt;"",BD_Carga!P411,0)</f>
        <v/>
      </c>
      <c r="V410">
        <f>IF(BD_Carga!U411&lt;&gt;"",BD_Carga!U411,0)</f>
        <v/>
      </c>
      <c r="W410">
        <f>IF(BD_Carga!T411&lt;&gt;"",BD_Carga!T411,0)</f>
        <v/>
      </c>
      <c r="X410">
        <f>IF(BD_Carga!W411&lt;&gt;"",BD_Carga!W411,0)</f>
        <v/>
      </c>
      <c r="Y410">
        <f>IF(BD_Carga!X411&lt;&gt;"",BD_Carga!X411,0)</f>
        <v/>
      </c>
      <c r="Z410">
        <f>IF(BD_Carga!Y411&lt;&gt;"",BD_Carga!Y411,0)</f>
        <v/>
      </c>
      <c r="AA410">
        <f>IF(BD_Carga!Z411&lt;&gt;"",BD_Carga!Z411,0)</f>
        <v/>
      </c>
      <c r="AB410">
        <f>IF(BD_Carga!AA411&lt;&gt;"",BD_Carga!AA411,0)</f>
        <v/>
      </c>
      <c r="AC410" s="6">
        <f t="array" ref="AC410">IFERROR((L410-AVERAGEIF($G$2:$G$462,G410,$L$2:$L$462))/_xlfn.STDEV.P(IF($G$2:$G$462=G410,$L$2:$L$462)),0)</f>
        <v/>
      </c>
      <c r="AD410" s="6">
        <f t="array" ref="AD410">IFERROR((M410-AVERAGEIF($G$2:$G$462,G410,$M$2:$M$462))/_xlfn.STDEV.P(IF($G$2:$G$462=G410,$M$2:$M$462)),0)</f>
        <v/>
      </c>
      <c r="AE410" s="6">
        <f t="array" ref="AE410">IFERROR((N410-AVERAGEIF($G$2:$G$462,G410,$N$2:$N$462))/_xlfn.STDEV.P(IF($G$2:$G$462=G410,$N$2:$N$462)),0)</f>
        <v/>
      </c>
      <c r="AF410" s="6">
        <f t="array" ref="AF410">IFERROR((O410-AVERAGEIF($G$2:$G$462,G410,$O$2:$O$462))/_xlfn.STDEV.P(IF($G$2:$G$462=G410,$O$2:$O$462)),0)</f>
        <v/>
      </c>
      <c r="AG410" s="6">
        <f t="array" ref="AG410">IFERROR((P410-AVERAGEIF($G$2:$G$462,G410,$P$2:$P$462))/_xlfn.STDEV.P(IF($G$2:$G$462=G410,$P$2:$P$462)),0)</f>
        <v/>
      </c>
      <c r="AH410" s="6">
        <f t="array" ref="AH410">IFERROR((R410-AVERAGEIF($G$2:$G$462,G410,$R$2:$R$462))/_xlfn.STDEV.P(IF($G$2:$G$462=G410,$R$2:$R$462)),0)</f>
        <v/>
      </c>
      <c r="AI410" s="6">
        <f>IFERROR((AC410+AD410+AE410+AF410+AG410+AH410)/6,0)</f>
        <v/>
      </c>
    </row>
    <row r="411">
      <c r="A411" s="2">
        <f>IF(BD_Carga!A412&lt;&gt;"",BD_Carga!A412,"")</f>
        <v/>
      </c>
      <c r="B411">
        <f>IF(A411&lt;&gt;"",YEAR(A411),"")</f>
        <v/>
      </c>
      <c r="C411">
        <f>IF(A411&lt;&gt;"",MONTH(A411),"")</f>
        <v/>
      </c>
      <c r="D411">
        <f>IF(A411&lt;&gt;"",_xlfn.ISOWEEKNUM(A411),"")</f>
        <v/>
      </c>
      <c r="E411">
        <f>IF(A411&lt;&gt;"",TEXT(A411,"dddd"),"")</f>
        <v/>
      </c>
      <c r="F411">
        <f>IF(BD_Carga!C412&lt;&gt;"",BD_Carga!C412,"")</f>
        <v/>
      </c>
      <c r="G411">
        <f>IF(BD_Carga!D412&lt;&gt;"",BD_Carga!D412,"")</f>
        <v/>
      </c>
      <c r="H411">
        <f>IF(BD_Carga!Q412&lt;&gt;"",BD_Carga!Q412,"")</f>
        <v/>
      </c>
      <c r="I411">
        <f>IF(BD_Carga!R412&lt;&gt;"",BD_Carga!R412,"")</f>
        <v/>
      </c>
      <c r="J411">
        <f>IF(BD_Carga!S412&lt;&gt;"",BD_Carga!S412,"")</f>
        <v/>
      </c>
      <c r="K411" s="4">
        <f>IF(BD_Carga!E412&lt;&gt;"",BD_Carga!E412,0)</f>
        <v/>
      </c>
      <c r="L411" s="4">
        <f>IF(BD_Carga!F412&lt;&gt;"",BD_Carga!F412,0)</f>
        <v/>
      </c>
      <c r="M411" s="4">
        <f>IF(BD_Carga!G412&lt;&gt;"",BD_Carga!G412,0)</f>
        <v/>
      </c>
      <c r="N411" s="4">
        <f>IF(BD_Carga!H412&lt;&gt;"",BD_Carga!H412,0)</f>
        <v/>
      </c>
      <c r="O411" s="4">
        <f>IF(BD_Carga!I412&lt;&gt;"",BD_Carga!I412,0)</f>
        <v/>
      </c>
      <c r="P411" s="4">
        <f>IF(BD_Carga!J412&lt;&gt;"",BD_Carga!J412,0)</f>
        <v/>
      </c>
      <c r="Q411" s="5">
        <f>IF(BD_Carga!K412&lt;&gt;"",BD_Carga!K412,0)</f>
        <v/>
      </c>
      <c r="R411" s="5">
        <f>IF(BD_Carga!L412&lt;&gt;"",BD_Carga!L412,0)</f>
        <v/>
      </c>
      <c r="S411">
        <f>IF(BD_Carga!N412&lt;&gt;"",BD_Carga!N412,0)</f>
        <v/>
      </c>
      <c r="T411">
        <f>IF(BD_Carga!O412&lt;&gt;"",BD_Carga!O412,0)</f>
        <v/>
      </c>
      <c r="U411">
        <f>IF(BD_Carga!P412&lt;&gt;"",BD_Carga!P412,0)</f>
        <v/>
      </c>
      <c r="V411">
        <f>IF(BD_Carga!U412&lt;&gt;"",BD_Carga!U412,0)</f>
        <v/>
      </c>
      <c r="W411">
        <f>IF(BD_Carga!T412&lt;&gt;"",BD_Carga!T412,0)</f>
        <v/>
      </c>
      <c r="X411">
        <f>IF(BD_Carga!W412&lt;&gt;"",BD_Carga!W412,0)</f>
        <v/>
      </c>
      <c r="Y411">
        <f>IF(BD_Carga!X412&lt;&gt;"",BD_Carga!X412,0)</f>
        <v/>
      </c>
      <c r="Z411">
        <f>IF(BD_Carga!Y412&lt;&gt;"",BD_Carga!Y412,0)</f>
        <v/>
      </c>
      <c r="AA411">
        <f>IF(BD_Carga!Z412&lt;&gt;"",BD_Carga!Z412,0)</f>
        <v/>
      </c>
      <c r="AB411">
        <f>IF(BD_Carga!AA412&lt;&gt;"",BD_Carga!AA412,0)</f>
        <v/>
      </c>
      <c r="AC411" s="6">
        <f t="array" ref="AC411">IFERROR((L411-AVERAGEIF($G$2:$G$462,G411,$L$2:$L$462))/_xlfn.STDEV.P(IF($G$2:$G$462=G411,$L$2:$L$462)),0)</f>
        <v/>
      </c>
      <c r="AD411" s="6">
        <f t="array" ref="AD411">IFERROR((M411-AVERAGEIF($G$2:$G$462,G411,$M$2:$M$462))/_xlfn.STDEV.P(IF($G$2:$G$462=G411,$M$2:$M$462)),0)</f>
        <v/>
      </c>
      <c r="AE411" s="6">
        <f t="array" ref="AE411">IFERROR((N411-AVERAGEIF($G$2:$G$462,G411,$N$2:$N$462))/_xlfn.STDEV.P(IF($G$2:$G$462=G411,$N$2:$N$462)),0)</f>
        <v/>
      </c>
      <c r="AF411" s="6">
        <f t="array" ref="AF411">IFERROR((O411-AVERAGEIF($G$2:$G$462,G411,$O$2:$O$462))/_xlfn.STDEV.P(IF($G$2:$G$462=G411,$O$2:$O$462)),0)</f>
        <v/>
      </c>
      <c r="AG411" s="6">
        <f t="array" ref="AG411">IFERROR((P411-AVERAGEIF($G$2:$G$462,G411,$P$2:$P$462))/_xlfn.STDEV.P(IF($G$2:$G$462=G411,$P$2:$P$462)),0)</f>
        <v/>
      </c>
      <c r="AH411" s="6">
        <f t="array" ref="AH411">IFERROR((R411-AVERAGEIF($G$2:$G$462,G411,$R$2:$R$462))/_xlfn.STDEV.P(IF($G$2:$G$462=G411,$R$2:$R$462)),0)</f>
        <v/>
      </c>
      <c r="AI411" s="6">
        <f>IFERROR((AC411+AD411+AE411+AF411+AG411+AH411)/6,0)</f>
        <v/>
      </c>
    </row>
    <row r="412">
      <c r="A412" s="2">
        <f>IF(BD_Carga!A413&lt;&gt;"",BD_Carga!A413,"")</f>
        <v/>
      </c>
      <c r="B412">
        <f>IF(A412&lt;&gt;"",YEAR(A412),"")</f>
        <v/>
      </c>
      <c r="C412">
        <f>IF(A412&lt;&gt;"",MONTH(A412),"")</f>
        <v/>
      </c>
      <c r="D412">
        <f>IF(A412&lt;&gt;"",_xlfn.ISOWEEKNUM(A412),"")</f>
        <v/>
      </c>
      <c r="E412">
        <f>IF(A412&lt;&gt;"",TEXT(A412,"dddd"),"")</f>
        <v/>
      </c>
      <c r="F412">
        <f>IF(BD_Carga!C413&lt;&gt;"",BD_Carga!C413,"")</f>
        <v/>
      </c>
      <c r="G412">
        <f>IF(BD_Carga!D413&lt;&gt;"",BD_Carga!D413,"")</f>
        <v/>
      </c>
      <c r="H412">
        <f>IF(BD_Carga!Q413&lt;&gt;"",BD_Carga!Q413,"")</f>
        <v/>
      </c>
      <c r="I412">
        <f>IF(BD_Carga!R413&lt;&gt;"",BD_Carga!R413,"")</f>
        <v/>
      </c>
      <c r="J412">
        <f>IF(BD_Carga!S413&lt;&gt;"",BD_Carga!S413,"")</f>
        <v/>
      </c>
      <c r="K412" s="4">
        <f>IF(BD_Carga!E413&lt;&gt;"",BD_Carga!E413,0)</f>
        <v/>
      </c>
      <c r="L412" s="4">
        <f>IF(BD_Carga!F413&lt;&gt;"",BD_Carga!F413,0)</f>
        <v/>
      </c>
      <c r="M412" s="4">
        <f>IF(BD_Carga!G413&lt;&gt;"",BD_Carga!G413,0)</f>
        <v/>
      </c>
      <c r="N412" s="4">
        <f>IF(BD_Carga!H413&lt;&gt;"",BD_Carga!H413,0)</f>
        <v/>
      </c>
      <c r="O412" s="4">
        <f>IF(BD_Carga!I413&lt;&gt;"",BD_Carga!I413,0)</f>
        <v/>
      </c>
      <c r="P412" s="4">
        <f>IF(BD_Carga!J413&lt;&gt;"",BD_Carga!J413,0)</f>
        <v/>
      </c>
      <c r="Q412" s="5">
        <f>IF(BD_Carga!K413&lt;&gt;"",BD_Carga!K413,0)</f>
        <v/>
      </c>
      <c r="R412" s="5">
        <f>IF(BD_Carga!L413&lt;&gt;"",BD_Carga!L413,0)</f>
        <v/>
      </c>
      <c r="S412">
        <f>IF(BD_Carga!N413&lt;&gt;"",BD_Carga!N413,0)</f>
        <v/>
      </c>
      <c r="T412">
        <f>IF(BD_Carga!O413&lt;&gt;"",BD_Carga!O413,0)</f>
        <v/>
      </c>
      <c r="U412">
        <f>IF(BD_Carga!P413&lt;&gt;"",BD_Carga!P413,0)</f>
        <v/>
      </c>
      <c r="V412">
        <f>IF(BD_Carga!U413&lt;&gt;"",BD_Carga!U413,0)</f>
        <v/>
      </c>
      <c r="W412">
        <f>IF(BD_Carga!T413&lt;&gt;"",BD_Carga!T413,0)</f>
        <v/>
      </c>
      <c r="X412">
        <f>IF(BD_Carga!W413&lt;&gt;"",BD_Carga!W413,0)</f>
        <v/>
      </c>
      <c r="Y412">
        <f>IF(BD_Carga!X413&lt;&gt;"",BD_Carga!X413,0)</f>
        <v/>
      </c>
      <c r="Z412">
        <f>IF(BD_Carga!Y413&lt;&gt;"",BD_Carga!Y413,0)</f>
        <v/>
      </c>
      <c r="AA412">
        <f>IF(BD_Carga!Z413&lt;&gt;"",BD_Carga!Z413,0)</f>
        <v/>
      </c>
      <c r="AB412">
        <f>IF(BD_Carga!AA413&lt;&gt;"",BD_Carga!AA413,0)</f>
        <v/>
      </c>
      <c r="AC412" s="6">
        <f t="array" ref="AC412">IFERROR((L412-AVERAGEIF($G$2:$G$462,G412,$L$2:$L$462))/_xlfn.STDEV.P(IF($G$2:$G$462=G412,$L$2:$L$462)),0)</f>
        <v/>
      </c>
      <c r="AD412" s="6">
        <f t="array" ref="AD412">IFERROR((M412-AVERAGEIF($G$2:$G$462,G412,$M$2:$M$462))/_xlfn.STDEV.P(IF($G$2:$G$462=G412,$M$2:$M$462)),0)</f>
        <v/>
      </c>
      <c r="AE412" s="6">
        <f t="array" ref="AE412">IFERROR((N412-AVERAGEIF($G$2:$G$462,G412,$N$2:$N$462))/_xlfn.STDEV.P(IF($G$2:$G$462=G412,$N$2:$N$462)),0)</f>
        <v/>
      </c>
      <c r="AF412" s="6">
        <f t="array" ref="AF412">IFERROR((O412-AVERAGEIF($G$2:$G$462,G412,$O$2:$O$462))/_xlfn.STDEV.P(IF($G$2:$G$462=G412,$O$2:$O$462)),0)</f>
        <v/>
      </c>
      <c r="AG412" s="6">
        <f t="array" ref="AG412">IFERROR((P412-AVERAGEIF($G$2:$G$462,G412,$P$2:$P$462))/_xlfn.STDEV.P(IF($G$2:$G$462=G412,$P$2:$P$462)),0)</f>
        <v/>
      </c>
      <c r="AH412" s="6">
        <f t="array" ref="AH412">IFERROR((R412-AVERAGEIF($G$2:$G$462,G412,$R$2:$R$462))/_xlfn.STDEV.P(IF($G$2:$G$462=G412,$R$2:$R$462)),0)</f>
        <v/>
      </c>
      <c r="AI412" s="6">
        <f>IFERROR((AC412+AD412+AE412+AF412+AG412+AH412)/6,0)</f>
        <v/>
      </c>
    </row>
    <row r="413">
      <c r="A413" s="2">
        <f>IF(BD_Carga!A414&lt;&gt;"",BD_Carga!A414,"")</f>
        <v/>
      </c>
      <c r="B413">
        <f>IF(A413&lt;&gt;"",YEAR(A413),"")</f>
        <v/>
      </c>
      <c r="C413">
        <f>IF(A413&lt;&gt;"",MONTH(A413),"")</f>
        <v/>
      </c>
      <c r="D413">
        <f>IF(A413&lt;&gt;"",_xlfn.ISOWEEKNUM(A413),"")</f>
        <v/>
      </c>
      <c r="E413">
        <f>IF(A413&lt;&gt;"",TEXT(A413,"dddd"),"")</f>
        <v/>
      </c>
      <c r="F413">
        <f>IF(BD_Carga!C414&lt;&gt;"",BD_Carga!C414,"")</f>
        <v/>
      </c>
      <c r="G413">
        <f>IF(BD_Carga!D414&lt;&gt;"",BD_Carga!D414,"")</f>
        <v/>
      </c>
      <c r="H413">
        <f>IF(BD_Carga!Q414&lt;&gt;"",BD_Carga!Q414,"")</f>
        <v/>
      </c>
      <c r="I413">
        <f>IF(BD_Carga!R414&lt;&gt;"",BD_Carga!R414,"")</f>
        <v/>
      </c>
      <c r="J413">
        <f>IF(BD_Carga!S414&lt;&gt;"",BD_Carga!S414,"")</f>
        <v/>
      </c>
      <c r="K413" s="4">
        <f>IF(BD_Carga!E414&lt;&gt;"",BD_Carga!E414,0)</f>
        <v/>
      </c>
      <c r="L413" s="4">
        <f>IF(BD_Carga!F414&lt;&gt;"",BD_Carga!F414,0)</f>
        <v/>
      </c>
      <c r="M413" s="4">
        <f>IF(BD_Carga!G414&lt;&gt;"",BD_Carga!G414,0)</f>
        <v/>
      </c>
      <c r="N413" s="4">
        <f>IF(BD_Carga!H414&lt;&gt;"",BD_Carga!H414,0)</f>
        <v/>
      </c>
      <c r="O413" s="4">
        <f>IF(BD_Carga!I414&lt;&gt;"",BD_Carga!I414,0)</f>
        <v/>
      </c>
      <c r="P413" s="4">
        <f>IF(BD_Carga!J414&lt;&gt;"",BD_Carga!J414,0)</f>
        <v/>
      </c>
      <c r="Q413" s="5">
        <f>IF(BD_Carga!K414&lt;&gt;"",BD_Carga!K414,0)</f>
        <v/>
      </c>
      <c r="R413" s="5">
        <f>IF(BD_Carga!L414&lt;&gt;"",BD_Carga!L414,0)</f>
        <v/>
      </c>
      <c r="S413">
        <f>IF(BD_Carga!N414&lt;&gt;"",BD_Carga!N414,0)</f>
        <v/>
      </c>
      <c r="T413">
        <f>IF(BD_Carga!O414&lt;&gt;"",BD_Carga!O414,0)</f>
        <v/>
      </c>
      <c r="U413">
        <f>IF(BD_Carga!P414&lt;&gt;"",BD_Carga!P414,0)</f>
        <v/>
      </c>
      <c r="V413">
        <f>IF(BD_Carga!U414&lt;&gt;"",BD_Carga!U414,0)</f>
        <v/>
      </c>
      <c r="W413">
        <f>IF(BD_Carga!T414&lt;&gt;"",BD_Carga!T414,0)</f>
        <v/>
      </c>
      <c r="X413">
        <f>IF(BD_Carga!W414&lt;&gt;"",BD_Carga!W414,0)</f>
        <v/>
      </c>
      <c r="Y413">
        <f>IF(BD_Carga!X414&lt;&gt;"",BD_Carga!X414,0)</f>
        <v/>
      </c>
      <c r="Z413">
        <f>IF(BD_Carga!Y414&lt;&gt;"",BD_Carga!Y414,0)</f>
        <v/>
      </c>
      <c r="AA413">
        <f>IF(BD_Carga!Z414&lt;&gt;"",BD_Carga!Z414,0)</f>
        <v/>
      </c>
      <c r="AB413">
        <f>IF(BD_Carga!AA414&lt;&gt;"",BD_Carga!AA414,0)</f>
        <v/>
      </c>
      <c r="AC413" s="6">
        <f t="array" ref="AC413">IFERROR((L413-AVERAGEIF($G$2:$G$462,G413,$L$2:$L$462))/_xlfn.STDEV.P(IF($G$2:$G$462=G413,$L$2:$L$462)),0)</f>
        <v/>
      </c>
      <c r="AD413" s="6">
        <f t="array" ref="AD413">IFERROR((M413-AVERAGEIF($G$2:$G$462,G413,$M$2:$M$462))/_xlfn.STDEV.P(IF($G$2:$G$462=G413,$M$2:$M$462)),0)</f>
        <v/>
      </c>
      <c r="AE413" s="6">
        <f t="array" ref="AE413">IFERROR((N413-AVERAGEIF($G$2:$G$462,G413,$N$2:$N$462))/_xlfn.STDEV.P(IF($G$2:$G$462=G413,$N$2:$N$462)),0)</f>
        <v/>
      </c>
      <c r="AF413" s="6">
        <f t="array" ref="AF413">IFERROR((O413-AVERAGEIF($G$2:$G$462,G413,$O$2:$O$462))/_xlfn.STDEV.P(IF($G$2:$G$462=G413,$O$2:$O$462)),0)</f>
        <v/>
      </c>
      <c r="AG413" s="6">
        <f t="array" ref="AG413">IFERROR((P413-AVERAGEIF($G$2:$G$462,G413,$P$2:$P$462))/_xlfn.STDEV.P(IF($G$2:$G$462=G413,$P$2:$P$462)),0)</f>
        <v/>
      </c>
      <c r="AH413" s="6">
        <f t="array" ref="AH413">IFERROR((R413-AVERAGEIF($G$2:$G$462,G413,$R$2:$R$462))/_xlfn.STDEV.P(IF($G$2:$G$462=G413,$R$2:$R$462)),0)</f>
        <v/>
      </c>
      <c r="AI413" s="6">
        <f>IFERROR((AC413+AD413+AE413+AF413+AG413+AH413)/6,0)</f>
        <v/>
      </c>
    </row>
    <row r="414">
      <c r="A414" s="2">
        <f>IF(BD_Carga!A415&lt;&gt;"",BD_Carga!A415,"")</f>
        <v/>
      </c>
      <c r="B414">
        <f>IF(A414&lt;&gt;"",YEAR(A414),"")</f>
        <v/>
      </c>
      <c r="C414">
        <f>IF(A414&lt;&gt;"",MONTH(A414),"")</f>
        <v/>
      </c>
      <c r="D414">
        <f>IF(A414&lt;&gt;"",_xlfn.ISOWEEKNUM(A414),"")</f>
        <v/>
      </c>
      <c r="E414">
        <f>IF(A414&lt;&gt;"",TEXT(A414,"dddd"),"")</f>
        <v/>
      </c>
      <c r="F414">
        <f>IF(BD_Carga!C415&lt;&gt;"",BD_Carga!C415,"")</f>
        <v/>
      </c>
      <c r="G414">
        <f>IF(BD_Carga!D415&lt;&gt;"",BD_Carga!D415,"")</f>
        <v/>
      </c>
      <c r="H414">
        <f>IF(BD_Carga!Q415&lt;&gt;"",BD_Carga!Q415,"")</f>
        <v/>
      </c>
      <c r="I414">
        <f>IF(BD_Carga!R415&lt;&gt;"",BD_Carga!R415,"")</f>
        <v/>
      </c>
      <c r="J414">
        <f>IF(BD_Carga!S415&lt;&gt;"",BD_Carga!S415,"")</f>
        <v/>
      </c>
      <c r="K414" s="4">
        <f>IF(BD_Carga!E415&lt;&gt;"",BD_Carga!E415,0)</f>
        <v/>
      </c>
      <c r="L414" s="4">
        <f>IF(BD_Carga!F415&lt;&gt;"",BD_Carga!F415,0)</f>
        <v/>
      </c>
      <c r="M414" s="4">
        <f>IF(BD_Carga!G415&lt;&gt;"",BD_Carga!G415,0)</f>
        <v/>
      </c>
      <c r="N414" s="4">
        <f>IF(BD_Carga!H415&lt;&gt;"",BD_Carga!H415,0)</f>
        <v/>
      </c>
      <c r="O414" s="4">
        <f>IF(BD_Carga!I415&lt;&gt;"",BD_Carga!I415,0)</f>
        <v/>
      </c>
      <c r="P414" s="4">
        <f>IF(BD_Carga!J415&lt;&gt;"",BD_Carga!J415,0)</f>
        <v/>
      </c>
      <c r="Q414" s="5">
        <f>IF(BD_Carga!K415&lt;&gt;"",BD_Carga!K415,0)</f>
        <v/>
      </c>
      <c r="R414" s="5">
        <f>IF(BD_Carga!L415&lt;&gt;"",BD_Carga!L415,0)</f>
        <v/>
      </c>
      <c r="S414">
        <f>IF(BD_Carga!N415&lt;&gt;"",BD_Carga!N415,0)</f>
        <v/>
      </c>
      <c r="T414">
        <f>IF(BD_Carga!O415&lt;&gt;"",BD_Carga!O415,0)</f>
        <v/>
      </c>
      <c r="U414">
        <f>IF(BD_Carga!P415&lt;&gt;"",BD_Carga!P415,0)</f>
        <v/>
      </c>
      <c r="V414">
        <f>IF(BD_Carga!U415&lt;&gt;"",BD_Carga!U415,0)</f>
        <v/>
      </c>
      <c r="W414">
        <f>IF(BD_Carga!T415&lt;&gt;"",BD_Carga!T415,0)</f>
        <v/>
      </c>
      <c r="X414">
        <f>IF(BD_Carga!W415&lt;&gt;"",BD_Carga!W415,0)</f>
        <v/>
      </c>
      <c r="Y414">
        <f>IF(BD_Carga!X415&lt;&gt;"",BD_Carga!X415,0)</f>
        <v/>
      </c>
      <c r="Z414">
        <f>IF(BD_Carga!Y415&lt;&gt;"",BD_Carga!Y415,0)</f>
        <v/>
      </c>
      <c r="AA414">
        <f>IF(BD_Carga!Z415&lt;&gt;"",BD_Carga!Z415,0)</f>
        <v/>
      </c>
      <c r="AB414">
        <f>IF(BD_Carga!AA415&lt;&gt;"",BD_Carga!AA415,0)</f>
        <v/>
      </c>
      <c r="AC414" s="6">
        <f t="array" ref="AC414">IFERROR((L414-AVERAGEIF($G$2:$G$462,G414,$L$2:$L$462))/_xlfn.STDEV.P(IF($G$2:$G$462=G414,$L$2:$L$462)),0)</f>
        <v/>
      </c>
      <c r="AD414" s="6">
        <f t="array" ref="AD414">IFERROR((M414-AVERAGEIF($G$2:$G$462,G414,$M$2:$M$462))/_xlfn.STDEV.P(IF($G$2:$G$462=G414,$M$2:$M$462)),0)</f>
        <v/>
      </c>
      <c r="AE414" s="6">
        <f t="array" ref="AE414">IFERROR((N414-AVERAGEIF($G$2:$G$462,G414,$N$2:$N$462))/_xlfn.STDEV.P(IF($G$2:$G$462=G414,$N$2:$N$462)),0)</f>
        <v/>
      </c>
      <c r="AF414" s="6">
        <f t="array" ref="AF414">IFERROR((O414-AVERAGEIF($G$2:$G$462,G414,$O$2:$O$462))/_xlfn.STDEV.P(IF($G$2:$G$462=G414,$O$2:$O$462)),0)</f>
        <v/>
      </c>
      <c r="AG414" s="6">
        <f t="array" ref="AG414">IFERROR((P414-AVERAGEIF($G$2:$G$462,G414,$P$2:$P$462))/_xlfn.STDEV.P(IF($G$2:$G$462=G414,$P$2:$P$462)),0)</f>
        <v/>
      </c>
      <c r="AH414" s="6">
        <f t="array" ref="AH414">IFERROR((R414-AVERAGEIF($G$2:$G$462,G414,$R$2:$R$462))/_xlfn.STDEV.P(IF($G$2:$G$462=G414,$R$2:$R$462)),0)</f>
        <v/>
      </c>
      <c r="AI414" s="6">
        <f>IFERROR((AC414+AD414+AE414+AF414+AG414+AH414)/6,0)</f>
        <v/>
      </c>
    </row>
    <row r="415">
      <c r="A415" s="2">
        <f>IF(BD_Carga!A416&lt;&gt;"",BD_Carga!A416,"")</f>
        <v/>
      </c>
      <c r="B415">
        <f>IF(A415&lt;&gt;"",YEAR(A415),"")</f>
        <v/>
      </c>
      <c r="C415">
        <f>IF(A415&lt;&gt;"",MONTH(A415),"")</f>
        <v/>
      </c>
      <c r="D415">
        <f>IF(A415&lt;&gt;"",_xlfn.ISOWEEKNUM(A415),"")</f>
        <v/>
      </c>
      <c r="E415">
        <f>IF(A415&lt;&gt;"",TEXT(A415,"dddd"),"")</f>
        <v/>
      </c>
      <c r="F415">
        <f>IF(BD_Carga!C416&lt;&gt;"",BD_Carga!C416,"")</f>
        <v/>
      </c>
      <c r="G415">
        <f>IF(BD_Carga!D416&lt;&gt;"",BD_Carga!D416,"")</f>
        <v/>
      </c>
      <c r="H415">
        <f>IF(BD_Carga!Q416&lt;&gt;"",BD_Carga!Q416,"")</f>
        <v/>
      </c>
      <c r="I415">
        <f>IF(BD_Carga!R416&lt;&gt;"",BD_Carga!R416,"")</f>
        <v/>
      </c>
      <c r="J415">
        <f>IF(BD_Carga!S416&lt;&gt;"",BD_Carga!S416,"")</f>
        <v/>
      </c>
      <c r="K415" s="4">
        <f>IF(BD_Carga!E416&lt;&gt;"",BD_Carga!E416,0)</f>
        <v/>
      </c>
      <c r="L415" s="4">
        <f>IF(BD_Carga!F416&lt;&gt;"",BD_Carga!F416,0)</f>
        <v/>
      </c>
      <c r="M415" s="4">
        <f>IF(BD_Carga!G416&lt;&gt;"",BD_Carga!G416,0)</f>
        <v/>
      </c>
      <c r="N415" s="4">
        <f>IF(BD_Carga!H416&lt;&gt;"",BD_Carga!H416,0)</f>
        <v/>
      </c>
      <c r="O415" s="4">
        <f>IF(BD_Carga!I416&lt;&gt;"",BD_Carga!I416,0)</f>
        <v/>
      </c>
      <c r="P415" s="4">
        <f>IF(BD_Carga!J416&lt;&gt;"",BD_Carga!J416,0)</f>
        <v/>
      </c>
      <c r="Q415" s="5">
        <f>IF(BD_Carga!K416&lt;&gt;"",BD_Carga!K416,0)</f>
        <v/>
      </c>
      <c r="R415" s="5">
        <f>IF(BD_Carga!L416&lt;&gt;"",BD_Carga!L416,0)</f>
        <v/>
      </c>
      <c r="S415">
        <f>IF(BD_Carga!N416&lt;&gt;"",BD_Carga!N416,0)</f>
        <v/>
      </c>
      <c r="T415">
        <f>IF(BD_Carga!O416&lt;&gt;"",BD_Carga!O416,0)</f>
        <v/>
      </c>
      <c r="U415">
        <f>IF(BD_Carga!P416&lt;&gt;"",BD_Carga!P416,0)</f>
        <v/>
      </c>
      <c r="V415">
        <f>IF(BD_Carga!U416&lt;&gt;"",BD_Carga!U416,0)</f>
        <v/>
      </c>
      <c r="W415">
        <f>IF(BD_Carga!T416&lt;&gt;"",BD_Carga!T416,0)</f>
        <v/>
      </c>
      <c r="X415">
        <f>IF(BD_Carga!W416&lt;&gt;"",BD_Carga!W416,0)</f>
        <v/>
      </c>
      <c r="Y415">
        <f>IF(BD_Carga!X416&lt;&gt;"",BD_Carga!X416,0)</f>
        <v/>
      </c>
      <c r="Z415">
        <f>IF(BD_Carga!Y416&lt;&gt;"",BD_Carga!Y416,0)</f>
        <v/>
      </c>
      <c r="AA415">
        <f>IF(BD_Carga!Z416&lt;&gt;"",BD_Carga!Z416,0)</f>
        <v/>
      </c>
      <c r="AB415">
        <f>IF(BD_Carga!AA416&lt;&gt;"",BD_Carga!AA416,0)</f>
        <v/>
      </c>
      <c r="AC415" s="6">
        <f t="array" ref="AC415">IFERROR((L415-AVERAGEIF($G$2:$G$462,G415,$L$2:$L$462))/_xlfn.STDEV.P(IF($G$2:$G$462=G415,$L$2:$L$462)),0)</f>
        <v/>
      </c>
      <c r="AD415" s="6">
        <f t="array" ref="AD415">IFERROR((M415-AVERAGEIF($G$2:$G$462,G415,$M$2:$M$462))/_xlfn.STDEV.P(IF($G$2:$G$462=G415,$M$2:$M$462)),0)</f>
        <v/>
      </c>
      <c r="AE415" s="6">
        <f t="array" ref="AE415">IFERROR((N415-AVERAGEIF($G$2:$G$462,G415,$N$2:$N$462))/_xlfn.STDEV.P(IF($G$2:$G$462=G415,$N$2:$N$462)),0)</f>
        <v/>
      </c>
      <c r="AF415" s="6">
        <f t="array" ref="AF415">IFERROR((O415-AVERAGEIF($G$2:$G$462,G415,$O$2:$O$462))/_xlfn.STDEV.P(IF($G$2:$G$462=G415,$O$2:$O$462)),0)</f>
        <v/>
      </c>
      <c r="AG415" s="6">
        <f t="array" ref="AG415">IFERROR((P415-AVERAGEIF($G$2:$G$462,G415,$P$2:$P$462))/_xlfn.STDEV.P(IF($G$2:$G$462=G415,$P$2:$P$462)),0)</f>
        <v/>
      </c>
      <c r="AH415" s="6">
        <f t="array" ref="AH415">IFERROR((R415-AVERAGEIF($G$2:$G$462,G415,$R$2:$R$462))/_xlfn.STDEV.P(IF($G$2:$G$462=G415,$R$2:$R$462)),0)</f>
        <v/>
      </c>
      <c r="AI415" s="6">
        <f>IFERROR((AC415+AD415+AE415+AF415+AG415+AH415)/6,0)</f>
        <v/>
      </c>
    </row>
    <row r="416">
      <c r="A416" s="2">
        <f>IF(BD_Carga!A417&lt;&gt;"",BD_Carga!A417,"")</f>
        <v/>
      </c>
      <c r="B416">
        <f>IF(A416&lt;&gt;"",YEAR(A416),"")</f>
        <v/>
      </c>
      <c r="C416">
        <f>IF(A416&lt;&gt;"",MONTH(A416),"")</f>
        <v/>
      </c>
      <c r="D416">
        <f>IF(A416&lt;&gt;"",_xlfn.ISOWEEKNUM(A416),"")</f>
        <v/>
      </c>
      <c r="E416">
        <f>IF(A416&lt;&gt;"",TEXT(A416,"dddd"),"")</f>
        <v/>
      </c>
      <c r="F416">
        <f>IF(BD_Carga!C417&lt;&gt;"",BD_Carga!C417,"")</f>
        <v/>
      </c>
      <c r="G416">
        <f>IF(BD_Carga!D417&lt;&gt;"",BD_Carga!D417,"")</f>
        <v/>
      </c>
      <c r="H416">
        <f>IF(BD_Carga!Q417&lt;&gt;"",BD_Carga!Q417,"")</f>
        <v/>
      </c>
      <c r="I416">
        <f>IF(BD_Carga!R417&lt;&gt;"",BD_Carga!R417,"")</f>
        <v/>
      </c>
      <c r="J416">
        <f>IF(BD_Carga!S417&lt;&gt;"",BD_Carga!S417,"")</f>
        <v/>
      </c>
      <c r="K416" s="4">
        <f>IF(BD_Carga!E417&lt;&gt;"",BD_Carga!E417,0)</f>
        <v/>
      </c>
      <c r="L416" s="4">
        <f>IF(BD_Carga!F417&lt;&gt;"",BD_Carga!F417,0)</f>
        <v/>
      </c>
      <c r="M416" s="4">
        <f>IF(BD_Carga!G417&lt;&gt;"",BD_Carga!G417,0)</f>
        <v/>
      </c>
      <c r="N416" s="4">
        <f>IF(BD_Carga!H417&lt;&gt;"",BD_Carga!H417,0)</f>
        <v/>
      </c>
      <c r="O416" s="4">
        <f>IF(BD_Carga!I417&lt;&gt;"",BD_Carga!I417,0)</f>
        <v/>
      </c>
      <c r="P416" s="4">
        <f>IF(BD_Carga!J417&lt;&gt;"",BD_Carga!J417,0)</f>
        <v/>
      </c>
      <c r="Q416" s="5">
        <f>IF(BD_Carga!K417&lt;&gt;"",BD_Carga!K417,0)</f>
        <v/>
      </c>
      <c r="R416" s="5">
        <f>IF(BD_Carga!L417&lt;&gt;"",BD_Carga!L417,0)</f>
        <v/>
      </c>
      <c r="S416">
        <f>IF(BD_Carga!N417&lt;&gt;"",BD_Carga!N417,0)</f>
        <v/>
      </c>
      <c r="T416">
        <f>IF(BD_Carga!O417&lt;&gt;"",BD_Carga!O417,0)</f>
        <v/>
      </c>
      <c r="U416">
        <f>IF(BD_Carga!P417&lt;&gt;"",BD_Carga!P417,0)</f>
        <v/>
      </c>
      <c r="V416">
        <f>IF(BD_Carga!U417&lt;&gt;"",BD_Carga!U417,0)</f>
        <v/>
      </c>
      <c r="W416">
        <f>IF(BD_Carga!T417&lt;&gt;"",BD_Carga!T417,0)</f>
        <v/>
      </c>
      <c r="X416">
        <f>IF(BD_Carga!W417&lt;&gt;"",BD_Carga!W417,0)</f>
        <v/>
      </c>
      <c r="Y416">
        <f>IF(BD_Carga!X417&lt;&gt;"",BD_Carga!X417,0)</f>
        <v/>
      </c>
      <c r="Z416">
        <f>IF(BD_Carga!Y417&lt;&gt;"",BD_Carga!Y417,0)</f>
        <v/>
      </c>
      <c r="AA416">
        <f>IF(BD_Carga!Z417&lt;&gt;"",BD_Carga!Z417,0)</f>
        <v/>
      </c>
      <c r="AB416">
        <f>IF(BD_Carga!AA417&lt;&gt;"",BD_Carga!AA417,0)</f>
        <v/>
      </c>
      <c r="AC416" s="6">
        <f t="array" ref="AC416">IFERROR((L416-AVERAGEIF($G$2:$G$462,G416,$L$2:$L$462))/_xlfn.STDEV.P(IF($G$2:$G$462=G416,$L$2:$L$462)),0)</f>
        <v/>
      </c>
      <c r="AD416" s="6">
        <f t="array" ref="AD416">IFERROR((M416-AVERAGEIF($G$2:$G$462,G416,$M$2:$M$462))/_xlfn.STDEV.P(IF($G$2:$G$462=G416,$M$2:$M$462)),0)</f>
        <v/>
      </c>
      <c r="AE416" s="6">
        <f t="array" ref="AE416">IFERROR((N416-AVERAGEIF($G$2:$G$462,G416,$N$2:$N$462))/_xlfn.STDEV.P(IF($G$2:$G$462=G416,$N$2:$N$462)),0)</f>
        <v/>
      </c>
      <c r="AF416" s="6">
        <f t="array" ref="AF416">IFERROR((O416-AVERAGEIF($G$2:$G$462,G416,$O$2:$O$462))/_xlfn.STDEV.P(IF($G$2:$G$462=G416,$O$2:$O$462)),0)</f>
        <v/>
      </c>
      <c r="AG416" s="6">
        <f t="array" ref="AG416">IFERROR((P416-AVERAGEIF($G$2:$G$462,G416,$P$2:$P$462))/_xlfn.STDEV.P(IF($G$2:$G$462=G416,$P$2:$P$462)),0)</f>
        <v/>
      </c>
      <c r="AH416" s="6">
        <f t="array" ref="AH416">IFERROR((R416-AVERAGEIF($G$2:$G$462,G416,$R$2:$R$462))/_xlfn.STDEV.P(IF($G$2:$G$462=G416,$R$2:$R$462)),0)</f>
        <v/>
      </c>
      <c r="AI416" s="6">
        <f>IFERROR((AC416+AD416+AE416+AF416+AG416+AH416)/6,0)</f>
        <v/>
      </c>
    </row>
    <row r="417">
      <c r="A417" s="2">
        <f>IF(BD_Carga!A418&lt;&gt;"",BD_Carga!A418,"")</f>
        <v/>
      </c>
      <c r="B417">
        <f>IF(A417&lt;&gt;"",YEAR(A417),"")</f>
        <v/>
      </c>
      <c r="C417">
        <f>IF(A417&lt;&gt;"",MONTH(A417),"")</f>
        <v/>
      </c>
      <c r="D417">
        <f>IF(A417&lt;&gt;"",_xlfn.ISOWEEKNUM(A417),"")</f>
        <v/>
      </c>
      <c r="E417">
        <f>IF(A417&lt;&gt;"",TEXT(A417,"dddd"),"")</f>
        <v/>
      </c>
      <c r="F417">
        <f>IF(BD_Carga!C418&lt;&gt;"",BD_Carga!C418,"")</f>
        <v/>
      </c>
      <c r="G417">
        <f>IF(BD_Carga!D418&lt;&gt;"",BD_Carga!D418,"")</f>
        <v/>
      </c>
      <c r="H417">
        <f>IF(BD_Carga!Q418&lt;&gt;"",BD_Carga!Q418,"")</f>
        <v/>
      </c>
      <c r="I417">
        <f>IF(BD_Carga!R418&lt;&gt;"",BD_Carga!R418,"")</f>
        <v/>
      </c>
      <c r="J417">
        <f>IF(BD_Carga!S418&lt;&gt;"",BD_Carga!S418,"")</f>
        <v/>
      </c>
      <c r="K417" s="4">
        <f>IF(BD_Carga!E418&lt;&gt;"",BD_Carga!E418,0)</f>
        <v/>
      </c>
      <c r="L417" s="4">
        <f>IF(BD_Carga!F418&lt;&gt;"",BD_Carga!F418,0)</f>
        <v/>
      </c>
      <c r="M417" s="4">
        <f>IF(BD_Carga!G418&lt;&gt;"",BD_Carga!G418,0)</f>
        <v/>
      </c>
      <c r="N417" s="4">
        <f>IF(BD_Carga!H418&lt;&gt;"",BD_Carga!H418,0)</f>
        <v/>
      </c>
      <c r="O417" s="4">
        <f>IF(BD_Carga!I418&lt;&gt;"",BD_Carga!I418,0)</f>
        <v/>
      </c>
      <c r="P417" s="4">
        <f>IF(BD_Carga!J418&lt;&gt;"",BD_Carga!J418,0)</f>
        <v/>
      </c>
      <c r="Q417" s="5">
        <f>IF(BD_Carga!K418&lt;&gt;"",BD_Carga!K418,0)</f>
        <v/>
      </c>
      <c r="R417" s="5">
        <f>IF(BD_Carga!L418&lt;&gt;"",BD_Carga!L418,0)</f>
        <v/>
      </c>
      <c r="S417">
        <f>IF(BD_Carga!N418&lt;&gt;"",BD_Carga!N418,0)</f>
        <v/>
      </c>
      <c r="T417">
        <f>IF(BD_Carga!O418&lt;&gt;"",BD_Carga!O418,0)</f>
        <v/>
      </c>
      <c r="U417">
        <f>IF(BD_Carga!P418&lt;&gt;"",BD_Carga!P418,0)</f>
        <v/>
      </c>
      <c r="V417">
        <f>IF(BD_Carga!U418&lt;&gt;"",BD_Carga!U418,0)</f>
        <v/>
      </c>
      <c r="W417">
        <f>IF(BD_Carga!T418&lt;&gt;"",BD_Carga!T418,0)</f>
        <v/>
      </c>
      <c r="X417">
        <f>IF(BD_Carga!W418&lt;&gt;"",BD_Carga!W418,0)</f>
        <v/>
      </c>
      <c r="Y417">
        <f>IF(BD_Carga!X418&lt;&gt;"",BD_Carga!X418,0)</f>
        <v/>
      </c>
      <c r="Z417">
        <f>IF(BD_Carga!Y418&lt;&gt;"",BD_Carga!Y418,0)</f>
        <v/>
      </c>
      <c r="AA417">
        <f>IF(BD_Carga!Z418&lt;&gt;"",BD_Carga!Z418,0)</f>
        <v/>
      </c>
      <c r="AB417">
        <f>IF(BD_Carga!AA418&lt;&gt;"",BD_Carga!AA418,0)</f>
        <v/>
      </c>
      <c r="AC417" s="6">
        <f t="array" ref="AC417">IFERROR((L417-AVERAGEIF($G$2:$G$462,G417,$L$2:$L$462))/_xlfn.STDEV.P(IF($G$2:$G$462=G417,$L$2:$L$462)),0)</f>
        <v/>
      </c>
      <c r="AD417" s="6">
        <f t="array" ref="AD417">IFERROR((M417-AVERAGEIF($G$2:$G$462,G417,$M$2:$M$462))/_xlfn.STDEV.P(IF($G$2:$G$462=G417,$M$2:$M$462)),0)</f>
        <v/>
      </c>
      <c r="AE417" s="6">
        <f t="array" ref="AE417">IFERROR((N417-AVERAGEIF($G$2:$G$462,G417,$N$2:$N$462))/_xlfn.STDEV.P(IF($G$2:$G$462=G417,$N$2:$N$462)),0)</f>
        <v/>
      </c>
      <c r="AF417" s="6">
        <f t="array" ref="AF417">IFERROR((O417-AVERAGEIF($G$2:$G$462,G417,$O$2:$O$462))/_xlfn.STDEV.P(IF($G$2:$G$462=G417,$O$2:$O$462)),0)</f>
        <v/>
      </c>
      <c r="AG417" s="6">
        <f t="array" ref="AG417">IFERROR((P417-AVERAGEIF($G$2:$G$462,G417,$P$2:$P$462))/_xlfn.STDEV.P(IF($G$2:$G$462=G417,$P$2:$P$462)),0)</f>
        <v/>
      </c>
      <c r="AH417" s="6">
        <f t="array" ref="AH417">IFERROR((R417-AVERAGEIF($G$2:$G$462,G417,$R$2:$R$462))/_xlfn.STDEV.P(IF($G$2:$G$462=G417,$R$2:$R$462)),0)</f>
        <v/>
      </c>
      <c r="AI417" s="6">
        <f>IFERROR((AC417+AD417+AE417+AF417+AG417+AH417)/6,0)</f>
        <v/>
      </c>
    </row>
    <row r="418">
      <c r="A418" s="2">
        <f>IF(BD_Carga!A419&lt;&gt;"",BD_Carga!A419,"")</f>
        <v/>
      </c>
      <c r="B418">
        <f>IF(A418&lt;&gt;"",YEAR(A418),"")</f>
        <v/>
      </c>
      <c r="C418">
        <f>IF(A418&lt;&gt;"",MONTH(A418),"")</f>
        <v/>
      </c>
      <c r="D418">
        <f>IF(A418&lt;&gt;"",_xlfn.ISOWEEKNUM(A418),"")</f>
        <v/>
      </c>
      <c r="E418">
        <f>IF(A418&lt;&gt;"",TEXT(A418,"dddd"),"")</f>
        <v/>
      </c>
      <c r="F418">
        <f>IF(BD_Carga!C419&lt;&gt;"",BD_Carga!C419,"")</f>
        <v/>
      </c>
      <c r="G418">
        <f>IF(BD_Carga!D419&lt;&gt;"",BD_Carga!D419,"")</f>
        <v/>
      </c>
      <c r="H418">
        <f>IF(BD_Carga!Q419&lt;&gt;"",BD_Carga!Q419,"")</f>
        <v/>
      </c>
      <c r="I418">
        <f>IF(BD_Carga!R419&lt;&gt;"",BD_Carga!R419,"")</f>
        <v/>
      </c>
      <c r="J418">
        <f>IF(BD_Carga!S419&lt;&gt;"",BD_Carga!S419,"")</f>
        <v/>
      </c>
      <c r="K418" s="4">
        <f>IF(BD_Carga!E419&lt;&gt;"",BD_Carga!E419,0)</f>
        <v/>
      </c>
      <c r="L418" s="4">
        <f>IF(BD_Carga!F419&lt;&gt;"",BD_Carga!F419,0)</f>
        <v/>
      </c>
      <c r="M418" s="4">
        <f>IF(BD_Carga!G419&lt;&gt;"",BD_Carga!G419,0)</f>
        <v/>
      </c>
      <c r="N418" s="4">
        <f>IF(BD_Carga!H419&lt;&gt;"",BD_Carga!H419,0)</f>
        <v/>
      </c>
      <c r="O418" s="4">
        <f>IF(BD_Carga!I419&lt;&gt;"",BD_Carga!I419,0)</f>
        <v/>
      </c>
      <c r="P418" s="4">
        <f>IF(BD_Carga!J419&lt;&gt;"",BD_Carga!J419,0)</f>
        <v/>
      </c>
      <c r="Q418" s="5">
        <f>IF(BD_Carga!K419&lt;&gt;"",BD_Carga!K419,0)</f>
        <v/>
      </c>
      <c r="R418" s="5">
        <f>IF(BD_Carga!L419&lt;&gt;"",BD_Carga!L419,0)</f>
        <v/>
      </c>
      <c r="S418">
        <f>IF(BD_Carga!N419&lt;&gt;"",BD_Carga!N419,0)</f>
        <v/>
      </c>
      <c r="T418">
        <f>IF(BD_Carga!O419&lt;&gt;"",BD_Carga!O419,0)</f>
        <v/>
      </c>
      <c r="U418">
        <f>IF(BD_Carga!P419&lt;&gt;"",BD_Carga!P419,0)</f>
        <v/>
      </c>
      <c r="V418">
        <f>IF(BD_Carga!U419&lt;&gt;"",BD_Carga!U419,0)</f>
        <v/>
      </c>
      <c r="W418">
        <f>IF(BD_Carga!T419&lt;&gt;"",BD_Carga!T419,0)</f>
        <v/>
      </c>
      <c r="X418">
        <f>IF(BD_Carga!W419&lt;&gt;"",BD_Carga!W419,0)</f>
        <v/>
      </c>
      <c r="Y418">
        <f>IF(BD_Carga!X419&lt;&gt;"",BD_Carga!X419,0)</f>
        <v/>
      </c>
      <c r="Z418">
        <f>IF(BD_Carga!Y419&lt;&gt;"",BD_Carga!Y419,0)</f>
        <v/>
      </c>
      <c r="AA418">
        <f>IF(BD_Carga!Z419&lt;&gt;"",BD_Carga!Z419,0)</f>
        <v/>
      </c>
      <c r="AB418">
        <f>IF(BD_Carga!AA419&lt;&gt;"",BD_Carga!AA419,0)</f>
        <v/>
      </c>
      <c r="AC418" s="6">
        <f t="array" ref="AC418">IFERROR((L418-AVERAGEIF($G$2:$G$462,G418,$L$2:$L$462))/_xlfn.STDEV.P(IF($G$2:$G$462=G418,$L$2:$L$462)),0)</f>
        <v/>
      </c>
      <c r="AD418" s="6">
        <f t="array" ref="AD418">IFERROR((M418-AVERAGEIF($G$2:$G$462,G418,$M$2:$M$462))/_xlfn.STDEV.P(IF($G$2:$G$462=G418,$M$2:$M$462)),0)</f>
        <v/>
      </c>
      <c r="AE418" s="6">
        <f t="array" ref="AE418">IFERROR((N418-AVERAGEIF($G$2:$G$462,G418,$N$2:$N$462))/_xlfn.STDEV.P(IF($G$2:$G$462=G418,$N$2:$N$462)),0)</f>
        <v/>
      </c>
      <c r="AF418" s="6">
        <f t="array" ref="AF418">IFERROR((O418-AVERAGEIF($G$2:$G$462,G418,$O$2:$O$462))/_xlfn.STDEV.P(IF($G$2:$G$462=G418,$O$2:$O$462)),0)</f>
        <v/>
      </c>
      <c r="AG418" s="6">
        <f t="array" ref="AG418">IFERROR((P418-AVERAGEIF($G$2:$G$462,G418,$P$2:$P$462))/_xlfn.STDEV.P(IF($G$2:$G$462=G418,$P$2:$P$462)),0)</f>
        <v/>
      </c>
      <c r="AH418" s="6">
        <f t="array" ref="AH418">IFERROR((R418-AVERAGEIF($G$2:$G$462,G418,$R$2:$R$462))/_xlfn.STDEV.P(IF($G$2:$G$462=G418,$R$2:$R$462)),0)</f>
        <v/>
      </c>
      <c r="AI418" s="6">
        <f>IFERROR((AC418+AD418+AE418+AF418+AG418+AH418)/6,0)</f>
        <v/>
      </c>
    </row>
    <row r="419">
      <c r="A419" s="2">
        <f>IF(BD_Carga!A420&lt;&gt;"",BD_Carga!A420,"")</f>
        <v/>
      </c>
      <c r="B419">
        <f>IF(A419&lt;&gt;"",YEAR(A419),"")</f>
        <v/>
      </c>
      <c r="C419">
        <f>IF(A419&lt;&gt;"",MONTH(A419),"")</f>
        <v/>
      </c>
      <c r="D419">
        <f>IF(A419&lt;&gt;"",_xlfn.ISOWEEKNUM(A419),"")</f>
        <v/>
      </c>
      <c r="E419">
        <f>IF(A419&lt;&gt;"",TEXT(A419,"dddd"),"")</f>
        <v/>
      </c>
      <c r="F419">
        <f>IF(BD_Carga!C420&lt;&gt;"",BD_Carga!C420,"")</f>
        <v/>
      </c>
      <c r="G419">
        <f>IF(BD_Carga!D420&lt;&gt;"",BD_Carga!D420,"")</f>
        <v/>
      </c>
      <c r="H419">
        <f>IF(BD_Carga!Q420&lt;&gt;"",BD_Carga!Q420,"")</f>
        <v/>
      </c>
      <c r="I419">
        <f>IF(BD_Carga!R420&lt;&gt;"",BD_Carga!R420,"")</f>
        <v/>
      </c>
      <c r="J419">
        <f>IF(BD_Carga!S420&lt;&gt;"",BD_Carga!S420,"")</f>
        <v/>
      </c>
      <c r="K419" s="4">
        <f>IF(BD_Carga!E420&lt;&gt;"",BD_Carga!E420,0)</f>
        <v/>
      </c>
      <c r="L419" s="4">
        <f>IF(BD_Carga!F420&lt;&gt;"",BD_Carga!F420,0)</f>
        <v/>
      </c>
      <c r="M419" s="4">
        <f>IF(BD_Carga!G420&lt;&gt;"",BD_Carga!G420,0)</f>
        <v/>
      </c>
      <c r="N419" s="4">
        <f>IF(BD_Carga!H420&lt;&gt;"",BD_Carga!H420,0)</f>
        <v/>
      </c>
      <c r="O419" s="4">
        <f>IF(BD_Carga!I420&lt;&gt;"",BD_Carga!I420,0)</f>
        <v/>
      </c>
      <c r="P419" s="4">
        <f>IF(BD_Carga!J420&lt;&gt;"",BD_Carga!J420,0)</f>
        <v/>
      </c>
      <c r="Q419" s="5">
        <f>IF(BD_Carga!K420&lt;&gt;"",BD_Carga!K420,0)</f>
        <v/>
      </c>
      <c r="R419" s="5">
        <f>IF(BD_Carga!L420&lt;&gt;"",BD_Carga!L420,0)</f>
        <v/>
      </c>
      <c r="S419">
        <f>IF(BD_Carga!N420&lt;&gt;"",BD_Carga!N420,0)</f>
        <v/>
      </c>
      <c r="T419">
        <f>IF(BD_Carga!O420&lt;&gt;"",BD_Carga!O420,0)</f>
        <v/>
      </c>
      <c r="U419">
        <f>IF(BD_Carga!P420&lt;&gt;"",BD_Carga!P420,0)</f>
        <v/>
      </c>
      <c r="V419">
        <f>IF(BD_Carga!U420&lt;&gt;"",BD_Carga!U420,0)</f>
        <v/>
      </c>
      <c r="W419">
        <f>IF(BD_Carga!T420&lt;&gt;"",BD_Carga!T420,0)</f>
        <v/>
      </c>
      <c r="X419">
        <f>IF(BD_Carga!W420&lt;&gt;"",BD_Carga!W420,0)</f>
        <v/>
      </c>
      <c r="Y419">
        <f>IF(BD_Carga!X420&lt;&gt;"",BD_Carga!X420,0)</f>
        <v/>
      </c>
      <c r="Z419">
        <f>IF(BD_Carga!Y420&lt;&gt;"",BD_Carga!Y420,0)</f>
        <v/>
      </c>
      <c r="AA419">
        <f>IF(BD_Carga!Z420&lt;&gt;"",BD_Carga!Z420,0)</f>
        <v/>
      </c>
      <c r="AB419">
        <f>IF(BD_Carga!AA420&lt;&gt;"",BD_Carga!AA420,0)</f>
        <v/>
      </c>
      <c r="AC419" s="6">
        <f t="array" ref="AC419">IFERROR((L419-AVERAGEIF($G$2:$G$462,G419,$L$2:$L$462))/_xlfn.STDEV.P(IF($G$2:$G$462=G419,$L$2:$L$462)),0)</f>
        <v/>
      </c>
      <c r="AD419" s="6">
        <f t="array" ref="AD419">IFERROR((M419-AVERAGEIF($G$2:$G$462,G419,$M$2:$M$462))/_xlfn.STDEV.P(IF($G$2:$G$462=G419,$M$2:$M$462)),0)</f>
        <v/>
      </c>
      <c r="AE419" s="6">
        <f t="array" ref="AE419">IFERROR((N419-AVERAGEIF($G$2:$G$462,G419,$N$2:$N$462))/_xlfn.STDEV.P(IF($G$2:$G$462=G419,$N$2:$N$462)),0)</f>
        <v/>
      </c>
      <c r="AF419" s="6">
        <f t="array" ref="AF419">IFERROR((O419-AVERAGEIF($G$2:$G$462,G419,$O$2:$O$462))/_xlfn.STDEV.P(IF($G$2:$G$462=G419,$O$2:$O$462)),0)</f>
        <v/>
      </c>
      <c r="AG419" s="6">
        <f t="array" ref="AG419">IFERROR((P419-AVERAGEIF($G$2:$G$462,G419,$P$2:$P$462))/_xlfn.STDEV.P(IF($G$2:$G$462=G419,$P$2:$P$462)),0)</f>
        <v/>
      </c>
      <c r="AH419" s="6">
        <f t="array" ref="AH419">IFERROR((R419-AVERAGEIF($G$2:$G$462,G419,$R$2:$R$462))/_xlfn.STDEV.P(IF($G$2:$G$462=G419,$R$2:$R$462)),0)</f>
        <v/>
      </c>
      <c r="AI419" s="6">
        <f>IFERROR((AC419+AD419+AE419+AF419+AG419+AH419)/6,0)</f>
        <v/>
      </c>
    </row>
    <row r="420">
      <c r="A420" s="2">
        <f>IF(BD_Carga!A421&lt;&gt;"",BD_Carga!A421,"")</f>
        <v/>
      </c>
      <c r="B420">
        <f>IF(A420&lt;&gt;"",YEAR(A420),"")</f>
        <v/>
      </c>
      <c r="C420">
        <f>IF(A420&lt;&gt;"",MONTH(A420),"")</f>
        <v/>
      </c>
      <c r="D420">
        <f>IF(A420&lt;&gt;"",_xlfn.ISOWEEKNUM(A420),"")</f>
        <v/>
      </c>
      <c r="E420">
        <f>IF(A420&lt;&gt;"",TEXT(A420,"dddd"),"")</f>
        <v/>
      </c>
      <c r="F420">
        <f>IF(BD_Carga!C421&lt;&gt;"",BD_Carga!C421,"")</f>
        <v/>
      </c>
      <c r="G420">
        <f>IF(BD_Carga!D421&lt;&gt;"",BD_Carga!D421,"")</f>
        <v/>
      </c>
      <c r="H420">
        <f>IF(BD_Carga!Q421&lt;&gt;"",BD_Carga!Q421,"")</f>
        <v/>
      </c>
      <c r="I420">
        <f>IF(BD_Carga!R421&lt;&gt;"",BD_Carga!R421,"")</f>
        <v/>
      </c>
      <c r="J420">
        <f>IF(BD_Carga!S421&lt;&gt;"",BD_Carga!S421,"")</f>
        <v/>
      </c>
      <c r="K420" s="4">
        <f>IF(BD_Carga!E421&lt;&gt;"",BD_Carga!E421,0)</f>
        <v/>
      </c>
      <c r="L420" s="4">
        <f>IF(BD_Carga!F421&lt;&gt;"",BD_Carga!F421,0)</f>
        <v/>
      </c>
      <c r="M420" s="4">
        <f>IF(BD_Carga!G421&lt;&gt;"",BD_Carga!G421,0)</f>
        <v/>
      </c>
      <c r="N420" s="4">
        <f>IF(BD_Carga!H421&lt;&gt;"",BD_Carga!H421,0)</f>
        <v/>
      </c>
      <c r="O420" s="4">
        <f>IF(BD_Carga!I421&lt;&gt;"",BD_Carga!I421,0)</f>
        <v/>
      </c>
      <c r="P420" s="4">
        <f>IF(BD_Carga!J421&lt;&gt;"",BD_Carga!J421,0)</f>
        <v/>
      </c>
      <c r="Q420" s="5">
        <f>IF(BD_Carga!K421&lt;&gt;"",BD_Carga!K421,0)</f>
        <v/>
      </c>
      <c r="R420" s="5">
        <f>IF(BD_Carga!L421&lt;&gt;"",BD_Carga!L421,0)</f>
        <v/>
      </c>
      <c r="S420">
        <f>IF(BD_Carga!N421&lt;&gt;"",BD_Carga!N421,0)</f>
        <v/>
      </c>
      <c r="T420">
        <f>IF(BD_Carga!O421&lt;&gt;"",BD_Carga!O421,0)</f>
        <v/>
      </c>
      <c r="U420">
        <f>IF(BD_Carga!P421&lt;&gt;"",BD_Carga!P421,0)</f>
        <v/>
      </c>
      <c r="V420">
        <f>IF(BD_Carga!U421&lt;&gt;"",BD_Carga!U421,0)</f>
        <v/>
      </c>
      <c r="W420">
        <f>IF(BD_Carga!T421&lt;&gt;"",BD_Carga!T421,0)</f>
        <v/>
      </c>
      <c r="X420">
        <f>IF(BD_Carga!W421&lt;&gt;"",BD_Carga!W421,0)</f>
        <v/>
      </c>
      <c r="Y420">
        <f>IF(BD_Carga!X421&lt;&gt;"",BD_Carga!X421,0)</f>
        <v/>
      </c>
      <c r="Z420">
        <f>IF(BD_Carga!Y421&lt;&gt;"",BD_Carga!Y421,0)</f>
        <v/>
      </c>
      <c r="AA420">
        <f>IF(BD_Carga!Z421&lt;&gt;"",BD_Carga!Z421,0)</f>
        <v/>
      </c>
      <c r="AB420">
        <f>IF(BD_Carga!AA421&lt;&gt;"",BD_Carga!AA421,0)</f>
        <v/>
      </c>
      <c r="AC420" s="6">
        <f t="array" ref="AC420">IFERROR((L420-AVERAGEIF($G$2:$G$462,G420,$L$2:$L$462))/_xlfn.STDEV.P(IF($G$2:$G$462=G420,$L$2:$L$462)),0)</f>
        <v/>
      </c>
      <c r="AD420" s="6">
        <f t="array" ref="AD420">IFERROR((M420-AVERAGEIF($G$2:$G$462,G420,$M$2:$M$462))/_xlfn.STDEV.P(IF($G$2:$G$462=G420,$M$2:$M$462)),0)</f>
        <v/>
      </c>
      <c r="AE420" s="6">
        <f t="array" ref="AE420">IFERROR((N420-AVERAGEIF($G$2:$G$462,G420,$N$2:$N$462))/_xlfn.STDEV.P(IF($G$2:$G$462=G420,$N$2:$N$462)),0)</f>
        <v/>
      </c>
      <c r="AF420" s="6">
        <f t="array" ref="AF420">IFERROR((O420-AVERAGEIF($G$2:$G$462,G420,$O$2:$O$462))/_xlfn.STDEV.P(IF($G$2:$G$462=G420,$O$2:$O$462)),0)</f>
        <v/>
      </c>
      <c r="AG420" s="6">
        <f t="array" ref="AG420">IFERROR((P420-AVERAGEIF($G$2:$G$462,G420,$P$2:$P$462))/_xlfn.STDEV.P(IF($G$2:$G$462=G420,$P$2:$P$462)),0)</f>
        <v/>
      </c>
      <c r="AH420" s="6">
        <f t="array" ref="AH420">IFERROR((R420-AVERAGEIF($G$2:$G$462,G420,$R$2:$R$462))/_xlfn.STDEV.P(IF($G$2:$G$462=G420,$R$2:$R$462)),0)</f>
        <v/>
      </c>
      <c r="AI420" s="6">
        <f>IFERROR((AC420+AD420+AE420+AF420+AG420+AH420)/6,0)</f>
        <v/>
      </c>
    </row>
    <row r="421">
      <c r="A421" s="2">
        <f>IF(BD_Carga!A422&lt;&gt;"",BD_Carga!A422,"")</f>
        <v/>
      </c>
      <c r="B421">
        <f>IF(A421&lt;&gt;"",YEAR(A421),"")</f>
        <v/>
      </c>
      <c r="C421">
        <f>IF(A421&lt;&gt;"",MONTH(A421),"")</f>
        <v/>
      </c>
      <c r="D421">
        <f>IF(A421&lt;&gt;"",_xlfn.ISOWEEKNUM(A421),"")</f>
        <v/>
      </c>
      <c r="E421">
        <f>IF(A421&lt;&gt;"",TEXT(A421,"dddd"),"")</f>
        <v/>
      </c>
      <c r="F421">
        <f>IF(BD_Carga!C422&lt;&gt;"",BD_Carga!C422,"")</f>
        <v/>
      </c>
      <c r="G421">
        <f>IF(BD_Carga!D422&lt;&gt;"",BD_Carga!D422,"")</f>
        <v/>
      </c>
      <c r="H421">
        <f>IF(BD_Carga!Q422&lt;&gt;"",BD_Carga!Q422,"")</f>
        <v/>
      </c>
      <c r="I421">
        <f>IF(BD_Carga!R422&lt;&gt;"",BD_Carga!R422,"")</f>
        <v/>
      </c>
      <c r="J421">
        <f>IF(BD_Carga!S422&lt;&gt;"",BD_Carga!S422,"")</f>
        <v/>
      </c>
      <c r="K421" s="4">
        <f>IF(BD_Carga!E422&lt;&gt;"",BD_Carga!E422,0)</f>
        <v/>
      </c>
      <c r="L421" s="4">
        <f>IF(BD_Carga!F422&lt;&gt;"",BD_Carga!F422,0)</f>
        <v/>
      </c>
      <c r="M421" s="4">
        <f>IF(BD_Carga!G422&lt;&gt;"",BD_Carga!G422,0)</f>
        <v/>
      </c>
      <c r="N421" s="4">
        <f>IF(BD_Carga!H422&lt;&gt;"",BD_Carga!H422,0)</f>
        <v/>
      </c>
      <c r="O421" s="4">
        <f>IF(BD_Carga!I422&lt;&gt;"",BD_Carga!I422,0)</f>
        <v/>
      </c>
      <c r="P421" s="4">
        <f>IF(BD_Carga!J422&lt;&gt;"",BD_Carga!J422,0)</f>
        <v/>
      </c>
      <c r="Q421" s="5">
        <f>IF(BD_Carga!K422&lt;&gt;"",BD_Carga!K422,0)</f>
        <v/>
      </c>
      <c r="R421" s="5">
        <f>IF(BD_Carga!L422&lt;&gt;"",BD_Carga!L422,0)</f>
        <v/>
      </c>
      <c r="S421">
        <f>IF(BD_Carga!N422&lt;&gt;"",BD_Carga!N422,0)</f>
        <v/>
      </c>
      <c r="T421">
        <f>IF(BD_Carga!O422&lt;&gt;"",BD_Carga!O422,0)</f>
        <v/>
      </c>
      <c r="U421">
        <f>IF(BD_Carga!P422&lt;&gt;"",BD_Carga!P422,0)</f>
        <v/>
      </c>
      <c r="V421">
        <f>IF(BD_Carga!U422&lt;&gt;"",BD_Carga!U422,0)</f>
        <v/>
      </c>
      <c r="W421">
        <f>IF(BD_Carga!T422&lt;&gt;"",BD_Carga!T422,0)</f>
        <v/>
      </c>
      <c r="X421">
        <f>IF(BD_Carga!W422&lt;&gt;"",BD_Carga!W422,0)</f>
        <v/>
      </c>
      <c r="Y421">
        <f>IF(BD_Carga!X422&lt;&gt;"",BD_Carga!X422,0)</f>
        <v/>
      </c>
      <c r="Z421">
        <f>IF(BD_Carga!Y422&lt;&gt;"",BD_Carga!Y422,0)</f>
        <v/>
      </c>
      <c r="AA421">
        <f>IF(BD_Carga!Z422&lt;&gt;"",BD_Carga!Z422,0)</f>
        <v/>
      </c>
      <c r="AB421">
        <f>IF(BD_Carga!AA422&lt;&gt;"",BD_Carga!AA422,0)</f>
        <v/>
      </c>
      <c r="AC421" s="6">
        <f t="array" ref="AC421">IFERROR((L421-AVERAGEIF($G$2:$G$462,G421,$L$2:$L$462))/_xlfn.STDEV.P(IF($G$2:$G$462=G421,$L$2:$L$462)),0)</f>
        <v/>
      </c>
      <c r="AD421" s="6">
        <f t="array" ref="AD421">IFERROR((M421-AVERAGEIF($G$2:$G$462,G421,$M$2:$M$462))/_xlfn.STDEV.P(IF($G$2:$G$462=G421,$M$2:$M$462)),0)</f>
        <v/>
      </c>
      <c r="AE421" s="6">
        <f t="array" ref="AE421">IFERROR((N421-AVERAGEIF($G$2:$G$462,G421,$N$2:$N$462))/_xlfn.STDEV.P(IF($G$2:$G$462=G421,$N$2:$N$462)),0)</f>
        <v/>
      </c>
      <c r="AF421" s="6">
        <f t="array" ref="AF421">IFERROR((O421-AVERAGEIF($G$2:$G$462,G421,$O$2:$O$462))/_xlfn.STDEV.P(IF($G$2:$G$462=G421,$O$2:$O$462)),0)</f>
        <v/>
      </c>
      <c r="AG421" s="6">
        <f t="array" ref="AG421">IFERROR((P421-AVERAGEIF($G$2:$G$462,G421,$P$2:$P$462))/_xlfn.STDEV.P(IF($G$2:$G$462=G421,$P$2:$P$462)),0)</f>
        <v/>
      </c>
      <c r="AH421" s="6">
        <f t="array" ref="AH421">IFERROR((R421-AVERAGEIF($G$2:$G$462,G421,$R$2:$R$462))/_xlfn.STDEV.P(IF($G$2:$G$462=G421,$R$2:$R$462)),0)</f>
        <v/>
      </c>
      <c r="AI421" s="6">
        <f>IFERROR((AC421+AD421+AE421+AF421+AG421+AH421)/6,0)</f>
        <v/>
      </c>
    </row>
    <row r="422">
      <c r="A422" s="2">
        <f>IF(BD_Carga!A423&lt;&gt;"",BD_Carga!A423,"")</f>
        <v/>
      </c>
      <c r="B422">
        <f>IF(A422&lt;&gt;"",YEAR(A422),"")</f>
        <v/>
      </c>
      <c r="C422">
        <f>IF(A422&lt;&gt;"",MONTH(A422),"")</f>
        <v/>
      </c>
      <c r="D422">
        <f>IF(A422&lt;&gt;"",_xlfn.ISOWEEKNUM(A422),"")</f>
        <v/>
      </c>
      <c r="E422">
        <f>IF(A422&lt;&gt;"",TEXT(A422,"dddd"),"")</f>
        <v/>
      </c>
      <c r="F422">
        <f>IF(BD_Carga!C423&lt;&gt;"",BD_Carga!C423,"")</f>
        <v/>
      </c>
      <c r="G422">
        <f>IF(BD_Carga!D423&lt;&gt;"",BD_Carga!D423,"")</f>
        <v/>
      </c>
      <c r="H422">
        <f>IF(BD_Carga!Q423&lt;&gt;"",BD_Carga!Q423,"")</f>
        <v/>
      </c>
      <c r="I422">
        <f>IF(BD_Carga!R423&lt;&gt;"",BD_Carga!R423,"")</f>
        <v/>
      </c>
      <c r="J422">
        <f>IF(BD_Carga!S423&lt;&gt;"",BD_Carga!S423,"")</f>
        <v/>
      </c>
      <c r="K422" s="4">
        <f>IF(BD_Carga!E423&lt;&gt;"",BD_Carga!E423,0)</f>
        <v/>
      </c>
      <c r="L422" s="4">
        <f>IF(BD_Carga!F423&lt;&gt;"",BD_Carga!F423,0)</f>
        <v/>
      </c>
      <c r="M422" s="4">
        <f>IF(BD_Carga!G423&lt;&gt;"",BD_Carga!G423,0)</f>
        <v/>
      </c>
      <c r="N422" s="4">
        <f>IF(BD_Carga!H423&lt;&gt;"",BD_Carga!H423,0)</f>
        <v/>
      </c>
      <c r="O422" s="4">
        <f>IF(BD_Carga!I423&lt;&gt;"",BD_Carga!I423,0)</f>
        <v/>
      </c>
      <c r="P422" s="4">
        <f>IF(BD_Carga!J423&lt;&gt;"",BD_Carga!J423,0)</f>
        <v/>
      </c>
      <c r="Q422" s="5">
        <f>IF(BD_Carga!K423&lt;&gt;"",BD_Carga!K423,0)</f>
        <v/>
      </c>
      <c r="R422" s="5">
        <f>IF(BD_Carga!L423&lt;&gt;"",BD_Carga!L423,0)</f>
        <v/>
      </c>
      <c r="S422">
        <f>IF(BD_Carga!N423&lt;&gt;"",BD_Carga!N423,0)</f>
        <v/>
      </c>
      <c r="T422">
        <f>IF(BD_Carga!O423&lt;&gt;"",BD_Carga!O423,0)</f>
        <v/>
      </c>
      <c r="U422">
        <f>IF(BD_Carga!P423&lt;&gt;"",BD_Carga!P423,0)</f>
        <v/>
      </c>
      <c r="V422">
        <f>IF(BD_Carga!U423&lt;&gt;"",BD_Carga!U423,0)</f>
        <v/>
      </c>
      <c r="W422">
        <f>IF(BD_Carga!T423&lt;&gt;"",BD_Carga!T423,0)</f>
        <v/>
      </c>
      <c r="X422">
        <f>IF(BD_Carga!W423&lt;&gt;"",BD_Carga!W423,0)</f>
        <v/>
      </c>
      <c r="Y422">
        <f>IF(BD_Carga!X423&lt;&gt;"",BD_Carga!X423,0)</f>
        <v/>
      </c>
      <c r="Z422">
        <f>IF(BD_Carga!Y423&lt;&gt;"",BD_Carga!Y423,0)</f>
        <v/>
      </c>
      <c r="AA422">
        <f>IF(BD_Carga!Z423&lt;&gt;"",BD_Carga!Z423,0)</f>
        <v/>
      </c>
      <c r="AB422">
        <f>IF(BD_Carga!AA423&lt;&gt;"",BD_Carga!AA423,0)</f>
        <v/>
      </c>
      <c r="AC422" s="6">
        <f t="array" ref="AC422">IFERROR((L422-AVERAGEIF($G$2:$G$462,G422,$L$2:$L$462))/_xlfn.STDEV.P(IF($G$2:$G$462=G422,$L$2:$L$462)),0)</f>
        <v/>
      </c>
      <c r="AD422" s="6">
        <f t="array" ref="AD422">IFERROR((M422-AVERAGEIF($G$2:$G$462,G422,$M$2:$M$462))/_xlfn.STDEV.P(IF($G$2:$G$462=G422,$M$2:$M$462)),0)</f>
        <v/>
      </c>
      <c r="AE422" s="6">
        <f t="array" ref="AE422">IFERROR((N422-AVERAGEIF($G$2:$G$462,G422,$N$2:$N$462))/_xlfn.STDEV.P(IF($G$2:$G$462=G422,$N$2:$N$462)),0)</f>
        <v/>
      </c>
      <c r="AF422" s="6">
        <f t="array" ref="AF422">IFERROR((O422-AVERAGEIF($G$2:$G$462,G422,$O$2:$O$462))/_xlfn.STDEV.P(IF($G$2:$G$462=G422,$O$2:$O$462)),0)</f>
        <v/>
      </c>
      <c r="AG422" s="6">
        <f t="array" ref="AG422">IFERROR((P422-AVERAGEIF($G$2:$G$462,G422,$P$2:$P$462))/_xlfn.STDEV.P(IF($G$2:$G$462=G422,$P$2:$P$462)),0)</f>
        <v/>
      </c>
      <c r="AH422" s="6">
        <f t="array" ref="AH422">IFERROR((R422-AVERAGEIF($G$2:$G$462,G422,$R$2:$R$462))/_xlfn.STDEV.P(IF($G$2:$G$462=G422,$R$2:$R$462)),0)</f>
        <v/>
      </c>
      <c r="AI422" s="6">
        <f>IFERROR((AC422+AD422+AE422+AF422+AG422+AH422)/6,0)</f>
        <v/>
      </c>
    </row>
    <row r="423">
      <c r="A423" s="2">
        <f>IF(BD_Carga!A424&lt;&gt;"",BD_Carga!A424,"")</f>
        <v/>
      </c>
      <c r="B423">
        <f>IF(A423&lt;&gt;"",YEAR(A423),"")</f>
        <v/>
      </c>
      <c r="C423">
        <f>IF(A423&lt;&gt;"",MONTH(A423),"")</f>
        <v/>
      </c>
      <c r="D423">
        <f>IF(A423&lt;&gt;"",_xlfn.ISOWEEKNUM(A423),"")</f>
        <v/>
      </c>
      <c r="E423">
        <f>IF(A423&lt;&gt;"",TEXT(A423,"dddd"),"")</f>
        <v/>
      </c>
      <c r="F423">
        <f>IF(BD_Carga!C424&lt;&gt;"",BD_Carga!C424,"")</f>
        <v/>
      </c>
      <c r="G423">
        <f>IF(BD_Carga!D424&lt;&gt;"",BD_Carga!D424,"")</f>
        <v/>
      </c>
      <c r="H423">
        <f>IF(BD_Carga!Q424&lt;&gt;"",BD_Carga!Q424,"")</f>
        <v/>
      </c>
      <c r="I423">
        <f>IF(BD_Carga!R424&lt;&gt;"",BD_Carga!R424,"")</f>
        <v/>
      </c>
      <c r="J423">
        <f>IF(BD_Carga!S424&lt;&gt;"",BD_Carga!S424,"")</f>
        <v/>
      </c>
      <c r="K423" s="4">
        <f>IF(BD_Carga!E424&lt;&gt;"",BD_Carga!E424,0)</f>
        <v/>
      </c>
      <c r="L423" s="4">
        <f>IF(BD_Carga!F424&lt;&gt;"",BD_Carga!F424,0)</f>
        <v/>
      </c>
      <c r="M423" s="4">
        <f>IF(BD_Carga!G424&lt;&gt;"",BD_Carga!G424,0)</f>
        <v/>
      </c>
      <c r="N423" s="4">
        <f>IF(BD_Carga!H424&lt;&gt;"",BD_Carga!H424,0)</f>
        <v/>
      </c>
      <c r="O423" s="4">
        <f>IF(BD_Carga!I424&lt;&gt;"",BD_Carga!I424,0)</f>
        <v/>
      </c>
      <c r="P423" s="4">
        <f>IF(BD_Carga!J424&lt;&gt;"",BD_Carga!J424,0)</f>
        <v/>
      </c>
      <c r="Q423" s="5">
        <f>IF(BD_Carga!K424&lt;&gt;"",BD_Carga!K424,0)</f>
        <v/>
      </c>
      <c r="R423" s="5">
        <f>IF(BD_Carga!L424&lt;&gt;"",BD_Carga!L424,0)</f>
        <v/>
      </c>
      <c r="S423">
        <f>IF(BD_Carga!N424&lt;&gt;"",BD_Carga!N424,0)</f>
        <v/>
      </c>
      <c r="T423">
        <f>IF(BD_Carga!O424&lt;&gt;"",BD_Carga!O424,0)</f>
        <v/>
      </c>
      <c r="U423">
        <f>IF(BD_Carga!P424&lt;&gt;"",BD_Carga!P424,0)</f>
        <v/>
      </c>
      <c r="V423">
        <f>IF(BD_Carga!U424&lt;&gt;"",BD_Carga!U424,0)</f>
        <v/>
      </c>
      <c r="W423">
        <f>IF(BD_Carga!T424&lt;&gt;"",BD_Carga!T424,0)</f>
        <v/>
      </c>
      <c r="X423">
        <f>IF(BD_Carga!W424&lt;&gt;"",BD_Carga!W424,0)</f>
        <v/>
      </c>
      <c r="Y423">
        <f>IF(BD_Carga!X424&lt;&gt;"",BD_Carga!X424,0)</f>
        <v/>
      </c>
      <c r="Z423">
        <f>IF(BD_Carga!Y424&lt;&gt;"",BD_Carga!Y424,0)</f>
        <v/>
      </c>
      <c r="AA423">
        <f>IF(BD_Carga!Z424&lt;&gt;"",BD_Carga!Z424,0)</f>
        <v/>
      </c>
      <c r="AB423">
        <f>IF(BD_Carga!AA424&lt;&gt;"",BD_Carga!AA424,0)</f>
        <v/>
      </c>
      <c r="AC423" s="6">
        <f t="array" ref="AC423">IFERROR((L423-AVERAGEIF($G$2:$G$462,G423,$L$2:$L$462))/_xlfn.STDEV.P(IF($G$2:$G$462=G423,$L$2:$L$462)),0)</f>
        <v/>
      </c>
      <c r="AD423" s="6">
        <f t="array" ref="AD423">IFERROR((M423-AVERAGEIF($G$2:$G$462,G423,$M$2:$M$462))/_xlfn.STDEV.P(IF($G$2:$G$462=G423,$M$2:$M$462)),0)</f>
        <v/>
      </c>
      <c r="AE423" s="6">
        <f t="array" ref="AE423">IFERROR((N423-AVERAGEIF($G$2:$G$462,G423,$N$2:$N$462))/_xlfn.STDEV.P(IF($G$2:$G$462=G423,$N$2:$N$462)),0)</f>
        <v/>
      </c>
      <c r="AF423" s="6">
        <f t="array" ref="AF423">IFERROR((O423-AVERAGEIF($G$2:$G$462,G423,$O$2:$O$462))/_xlfn.STDEV.P(IF($G$2:$G$462=G423,$O$2:$O$462)),0)</f>
        <v/>
      </c>
      <c r="AG423" s="6">
        <f t="array" ref="AG423">IFERROR((P423-AVERAGEIF($G$2:$G$462,G423,$P$2:$P$462))/_xlfn.STDEV.P(IF($G$2:$G$462=G423,$P$2:$P$462)),0)</f>
        <v/>
      </c>
      <c r="AH423" s="6">
        <f t="array" ref="AH423">IFERROR((R423-AVERAGEIF($G$2:$G$462,G423,$R$2:$R$462))/_xlfn.STDEV.P(IF($G$2:$G$462=G423,$R$2:$R$462)),0)</f>
        <v/>
      </c>
      <c r="AI423" s="6">
        <f>IFERROR((AC423+AD423+AE423+AF423+AG423+AH423)/6,0)</f>
        <v/>
      </c>
    </row>
    <row r="424">
      <c r="A424" s="2">
        <f>IF(BD_Carga!A425&lt;&gt;"",BD_Carga!A425,"")</f>
        <v/>
      </c>
      <c r="B424">
        <f>IF(A424&lt;&gt;"",YEAR(A424),"")</f>
        <v/>
      </c>
      <c r="C424">
        <f>IF(A424&lt;&gt;"",MONTH(A424),"")</f>
        <v/>
      </c>
      <c r="D424">
        <f>IF(A424&lt;&gt;"",_xlfn.ISOWEEKNUM(A424),"")</f>
        <v/>
      </c>
      <c r="E424">
        <f>IF(A424&lt;&gt;"",TEXT(A424,"dddd"),"")</f>
        <v/>
      </c>
      <c r="F424">
        <f>IF(BD_Carga!C425&lt;&gt;"",BD_Carga!C425,"")</f>
        <v/>
      </c>
      <c r="G424">
        <f>IF(BD_Carga!D425&lt;&gt;"",BD_Carga!D425,"")</f>
        <v/>
      </c>
      <c r="H424">
        <f>IF(BD_Carga!Q425&lt;&gt;"",BD_Carga!Q425,"")</f>
        <v/>
      </c>
      <c r="I424">
        <f>IF(BD_Carga!R425&lt;&gt;"",BD_Carga!R425,"")</f>
        <v/>
      </c>
      <c r="J424">
        <f>IF(BD_Carga!S425&lt;&gt;"",BD_Carga!S425,"")</f>
        <v/>
      </c>
      <c r="K424" s="4">
        <f>IF(BD_Carga!E425&lt;&gt;"",BD_Carga!E425,0)</f>
        <v/>
      </c>
      <c r="L424" s="4">
        <f>IF(BD_Carga!F425&lt;&gt;"",BD_Carga!F425,0)</f>
        <v/>
      </c>
      <c r="M424" s="4">
        <f>IF(BD_Carga!G425&lt;&gt;"",BD_Carga!G425,0)</f>
        <v/>
      </c>
      <c r="N424" s="4">
        <f>IF(BD_Carga!H425&lt;&gt;"",BD_Carga!H425,0)</f>
        <v/>
      </c>
      <c r="O424" s="4">
        <f>IF(BD_Carga!I425&lt;&gt;"",BD_Carga!I425,0)</f>
        <v/>
      </c>
      <c r="P424" s="4">
        <f>IF(BD_Carga!J425&lt;&gt;"",BD_Carga!J425,0)</f>
        <v/>
      </c>
      <c r="Q424" s="5">
        <f>IF(BD_Carga!K425&lt;&gt;"",BD_Carga!K425,0)</f>
        <v/>
      </c>
      <c r="R424" s="5">
        <f>IF(BD_Carga!L425&lt;&gt;"",BD_Carga!L425,0)</f>
        <v/>
      </c>
      <c r="S424">
        <f>IF(BD_Carga!N425&lt;&gt;"",BD_Carga!N425,0)</f>
        <v/>
      </c>
      <c r="T424">
        <f>IF(BD_Carga!O425&lt;&gt;"",BD_Carga!O425,0)</f>
        <v/>
      </c>
      <c r="U424">
        <f>IF(BD_Carga!P425&lt;&gt;"",BD_Carga!P425,0)</f>
        <v/>
      </c>
      <c r="V424">
        <f>IF(BD_Carga!U425&lt;&gt;"",BD_Carga!U425,0)</f>
        <v/>
      </c>
      <c r="W424">
        <f>IF(BD_Carga!T425&lt;&gt;"",BD_Carga!T425,0)</f>
        <v/>
      </c>
      <c r="X424">
        <f>IF(BD_Carga!W425&lt;&gt;"",BD_Carga!W425,0)</f>
        <v/>
      </c>
      <c r="Y424">
        <f>IF(BD_Carga!X425&lt;&gt;"",BD_Carga!X425,0)</f>
        <v/>
      </c>
      <c r="Z424">
        <f>IF(BD_Carga!Y425&lt;&gt;"",BD_Carga!Y425,0)</f>
        <v/>
      </c>
      <c r="AA424">
        <f>IF(BD_Carga!Z425&lt;&gt;"",BD_Carga!Z425,0)</f>
        <v/>
      </c>
      <c r="AB424">
        <f>IF(BD_Carga!AA425&lt;&gt;"",BD_Carga!AA425,0)</f>
        <v/>
      </c>
      <c r="AC424" s="6">
        <f t="array" ref="AC424">IFERROR((L424-AVERAGEIF($G$2:$G$462,G424,$L$2:$L$462))/_xlfn.STDEV.P(IF($G$2:$G$462=G424,$L$2:$L$462)),0)</f>
        <v/>
      </c>
      <c r="AD424" s="6">
        <f t="array" ref="AD424">IFERROR((M424-AVERAGEIF($G$2:$G$462,G424,$M$2:$M$462))/_xlfn.STDEV.P(IF($G$2:$G$462=G424,$M$2:$M$462)),0)</f>
        <v/>
      </c>
      <c r="AE424" s="6">
        <f t="array" ref="AE424">IFERROR((N424-AVERAGEIF($G$2:$G$462,G424,$N$2:$N$462))/_xlfn.STDEV.P(IF($G$2:$G$462=G424,$N$2:$N$462)),0)</f>
        <v/>
      </c>
      <c r="AF424" s="6">
        <f t="array" ref="AF424">IFERROR((O424-AVERAGEIF($G$2:$G$462,G424,$O$2:$O$462))/_xlfn.STDEV.P(IF($G$2:$G$462=G424,$O$2:$O$462)),0)</f>
        <v/>
      </c>
      <c r="AG424" s="6">
        <f t="array" ref="AG424">IFERROR((P424-AVERAGEIF($G$2:$G$462,G424,$P$2:$P$462))/_xlfn.STDEV.P(IF($G$2:$G$462=G424,$P$2:$P$462)),0)</f>
        <v/>
      </c>
      <c r="AH424" s="6">
        <f t="array" ref="AH424">IFERROR((R424-AVERAGEIF($G$2:$G$462,G424,$R$2:$R$462))/_xlfn.STDEV.P(IF($G$2:$G$462=G424,$R$2:$R$462)),0)</f>
        <v/>
      </c>
      <c r="AI424" s="6">
        <f>IFERROR((AC424+AD424+AE424+AF424+AG424+AH424)/6,0)</f>
        <v/>
      </c>
    </row>
    <row r="425">
      <c r="A425" s="2">
        <f>IF(BD_Carga!A426&lt;&gt;"",BD_Carga!A426,"")</f>
        <v/>
      </c>
      <c r="B425">
        <f>IF(A425&lt;&gt;"",YEAR(A425),"")</f>
        <v/>
      </c>
      <c r="C425">
        <f>IF(A425&lt;&gt;"",MONTH(A425),"")</f>
        <v/>
      </c>
      <c r="D425">
        <f>IF(A425&lt;&gt;"",_xlfn.ISOWEEKNUM(A425),"")</f>
        <v/>
      </c>
      <c r="E425">
        <f>IF(A425&lt;&gt;"",TEXT(A425,"dddd"),"")</f>
        <v/>
      </c>
      <c r="F425">
        <f>IF(BD_Carga!C426&lt;&gt;"",BD_Carga!C426,"")</f>
        <v/>
      </c>
      <c r="G425">
        <f>IF(BD_Carga!D426&lt;&gt;"",BD_Carga!D426,"")</f>
        <v/>
      </c>
      <c r="H425">
        <f>IF(BD_Carga!Q426&lt;&gt;"",BD_Carga!Q426,"")</f>
        <v/>
      </c>
      <c r="I425">
        <f>IF(BD_Carga!R426&lt;&gt;"",BD_Carga!R426,"")</f>
        <v/>
      </c>
      <c r="J425">
        <f>IF(BD_Carga!S426&lt;&gt;"",BD_Carga!S426,"")</f>
        <v/>
      </c>
      <c r="K425" s="4">
        <f>IF(BD_Carga!E426&lt;&gt;"",BD_Carga!E426,0)</f>
        <v/>
      </c>
      <c r="L425" s="4">
        <f>IF(BD_Carga!F426&lt;&gt;"",BD_Carga!F426,0)</f>
        <v/>
      </c>
      <c r="M425" s="4">
        <f>IF(BD_Carga!G426&lt;&gt;"",BD_Carga!G426,0)</f>
        <v/>
      </c>
      <c r="N425" s="4">
        <f>IF(BD_Carga!H426&lt;&gt;"",BD_Carga!H426,0)</f>
        <v/>
      </c>
      <c r="O425" s="4">
        <f>IF(BD_Carga!I426&lt;&gt;"",BD_Carga!I426,0)</f>
        <v/>
      </c>
      <c r="P425" s="4">
        <f>IF(BD_Carga!J426&lt;&gt;"",BD_Carga!J426,0)</f>
        <v/>
      </c>
      <c r="Q425" s="5">
        <f>IF(BD_Carga!K426&lt;&gt;"",BD_Carga!K426,0)</f>
        <v/>
      </c>
      <c r="R425" s="5">
        <f>IF(BD_Carga!L426&lt;&gt;"",BD_Carga!L426,0)</f>
        <v/>
      </c>
      <c r="S425">
        <f>IF(BD_Carga!N426&lt;&gt;"",BD_Carga!N426,0)</f>
        <v/>
      </c>
      <c r="T425">
        <f>IF(BD_Carga!O426&lt;&gt;"",BD_Carga!O426,0)</f>
        <v/>
      </c>
      <c r="U425">
        <f>IF(BD_Carga!P426&lt;&gt;"",BD_Carga!P426,0)</f>
        <v/>
      </c>
      <c r="V425">
        <f>IF(BD_Carga!U426&lt;&gt;"",BD_Carga!U426,0)</f>
        <v/>
      </c>
      <c r="W425">
        <f>IF(BD_Carga!T426&lt;&gt;"",BD_Carga!T426,0)</f>
        <v/>
      </c>
      <c r="X425">
        <f>IF(BD_Carga!W426&lt;&gt;"",BD_Carga!W426,0)</f>
        <v/>
      </c>
      <c r="Y425">
        <f>IF(BD_Carga!X426&lt;&gt;"",BD_Carga!X426,0)</f>
        <v/>
      </c>
      <c r="Z425">
        <f>IF(BD_Carga!Y426&lt;&gt;"",BD_Carga!Y426,0)</f>
        <v/>
      </c>
      <c r="AA425">
        <f>IF(BD_Carga!Z426&lt;&gt;"",BD_Carga!Z426,0)</f>
        <v/>
      </c>
      <c r="AB425">
        <f>IF(BD_Carga!AA426&lt;&gt;"",BD_Carga!AA426,0)</f>
        <v/>
      </c>
      <c r="AC425" s="6">
        <f t="array" ref="AC425">IFERROR((L425-AVERAGEIF($G$2:$G$462,G425,$L$2:$L$462))/_xlfn.STDEV.P(IF($G$2:$G$462=G425,$L$2:$L$462)),0)</f>
        <v/>
      </c>
      <c r="AD425" s="6">
        <f t="array" ref="AD425">IFERROR((M425-AVERAGEIF($G$2:$G$462,G425,$M$2:$M$462))/_xlfn.STDEV.P(IF($G$2:$G$462=G425,$M$2:$M$462)),0)</f>
        <v/>
      </c>
      <c r="AE425" s="6">
        <f t="array" ref="AE425">IFERROR((N425-AVERAGEIF($G$2:$G$462,G425,$N$2:$N$462))/_xlfn.STDEV.P(IF($G$2:$G$462=G425,$N$2:$N$462)),0)</f>
        <v/>
      </c>
      <c r="AF425" s="6">
        <f t="array" ref="AF425">IFERROR((O425-AVERAGEIF($G$2:$G$462,G425,$O$2:$O$462))/_xlfn.STDEV.P(IF($G$2:$G$462=G425,$O$2:$O$462)),0)</f>
        <v/>
      </c>
      <c r="AG425" s="6">
        <f t="array" ref="AG425">IFERROR((P425-AVERAGEIF($G$2:$G$462,G425,$P$2:$P$462))/_xlfn.STDEV.P(IF($G$2:$G$462=G425,$P$2:$P$462)),0)</f>
        <v/>
      </c>
      <c r="AH425" s="6">
        <f t="array" ref="AH425">IFERROR((R425-AVERAGEIF($G$2:$G$462,G425,$R$2:$R$462))/_xlfn.STDEV.P(IF($G$2:$G$462=G425,$R$2:$R$462)),0)</f>
        <v/>
      </c>
      <c r="AI425" s="6">
        <f>IFERROR((AC425+AD425+AE425+AF425+AG425+AH425)/6,0)</f>
        <v/>
      </c>
    </row>
    <row r="426">
      <c r="A426" s="2">
        <f>IF(BD_Carga!A427&lt;&gt;"",BD_Carga!A427,"")</f>
        <v/>
      </c>
      <c r="B426">
        <f>IF(A426&lt;&gt;"",YEAR(A426),"")</f>
        <v/>
      </c>
      <c r="C426">
        <f>IF(A426&lt;&gt;"",MONTH(A426),"")</f>
        <v/>
      </c>
      <c r="D426">
        <f>IF(A426&lt;&gt;"",_xlfn.ISOWEEKNUM(A426),"")</f>
        <v/>
      </c>
      <c r="E426">
        <f>IF(A426&lt;&gt;"",TEXT(A426,"dddd"),"")</f>
        <v/>
      </c>
      <c r="F426">
        <f>IF(BD_Carga!C427&lt;&gt;"",BD_Carga!C427,"")</f>
        <v/>
      </c>
      <c r="G426">
        <f>IF(BD_Carga!D427&lt;&gt;"",BD_Carga!D427,"")</f>
        <v/>
      </c>
      <c r="H426">
        <f>IF(BD_Carga!Q427&lt;&gt;"",BD_Carga!Q427,"")</f>
        <v/>
      </c>
      <c r="I426">
        <f>IF(BD_Carga!R427&lt;&gt;"",BD_Carga!R427,"")</f>
        <v/>
      </c>
      <c r="J426">
        <f>IF(BD_Carga!S427&lt;&gt;"",BD_Carga!S427,"")</f>
        <v/>
      </c>
      <c r="K426" s="4">
        <f>IF(BD_Carga!E427&lt;&gt;"",BD_Carga!E427,0)</f>
        <v/>
      </c>
      <c r="L426" s="4">
        <f>IF(BD_Carga!F427&lt;&gt;"",BD_Carga!F427,0)</f>
        <v/>
      </c>
      <c r="M426" s="4">
        <f>IF(BD_Carga!G427&lt;&gt;"",BD_Carga!G427,0)</f>
        <v/>
      </c>
      <c r="N426" s="4">
        <f>IF(BD_Carga!H427&lt;&gt;"",BD_Carga!H427,0)</f>
        <v/>
      </c>
      <c r="O426" s="4">
        <f>IF(BD_Carga!I427&lt;&gt;"",BD_Carga!I427,0)</f>
        <v/>
      </c>
      <c r="P426" s="4">
        <f>IF(BD_Carga!J427&lt;&gt;"",BD_Carga!J427,0)</f>
        <v/>
      </c>
      <c r="Q426" s="5">
        <f>IF(BD_Carga!K427&lt;&gt;"",BD_Carga!K427,0)</f>
        <v/>
      </c>
      <c r="R426" s="5">
        <f>IF(BD_Carga!L427&lt;&gt;"",BD_Carga!L427,0)</f>
        <v/>
      </c>
      <c r="S426">
        <f>IF(BD_Carga!N427&lt;&gt;"",BD_Carga!N427,0)</f>
        <v/>
      </c>
      <c r="T426">
        <f>IF(BD_Carga!O427&lt;&gt;"",BD_Carga!O427,0)</f>
        <v/>
      </c>
      <c r="U426">
        <f>IF(BD_Carga!P427&lt;&gt;"",BD_Carga!P427,0)</f>
        <v/>
      </c>
      <c r="V426">
        <f>IF(BD_Carga!U427&lt;&gt;"",BD_Carga!U427,0)</f>
        <v/>
      </c>
      <c r="W426">
        <f>IF(BD_Carga!T427&lt;&gt;"",BD_Carga!T427,0)</f>
        <v/>
      </c>
      <c r="X426">
        <f>IF(BD_Carga!W427&lt;&gt;"",BD_Carga!W427,0)</f>
        <v/>
      </c>
      <c r="Y426">
        <f>IF(BD_Carga!X427&lt;&gt;"",BD_Carga!X427,0)</f>
        <v/>
      </c>
      <c r="Z426">
        <f>IF(BD_Carga!Y427&lt;&gt;"",BD_Carga!Y427,0)</f>
        <v/>
      </c>
      <c r="AA426">
        <f>IF(BD_Carga!Z427&lt;&gt;"",BD_Carga!Z427,0)</f>
        <v/>
      </c>
      <c r="AB426">
        <f>IF(BD_Carga!AA427&lt;&gt;"",BD_Carga!AA427,0)</f>
        <v/>
      </c>
      <c r="AC426" s="6">
        <f t="array" ref="AC426">IFERROR((L426-AVERAGEIF($G$2:$G$462,G426,$L$2:$L$462))/_xlfn.STDEV.P(IF($G$2:$G$462=G426,$L$2:$L$462)),0)</f>
        <v/>
      </c>
      <c r="AD426" s="6">
        <f t="array" ref="AD426">IFERROR((M426-AVERAGEIF($G$2:$G$462,G426,$M$2:$M$462))/_xlfn.STDEV.P(IF($G$2:$G$462=G426,$M$2:$M$462)),0)</f>
        <v/>
      </c>
      <c r="AE426" s="6">
        <f t="array" ref="AE426">IFERROR((N426-AVERAGEIF($G$2:$G$462,G426,$N$2:$N$462))/_xlfn.STDEV.P(IF($G$2:$G$462=G426,$N$2:$N$462)),0)</f>
        <v/>
      </c>
      <c r="AF426" s="6">
        <f t="array" ref="AF426">IFERROR((O426-AVERAGEIF($G$2:$G$462,G426,$O$2:$O$462))/_xlfn.STDEV.P(IF($G$2:$G$462=G426,$O$2:$O$462)),0)</f>
        <v/>
      </c>
      <c r="AG426" s="6">
        <f t="array" ref="AG426">IFERROR((P426-AVERAGEIF($G$2:$G$462,G426,$P$2:$P$462))/_xlfn.STDEV.P(IF($G$2:$G$462=G426,$P$2:$P$462)),0)</f>
        <v/>
      </c>
      <c r="AH426" s="6">
        <f t="array" ref="AH426">IFERROR((R426-AVERAGEIF($G$2:$G$462,G426,$R$2:$R$462))/_xlfn.STDEV.P(IF($G$2:$G$462=G426,$R$2:$R$462)),0)</f>
        <v/>
      </c>
      <c r="AI426" s="6">
        <f>IFERROR((AC426+AD426+AE426+AF426+AG426+AH426)/6,0)</f>
        <v/>
      </c>
    </row>
    <row r="427">
      <c r="A427" s="2">
        <f>IF(BD_Carga!A428&lt;&gt;"",BD_Carga!A428,"")</f>
        <v/>
      </c>
      <c r="B427">
        <f>IF(A427&lt;&gt;"",YEAR(A427),"")</f>
        <v/>
      </c>
      <c r="C427">
        <f>IF(A427&lt;&gt;"",MONTH(A427),"")</f>
        <v/>
      </c>
      <c r="D427">
        <f>IF(A427&lt;&gt;"",_xlfn.ISOWEEKNUM(A427),"")</f>
        <v/>
      </c>
      <c r="E427">
        <f>IF(A427&lt;&gt;"",TEXT(A427,"dddd"),"")</f>
        <v/>
      </c>
      <c r="F427">
        <f>IF(BD_Carga!C428&lt;&gt;"",BD_Carga!C428,"")</f>
        <v/>
      </c>
      <c r="G427">
        <f>IF(BD_Carga!D428&lt;&gt;"",BD_Carga!D428,"")</f>
        <v/>
      </c>
      <c r="H427">
        <f>IF(BD_Carga!Q428&lt;&gt;"",BD_Carga!Q428,"")</f>
        <v/>
      </c>
      <c r="I427">
        <f>IF(BD_Carga!R428&lt;&gt;"",BD_Carga!R428,"")</f>
        <v/>
      </c>
      <c r="J427">
        <f>IF(BD_Carga!S428&lt;&gt;"",BD_Carga!S428,"")</f>
        <v/>
      </c>
      <c r="K427" s="4">
        <f>IF(BD_Carga!E428&lt;&gt;"",BD_Carga!E428,0)</f>
        <v/>
      </c>
      <c r="L427" s="4">
        <f>IF(BD_Carga!F428&lt;&gt;"",BD_Carga!F428,0)</f>
        <v/>
      </c>
      <c r="M427" s="4">
        <f>IF(BD_Carga!G428&lt;&gt;"",BD_Carga!G428,0)</f>
        <v/>
      </c>
      <c r="N427" s="4">
        <f>IF(BD_Carga!H428&lt;&gt;"",BD_Carga!H428,0)</f>
        <v/>
      </c>
      <c r="O427" s="4">
        <f>IF(BD_Carga!I428&lt;&gt;"",BD_Carga!I428,0)</f>
        <v/>
      </c>
      <c r="P427" s="4">
        <f>IF(BD_Carga!J428&lt;&gt;"",BD_Carga!J428,0)</f>
        <v/>
      </c>
      <c r="Q427" s="5">
        <f>IF(BD_Carga!K428&lt;&gt;"",BD_Carga!K428,0)</f>
        <v/>
      </c>
      <c r="R427" s="5">
        <f>IF(BD_Carga!L428&lt;&gt;"",BD_Carga!L428,0)</f>
        <v/>
      </c>
      <c r="S427">
        <f>IF(BD_Carga!N428&lt;&gt;"",BD_Carga!N428,0)</f>
        <v/>
      </c>
      <c r="T427">
        <f>IF(BD_Carga!O428&lt;&gt;"",BD_Carga!O428,0)</f>
        <v/>
      </c>
      <c r="U427">
        <f>IF(BD_Carga!P428&lt;&gt;"",BD_Carga!P428,0)</f>
        <v/>
      </c>
      <c r="V427">
        <f>IF(BD_Carga!U428&lt;&gt;"",BD_Carga!U428,0)</f>
        <v/>
      </c>
      <c r="W427">
        <f>IF(BD_Carga!T428&lt;&gt;"",BD_Carga!T428,0)</f>
        <v/>
      </c>
      <c r="X427">
        <f>IF(BD_Carga!W428&lt;&gt;"",BD_Carga!W428,0)</f>
        <v/>
      </c>
      <c r="Y427">
        <f>IF(BD_Carga!X428&lt;&gt;"",BD_Carga!X428,0)</f>
        <v/>
      </c>
      <c r="Z427">
        <f>IF(BD_Carga!Y428&lt;&gt;"",BD_Carga!Y428,0)</f>
        <v/>
      </c>
      <c r="AA427">
        <f>IF(BD_Carga!Z428&lt;&gt;"",BD_Carga!Z428,0)</f>
        <v/>
      </c>
      <c r="AB427">
        <f>IF(BD_Carga!AA428&lt;&gt;"",BD_Carga!AA428,0)</f>
        <v/>
      </c>
      <c r="AC427" s="6">
        <f t="array" ref="AC427">IFERROR((L427-AVERAGEIF($G$2:$G$462,G427,$L$2:$L$462))/_xlfn.STDEV.P(IF($G$2:$G$462=G427,$L$2:$L$462)),0)</f>
        <v/>
      </c>
      <c r="AD427" s="6">
        <f t="array" ref="AD427">IFERROR((M427-AVERAGEIF($G$2:$G$462,G427,$M$2:$M$462))/_xlfn.STDEV.P(IF($G$2:$G$462=G427,$M$2:$M$462)),0)</f>
        <v/>
      </c>
      <c r="AE427" s="6">
        <f t="array" ref="AE427">IFERROR((N427-AVERAGEIF($G$2:$G$462,G427,$N$2:$N$462))/_xlfn.STDEV.P(IF($G$2:$G$462=G427,$N$2:$N$462)),0)</f>
        <v/>
      </c>
      <c r="AF427" s="6">
        <f t="array" ref="AF427">IFERROR((O427-AVERAGEIF($G$2:$G$462,G427,$O$2:$O$462))/_xlfn.STDEV.P(IF($G$2:$G$462=G427,$O$2:$O$462)),0)</f>
        <v/>
      </c>
      <c r="AG427" s="6">
        <f t="array" ref="AG427">IFERROR((P427-AVERAGEIF($G$2:$G$462,G427,$P$2:$P$462))/_xlfn.STDEV.P(IF($G$2:$G$462=G427,$P$2:$P$462)),0)</f>
        <v/>
      </c>
      <c r="AH427" s="6">
        <f t="array" ref="AH427">IFERROR((R427-AVERAGEIF($G$2:$G$462,G427,$R$2:$R$462))/_xlfn.STDEV.P(IF($G$2:$G$462=G427,$R$2:$R$462)),0)</f>
        <v/>
      </c>
      <c r="AI427" s="6">
        <f>IFERROR((AC427+AD427+AE427+AF427+AG427+AH427)/6,0)</f>
        <v/>
      </c>
    </row>
    <row r="428">
      <c r="A428" s="2">
        <f>IF(BD_Carga!A429&lt;&gt;"",BD_Carga!A429,"")</f>
        <v/>
      </c>
      <c r="B428">
        <f>IF(A428&lt;&gt;"",YEAR(A428),"")</f>
        <v/>
      </c>
      <c r="C428">
        <f>IF(A428&lt;&gt;"",MONTH(A428),"")</f>
        <v/>
      </c>
      <c r="D428">
        <f>IF(A428&lt;&gt;"",_xlfn.ISOWEEKNUM(A428),"")</f>
        <v/>
      </c>
      <c r="E428">
        <f>IF(A428&lt;&gt;"",TEXT(A428,"dddd"),"")</f>
        <v/>
      </c>
      <c r="F428">
        <f>IF(BD_Carga!C429&lt;&gt;"",BD_Carga!C429,"")</f>
        <v/>
      </c>
      <c r="G428">
        <f>IF(BD_Carga!D429&lt;&gt;"",BD_Carga!D429,"")</f>
        <v/>
      </c>
      <c r="H428">
        <f>IF(BD_Carga!Q429&lt;&gt;"",BD_Carga!Q429,"")</f>
        <v/>
      </c>
      <c r="I428">
        <f>IF(BD_Carga!R429&lt;&gt;"",BD_Carga!R429,"")</f>
        <v/>
      </c>
      <c r="J428">
        <f>IF(BD_Carga!S429&lt;&gt;"",BD_Carga!S429,"")</f>
        <v/>
      </c>
      <c r="K428" s="4">
        <f>IF(BD_Carga!E429&lt;&gt;"",BD_Carga!E429,0)</f>
        <v/>
      </c>
      <c r="L428" s="4">
        <f>IF(BD_Carga!F429&lt;&gt;"",BD_Carga!F429,0)</f>
        <v/>
      </c>
      <c r="M428" s="4">
        <f>IF(BD_Carga!G429&lt;&gt;"",BD_Carga!G429,0)</f>
        <v/>
      </c>
      <c r="N428" s="4">
        <f>IF(BD_Carga!H429&lt;&gt;"",BD_Carga!H429,0)</f>
        <v/>
      </c>
      <c r="O428" s="4">
        <f>IF(BD_Carga!I429&lt;&gt;"",BD_Carga!I429,0)</f>
        <v/>
      </c>
      <c r="P428" s="4">
        <f>IF(BD_Carga!J429&lt;&gt;"",BD_Carga!J429,0)</f>
        <v/>
      </c>
      <c r="Q428" s="5">
        <f>IF(BD_Carga!K429&lt;&gt;"",BD_Carga!K429,0)</f>
        <v/>
      </c>
      <c r="R428" s="5">
        <f>IF(BD_Carga!L429&lt;&gt;"",BD_Carga!L429,0)</f>
        <v/>
      </c>
      <c r="S428">
        <f>IF(BD_Carga!N429&lt;&gt;"",BD_Carga!N429,0)</f>
        <v/>
      </c>
      <c r="T428">
        <f>IF(BD_Carga!O429&lt;&gt;"",BD_Carga!O429,0)</f>
        <v/>
      </c>
      <c r="U428">
        <f>IF(BD_Carga!P429&lt;&gt;"",BD_Carga!P429,0)</f>
        <v/>
      </c>
      <c r="V428">
        <f>IF(BD_Carga!U429&lt;&gt;"",BD_Carga!U429,0)</f>
        <v/>
      </c>
      <c r="W428">
        <f>IF(BD_Carga!T429&lt;&gt;"",BD_Carga!T429,0)</f>
        <v/>
      </c>
      <c r="X428">
        <f>IF(BD_Carga!W429&lt;&gt;"",BD_Carga!W429,0)</f>
        <v/>
      </c>
      <c r="Y428">
        <f>IF(BD_Carga!X429&lt;&gt;"",BD_Carga!X429,0)</f>
        <v/>
      </c>
      <c r="Z428">
        <f>IF(BD_Carga!Y429&lt;&gt;"",BD_Carga!Y429,0)</f>
        <v/>
      </c>
      <c r="AA428">
        <f>IF(BD_Carga!Z429&lt;&gt;"",BD_Carga!Z429,0)</f>
        <v/>
      </c>
      <c r="AB428">
        <f>IF(BD_Carga!AA429&lt;&gt;"",BD_Carga!AA429,0)</f>
        <v/>
      </c>
      <c r="AC428" s="6">
        <f t="array" ref="AC428">IFERROR((L428-AVERAGEIF($G$2:$G$462,G428,$L$2:$L$462))/_xlfn.STDEV.P(IF($G$2:$G$462=G428,$L$2:$L$462)),0)</f>
        <v/>
      </c>
      <c r="AD428" s="6">
        <f t="array" ref="AD428">IFERROR((M428-AVERAGEIF($G$2:$G$462,G428,$M$2:$M$462))/_xlfn.STDEV.P(IF($G$2:$G$462=G428,$M$2:$M$462)),0)</f>
        <v/>
      </c>
      <c r="AE428" s="6">
        <f t="array" ref="AE428">IFERROR((N428-AVERAGEIF($G$2:$G$462,G428,$N$2:$N$462))/_xlfn.STDEV.P(IF($G$2:$G$462=G428,$N$2:$N$462)),0)</f>
        <v/>
      </c>
      <c r="AF428" s="6">
        <f t="array" ref="AF428">IFERROR((O428-AVERAGEIF($G$2:$G$462,G428,$O$2:$O$462))/_xlfn.STDEV.P(IF($G$2:$G$462=G428,$O$2:$O$462)),0)</f>
        <v/>
      </c>
      <c r="AG428" s="6">
        <f t="array" ref="AG428">IFERROR((P428-AVERAGEIF($G$2:$G$462,G428,$P$2:$P$462))/_xlfn.STDEV.P(IF($G$2:$G$462=G428,$P$2:$P$462)),0)</f>
        <v/>
      </c>
      <c r="AH428" s="6">
        <f t="array" ref="AH428">IFERROR((R428-AVERAGEIF($G$2:$G$462,G428,$R$2:$R$462))/_xlfn.STDEV.P(IF($G$2:$G$462=G428,$R$2:$R$462)),0)</f>
        <v/>
      </c>
      <c r="AI428" s="6">
        <f>IFERROR((AC428+AD428+AE428+AF428+AG428+AH428)/6,0)</f>
        <v/>
      </c>
    </row>
    <row r="429">
      <c r="A429" s="2">
        <f>IF(BD_Carga!A430&lt;&gt;"",BD_Carga!A430,"")</f>
        <v/>
      </c>
      <c r="B429">
        <f>IF(A429&lt;&gt;"",YEAR(A429),"")</f>
        <v/>
      </c>
      <c r="C429">
        <f>IF(A429&lt;&gt;"",MONTH(A429),"")</f>
        <v/>
      </c>
      <c r="D429">
        <f>IF(A429&lt;&gt;"",_xlfn.ISOWEEKNUM(A429),"")</f>
        <v/>
      </c>
      <c r="E429">
        <f>IF(A429&lt;&gt;"",TEXT(A429,"dddd"),"")</f>
        <v/>
      </c>
      <c r="F429">
        <f>IF(BD_Carga!C430&lt;&gt;"",BD_Carga!C430,"")</f>
        <v/>
      </c>
      <c r="G429">
        <f>IF(BD_Carga!D430&lt;&gt;"",BD_Carga!D430,"")</f>
        <v/>
      </c>
      <c r="H429">
        <f>IF(BD_Carga!Q430&lt;&gt;"",BD_Carga!Q430,"")</f>
        <v/>
      </c>
      <c r="I429">
        <f>IF(BD_Carga!R430&lt;&gt;"",BD_Carga!R430,"")</f>
        <v/>
      </c>
      <c r="J429">
        <f>IF(BD_Carga!S430&lt;&gt;"",BD_Carga!S430,"")</f>
        <v/>
      </c>
      <c r="K429" s="4">
        <f>IF(BD_Carga!E430&lt;&gt;"",BD_Carga!E430,0)</f>
        <v/>
      </c>
      <c r="L429" s="4">
        <f>IF(BD_Carga!F430&lt;&gt;"",BD_Carga!F430,0)</f>
        <v/>
      </c>
      <c r="M429" s="4">
        <f>IF(BD_Carga!G430&lt;&gt;"",BD_Carga!G430,0)</f>
        <v/>
      </c>
      <c r="N429" s="4">
        <f>IF(BD_Carga!H430&lt;&gt;"",BD_Carga!H430,0)</f>
        <v/>
      </c>
      <c r="O429" s="4">
        <f>IF(BD_Carga!I430&lt;&gt;"",BD_Carga!I430,0)</f>
        <v/>
      </c>
      <c r="P429" s="4">
        <f>IF(BD_Carga!J430&lt;&gt;"",BD_Carga!J430,0)</f>
        <v/>
      </c>
      <c r="Q429" s="5">
        <f>IF(BD_Carga!K430&lt;&gt;"",BD_Carga!K430,0)</f>
        <v/>
      </c>
      <c r="R429" s="5">
        <f>IF(BD_Carga!L430&lt;&gt;"",BD_Carga!L430,0)</f>
        <v/>
      </c>
      <c r="S429">
        <f>IF(BD_Carga!N430&lt;&gt;"",BD_Carga!N430,0)</f>
        <v/>
      </c>
      <c r="T429">
        <f>IF(BD_Carga!O430&lt;&gt;"",BD_Carga!O430,0)</f>
        <v/>
      </c>
      <c r="U429">
        <f>IF(BD_Carga!P430&lt;&gt;"",BD_Carga!P430,0)</f>
        <v/>
      </c>
      <c r="V429">
        <f>IF(BD_Carga!U430&lt;&gt;"",BD_Carga!U430,0)</f>
        <v/>
      </c>
      <c r="W429">
        <f>IF(BD_Carga!T430&lt;&gt;"",BD_Carga!T430,0)</f>
        <v/>
      </c>
      <c r="X429">
        <f>IF(BD_Carga!W430&lt;&gt;"",BD_Carga!W430,0)</f>
        <v/>
      </c>
      <c r="Y429">
        <f>IF(BD_Carga!X430&lt;&gt;"",BD_Carga!X430,0)</f>
        <v/>
      </c>
      <c r="Z429">
        <f>IF(BD_Carga!Y430&lt;&gt;"",BD_Carga!Y430,0)</f>
        <v/>
      </c>
      <c r="AA429">
        <f>IF(BD_Carga!Z430&lt;&gt;"",BD_Carga!Z430,0)</f>
        <v/>
      </c>
      <c r="AB429">
        <f>IF(BD_Carga!AA430&lt;&gt;"",BD_Carga!AA430,0)</f>
        <v/>
      </c>
      <c r="AC429" s="6">
        <f t="array" ref="AC429">IFERROR((L429-AVERAGEIF($G$2:$G$462,G429,$L$2:$L$462))/_xlfn.STDEV.P(IF($G$2:$G$462=G429,$L$2:$L$462)),0)</f>
        <v/>
      </c>
      <c r="AD429" s="6">
        <f t="array" ref="AD429">IFERROR((M429-AVERAGEIF($G$2:$G$462,G429,$M$2:$M$462))/_xlfn.STDEV.P(IF($G$2:$G$462=G429,$M$2:$M$462)),0)</f>
        <v/>
      </c>
      <c r="AE429" s="6">
        <f t="array" ref="AE429">IFERROR((N429-AVERAGEIF($G$2:$G$462,G429,$N$2:$N$462))/_xlfn.STDEV.P(IF($G$2:$G$462=G429,$N$2:$N$462)),0)</f>
        <v/>
      </c>
      <c r="AF429" s="6">
        <f t="array" ref="AF429">IFERROR((O429-AVERAGEIF($G$2:$G$462,G429,$O$2:$O$462))/_xlfn.STDEV.P(IF($G$2:$G$462=G429,$O$2:$O$462)),0)</f>
        <v/>
      </c>
      <c r="AG429" s="6">
        <f t="array" ref="AG429">IFERROR((P429-AVERAGEIF($G$2:$G$462,G429,$P$2:$P$462))/_xlfn.STDEV.P(IF($G$2:$G$462=G429,$P$2:$P$462)),0)</f>
        <v/>
      </c>
      <c r="AH429" s="6">
        <f t="array" ref="AH429">IFERROR((R429-AVERAGEIF($G$2:$G$462,G429,$R$2:$R$462))/_xlfn.STDEV.P(IF($G$2:$G$462=G429,$R$2:$R$462)),0)</f>
        <v/>
      </c>
      <c r="AI429" s="6">
        <f>IFERROR((AC429+AD429+AE429+AF429+AG429+AH429)/6,0)</f>
        <v/>
      </c>
    </row>
    <row r="430">
      <c r="A430" s="2">
        <f>IF(BD_Carga!A431&lt;&gt;"",BD_Carga!A431,"")</f>
        <v/>
      </c>
      <c r="B430">
        <f>IF(A430&lt;&gt;"",YEAR(A430),"")</f>
        <v/>
      </c>
      <c r="C430">
        <f>IF(A430&lt;&gt;"",MONTH(A430),"")</f>
        <v/>
      </c>
      <c r="D430">
        <f>IF(A430&lt;&gt;"",_xlfn.ISOWEEKNUM(A430),"")</f>
        <v/>
      </c>
      <c r="E430">
        <f>IF(A430&lt;&gt;"",TEXT(A430,"dddd"),"")</f>
        <v/>
      </c>
      <c r="F430">
        <f>IF(BD_Carga!C431&lt;&gt;"",BD_Carga!C431,"")</f>
        <v/>
      </c>
      <c r="G430">
        <f>IF(BD_Carga!D431&lt;&gt;"",BD_Carga!D431,"")</f>
        <v/>
      </c>
      <c r="H430">
        <f>IF(BD_Carga!Q431&lt;&gt;"",BD_Carga!Q431,"")</f>
        <v/>
      </c>
      <c r="I430">
        <f>IF(BD_Carga!R431&lt;&gt;"",BD_Carga!R431,"")</f>
        <v/>
      </c>
      <c r="J430">
        <f>IF(BD_Carga!S431&lt;&gt;"",BD_Carga!S431,"")</f>
        <v/>
      </c>
      <c r="K430" s="4">
        <f>IF(BD_Carga!E431&lt;&gt;"",BD_Carga!E431,0)</f>
        <v/>
      </c>
      <c r="L430" s="4">
        <f>IF(BD_Carga!F431&lt;&gt;"",BD_Carga!F431,0)</f>
        <v/>
      </c>
      <c r="M430" s="4">
        <f>IF(BD_Carga!G431&lt;&gt;"",BD_Carga!G431,0)</f>
        <v/>
      </c>
      <c r="N430" s="4">
        <f>IF(BD_Carga!H431&lt;&gt;"",BD_Carga!H431,0)</f>
        <v/>
      </c>
      <c r="O430" s="4">
        <f>IF(BD_Carga!I431&lt;&gt;"",BD_Carga!I431,0)</f>
        <v/>
      </c>
      <c r="P430" s="4">
        <f>IF(BD_Carga!J431&lt;&gt;"",BD_Carga!J431,0)</f>
        <v/>
      </c>
      <c r="Q430" s="5">
        <f>IF(BD_Carga!K431&lt;&gt;"",BD_Carga!K431,0)</f>
        <v/>
      </c>
      <c r="R430" s="5">
        <f>IF(BD_Carga!L431&lt;&gt;"",BD_Carga!L431,0)</f>
        <v/>
      </c>
      <c r="S430">
        <f>IF(BD_Carga!N431&lt;&gt;"",BD_Carga!N431,0)</f>
        <v/>
      </c>
      <c r="T430">
        <f>IF(BD_Carga!O431&lt;&gt;"",BD_Carga!O431,0)</f>
        <v/>
      </c>
      <c r="U430">
        <f>IF(BD_Carga!P431&lt;&gt;"",BD_Carga!P431,0)</f>
        <v/>
      </c>
      <c r="V430">
        <f>IF(BD_Carga!U431&lt;&gt;"",BD_Carga!U431,0)</f>
        <v/>
      </c>
      <c r="W430">
        <f>IF(BD_Carga!T431&lt;&gt;"",BD_Carga!T431,0)</f>
        <v/>
      </c>
      <c r="X430">
        <f>IF(BD_Carga!W431&lt;&gt;"",BD_Carga!W431,0)</f>
        <v/>
      </c>
      <c r="Y430">
        <f>IF(BD_Carga!X431&lt;&gt;"",BD_Carga!X431,0)</f>
        <v/>
      </c>
      <c r="Z430">
        <f>IF(BD_Carga!Y431&lt;&gt;"",BD_Carga!Y431,0)</f>
        <v/>
      </c>
      <c r="AA430">
        <f>IF(BD_Carga!Z431&lt;&gt;"",BD_Carga!Z431,0)</f>
        <v/>
      </c>
      <c r="AB430">
        <f>IF(BD_Carga!AA431&lt;&gt;"",BD_Carga!AA431,0)</f>
        <v/>
      </c>
      <c r="AC430" s="6">
        <f t="array" ref="AC430">IFERROR((L430-AVERAGEIF($G$2:$G$462,G430,$L$2:$L$462))/_xlfn.STDEV.P(IF($G$2:$G$462=G430,$L$2:$L$462)),0)</f>
        <v/>
      </c>
      <c r="AD430" s="6">
        <f t="array" ref="AD430">IFERROR((M430-AVERAGEIF($G$2:$G$462,G430,$M$2:$M$462))/_xlfn.STDEV.P(IF($G$2:$G$462=G430,$M$2:$M$462)),0)</f>
        <v/>
      </c>
      <c r="AE430" s="6">
        <f t="array" ref="AE430">IFERROR((N430-AVERAGEIF($G$2:$G$462,G430,$N$2:$N$462))/_xlfn.STDEV.P(IF($G$2:$G$462=G430,$N$2:$N$462)),0)</f>
        <v/>
      </c>
      <c r="AF430" s="6">
        <f t="array" ref="AF430">IFERROR((O430-AVERAGEIF($G$2:$G$462,G430,$O$2:$O$462))/_xlfn.STDEV.P(IF($G$2:$G$462=G430,$O$2:$O$462)),0)</f>
        <v/>
      </c>
      <c r="AG430" s="6">
        <f t="array" ref="AG430">IFERROR((P430-AVERAGEIF($G$2:$G$462,G430,$P$2:$P$462))/_xlfn.STDEV.P(IF($G$2:$G$462=G430,$P$2:$P$462)),0)</f>
        <v/>
      </c>
      <c r="AH430" s="6">
        <f t="array" ref="AH430">IFERROR((R430-AVERAGEIF($G$2:$G$462,G430,$R$2:$R$462))/_xlfn.STDEV.P(IF($G$2:$G$462=G430,$R$2:$R$462)),0)</f>
        <v/>
      </c>
      <c r="AI430" s="6">
        <f>IFERROR((AC430+AD430+AE430+AF430+AG430+AH430)/6,0)</f>
        <v/>
      </c>
    </row>
    <row r="431">
      <c r="A431" s="2">
        <f>IF(BD_Carga!A432&lt;&gt;"",BD_Carga!A432,"")</f>
        <v/>
      </c>
      <c r="B431">
        <f>IF(A431&lt;&gt;"",YEAR(A431),"")</f>
        <v/>
      </c>
      <c r="C431">
        <f>IF(A431&lt;&gt;"",MONTH(A431),"")</f>
        <v/>
      </c>
      <c r="D431">
        <f>IF(A431&lt;&gt;"",_xlfn.ISOWEEKNUM(A431),"")</f>
        <v/>
      </c>
      <c r="E431">
        <f>IF(A431&lt;&gt;"",TEXT(A431,"dddd"),"")</f>
        <v/>
      </c>
      <c r="F431">
        <f>IF(BD_Carga!C432&lt;&gt;"",BD_Carga!C432,"")</f>
        <v/>
      </c>
      <c r="G431">
        <f>IF(BD_Carga!D432&lt;&gt;"",BD_Carga!D432,"")</f>
        <v/>
      </c>
      <c r="H431">
        <f>IF(BD_Carga!Q432&lt;&gt;"",BD_Carga!Q432,"")</f>
        <v/>
      </c>
      <c r="I431">
        <f>IF(BD_Carga!R432&lt;&gt;"",BD_Carga!R432,"")</f>
        <v/>
      </c>
      <c r="J431">
        <f>IF(BD_Carga!S432&lt;&gt;"",BD_Carga!S432,"")</f>
        <v/>
      </c>
      <c r="K431" s="4">
        <f>IF(BD_Carga!E432&lt;&gt;"",BD_Carga!E432,0)</f>
        <v/>
      </c>
      <c r="L431" s="4">
        <f>IF(BD_Carga!F432&lt;&gt;"",BD_Carga!F432,0)</f>
        <v/>
      </c>
      <c r="M431" s="4">
        <f>IF(BD_Carga!G432&lt;&gt;"",BD_Carga!G432,0)</f>
        <v/>
      </c>
      <c r="N431" s="4">
        <f>IF(BD_Carga!H432&lt;&gt;"",BD_Carga!H432,0)</f>
        <v/>
      </c>
      <c r="O431" s="4">
        <f>IF(BD_Carga!I432&lt;&gt;"",BD_Carga!I432,0)</f>
        <v/>
      </c>
      <c r="P431" s="4">
        <f>IF(BD_Carga!J432&lt;&gt;"",BD_Carga!J432,0)</f>
        <v/>
      </c>
      <c r="Q431" s="5">
        <f>IF(BD_Carga!K432&lt;&gt;"",BD_Carga!K432,0)</f>
        <v/>
      </c>
      <c r="R431" s="5">
        <f>IF(BD_Carga!L432&lt;&gt;"",BD_Carga!L432,0)</f>
        <v/>
      </c>
      <c r="S431">
        <f>IF(BD_Carga!N432&lt;&gt;"",BD_Carga!N432,0)</f>
        <v/>
      </c>
      <c r="T431">
        <f>IF(BD_Carga!O432&lt;&gt;"",BD_Carga!O432,0)</f>
        <v/>
      </c>
      <c r="U431">
        <f>IF(BD_Carga!P432&lt;&gt;"",BD_Carga!P432,0)</f>
        <v/>
      </c>
      <c r="V431">
        <f>IF(BD_Carga!U432&lt;&gt;"",BD_Carga!U432,0)</f>
        <v/>
      </c>
      <c r="W431">
        <f>IF(BD_Carga!T432&lt;&gt;"",BD_Carga!T432,0)</f>
        <v/>
      </c>
      <c r="X431">
        <f>IF(BD_Carga!W432&lt;&gt;"",BD_Carga!W432,0)</f>
        <v/>
      </c>
      <c r="Y431">
        <f>IF(BD_Carga!X432&lt;&gt;"",BD_Carga!X432,0)</f>
        <v/>
      </c>
      <c r="Z431">
        <f>IF(BD_Carga!Y432&lt;&gt;"",BD_Carga!Y432,0)</f>
        <v/>
      </c>
      <c r="AA431">
        <f>IF(BD_Carga!Z432&lt;&gt;"",BD_Carga!Z432,0)</f>
        <v/>
      </c>
      <c r="AB431">
        <f>IF(BD_Carga!AA432&lt;&gt;"",BD_Carga!AA432,0)</f>
        <v/>
      </c>
      <c r="AC431" s="6">
        <f t="array" ref="AC431">IFERROR((L431-AVERAGEIF($G$2:$G$462,G431,$L$2:$L$462))/_xlfn.STDEV.P(IF($G$2:$G$462=G431,$L$2:$L$462)),0)</f>
        <v/>
      </c>
      <c r="AD431" s="6">
        <f t="array" ref="AD431">IFERROR((M431-AVERAGEIF($G$2:$G$462,G431,$M$2:$M$462))/_xlfn.STDEV.P(IF($G$2:$G$462=G431,$M$2:$M$462)),0)</f>
        <v/>
      </c>
      <c r="AE431" s="6">
        <f t="array" ref="AE431">IFERROR((N431-AVERAGEIF($G$2:$G$462,G431,$N$2:$N$462))/_xlfn.STDEV.P(IF($G$2:$G$462=G431,$N$2:$N$462)),0)</f>
        <v/>
      </c>
      <c r="AF431" s="6">
        <f t="array" ref="AF431">IFERROR((O431-AVERAGEIF($G$2:$G$462,G431,$O$2:$O$462))/_xlfn.STDEV.P(IF($G$2:$G$462=G431,$O$2:$O$462)),0)</f>
        <v/>
      </c>
      <c r="AG431" s="6">
        <f t="array" ref="AG431">IFERROR((P431-AVERAGEIF($G$2:$G$462,G431,$P$2:$P$462))/_xlfn.STDEV.P(IF($G$2:$G$462=G431,$P$2:$P$462)),0)</f>
        <v/>
      </c>
      <c r="AH431" s="6">
        <f t="array" ref="AH431">IFERROR((R431-AVERAGEIF($G$2:$G$462,G431,$R$2:$R$462))/_xlfn.STDEV.P(IF($G$2:$G$462=G431,$R$2:$R$462)),0)</f>
        <v/>
      </c>
      <c r="AI431" s="6">
        <f>IFERROR((AC431+AD431+AE431+AF431+AG431+AH431)/6,0)</f>
        <v/>
      </c>
    </row>
    <row r="432">
      <c r="A432" s="2">
        <f>IF(BD_Carga!A433&lt;&gt;"",BD_Carga!A433,"")</f>
        <v/>
      </c>
      <c r="B432">
        <f>IF(A432&lt;&gt;"",YEAR(A432),"")</f>
        <v/>
      </c>
      <c r="C432">
        <f>IF(A432&lt;&gt;"",MONTH(A432),"")</f>
        <v/>
      </c>
      <c r="D432">
        <f>IF(A432&lt;&gt;"",_xlfn.ISOWEEKNUM(A432),"")</f>
        <v/>
      </c>
      <c r="E432">
        <f>IF(A432&lt;&gt;"",TEXT(A432,"dddd"),"")</f>
        <v/>
      </c>
      <c r="F432">
        <f>IF(BD_Carga!C433&lt;&gt;"",BD_Carga!C433,"")</f>
        <v/>
      </c>
      <c r="G432">
        <f>IF(BD_Carga!D433&lt;&gt;"",BD_Carga!D433,"")</f>
        <v/>
      </c>
      <c r="H432">
        <f>IF(BD_Carga!Q433&lt;&gt;"",BD_Carga!Q433,"")</f>
        <v/>
      </c>
      <c r="I432">
        <f>IF(BD_Carga!R433&lt;&gt;"",BD_Carga!R433,"")</f>
        <v/>
      </c>
      <c r="J432">
        <f>IF(BD_Carga!S433&lt;&gt;"",BD_Carga!S433,"")</f>
        <v/>
      </c>
      <c r="K432" s="4">
        <f>IF(BD_Carga!E433&lt;&gt;"",BD_Carga!E433,0)</f>
        <v/>
      </c>
      <c r="L432" s="4">
        <f>IF(BD_Carga!F433&lt;&gt;"",BD_Carga!F433,0)</f>
        <v/>
      </c>
      <c r="M432" s="4">
        <f>IF(BD_Carga!G433&lt;&gt;"",BD_Carga!G433,0)</f>
        <v/>
      </c>
      <c r="N432" s="4">
        <f>IF(BD_Carga!H433&lt;&gt;"",BD_Carga!H433,0)</f>
        <v/>
      </c>
      <c r="O432" s="4">
        <f>IF(BD_Carga!I433&lt;&gt;"",BD_Carga!I433,0)</f>
        <v/>
      </c>
      <c r="P432" s="4">
        <f>IF(BD_Carga!J433&lt;&gt;"",BD_Carga!J433,0)</f>
        <v/>
      </c>
      <c r="Q432" s="5">
        <f>IF(BD_Carga!K433&lt;&gt;"",BD_Carga!K433,0)</f>
        <v/>
      </c>
      <c r="R432" s="5">
        <f>IF(BD_Carga!L433&lt;&gt;"",BD_Carga!L433,0)</f>
        <v/>
      </c>
      <c r="S432">
        <f>IF(BD_Carga!N433&lt;&gt;"",BD_Carga!N433,0)</f>
        <v/>
      </c>
      <c r="T432">
        <f>IF(BD_Carga!O433&lt;&gt;"",BD_Carga!O433,0)</f>
        <v/>
      </c>
      <c r="U432">
        <f>IF(BD_Carga!P433&lt;&gt;"",BD_Carga!P433,0)</f>
        <v/>
      </c>
      <c r="V432">
        <f>IF(BD_Carga!U433&lt;&gt;"",BD_Carga!U433,0)</f>
        <v/>
      </c>
      <c r="W432">
        <f>IF(BD_Carga!T433&lt;&gt;"",BD_Carga!T433,0)</f>
        <v/>
      </c>
      <c r="X432">
        <f>IF(BD_Carga!W433&lt;&gt;"",BD_Carga!W433,0)</f>
        <v/>
      </c>
      <c r="Y432">
        <f>IF(BD_Carga!X433&lt;&gt;"",BD_Carga!X433,0)</f>
        <v/>
      </c>
      <c r="Z432">
        <f>IF(BD_Carga!Y433&lt;&gt;"",BD_Carga!Y433,0)</f>
        <v/>
      </c>
      <c r="AA432">
        <f>IF(BD_Carga!Z433&lt;&gt;"",BD_Carga!Z433,0)</f>
        <v/>
      </c>
      <c r="AB432">
        <f>IF(BD_Carga!AA433&lt;&gt;"",BD_Carga!AA433,0)</f>
        <v/>
      </c>
      <c r="AC432" s="6">
        <f t="array" ref="AC432">IFERROR((L432-AVERAGEIF($G$2:$G$462,G432,$L$2:$L$462))/_xlfn.STDEV.P(IF($G$2:$G$462=G432,$L$2:$L$462)),0)</f>
        <v/>
      </c>
      <c r="AD432" s="6">
        <f t="array" ref="AD432">IFERROR((M432-AVERAGEIF($G$2:$G$462,G432,$M$2:$M$462))/_xlfn.STDEV.P(IF($G$2:$G$462=G432,$M$2:$M$462)),0)</f>
        <v/>
      </c>
      <c r="AE432" s="6">
        <f t="array" ref="AE432">IFERROR((N432-AVERAGEIF($G$2:$G$462,G432,$N$2:$N$462))/_xlfn.STDEV.P(IF($G$2:$G$462=G432,$N$2:$N$462)),0)</f>
        <v/>
      </c>
      <c r="AF432" s="6">
        <f t="array" ref="AF432">IFERROR((O432-AVERAGEIF($G$2:$G$462,G432,$O$2:$O$462))/_xlfn.STDEV.P(IF($G$2:$G$462=G432,$O$2:$O$462)),0)</f>
        <v/>
      </c>
      <c r="AG432" s="6">
        <f t="array" ref="AG432">IFERROR((P432-AVERAGEIF($G$2:$G$462,G432,$P$2:$P$462))/_xlfn.STDEV.P(IF($G$2:$G$462=G432,$P$2:$P$462)),0)</f>
        <v/>
      </c>
      <c r="AH432" s="6">
        <f t="array" ref="AH432">IFERROR((R432-AVERAGEIF($G$2:$G$462,G432,$R$2:$R$462))/_xlfn.STDEV.P(IF($G$2:$G$462=G432,$R$2:$R$462)),0)</f>
        <v/>
      </c>
      <c r="AI432" s="6">
        <f>IFERROR((AC432+AD432+AE432+AF432+AG432+AH432)/6,0)</f>
        <v/>
      </c>
    </row>
    <row r="433">
      <c r="A433" s="2">
        <f>IF(BD_Carga!A434&lt;&gt;"",BD_Carga!A434,"")</f>
        <v/>
      </c>
      <c r="B433">
        <f>IF(A433&lt;&gt;"",YEAR(A433),"")</f>
        <v/>
      </c>
      <c r="C433">
        <f>IF(A433&lt;&gt;"",MONTH(A433),"")</f>
        <v/>
      </c>
      <c r="D433">
        <f>IF(A433&lt;&gt;"",_xlfn.ISOWEEKNUM(A433),"")</f>
        <v/>
      </c>
      <c r="E433">
        <f>IF(A433&lt;&gt;"",TEXT(A433,"dddd"),"")</f>
        <v/>
      </c>
      <c r="F433">
        <f>IF(BD_Carga!C434&lt;&gt;"",BD_Carga!C434,"")</f>
        <v/>
      </c>
      <c r="G433">
        <f>IF(BD_Carga!D434&lt;&gt;"",BD_Carga!D434,"")</f>
        <v/>
      </c>
      <c r="H433">
        <f>IF(BD_Carga!Q434&lt;&gt;"",BD_Carga!Q434,"")</f>
        <v/>
      </c>
      <c r="I433">
        <f>IF(BD_Carga!R434&lt;&gt;"",BD_Carga!R434,"")</f>
        <v/>
      </c>
      <c r="J433">
        <f>IF(BD_Carga!S434&lt;&gt;"",BD_Carga!S434,"")</f>
        <v/>
      </c>
      <c r="K433" s="4">
        <f>IF(BD_Carga!E434&lt;&gt;"",BD_Carga!E434,0)</f>
        <v/>
      </c>
      <c r="L433" s="4">
        <f>IF(BD_Carga!F434&lt;&gt;"",BD_Carga!F434,0)</f>
        <v/>
      </c>
      <c r="M433" s="4">
        <f>IF(BD_Carga!G434&lt;&gt;"",BD_Carga!G434,0)</f>
        <v/>
      </c>
      <c r="N433" s="4">
        <f>IF(BD_Carga!H434&lt;&gt;"",BD_Carga!H434,0)</f>
        <v/>
      </c>
      <c r="O433" s="4">
        <f>IF(BD_Carga!I434&lt;&gt;"",BD_Carga!I434,0)</f>
        <v/>
      </c>
      <c r="P433" s="4">
        <f>IF(BD_Carga!J434&lt;&gt;"",BD_Carga!J434,0)</f>
        <v/>
      </c>
      <c r="Q433" s="5">
        <f>IF(BD_Carga!K434&lt;&gt;"",BD_Carga!K434,0)</f>
        <v/>
      </c>
      <c r="R433" s="5">
        <f>IF(BD_Carga!L434&lt;&gt;"",BD_Carga!L434,0)</f>
        <v/>
      </c>
      <c r="S433">
        <f>IF(BD_Carga!N434&lt;&gt;"",BD_Carga!N434,0)</f>
        <v/>
      </c>
      <c r="T433">
        <f>IF(BD_Carga!O434&lt;&gt;"",BD_Carga!O434,0)</f>
        <v/>
      </c>
      <c r="U433">
        <f>IF(BD_Carga!P434&lt;&gt;"",BD_Carga!P434,0)</f>
        <v/>
      </c>
      <c r="V433">
        <f>IF(BD_Carga!U434&lt;&gt;"",BD_Carga!U434,0)</f>
        <v/>
      </c>
      <c r="W433">
        <f>IF(BD_Carga!T434&lt;&gt;"",BD_Carga!T434,0)</f>
        <v/>
      </c>
      <c r="X433">
        <f>IF(BD_Carga!W434&lt;&gt;"",BD_Carga!W434,0)</f>
        <v/>
      </c>
      <c r="Y433">
        <f>IF(BD_Carga!X434&lt;&gt;"",BD_Carga!X434,0)</f>
        <v/>
      </c>
      <c r="Z433">
        <f>IF(BD_Carga!Y434&lt;&gt;"",BD_Carga!Y434,0)</f>
        <v/>
      </c>
      <c r="AA433">
        <f>IF(BD_Carga!Z434&lt;&gt;"",BD_Carga!Z434,0)</f>
        <v/>
      </c>
      <c r="AB433">
        <f>IF(BD_Carga!AA434&lt;&gt;"",BD_Carga!AA434,0)</f>
        <v/>
      </c>
      <c r="AC433" s="6">
        <f t="array" ref="AC433">IFERROR((L433-AVERAGEIF($G$2:$G$462,G433,$L$2:$L$462))/_xlfn.STDEV.P(IF($G$2:$G$462=G433,$L$2:$L$462)),0)</f>
        <v/>
      </c>
      <c r="AD433" s="6">
        <f t="array" ref="AD433">IFERROR((M433-AVERAGEIF($G$2:$G$462,G433,$M$2:$M$462))/_xlfn.STDEV.P(IF($G$2:$G$462=G433,$M$2:$M$462)),0)</f>
        <v/>
      </c>
      <c r="AE433" s="6">
        <f t="array" ref="AE433">IFERROR((N433-AVERAGEIF($G$2:$G$462,G433,$N$2:$N$462))/_xlfn.STDEV.P(IF($G$2:$G$462=G433,$N$2:$N$462)),0)</f>
        <v/>
      </c>
      <c r="AF433" s="6">
        <f t="array" ref="AF433">IFERROR((O433-AVERAGEIF($G$2:$G$462,G433,$O$2:$O$462))/_xlfn.STDEV.P(IF($G$2:$G$462=G433,$O$2:$O$462)),0)</f>
        <v/>
      </c>
      <c r="AG433" s="6">
        <f t="array" ref="AG433">IFERROR((P433-AVERAGEIF($G$2:$G$462,G433,$P$2:$P$462))/_xlfn.STDEV.P(IF($G$2:$G$462=G433,$P$2:$P$462)),0)</f>
        <v/>
      </c>
      <c r="AH433" s="6">
        <f t="array" ref="AH433">IFERROR((R433-AVERAGEIF($G$2:$G$462,G433,$R$2:$R$462))/_xlfn.STDEV.P(IF($G$2:$G$462=G433,$R$2:$R$462)),0)</f>
        <v/>
      </c>
      <c r="AI433" s="6">
        <f>IFERROR((AC433+AD433+AE433+AF433+AG433+AH433)/6,0)</f>
        <v/>
      </c>
    </row>
    <row r="434">
      <c r="A434" s="2">
        <f>IF(BD_Carga!A435&lt;&gt;"",BD_Carga!A435,"")</f>
        <v/>
      </c>
      <c r="B434">
        <f>IF(A434&lt;&gt;"",YEAR(A434),"")</f>
        <v/>
      </c>
      <c r="C434">
        <f>IF(A434&lt;&gt;"",MONTH(A434),"")</f>
        <v/>
      </c>
      <c r="D434">
        <f>IF(A434&lt;&gt;"",_xlfn.ISOWEEKNUM(A434),"")</f>
        <v/>
      </c>
      <c r="E434">
        <f>IF(A434&lt;&gt;"",TEXT(A434,"dddd"),"")</f>
        <v/>
      </c>
      <c r="F434">
        <f>IF(BD_Carga!C435&lt;&gt;"",BD_Carga!C435,"")</f>
        <v/>
      </c>
      <c r="G434">
        <f>IF(BD_Carga!D435&lt;&gt;"",BD_Carga!D435,"")</f>
        <v/>
      </c>
      <c r="H434">
        <f>IF(BD_Carga!Q435&lt;&gt;"",BD_Carga!Q435,"")</f>
        <v/>
      </c>
      <c r="I434">
        <f>IF(BD_Carga!R435&lt;&gt;"",BD_Carga!R435,"")</f>
        <v/>
      </c>
      <c r="J434">
        <f>IF(BD_Carga!S435&lt;&gt;"",BD_Carga!S435,"")</f>
        <v/>
      </c>
      <c r="K434" s="4">
        <f>IF(BD_Carga!E435&lt;&gt;"",BD_Carga!E435,0)</f>
        <v/>
      </c>
      <c r="L434" s="4">
        <f>IF(BD_Carga!F435&lt;&gt;"",BD_Carga!F435,0)</f>
        <v/>
      </c>
      <c r="M434" s="4">
        <f>IF(BD_Carga!G435&lt;&gt;"",BD_Carga!G435,0)</f>
        <v/>
      </c>
      <c r="N434" s="4">
        <f>IF(BD_Carga!H435&lt;&gt;"",BD_Carga!H435,0)</f>
        <v/>
      </c>
      <c r="O434" s="4">
        <f>IF(BD_Carga!I435&lt;&gt;"",BD_Carga!I435,0)</f>
        <v/>
      </c>
      <c r="P434" s="4">
        <f>IF(BD_Carga!J435&lt;&gt;"",BD_Carga!J435,0)</f>
        <v/>
      </c>
      <c r="Q434" s="5">
        <f>IF(BD_Carga!K435&lt;&gt;"",BD_Carga!K435,0)</f>
        <v/>
      </c>
      <c r="R434" s="5">
        <f>IF(BD_Carga!L435&lt;&gt;"",BD_Carga!L435,0)</f>
        <v/>
      </c>
      <c r="S434">
        <f>IF(BD_Carga!N435&lt;&gt;"",BD_Carga!N435,0)</f>
        <v/>
      </c>
      <c r="T434">
        <f>IF(BD_Carga!O435&lt;&gt;"",BD_Carga!O435,0)</f>
        <v/>
      </c>
      <c r="U434">
        <f>IF(BD_Carga!P435&lt;&gt;"",BD_Carga!P435,0)</f>
        <v/>
      </c>
      <c r="V434">
        <f>IF(BD_Carga!U435&lt;&gt;"",BD_Carga!U435,0)</f>
        <v/>
      </c>
      <c r="W434">
        <f>IF(BD_Carga!T435&lt;&gt;"",BD_Carga!T435,0)</f>
        <v/>
      </c>
      <c r="X434">
        <f>IF(BD_Carga!W435&lt;&gt;"",BD_Carga!W435,0)</f>
        <v/>
      </c>
      <c r="Y434">
        <f>IF(BD_Carga!X435&lt;&gt;"",BD_Carga!X435,0)</f>
        <v/>
      </c>
      <c r="Z434">
        <f>IF(BD_Carga!Y435&lt;&gt;"",BD_Carga!Y435,0)</f>
        <v/>
      </c>
      <c r="AA434">
        <f>IF(BD_Carga!Z435&lt;&gt;"",BD_Carga!Z435,0)</f>
        <v/>
      </c>
      <c r="AB434">
        <f>IF(BD_Carga!AA435&lt;&gt;"",BD_Carga!AA435,0)</f>
        <v/>
      </c>
      <c r="AC434" s="6">
        <f t="array" ref="AC434">IFERROR((L434-AVERAGEIF($G$2:$G$462,G434,$L$2:$L$462))/_xlfn.STDEV.P(IF($G$2:$G$462=G434,$L$2:$L$462)),0)</f>
        <v/>
      </c>
      <c r="AD434" s="6">
        <f t="array" ref="AD434">IFERROR((M434-AVERAGEIF($G$2:$G$462,G434,$M$2:$M$462))/_xlfn.STDEV.P(IF($G$2:$G$462=G434,$M$2:$M$462)),0)</f>
        <v/>
      </c>
      <c r="AE434" s="6">
        <f t="array" ref="AE434">IFERROR((N434-AVERAGEIF($G$2:$G$462,G434,$N$2:$N$462))/_xlfn.STDEV.P(IF($G$2:$G$462=G434,$N$2:$N$462)),0)</f>
        <v/>
      </c>
      <c r="AF434" s="6">
        <f t="array" ref="AF434">IFERROR((O434-AVERAGEIF($G$2:$G$462,G434,$O$2:$O$462))/_xlfn.STDEV.P(IF($G$2:$G$462=G434,$O$2:$O$462)),0)</f>
        <v/>
      </c>
      <c r="AG434" s="6">
        <f t="array" ref="AG434">IFERROR((P434-AVERAGEIF($G$2:$G$462,G434,$P$2:$P$462))/_xlfn.STDEV.P(IF($G$2:$G$462=G434,$P$2:$P$462)),0)</f>
        <v/>
      </c>
      <c r="AH434" s="6">
        <f t="array" ref="AH434">IFERROR((R434-AVERAGEIF($G$2:$G$462,G434,$R$2:$R$462))/_xlfn.STDEV.P(IF($G$2:$G$462=G434,$R$2:$R$462)),0)</f>
        <v/>
      </c>
      <c r="AI434" s="6">
        <f>IFERROR((AC434+AD434+AE434+AF434+AG434+AH434)/6,0)</f>
        <v/>
      </c>
    </row>
    <row r="435">
      <c r="A435" s="2">
        <f>IF(BD_Carga!A436&lt;&gt;"",BD_Carga!A436,"")</f>
        <v/>
      </c>
      <c r="B435">
        <f>IF(A435&lt;&gt;"",YEAR(A435),"")</f>
        <v/>
      </c>
      <c r="C435">
        <f>IF(A435&lt;&gt;"",MONTH(A435),"")</f>
        <v/>
      </c>
      <c r="D435">
        <f>IF(A435&lt;&gt;"",_xlfn.ISOWEEKNUM(A435),"")</f>
        <v/>
      </c>
      <c r="E435">
        <f>IF(A435&lt;&gt;"",TEXT(A435,"dddd"),"")</f>
        <v/>
      </c>
      <c r="F435">
        <f>IF(BD_Carga!C436&lt;&gt;"",BD_Carga!C436,"")</f>
        <v/>
      </c>
      <c r="G435">
        <f>IF(BD_Carga!D436&lt;&gt;"",BD_Carga!D436,"")</f>
        <v/>
      </c>
      <c r="H435">
        <f>IF(BD_Carga!Q436&lt;&gt;"",BD_Carga!Q436,"")</f>
        <v/>
      </c>
      <c r="I435">
        <f>IF(BD_Carga!R436&lt;&gt;"",BD_Carga!R436,"")</f>
        <v/>
      </c>
      <c r="J435">
        <f>IF(BD_Carga!S436&lt;&gt;"",BD_Carga!S436,"")</f>
        <v/>
      </c>
      <c r="K435" s="4">
        <f>IF(BD_Carga!E436&lt;&gt;"",BD_Carga!E436,0)</f>
        <v/>
      </c>
      <c r="L435" s="4">
        <f>IF(BD_Carga!F436&lt;&gt;"",BD_Carga!F436,0)</f>
        <v/>
      </c>
      <c r="M435" s="4">
        <f>IF(BD_Carga!G436&lt;&gt;"",BD_Carga!G436,0)</f>
        <v/>
      </c>
      <c r="N435" s="4">
        <f>IF(BD_Carga!H436&lt;&gt;"",BD_Carga!H436,0)</f>
        <v/>
      </c>
      <c r="O435" s="4">
        <f>IF(BD_Carga!I436&lt;&gt;"",BD_Carga!I436,0)</f>
        <v/>
      </c>
      <c r="P435" s="4">
        <f>IF(BD_Carga!J436&lt;&gt;"",BD_Carga!J436,0)</f>
        <v/>
      </c>
      <c r="Q435" s="5">
        <f>IF(BD_Carga!K436&lt;&gt;"",BD_Carga!K436,0)</f>
        <v/>
      </c>
      <c r="R435" s="5">
        <f>IF(BD_Carga!L436&lt;&gt;"",BD_Carga!L436,0)</f>
        <v/>
      </c>
      <c r="S435">
        <f>IF(BD_Carga!N436&lt;&gt;"",BD_Carga!N436,0)</f>
        <v/>
      </c>
      <c r="T435">
        <f>IF(BD_Carga!O436&lt;&gt;"",BD_Carga!O436,0)</f>
        <v/>
      </c>
      <c r="U435">
        <f>IF(BD_Carga!P436&lt;&gt;"",BD_Carga!P436,0)</f>
        <v/>
      </c>
      <c r="V435">
        <f>IF(BD_Carga!U436&lt;&gt;"",BD_Carga!U436,0)</f>
        <v/>
      </c>
      <c r="W435">
        <f>IF(BD_Carga!T436&lt;&gt;"",BD_Carga!T436,0)</f>
        <v/>
      </c>
      <c r="X435">
        <f>IF(BD_Carga!W436&lt;&gt;"",BD_Carga!W436,0)</f>
        <v/>
      </c>
      <c r="Y435">
        <f>IF(BD_Carga!X436&lt;&gt;"",BD_Carga!X436,0)</f>
        <v/>
      </c>
      <c r="Z435">
        <f>IF(BD_Carga!Y436&lt;&gt;"",BD_Carga!Y436,0)</f>
        <v/>
      </c>
      <c r="AA435">
        <f>IF(BD_Carga!Z436&lt;&gt;"",BD_Carga!Z436,0)</f>
        <v/>
      </c>
      <c r="AB435">
        <f>IF(BD_Carga!AA436&lt;&gt;"",BD_Carga!AA436,0)</f>
        <v/>
      </c>
      <c r="AC435" s="6">
        <f t="array" ref="AC435">IFERROR((L435-AVERAGEIF($G$2:$G$462,G435,$L$2:$L$462))/_xlfn.STDEV.P(IF($G$2:$G$462=G435,$L$2:$L$462)),0)</f>
        <v/>
      </c>
      <c r="AD435" s="6">
        <f t="array" ref="AD435">IFERROR((M435-AVERAGEIF($G$2:$G$462,G435,$M$2:$M$462))/_xlfn.STDEV.P(IF($G$2:$G$462=G435,$M$2:$M$462)),0)</f>
        <v/>
      </c>
      <c r="AE435" s="6">
        <f t="array" ref="AE435">IFERROR((N435-AVERAGEIF($G$2:$G$462,G435,$N$2:$N$462))/_xlfn.STDEV.P(IF($G$2:$G$462=G435,$N$2:$N$462)),0)</f>
        <v/>
      </c>
      <c r="AF435" s="6">
        <f t="array" ref="AF435">IFERROR((O435-AVERAGEIF($G$2:$G$462,G435,$O$2:$O$462))/_xlfn.STDEV.P(IF($G$2:$G$462=G435,$O$2:$O$462)),0)</f>
        <v/>
      </c>
      <c r="AG435" s="6">
        <f t="array" ref="AG435">IFERROR((P435-AVERAGEIF($G$2:$G$462,G435,$P$2:$P$462))/_xlfn.STDEV.P(IF($G$2:$G$462=G435,$P$2:$P$462)),0)</f>
        <v/>
      </c>
      <c r="AH435" s="6">
        <f t="array" ref="AH435">IFERROR((R435-AVERAGEIF($G$2:$G$462,G435,$R$2:$R$462))/_xlfn.STDEV.P(IF($G$2:$G$462=G435,$R$2:$R$462)),0)</f>
        <v/>
      </c>
      <c r="AI435" s="6">
        <f>IFERROR((AC435+AD435+AE435+AF435+AG435+AH435)/6,0)</f>
        <v/>
      </c>
    </row>
    <row r="436">
      <c r="A436" s="2">
        <f>IF(BD_Carga!A437&lt;&gt;"",BD_Carga!A437,"")</f>
        <v/>
      </c>
      <c r="B436">
        <f>IF(A436&lt;&gt;"",YEAR(A436),"")</f>
        <v/>
      </c>
      <c r="C436">
        <f>IF(A436&lt;&gt;"",MONTH(A436),"")</f>
        <v/>
      </c>
      <c r="D436">
        <f>IF(A436&lt;&gt;"",_xlfn.ISOWEEKNUM(A436),"")</f>
        <v/>
      </c>
      <c r="E436">
        <f>IF(A436&lt;&gt;"",TEXT(A436,"dddd"),"")</f>
        <v/>
      </c>
      <c r="F436">
        <f>IF(BD_Carga!C437&lt;&gt;"",BD_Carga!C437,"")</f>
        <v/>
      </c>
      <c r="G436">
        <f>IF(BD_Carga!D437&lt;&gt;"",BD_Carga!D437,"")</f>
        <v/>
      </c>
      <c r="H436">
        <f>IF(BD_Carga!Q437&lt;&gt;"",BD_Carga!Q437,"")</f>
        <v/>
      </c>
      <c r="I436">
        <f>IF(BD_Carga!R437&lt;&gt;"",BD_Carga!R437,"")</f>
        <v/>
      </c>
      <c r="J436">
        <f>IF(BD_Carga!S437&lt;&gt;"",BD_Carga!S437,"")</f>
        <v/>
      </c>
      <c r="K436" s="4">
        <f>IF(BD_Carga!E437&lt;&gt;"",BD_Carga!E437,0)</f>
        <v/>
      </c>
      <c r="L436" s="4">
        <f>IF(BD_Carga!F437&lt;&gt;"",BD_Carga!F437,0)</f>
        <v/>
      </c>
      <c r="M436" s="4">
        <f>IF(BD_Carga!G437&lt;&gt;"",BD_Carga!G437,0)</f>
        <v/>
      </c>
      <c r="N436" s="4">
        <f>IF(BD_Carga!H437&lt;&gt;"",BD_Carga!H437,0)</f>
        <v/>
      </c>
      <c r="O436" s="4">
        <f>IF(BD_Carga!I437&lt;&gt;"",BD_Carga!I437,0)</f>
        <v/>
      </c>
      <c r="P436" s="4">
        <f>IF(BD_Carga!J437&lt;&gt;"",BD_Carga!J437,0)</f>
        <v/>
      </c>
      <c r="Q436" s="5">
        <f>IF(BD_Carga!K437&lt;&gt;"",BD_Carga!K437,0)</f>
        <v/>
      </c>
      <c r="R436" s="5">
        <f>IF(BD_Carga!L437&lt;&gt;"",BD_Carga!L437,0)</f>
        <v/>
      </c>
      <c r="S436">
        <f>IF(BD_Carga!N437&lt;&gt;"",BD_Carga!N437,0)</f>
        <v/>
      </c>
      <c r="T436">
        <f>IF(BD_Carga!O437&lt;&gt;"",BD_Carga!O437,0)</f>
        <v/>
      </c>
      <c r="U436">
        <f>IF(BD_Carga!P437&lt;&gt;"",BD_Carga!P437,0)</f>
        <v/>
      </c>
      <c r="V436">
        <f>IF(BD_Carga!U437&lt;&gt;"",BD_Carga!U437,0)</f>
        <v/>
      </c>
      <c r="W436">
        <f>IF(BD_Carga!T437&lt;&gt;"",BD_Carga!T437,0)</f>
        <v/>
      </c>
      <c r="X436">
        <f>IF(BD_Carga!W437&lt;&gt;"",BD_Carga!W437,0)</f>
        <v/>
      </c>
      <c r="Y436">
        <f>IF(BD_Carga!X437&lt;&gt;"",BD_Carga!X437,0)</f>
        <v/>
      </c>
      <c r="Z436">
        <f>IF(BD_Carga!Y437&lt;&gt;"",BD_Carga!Y437,0)</f>
        <v/>
      </c>
      <c r="AA436">
        <f>IF(BD_Carga!Z437&lt;&gt;"",BD_Carga!Z437,0)</f>
        <v/>
      </c>
      <c r="AB436">
        <f>IF(BD_Carga!AA437&lt;&gt;"",BD_Carga!AA437,0)</f>
        <v/>
      </c>
      <c r="AC436" s="6">
        <f t="array" ref="AC436">IFERROR((L436-AVERAGEIF($G$2:$G$462,G436,$L$2:$L$462))/_xlfn.STDEV.P(IF($G$2:$G$462=G436,$L$2:$L$462)),0)</f>
        <v/>
      </c>
      <c r="AD436" s="6">
        <f t="array" ref="AD436">IFERROR((M436-AVERAGEIF($G$2:$G$462,G436,$M$2:$M$462))/_xlfn.STDEV.P(IF($G$2:$G$462=G436,$M$2:$M$462)),0)</f>
        <v/>
      </c>
      <c r="AE436" s="6">
        <f t="array" ref="AE436">IFERROR((N436-AVERAGEIF($G$2:$G$462,G436,$N$2:$N$462))/_xlfn.STDEV.P(IF($G$2:$G$462=G436,$N$2:$N$462)),0)</f>
        <v/>
      </c>
      <c r="AF436" s="6">
        <f t="array" ref="AF436">IFERROR((O436-AVERAGEIF($G$2:$G$462,G436,$O$2:$O$462))/_xlfn.STDEV.P(IF($G$2:$G$462=G436,$O$2:$O$462)),0)</f>
        <v/>
      </c>
      <c r="AG436" s="6">
        <f t="array" ref="AG436">IFERROR((P436-AVERAGEIF($G$2:$G$462,G436,$P$2:$P$462))/_xlfn.STDEV.P(IF($G$2:$G$462=G436,$P$2:$P$462)),0)</f>
        <v/>
      </c>
      <c r="AH436" s="6">
        <f t="array" ref="AH436">IFERROR((R436-AVERAGEIF($G$2:$G$462,G436,$R$2:$R$462))/_xlfn.STDEV.P(IF($G$2:$G$462=G436,$R$2:$R$462)),0)</f>
        <v/>
      </c>
      <c r="AI436" s="6">
        <f>IFERROR((AC436+AD436+AE436+AF436+AG436+AH436)/6,0)</f>
        <v/>
      </c>
    </row>
    <row r="437">
      <c r="A437" s="2">
        <f>IF(BD_Carga!A438&lt;&gt;"",BD_Carga!A438,"")</f>
        <v/>
      </c>
      <c r="B437">
        <f>IF(A437&lt;&gt;"",YEAR(A437),"")</f>
        <v/>
      </c>
      <c r="C437">
        <f>IF(A437&lt;&gt;"",MONTH(A437),"")</f>
        <v/>
      </c>
      <c r="D437">
        <f>IF(A437&lt;&gt;"",_xlfn.ISOWEEKNUM(A437),"")</f>
        <v/>
      </c>
      <c r="E437">
        <f>IF(A437&lt;&gt;"",TEXT(A437,"dddd"),"")</f>
        <v/>
      </c>
      <c r="F437">
        <f>IF(BD_Carga!C438&lt;&gt;"",BD_Carga!C438,"")</f>
        <v/>
      </c>
      <c r="G437">
        <f>IF(BD_Carga!D438&lt;&gt;"",BD_Carga!D438,"")</f>
        <v/>
      </c>
      <c r="H437">
        <f>IF(BD_Carga!Q438&lt;&gt;"",BD_Carga!Q438,"")</f>
        <v/>
      </c>
      <c r="I437">
        <f>IF(BD_Carga!R438&lt;&gt;"",BD_Carga!R438,"")</f>
        <v/>
      </c>
      <c r="J437">
        <f>IF(BD_Carga!S438&lt;&gt;"",BD_Carga!S438,"")</f>
        <v/>
      </c>
      <c r="K437" s="4">
        <f>IF(BD_Carga!E438&lt;&gt;"",BD_Carga!E438,0)</f>
        <v/>
      </c>
      <c r="L437" s="4">
        <f>IF(BD_Carga!F438&lt;&gt;"",BD_Carga!F438,0)</f>
        <v/>
      </c>
      <c r="M437" s="4">
        <f>IF(BD_Carga!G438&lt;&gt;"",BD_Carga!G438,0)</f>
        <v/>
      </c>
      <c r="N437" s="4">
        <f>IF(BD_Carga!H438&lt;&gt;"",BD_Carga!H438,0)</f>
        <v/>
      </c>
      <c r="O437" s="4">
        <f>IF(BD_Carga!I438&lt;&gt;"",BD_Carga!I438,0)</f>
        <v/>
      </c>
      <c r="P437" s="4">
        <f>IF(BD_Carga!J438&lt;&gt;"",BD_Carga!J438,0)</f>
        <v/>
      </c>
      <c r="Q437" s="5">
        <f>IF(BD_Carga!K438&lt;&gt;"",BD_Carga!K438,0)</f>
        <v/>
      </c>
      <c r="R437" s="5">
        <f>IF(BD_Carga!L438&lt;&gt;"",BD_Carga!L438,0)</f>
        <v/>
      </c>
      <c r="S437">
        <f>IF(BD_Carga!N438&lt;&gt;"",BD_Carga!N438,0)</f>
        <v/>
      </c>
      <c r="T437">
        <f>IF(BD_Carga!O438&lt;&gt;"",BD_Carga!O438,0)</f>
        <v/>
      </c>
      <c r="U437">
        <f>IF(BD_Carga!P438&lt;&gt;"",BD_Carga!P438,0)</f>
        <v/>
      </c>
      <c r="V437">
        <f>IF(BD_Carga!U438&lt;&gt;"",BD_Carga!U438,0)</f>
        <v/>
      </c>
      <c r="W437">
        <f>IF(BD_Carga!T438&lt;&gt;"",BD_Carga!T438,0)</f>
        <v/>
      </c>
      <c r="X437">
        <f>IF(BD_Carga!W438&lt;&gt;"",BD_Carga!W438,0)</f>
        <v/>
      </c>
      <c r="Y437">
        <f>IF(BD_Carga!X438&lt;&gt;"",BD_Carga!X438,0)</f>
        <v/>
      </c>
      <c r="Z437">
        <f>IF(BD_Carga!Y438&lt;&gt;"",BD_Carga!Y438,0)</f>
        <v/>
      </c>
      <c r="AA437">
        <f>IF(BD_Carga!Z438&lt;&gt;"",BD_Carga!Z438,0)</f>
        <v/>
      </c>
      <c r="AB437">
        <f>IF(BD_Carga!AA438&lt;&gt;"",BD_Carga!AA438,0)</f>
        <v/>
      </c>
      <c r="AC437" s="6">
        <f t="array" ref="AC437">IFERROR((L437-AVERAGEIF($G$2:$G$462,G437,$L$2:$L$462))/_xlfn.STDEV.P(IF($G$2:$G$462=G437,$L$2:$L$462)),0)</f>
        <v/>
      </c>
      <c r="AD437" s="6">
        <f t="array" ref="AD437">IFERROR((M437-AVERAGEIF($G$2:$G$462,G437,$M$2:$M$462))/_xlfn.STDEV.P(IF($G$2:$G$462=G437,$M$2:$M$462)),0)</f>
        <v/>
      </c>
      <c r="AE437" s="6">
        <f t="array" ref="AE437">IFERROR((N437-AVERAGEIF($G$2:$G$462,G437,$N$2:$N$462))/_xlfn.STDEV.P(IF($G$2:$G$462=G437,$N$2:$N$462)),0)</f>
        <v/>
      </c>
      <c r="AF437" s="6">
        <f t="array" ref="AF437">IFERROR((O437-AVERAGEIF($G$2:$G$462,G437,$O$2:$O$462))/_xlfn.STDEV.P(IF($G$2:$G$462=G437,$O$2:$O$462)),0)</f>
        <v/>
      </c>
      <c r="AG437" s="6">
        <f t="array" ref="AG437">IFERROR((P437-AVERAGEIF($G$2:$G$462,G437,$P$2:$P$462))/_xlfn.STDEV.P(IF($G$2:$G$462=G437,$P$2:$P$462)),0)</f>
        <v/>
      </c>
      <c r="AH437" s="6">
        <f t="array" ref="AH437">IFERROR((R437-AVERAGEIF($G$2:$G$462,G437,$R$2:$R$462))/_xlfn.STDEV.P(IF($G$2:$G$462=G437,$R$2:$R$462)),0)</f>
        <v/>
      </c>
      <c r="AI437" s="6">
        <f>IFERROR((AC437+AD437+AE437+AF437+AG437+AH437)/6,0)</f>
        <v/>
      </c>
    </row>
    <row r="438">
      <c r="A438" s="2">
        <f>IF(BD_Carga!A439&lt;&gt;"",BD_Carga!A439,"")</f>
        <v/>
      </c>
      <c r="B438">
        <f>IF(A438&lt;&gt;"",YEAR(A438),"")</f>
        <v/>
      </c>
      <c r="C438">
        <f>IF(A438&lt;&gt;"",MONTH(A438),"")</f>
        <v/>
      </c>
      <c r="D438">
        <f>IF(A438&lt;&gt;"",_xlfn.ISOWEEKNUM(A438),"")</f>
        <v/>
      </c>
      <c r="E438">
        <f>IF(A438&lt;&gt;"",TEXT(A438,"dddd"),"")</f>
        <v/>
      </c>
      <c r="F438">
        <f>IF(BD_Carga!C439&lt;&gt;"",BD_Carga!C439,"")</f>
        <v/>
      </c>
      <c r="G438">
        <f>IF(BD_Carga!D439&lt;&gt;"",BD_Carga!D439,"")</f>
        <v/>
      </c>
      <c r="H438">
        <f>IF(BD_Carga!Q439&lt;&gt;"",BD_Carga!Q439,"")</f>
        <v/>
      </c>
      <c r="I438">
        <f>IF(BD_Carga!R439&lt;&gt;"",BD_Carga!R439,"")</f>
        <v/>
      </c>
      <c r="J438">
        <f>IF(BD_Carga!S439&lt;&gt;"",BD_Carga!S439,"")</f>
        <v/>
      </c>
      <c r="K438" s="4">
        <f>IF(BD_Carga!E439&lt;&gt;"",BD_Carga!E439,0)</f>
        <v/>
      </c>
      <c r="L438" s="4">
        <f>IF(BD_Carga!F439&lt;&gt;"",BD_Carga!F439,0)</f>
        <v/>
      </c>
      <c r="M438" s="4">
        <f>IF(BD_Carga!G439&lt;&gt;"",BD_Carga!G439,0)</f>
        <v/>
      </c>
      <c r="N438" s="4">
        <f>IF(BD_Carga!H439&lt;&gt;"",BD_Carga!H439,0)</f>
        <v/>
      </c>
      <c r="O438" s="4">
        <f>IF(BD_Carga!I439&lt;&gt;"",BD_Carga!I439,0)</f>
        <v/>
      </c>
      <c r="P438" s="4">
        <f>IF(BD_Carga!J439&lt;&gt;"",BD_Carga!J439,0)</f>
        <v/>
      </c>
      <c r="Q438" s="5">
        <f>IF(BD_Carga!K439&lt;&gt;"",BD_Carga!K439,0)</f>
        <v/>
      </c>
      <c r="R438" s="5">
        <f>IF(BD_Carga!L439&lt;&gt;"",BD_Carga!L439,0)</f>
        <v/>
      </c>
      <c r="S438">
        <f>IF(BD_Carga!N439&lt;&gt;"",BD_Carga!N439,0)</f>
        <v/>
      </c>
      <c r="T438">
        <f>IF(BD_Carga!O439&lt;&gt;"",BD_Carga!O439,0)</f>
        <v/>
      </c>
      <c r="U438">
        <f>IF(BD_Carga!P439&lt;&gt;"",BD_Carga!P439,0)</f>
        <v/>
      </c>
      <c r="V438">
        <f>IF(BD_Carga!U439&lt;&gt;"",BD_Carga!U439,0)</f>
        <v/>
      </c>
      <c r="W438">
        <f>IF(BD_Carga!T439&lt;&gt;"",BD_Carga!T439,0)</f>
        <v/>
      </c>
      <c r="X438">
        <f>IF(BD_Carga!W439&lt;&gt;"",BD_Carga!W439,0)</f>
        <v/>
      </c>
      <c r="Y438">
        <f>IF(BD_Carga!X439&lt;&gt;"",BD_Carga!X439,0)</f>
        <v/>
      </c>
      <c r="Z438">
        <f>IF(BD_Carga!Y439&lt;&gt;"",BD_Carga!Y439,0)</f>
        <v/>
      </c>
      <c r="AA438">
        <f>IF(BD_Carga!Z439&lt;&gt;"",BD_Carga!Z439,0)</f>
        <v/>
      </c>
      <c r="AB438">
        <f>IF(BD_Carga!AA439&lt;&gt;"",BD_Carga!AA439,0)</f>
        <v/>
      </c>
      <c r="AC438" s="6">
        <f t="array" ref="AC438">IFERROR((L438-AVERAGEIF($G$2:$G$462,G438,$L$2:$L$462))/_xlfn.STDEV.P(IF($G$2:$G$462=G438,$L$2:$L$462)),0)</f>
        <v/>
      </c>
      <c r="AD438" s="6">
        <f t="array" ref="AD438">IFERROR((M438-AVERAGEIF($G$2:$G$462,G438,$M$2:$M$462))/_xlfn.STDEV.P(IF($G$2:$G$462=G438,$M$2:$M$462)),0)</f>
        <v/>
      </c>
      <c r="AE438" s="6">
        <f t="array" ref="AE438">IFERROR((N438-AVERAGEIF($G$2:$G$462,G438,$N$2:$N$462))/_xlfn.STDEV.P(IF($G$2:$G$462=G438,$N$2:$N$462)),0)</f>
        <v/>
      </c>
      <c r="AF438" s="6">
        <f t="array" ref="AF438">IFERROR((O438-AVERAGEIF($G$2:$G$462,G438,$O$2:$O$462))/_xlfn.STDEV.P(IF($G$2:$G$462=G438,$O$2:$O$462)),0)</f>
        <v/>
      </c>
      <c r="AG438" s="6">
        <f t="array" ref="AG438">IFERROR((P438-AVERAGEIF($G$2:$G$462,G438,$P$2:$P$462))/_xlfn.STDEV.P(IF($G$2:$G$462=G438,$P$2:$P$462)),0)</f>
        <v/>
      </c>
      <c r="AH438" s="6">
        <f t="array" ref="AH438">IFERROR((R438-AVERAGEIF($G$2:$G$462,G438,$R$2:$R$462))/_xlfn.STDEV.P(IF($G$2:$G$462=G438,$R$2:$R$462)),0)</f>
        <v/>
      </c>
      <c r="AI438" s="6">
        <f>IFERROR((AC438+AD438+AE438+AF438+AG438+AH438)/6,0)</f>
        <v/>
      </c>
    </row>
    <row r="439">
      <c r="A439" s="2">
        <f>IF(BD_Carga!A440&lt;&gt;"",BD_Carga!A440,"")</f>
        <v/>
      </c>
      <c r="B439">
        <f>IF(A439&lt;&gt;"",YEAR(A439),"")</f>
        <v/>
      </c>
      <c r="C439">
        <f>IF(A439&lt;&gt;"",MONTH(A439),"")</f>
        <v/>
      </c>
      <c r="D439">
        <f>IF(A439&lt;&gt;"",_xlfn.ISOWEEKNUM(A439),"")</f>
        <v/>
      </c>
      <c r="E439">
        <f>IF(A439&lt;&gt;"",TEXT(A439,"dddd"),"")</f>
        <v/>
      </c>
      <c r="F439">
        <f>IF(BD_Carga!C440&lt;&gt;"",BD_Carga!C440,"")</f>
        <v/>
      </c>
      <c r="G439">
        <f>IF(BD_Carga!D440&lt;&gt;"",BD_Carga!D440,"")</f>
        <v/>
      </c>
      <c r="H439">
        <f>IF(BD_Carga!Q440&lt;&gt;"",BD_Carga!Q440,"")</f>
        <v/>
      </c>
      <c r="I439">
        <f>IF(BD_Carga!R440&lt;&gt;"",BD_Carga!R440,"")</f>
        <v/>
      </c>
      <c r="J439">
        <f>IF(BD_Carga!S440&lt;&gt;"",BD_Carga!S440,"")</f>
        <v/>
      </c>
      <c r="K439" s="4">
        <f>IF(BD_Carga!E440&lt;&gt;"",BD_Carga!E440,0)</f>
        <v/>
      </c>
      <c r="L439" s="4">
        <f>IF(BD_Carga!F440&lt;&gt;"",BD_Carga!F440,0)</f>
        <v/>
      </c>
      <c r="M439" s="4">
        <f>IF(BD_Carga!G440&lt;&gt;"",BD_Carga!G440,0)</f>
        <v/>
      </c>
      <c r="N439" s="4">
        <f>IF(BD_Carga!H440&lt;&gt;"",BD_Carga!H440,0)</f>
        <v/>
      </c>
      <c r="O439" s="4">
        <f>IF(BD_Carga!I440&lt;&gt;"",BD_Carga!I440,0)</f>
        <v/>
      </c>
      <c r="P439" s="4">
        <f>IF(BD_Carga!J440&lt;&gt;"",BD_Carga!J440,0)</f>
        <v/>
      </c>
      <c r="Q439" s="5">
        <f>IF(BD_Carga!K440&lt;&gt;"",BD_Carga!K440,0)</f>
        <v/>
      </c>
      <c r="R439" s="5">
        <f>IF(BD_Carga!L440&lt;&gt;"",BD_Carga!L440,0)</f>
        <v/>
      </c>
      <c r="S439">
        <f>IF(BD_Carga!N440&lt;&gt;"",BD_Carga!N440,0)</f>
        <v/>
      </c>
      <c r="T439">
        <f>IF(BD_Carga!O440&lt;&gt;"",BD_Carga!O440,0)</f>
        <v/>
      </c>
      <c r="U439">
        <f>IF(BD_Carga!P440&lt;&gt;"",BD_Carga!P440,0)</f>
        <v/>
      </c>
      <c r="V439">
        <f>IF(BD_Carga!U440&lt;&gt;"",BD_Carga!U440,0)</f>
        <v/>
      </c>
      <c r="W439">
        <f>IF(BD_Carga!T440&lt;&gt;"",BD_Carga!T440,0)</f>
        <v/>
      </c>
      <c r="X439">
        <f>IF(BD_Carga!W440&lt;&gt;"",BD_Carga!W440,0)</f>
        <v/>
      </c>
      <c r="Y439">
        <f>IF(BD_Carga!X440&lt;&gt;"",BD_Carga!X440,0)</f>
        <v/>
      </c>
      <c r="Z439">
        <f>IF(BD_Carga!Y440&lt;&gt;"",BD_Carga!Y440,0)</f>
        <v/>
      </c>
      <c r="AA439">
        <f>IF(BD_Carga!Z440&lt;&gt;"",BD_Carga!Z440,0)</f>
        <v/>
      </c>
      <c r="AB439">
        <f>IF(BD_Carga!AA440&lt;&gt;"",BD_Carga!AA440,0)</f>
        <v/>
      </c>
      <c r="AC439" s="6">
        <f t="array" ref="AC439">IFERROR((L439-AVERAGEIF($G$2:$G$462,G439,$L$2:$L$462))/_xlfn.STDEV.P(IF($G$2:$G$462=G439,$L$2:$L$462)),0)</f>
        <v/>
      </c>
      <c r="AD439" s="6">
        <f t="array" ref="AD439">IFERROR((M439-AVERAGEIF($G$2:$G$462,G439,$M$2:$M$462))/_xlfn.STDEV.P(IF($G$2:$G$462=G439,$M$2:$M$462)),0)</f>
        <v/>
      </c>
      <c r="AE439" s="6">
        <f t="array" ref="AE439">IFERROR((N439-AVERAGEIF($G$2:$G$462,G439,$N$2:$N$462))/_xlfn.STDEV.P(IF($G$2:$G$462=G439,$N$2:$N$462)),0)</f>
        <v/>
      </c>
      <c r="AF439" s="6">
        <f t="array" ref="AF439">IFERROR((O439-AVERAGEIF($G$2:$G$462,G439,$O$2:$O$462))/_xlfn.STDEV.P(IF($G$2:$G$462=G439,$O$2:$O$462)),0)</f>
        <v/>
      </c>
      <c r="AG439" s="6">
        <f t="array" ref="AG439">IFERROR((P439-AVERAGEIF($G$2:$G$462,G439,$P$2:$P$462))/_xlfn.STDEV.P(IF($G$2:$G$462=G439,$P$2:$P$462)),0)</f>
        <v/>
      </c>
      <c r="AH439" s="6">
        <f t="array" ref="AH439">IFERROR((R439-AVERAGEIF($G$2:$G$462,G439,$R$2:$R$462))/_xlfn.STDEV.P(IF($G$2:$G$462=G439,$R$2:$R$462)),0)</f>
        <v/>
      </c>
      <c r="AI439" s="6">
        <f>IFERROR((AC439+AD439+AE439+AF439+AG439+AH439)/6,0)</f>
        <v/>
      </c>
    </row>
    <row r="440">
      <c r="A440" s="2">
        <f>IF(BD_Carga!A441&lt;&gt;"",BD_Carga!A441,"")</f>
        <v/>
      </c>
      <c r="B440">
        <f>IF(A440&lt;&gt;"",YEAR(A440),"")</f>
        <v/>
      </c>
      <c r="C440">
        <f>IF(A440&lt;&gt;"",MONTH(A440),"")</f>
        <v/>
      </c>
      <c r="D440">
        <f>IF(A440&lt;&gt;"",_xlfn.ISOWEEKNUM(A440),"")</f>
        <v/>
      </c>
      <c r="E440">
        <f>IF(A440&lt;&gt;"",TEXT(A440,"dddd"),"")</f>
        <v/>
      </c>
      <c r="F440">
        <f>IF(BD_Carga!C441&lt;&gt;"",BD_Carga!C441,"")</f>
        <v/>
      </c>
      <c r="G440">
        <f>IF(BD_Carga!D441&lt;&gt;"",BD_Carga!D441,"")</f>
        <v/>
      </c>
      <c r="H440">
        <f>IF(BD_Carga!Q441&lt;&gt;"",BD_Carga!Q441,"")</f>
        <v/>
      </c>
      <c r="I440">
        <f>IF(BD_Carga!R441&lt;&gt;"",BD_Carga!R441,"")</f>
        <v/>
      </c>
      <c r="J440">
        <f>IF(BD_Carga!S441&lt;&gt;"",BD_Carga!S441,"")</f>
        <v/>
      </c>
      <c r="K440" s="4">
        <f>IF(BD_Carga!E441&lt;&gt;"",BD_Carga!E441,0)</f>
        <v/>
      </c>
      <c r="L440" s="4">
        <f>IF(BD_Carga!F441&lt;&gt;"",BD_Carga!F441,0)</f>
        <v/>
      </c>
      <c r="M440" s="4">
        <f>IF(BD_Carga!G441&lt;&gt;"",BD_Carga!G441,0)</f>
        <v/>
      </c>
      <c r="N440" s="4">
        <f>IF(BD_Carga!H441&lt;&gt;"",BD_Carga!H441,0)</f>
        <v/>
      </c>
      <c r="O440" s="4">
        <f>IF(BD_Carga!I441&lt;&gt;"",BD_Carga!I441,0)</f>
        <v/>
      </c>
      <c r="P440" s="4">
        <f>IF(BD_Carga!J441&lt;&gt;"",BD_Carga!J441,0)</f>
        <v/>
      </c>
      <c r="Q440" s="5">
        <f>IF(BD_Carga!K441&lt;&gt;"",BD_Carga!K441,0)</f>
        <v/>
      </c>
      <c r="R440" s="5">
        <f>IF(BD_Carga!L441&lt;&gt;"",BD_Carga!L441,0)</f>
        <v/>
      </c>
      <c r="S440">
        <f>IF(BD_Carga!N441&lt;&gt;"",BD_Carga!N441,0)</f>
        <v/>
      </c>
      <c r="T440">
        <f>IF(BD_Carga!O441&lt;&gt;"",BD_Carga!O441,0)</f>
        <v/>
      </c>
      <c r="U440">
        <f>IF(BD_Carga!P441&lt;&gt;"",BD_Carga!P441,0)</f>
        <v/>
      </c>
      <c r="V440">
        <f>IF(BD_Carga!U441&lt;&gt;"",BD_Carga!U441,0)</f>
        <v/>
      </c>
      <c r="W440">
        <f>IF(BD_Carga!T441&lt;&gt;"",BD_Carga!T441,0)</f>
        <v/>
      </c>
      <c r="X440">
        <f>IF(BD_Carga!W441&lt;&gt;"",BD_Carga!W441,0)</f>
        <v/>
      </c>
      <c r="Y440">
        <f>IF(BD_Carga!X441&lt;&gt;"",BD_Carga!X441,0)</f>
        <v/>
      </c>
      <c r="Z440">
        <f>IF(BD_Carga!Y441&lt;&gt;"",BD_Carga!Y441,0)</f>
        <v/>
      </c>
      <c r="AA440">
        <f>IF(BD_Carga!Z441&lt;&gt;"",BD_Carga!Z441,0)</f>
        <v/>
      </c>
      <c r="AB440">
        <f>IF(BD_Carga!AA441&lt;&gt;"",BD_Carga!AA441,0)</f>
        <v/>
      </c>
      <c r="AC440" s="6">
        <f t="array" ref="AC440">IFERROR((L440-AVERAGEIF($G$2:$G$462,G440,$L$2:$L$462))/_xlfn.STDEV.P(IF($G$2:$G$462=G440,$L$2:$L$462)),0)</f>
        <v/>
      </c>
      <c r="AD440" s="6">
        <f t="array" ref="AD440">IFERROR((M440-AVERAGEIF($G$2:$G$462,G440,$M$2:$M$462))/_xlfn.STDEV.P(IF($G$2:$G$462=G440,$M$2:$M$462)),0)</f>
        <v/>
      </c>
      <c r="AE440" s="6">
        <f t="array" ref="AE440">IFERROR((N440-AVERAGEIF($G$2:$G$462,G440,$N$2:$N$462))/_xlfn.STDEV.P(IF($G$2:$G$462=G440,$N$2:$N$462)),0)</f>
        <v/>
      </c>
      <c r="AF440" s="6">
        <f t="array" ref="AF440">IFERROR((O440-AVERAGEIF($G$2:$G$462,G440,$O$2:$O$462))/_xlfn.STDEV.P(IF($G$2:$G$462=G440,$O$2:$O$462)),0)</f>
        <v/>
      </c>
      <c r="AG440" s="6">
        <f t="array" ref="AG440">IFERROR((P440-AVERAGEIF($G$2:$G$462,G440,$P$2:$P$462))/_xlfn.STDEV.P(IF($G$2:$G$462=G440,$P$2:$P$462)),0)</f>
        <v/>
      </c>
      <c r="AH440" s="6">
        <f t="array" ref="AH440">IFERROR((R440-AVERAGEIF($G$2:$G$462,G440,$R$2:$R$462))/_xlfn.STDEV.P(IF($G$2:$G$462=G440,$R$2:$R$462)),0)</f>
        <v/>
      </c>
      <c r="AI440" s="6">
        <f>IFERROR((AC440+AD440+AE440+AF440+AG440+AH440)/6,0)</f>
        <v/>
      </c>
    </row>
    <row r="441">
      <c r="A441" s="2">
        <f>IF(BD_Carga!A442&lt;&gt;"",BD_Carga!A442,"")</f>
        <v/>
      </c>
      <c r="B441">
        <f>IF(A441&lt;&gt;"",YEAR(A441),"")</f>
        <v/>
      </c>
      <c r="C441">
        <f>IF(A441&lt;&gt;"",MONTH(A441),"")</f>
        <v/>
      </c>
      <c r="D441">
        <f>IF(A441&lt;&gt;"",_xlfn.ISOWEEKNUM(A441),"")</f>
        <v/>
      </c>
      <c r="E441">
        <f>IF(A441&lt;&gt;"",TEXT(A441,"dddd"),"")</f>
        <v/>
      </c>
      <c r="F441">
        <f>IF(BD_Carga!C442&lt;&gt;"",BD_Carga!C442,"")</f>
        <v/>
      </c>
      <c r="G441">
        <f>IF(BD_Carga!D442&lt;&gt;"",BD_Carga!D442,"")</f>
        <v/>
      </c>
      <c r="H441">
        <f>IF(BD_Carga!Q442&lt;&gt;"",BD_Carga!Q442,"")</f>
        <v/>
      </c>
      <c r="I441">
        <f>IF(BD_Carga!R442&lt;&gt;"",BD_Carga!R442,"")</f>
        <v/>
      </c>
      <c r="J441">
        <f>IF(BD_Carga!S442&lt;&gt;"",BD_Carga!S442,"")</f>
        <v/>
      </c>
      <c r="K441" s="4">
        <f>IF(BD_Carga!E442&lt;&gt;"",BD_Carga!E442,0)</f>
        <v/>
      </c>
      <c r="L441" s="4">
        <f>IF(BD_Carga!F442&lt;&gt;"",BD_Carga!F442,0)</f>
        <v/>
      </c>
      <c r="M441" s="4">
        <f>IF(BD_Carga!G442&lt;&gt;"",BD_Carga!G442,0)</f>
        <v/>
      </c>
      <c r="N441" s="4">
        <f>IF(BD_Carga!H442&lt;&gt;"",BD_Carga!H442,0)</f>
        <v/>
      </c>
      <c r="O441" s="4">
        <f>IF(BD_Carga!I442&lt;&gt;"",BD_Carga!I442,0)</f>
        <v/>
      </c>
      <c r="P441" s="4">
        <f>IF(BD_Carga!J442&lt;&gt;"",BD_Carga!J442,0)</f>
        <v/>
      </c>
      <c r="Q441" s="5">
        <f>IF(BD_Carga!K442&lt;&gt;"",BD_Carga!K442,0)</f>
        <v/>
      </c>
      <c r="R441" s="5">
        <f>IF(BD_Carga!L442&lt;&gt;"",BD_Carga!L442,0)</f>
        <v/>
      </c>
      <c r="S441">
        <f>IF(BD_Carga!N442&lt;&gt;"",BD_Carga!N442,0)</f>
        <v/>
      </c>
      <c r="T441">
        <f>IF(BD_Carga!O442&lt;&gt;"",BD_Carga!O442,0)</f>
        <v/>
      </c>
      <c r="U441">
        <f>IF(BD_Carga!P442&lt;&gt;"",BD_Carga!P442,0)</f>
        <v/>
      </c>
      <c r="V441">
        <f>IF(BD_Carga!U442&lt;&gt;"",BD_Carga!U442,0)</f>
        <v/>
      </c>
      <c r="W441">
        <f>IF(BD_Carga!T442&lt;&gt;"",BD_Carga!T442,0)</f>
        <v/>
      </c>
      <c r="X441">
        <f>IF(BD_Carga!W442&lt;&gt;"",BD_Carga!W442,0)</f>
        <v/>
      </c>
      <c r="Y441">
        <f>IF(BD_Carga!X442&lt;&gt;"",BD_Carga!X442,0)</f>
        <v/>
      </c>
      <c r="Z441">
        <f>IF(BD_Carga!Y442&lt;&gt;"",BD_Carga!Y442,0)</f>
        <v/>
      </c>
      <c r="AA441">
        <f>IF(BD_Carga!Z442&lt;&gt;"",BD_Carga!Z442,0)</f>
        <v/>
      </c>
      <c r="AB441">
        <f>IF(BD_Carga!AA442&lt;&gt;"",BD_Carga!AA442,0)</f>
        <v/>
      </c>
      <c r="AC441" s="6">
        <f t="array" ref="AC441">IFERROR((L441-AVERAGEIF($G$2:$G$462,G441,$L$2:$L$462))/_xlfn.STDEV.P(IF($G$2:$G$462=G441,$L$2:$L$462)),0)</f>
        <v/>
      </c>
      <c r="AD441" s="6">
        <f t="array" ref="AD441">IFERROR((M441-AVERAGEIF($G$2:$G$462,G441,$M$2:$M$462))/_xlfn.STDEV.P(IF($G$2:$G$462=G441,$M$2:$M$462)),0)</f>
        <v/>
      </c>
      <c r="AE441" s="6">
        <f t="array" ref="AE441">IFERROR((N441-AVERAGEIF($G$2:$G$462,G441,$N$2:$N$462))/_xlfn.STDEV.P(IF($G$2:$G$462=G441,$N$2:$N$462)),0)</f>
        <v/>
      </c>
      <c r="AF441" s="6">
        <f t="array" ref="AF441">IFERROR((O441-AVERAGEIF($G$2:$G$462,G441,$O$2:$O$462))/_xlfn.STDEV.P(IF($G$2:$G$462=G441,$O$2:$O$462)),0)</f>
        <v/>
      </c>
      <c r="AG441" s="6">
        <f t="array" ref="AG441">IFERROR((P441-AVERAGEIF($G$2:$G$462,G441,$P$2:$P$462))/_xlfn.STDEV.P(IF($G$2:$G$462=G441,$P$2:$P$462)),0)</f>
        <v/>
      </c>
      <c r="AH441" s="6">
        <f t="array" ref="AH441">IFERROR((R441-AVERAGEIF($G$2:$G$462,G441,$R$2:$R$462))/_xlfn.STDEV.P(IF($G$2:$G$462=G441,$R$2:$R$462)),0)</f>
        <v/>
      </c>
      <c r="AI441" s="6">
        <f>IFERROR((AC441+AD441+AE441+AF441+AG441+AH441)/6,0)</f>
        <v/>
      </c>
    </row>
    <row r="442">
      <c r="A442" s="2">
        <f>IF(BD_Carga!A443&lt;&gt;"",BD_Carga!A443,"")</f>
        <v/>
      </c>
      <c r="B442">
        <f>IF(A442&lt;&gt;"",YEAR(A442),"")</f>
        <v/>
      </c>
      <c r="C442">
        <f>IF(A442&lt;&gt;"",MONTH(A442),"")</f>
        <v/>
      </c>
      <c r="D442">
        <f>IF(A442&lt;&gt;"",_xlfn.ISOWEEKNUM(A442),"")</f>
        <v/>
      </c>
      <c r="E442">
        <f>IF(A442&lt;&gt;"",TEXT(A442,"dddd"),"")</f>
        <v/>
      </c>
      <c r="F442">
        <f>IF(BD_Carga!C443&lt;&gt;"",BD_Carga!C443,"")</f>
        <v/>
      </c>
      <c r="G442">
        <f>IF(BD_Carga!D443&lt;&gt;"",BD_Carga!D443,"")</f>
        <v/>
      </c>
      <c r="H442">
        <f>IF(BD_Carga!Q443&lt;&gt;"",BD_Carga!Q443,"")</f>
        <v/>
      </c>
      <c r="I442">
        <f>IF(BD_Carga!R443&lt;&gt;"",BD_Carga!R443,"")</f>
        <v/>
      </c>
      <c r="J442">
        <f>IF(BD_Carga!S443&lt;&gt;"",BD_Carga!S443,"")</f>
        <v/>
      </c>
      <c r="K442" s="4">
        <f>IF(BD_Carga!E443&lt;&gt;"",BD_Carga!E443,0)</f>
        <v/>
      </c>
      <c r="L442" s="4">
        <f>IF(BD_Carga!F443&lt;&gt;"",BD_Carga!F443,0)</f>
        <v/>
      </c>
      <c r="M442" s="4">
        <f>IF(BD_Carga!G443&lt;&gt;"",BD_Carga!G443,0)</f>
        <v/>
      </c>
      <c r="N442" s="4">
        <f>IF(BD_Carga!H443&lt;&gt;"",BD_Carga!H443,0)</f>
        <v/>
      </c>
      <c r="O442" s="4">
        <f>IF(BD_Carga!I443&lt;&gt;"",BD_Carga!I443,0)</f>
        <v/>
      </c>
      <c r="P442" s="4">
        <f>IF(BD_Carga!J443&lt;&gt;"",BD_Carga!J443,0)</f>
        <v/>
      </c>
      <c r="Q442" s="5">
        <f>IF(BD_Carga!K443&lt;&gt;"",BD_Carga!K443,0)</f>
        <v/>
      </c>
      <c r="R442" s="5">
        <f>IF(BD_Carga!L443&lt;&gt;"",BD_Carga!L443,0)</f>
        <v/>
      </c>
      <c r="S442">
        <f>IF(BD_Carga!N443&lt;&gt;"",BD_Carga!N443,0)</f>
        <v/>
      </c>
      <c r="T442">
        <f>IF(BD_Carga!O443&lt;&gt;"",BD_Carga!O443,0)</f>
        <v/>
      </c>
      <c r="U442">
        <f>IF(BD_Carga!P443&lt;&gt;"",BD_Carga!P443,0)</f>
        <v/>
      </c>
      <c r="V442">
        <f>IF(BD_Carga!U443&lt;&gt;"",BD_Carga!U443,0)</f>
        <v/>
      </c>
      <c r="W442">
        <f>IF(BD_Carga!T443&lt;&gt;"",BD_Carga!T443,0)</f>
        <v/>
      </c>
      <c r="X442">
        <f>IF(BD_Carga!W443&lt;&gt;"",BD_Carga!W443,0)</f>
        <v/>
      </c>
      <c r="Y442">
        <f>IF(BD_Carga!X443&lt;&gt;"",BD_Carga!X443,0)</f>
        <v/>
      </c>
      <c r="Z442">
        <f>IF(BD_Carga!Y443&lt;&gt;"",BD_Carga!Y443,0)</f>
        <v/>
      </c>
      <c r="AA442">
        <f>IF(BD_Carga!Z443&lt;&gt;"",BD_Carga!Z443,0)</f>
        <v/>
      </c>
      <c r="AB442">
        <f>IF(BD_Carga!AA443&lt;&gt;"",BD_Carga!AA443,0)</f>
        <v/>
      </c>
      <c r="AC442" s="6">
        <f t="array" ref="AC442">IFERROR((L442-AVERAGEIF($G$2:$G$462,G442,$L$2:$L$462))/_xlfn.STDEV.P(IF($G$2:$G$462=G442,$L$2:$L$462)),0)</f>
        <v/>
      </c>
      <c r="AD442" s="6">
        <f t="array" ref="AD442">IFERROR((M442-AVERAGEIF($G$2:$G$462,G442,$M$2:$M$462))/_xlfn.STDEV.P(IF($G$2:$G$462=G442,$M$2:$M$462)),0)</f>
        <v/>
      </c>
      <c r="AE442" s="6">
        <f t="array" ref="AE442">IFERROR((N442-AVERAGEIF($G$2:$G$462,G442,$N$2:$N$462))/_xlfn.STDEV.P(IF($G$2:$G$462=G442,$N$2:$N$462)),0)</f>
        <v/>
      </c>
      <c r="AF442" s="6">
        <f t="array" ref="AF442">IFERROR((O442-AVERAGEIF($G$2:$G$462,G442,$O$2:$O$462))/_xlfn.STDEV.P(IF($G$2:$G$462=G442,$O$2:$O$462)),0)</f>
        <v/>
      </c>
      <c r="AG442" s="6">
        <f t="array" ref="AG442">IFERROR((P442-AVERAGEIF($G$2:$G$462,G442,$P$2:$P$462))/_xlfn.STDEV.P(IF($G$2:$G$462=G442,$P$2:$P$462)),0)</f>
        <v/>
      </c>
      <c r="AH442" s="6">
        <f t="array" ref="AH442">IFERROR((R442-AVERAGEIF($G$2:$G$462,G442,$R$2:$R$462))/_xlfn.STDEV.P(IF($G$2:$G$462=G442,$R$2:$R$462)),0)</f>
        <v/>
      </c>
      <c r="AI442" s="6">
        <f>IFERROR((AC442+AD442+AE442+AF442+AG442+AH442)/6,0)</f>
        <v/>
      </c>
    </row>
    <row r="443">
      <c r="A443" s="2">
        <f>IF(BD_Carga!A444&lt;&gt;"",BD_Carga!A444,"")</f>
        <v/>
      </c>
      <c r="B443">
        <f>IF(A443&lt;&gt;"",YEAR(A443),"")</f>
        <v/>
      </c>
      <c r="C443">
        <f>IF(A443&lt;&gt;"",MONTH(A443),"")</f>
        <v/>
      </c>
      <c r="D443">
        <f>IF(A443&lt;&gt;"",_xlfn.ISOWEEKNUM(A443),"")</f>
        <v/>
      </c>
      <c r="E443">
        <f>IF(A443&lt;&gt;"",TEXT(A443,"dddd"),"")</f>
        <v/>
      </c>
      <c r="F443">
        <f>IF(BD_Carga!C444&lt;&gt;"",BD_Carga!C444,"")</f>
        <v/>
      </c>
      <c r="G443">
        <f>IF(BD_Carga!D444&lt;&gt;"",BD_Carga!D444,"")</f>
        <v/>
      </c>
      <c r="H443">
        <f>IF(BD_Carga!Q444&lt;&gt;"",BD_Carga!Q444,"")</f>
        <v/>
      </c>
      <c r="I443">
        <f>IF(BD_Carga!R444&lt;&gt;"",BD_Carga!R444,"")</f>
        <v/>
      </c>
      <c r="J443">
        <f>IF(BD_Carga!S444&lt;&gt;"",BD_Carga!S444,"")</f>
        <v/>
      </c>
      <c r="K443" s="4">
        <f>IF(BD_Carga!E444&lt;&gt;"",BD_Carga!E444,0)</f>
        <v/>
      </c>
      <c r="L443" s="4">
        <f>IF(BD_Carga!F444&lt;&gt;"",BD_Carga!F444,0)</f>
        <v/>
      </c>
      <c r="M443" s="4">
        <f>IF(BD_Carga!G444&lt;&gt;"",BD_Carga!G444,0)</f>
        <v/>
      </c>
      <c r="N443" s="4">
        <f>IF(BD_Carga!H444&lt;&gt;"",BD_Carga!H444,0)</f>
        <v/>
      </c>
      <c r="O443" s="4">
        <f>IF(BD_Carga!I444&lt;&gt;"",BD_Carga!I444,0)</f>
        <v/>
      </c>
      <c r="P443" s="4">
        <f>IF(BD_Carga!J444&lt;&gt;"",BD_Carga!J444,0)</f>
        <v/>
      </c>
      <c r="Q443" s="5">
        <f>IF(BD_Carga!K444&lt;&gt;"",BD_Carga!K444,0)</f>
        <v/>
      </c>
      <c r="R443" s="5">
        <f>IF(BD_Carga!L444&lt;&gt;"",BD_Carga!L444,0)</f>
        <v/>
      </c>
      <c r="S443">
        <f>IF(BD_Carga!N444&lt;&gt;"",BD_Carga!N444,0)</f>
        <v/>
      </c>
      <c r="T443">
        <f>IF(BD_Carga!O444&lt;&gt;"",BD_Carga!O444,0)</f>
        <v/>
      </c>
      <c r="U443">
        <f>IF(BD_Carga!P444&lt;&gt;"",BD_Carga!P444,0)</f>
        <v/>
      </c>
      <c r="V443">
        <f>IF(BD_Carga!U444&lt;&gt;"",BD_Carga!U444,0)</f>
        <v/>
      </c>
      <c r="W443">
        <f>IF(BD_Carga!T444&lt;&gt;"",BD_Carga!T444,0)</f>
        <v/>
      </c>
      <c r="X443">
        <f>IF(BD_Carga!W444&lt;&gt;"",BD_Carga!W444,0)</f>
        <v/>
      </c>
      <c r="Y443">
        <f>IF(BD_Carga!X444&lt;&gt;"",BD_Carga!X444,0)</f>
        <v/>
      </c>
      <c r="Z443">
        <f>IF(BD_Carga!Y444&lt;&gt;"",BD_Carga!Y444,0)</f>
        <v/>
      </c>
      <c r="AA443">
        <f>IF(BD_Carga!Z444&lt;&gt;"",BD_Carga!Z444,0)</f>
        <v/>
      </c>
      <c r="AB443">
        <f>IF(BD_Carga!AA444&lt;&gt;"",BD_Carga!AA444,0)</f>
        <v/>
      </c>
      <c r="AC443" s="6">
        <f t="array" ref="AC443">IFERROR((L443-AVERAGEIF($G$2:$G$462,G443,$L$2:$L$462))/_xlfn.STDEV.P(IF($G$2:$G$462=G443,$L$2:$L$462)),0)</f>
        <v/>
      </c>
      <c r="AD443" s="6">
        <f t="array" ref="AD443">IFERROR((M443-AVERAGEIF($G$2:$G$462,G443,$M$2:$M$462))/_xlfn.STDEV.P(IF($G$2:$G$462=G443,$M$2:$M$462)),0)</f>
        <v/>
      </c>
      <c r="AE443" s="6">
        <f t="array" ref="AE443">IFERROR((N443-AVERAGEIF($G$2:$G$462,G443,$N$2:$N$462))/_xlfn.STDEV.P(IF($G$2:$G$462=G443,$N$2:$N$462)),0)</f>
        <v/>
      </c>
      <c r="AF443" s="6">
        <f t="array" ref="AF443">IFERROR((O443-AVERAGEIF($G$2:$G$462,G443,$O$2:$O$462))/_xlfn.STDEV.P(IF($G$2:$G$462=G443,$O$2:$O$462)),0)</f>
        <v/>
      </c>
      <c r="AG443" s="6">
        <f t="array" ref="AG443">IFERROR((P443-AVERAGEIF($G$2:$G$462,G443,$P$2:$P$462))/_xlfn.STDEV.P(IF($G$2:$G$462=G443,$P$2:$P$462)),0)</f>
        <v/>
      </c>
      <c r="AH443" s="6">
        <f t="array" ref="AH443">IFERROR((R443-AVERAGEIF($G$2:$G$462,G443,$R$2:$R$462))/_xlfn.STDEV.P(IF($G$2:$G$462=G443,$R$2:$R$462)),0)</f>
        <v/>
      </c>
      <c r="AI443" s="6">
        <f>IFERROR((AC443+AD443+AE443+AF443+AG443+AH443)/6,0)</f>
        <v/>
      </c>
    </row>
    <row r="444">
      <c r="A444" s="2">
        <f>IF(BD_Carga!A445&lt;&gt;"",BD_Carga!A445,"")</f>
        <v/>
      </c>
      <c r="B444">
        <f>IF(A444&lt;&gt;"",YEAR(A444),"")</f>
        <v/>
      </c>
      <c r="C444">
        <f>IF(A444&lt;&gt;"",MONTH(A444),"")</f>
        <v/>
      </c>
      <c r="D444">
        <f>IF(A444&lt;&gt;"",_xlfn.ISOWEEKNUM(A444),"")</f>
        <v/>
      </c>
      <c r="E444">
        <f>IF(A444&lt;&gt;"",TEXT(A444,"dddd"),"")</f>
        <v/>
      </c>
      <c r="F444">
        <f>IF(BD_Carga!C445&lt;&gt;"",BD_Carga!C445,"")</f>
        <v/>
      </c>
      <c r="G444">
        <f>IF(BD_Carga!D445&lt;&gt;"",BD_Carga!D445,"")</f>
        <v/>
      </c>
      <c r="H444">
        <f>IF(BD_Carga!Q445&lt;&gt;"",BD_Carga!Q445,"")</f>
        <v/>
      </c>
      <c r="I444">
        <f>IF(BD_Carga!R445&lt;&gt;"",BD_Carga!R445,"")</f>
        <v/>
      </c>
      <c r="J444">
        <f>IF(BD_Carga!S445&lt;&gt;"",BD_Carga!S445,"")</f>
        <v/>
      </c>
      <c r="K444" s="4">
        <f>IF(BD_Carga!E445&lt;&gt;"",BD_Carga!E445,0)</f>
        <v/>
      </c>
      <c r="L444" s="4">
        <f>IF(BD_Carga!F445&lt;&gt;"",BD_Carga!F445,0)</f>
        <v/>
      </c>
      <c r="M444" s="4">
        <f>IF(BD_Carga!G445&lt;&gt;"",BD_Carga!G445,0)</f>
        <v/>
      </c>
      <c r="N444" s="4">
        <f>IF(BD_Carga!H445&lt;&gt;"",BD_Carga!H445,0)</f>
        <v/>
      </c>
      <c r="O444" s="4">
        <f>IF(BD_Carga!I445&lt;&gt;"",BD_Carga!I445,0)</f>
        <v/>
      </c>
      <c r="P444" s="4">
        <f>IF(BD_Carga!J445&lt;&gt;"",BD_Carga!J445,0)</f>
        <v/>
      </c>
      <c r="Q444" s="5">
        <f>IF(BD_Carga!K445&lt;&gt;"",BD_Carga!K445,0)</f>
        <v/>
      </c>
      <c r="R444" s="5">
        <f>IF(BD_Carga!L445&lt;&gt;"",BD_Carga!L445,0)</f>
        <v/>
      </c>
      <c r="S444">
        <f>IF(BD_Carga!N445&lt;&gt;"",BD_Carga!N445,0)</f>
        <v/>
      </c>
      <c r="T444">
        <f>IF(BD_Carga!O445&lt;&gt;"",BD_Carga!O445,0)</f>
        <v/>
      </c>
      <c r="U444">
        <f>IF(BD_Carga!P445&lt;&gt;"",BD_Carga!P445,0)</f>
        <v/>
      </c>
      <c r="V444">
        <f>IF(BD_Carga!U445&lt;&gt;"",BD_Carga!U445,0)</f>
        <v/>
      </c>
      <c r="W444">
        <f>IF(BD_Carga!T445&lt;&gt;"",BD_Carga!T445,0)</f>
        <v/>
      </c>
      <c r="X444">
        <f>IF(BD_Carga!W445&lt;&gt;"",BD_Carga!W445,0)</f>
        <v/>
      </c>
      <c r="Y444">
        <f>IF(BD_Carga!X445&lt;&gt;"",BD_Carga!X445,0)</f>
        <v/>
      </c>
      <c r="Z444">
        <f>IF(BD_Carga!Y445&lt;&gt;"",BD_Carga!Y445,0)</f>
        <v/>
      </c>
      <c r="AA444">
        <f>IF(BD_Carga!Z445&lt;&gt;"",BD_Carga!Z445,0)</f>
        <v/>
      </c>
      <c r="AB444">
        <f>IF(BD_Carga!AA445&lt;&gt;"",BD_Carga!AA445,0)</f>
        <v/>
      </c>
      <c r="AC444" s="6">
        <f t="array" ref="AC444">IFERROR((L444-AVERAGEIF($G$2:$G$462,G444,$L$2:$L$462))/_xlfn.STDEV.P(IF($G$2:$G$462=G444,$L$2:$L$462)),0)</f>
        <v/>
      </c>
      <c r="AD444" s="6">
        <f t="array" ref="AD444">IFERROR((M444-AVERAGEIF($G$2:$G$462,G444,$M$2:$M$462))/_xlfn.STDEV.P(IF($G$2:$G$462=G444,$M$2:$M$462)),0)</f>
        <v/>
      </c>
      <c r="AE444" s="6">
        <f t="array" ref="AE444">IFERROR((N444-AVERAGEIF($G$2:$G$462,G444,$N$2:$N$462))/_xlfn.STDEV.P(IF($G$2:$G$462=G444,$N$2:$N$462)),0)</f>
        <v/>
      </c>
      <c r="AF444" s="6">
        <f t="array" ref="AF444">IFERROR((O444-AVERAGEIF($G$2:$G$462,G444,$O$2:$O$462))/_xlfn.STDEV.P(IF($G$2:$G$462=G444,$O$2:$O$462)),0)</f>
        <v/>
      </c>
      <c r="AG444" s="6">
        <f t="array" ref="AG444">IFERROR((P444-AVERAGEIF($G$2:$G$462,G444,$P$2:$P$462))/_xlfn.STDEV.P(IF($G$2:$G$462=G444,$P$2:$P$462)),0)</f>
        <v/>
      </c>
      <c r="AH444" s="6">
        <f t="array" ref="AH444">IFERROR((R444-AVERAGEIF($G$2:$G$462,G444,$R$2:$R$462))/_xlfn.STDEV.P(IF($G$2:$G$462=G444,$R$2:$R$462)),0)</f>
        <v/>
      </c>
      <c r="AI444" s="6">
        <f>IFERROR((AC444+AD444+AE444+AF444+AG444+AH444)/6,0)</f>
        <v/>
      </c>
    </row>
    <row r="445">
      <c r="A445" s="2">
        <f>IF(BD_Carga!A446&lt;&gt;"",BD_Carga!A446,"")</f>
        <v/>
      </c>
      <c r="B445">
        <f>IF(A445&lt;&gt;"",YEAR(A445),"")</f>
        <v/>
      </c>
      <c r="C445">
        <f>IF(A445&lt;&gt;"",MONTH(A445),"")</f>
        <v/>
      </c>
      <c r="D445">
        <f>IF(A445&lt;&gt;"",_xlfn.ISOWEEKNUM(A445),"")</f>
        <v/>
      </c>
      <c r="E445">
        <f>IF(A445&lt;&gt;"",TEXT(A445,"dddd"),"")</f>
        <v/>
      </c>
      <c r="F445">
        <f>IF(BD_Carga!C446&lt;&gt;"",BD_Carga!C446,"")</f>
        <v/>
      </c>
      <c r="G445">
        <f>IF(BD_Carga!D446&lt;&gt;"",BD_Carga!D446,"")</f>
        <v/>
      </c>
      <c r="H445">
        <f>IF(BD_Carga!Q446&lt;&gt;"",BD_Carga!Q446,"")</f>
        <v/>
      </c>
      <c r="I445">
        <f>IF(BD_Carga!R446&lt;&gt;"",BD_Carga!R446,"")</f>
        <v/>
      </c>
      <c r="J445">
        <f>IF(BD_Carga!S446&lt;&gt;"",BD_Carga!S446,"")</f>
        <v/>
      </c>
      <c r="K445" s="4">
        <f>IF(BD_Carga!E446&lt;&gt;"",BD_Carga!E446,0)</f>
        <v/>
      </c>
      <c r="L445" s="4">
        <f>IF(BD_Carga!F446&lt;&gt;"",BD_Carga!F446,0)</f>
        <v/>
      </c>
      <c r="M445" s="4">
        <f>IF(BD_Carga!G446&lt;&gt;"",BD_Carga!G446,0)</f>
        <v/>
      </c>
      <c r="N445" s="4">
        <f>IF(BD_Carga!H446&lt;&gt;"",BD_Carga!H446,0)</f>
        <v/>
      </c>
      <c r="O445" s="4">
        <f>IF(BD_Carga!I446&lt;&gt;"",BD_Carga!I446,0)</f>
        <v/>
      </c>
      <c r="P445" s="4">
        <f>IF(BD_Carga!J446&lt;&gt;"",BD_Carga!J446,0)</f>
        <v/>
      </c>
      <c r="Q445" s="5">
        <f>IF(BD_Carga!K446&lt;&gt;"",BD_Carga!K446,0)</f>
        <v/>
      </c>
      <c r="R445" s="5">
        <f>IF(BD_Carga!L446&lt;&gt;"",BD_Carga!L446,0)</f>
        <v/>
      </c>
      <c r="S445">
        <f>IF(BD_Carga!N446&lt;&gt;"",BD_Carga!N446,0)</f>
        <v/>
      </c>
      <c r="T445">
        <f>IF(BD_Carga!O446&lt;&gt;"",BD_Carga!O446,0)</f>
        <v/>
      </c>
      <c r="U445">
        <f>IF(BD_Carga!P446&lt;&gt;"",BD_Carga!P446,0)</f>
        <v/>
      </c>
      <c r="V445">
        <f>IF(BD_Carga!U446&lt;&gt;"",BD_Carga!U446,0)</f>
        <v/>
      </c>
      <c r="W445">
        <f>IF(BD_Carga!T446&lt;&gt;"",BD_Carga!T446,0)</f>
        <v/>
      </c>
      <c r="X445">
        <f>IF(BD_Carga!W446&lt;&gt;"",BD_Carga!W446,0)</f>
        <v/>
      </c>
      <c r="Y445">
        <f>IF(BD_Carga!X446&lt;&gt;"",BD_Carga!X446,0)</f>
        <v/>
      </c>
      <c r="Z445">
        <f>IF(BD_Carga!Y446&lt;&gt;"",BD_Carga!Y446,0)</f>
        <v/>
      </c>
      <c r="AA445">
        <f>IF(BD_Carga!Z446&lt;&gt;"",BD_Carga!Z446,0)</f>
        <v/>
      </c>
      <c r="AB445">
        <f>IF(BD_Carga!AA446&lt;&gt;"",BD_Carga!AA446,0)</f>
        <v/>
      </c>
      <c r="AC445" s="6">
        <f t="array" ref="AC445">IFERROR((L445-AVERAGEIF($G$2:$G$462,G445,$L$2:$L$462))/_xlfn.STDEV.P(IF($G$2:$G$462=G445,$L$2:$L$462)),0)</f>
        <v/>
      </c>
      <c r="AD445" s="6">
        <f t="array" ref="AD445">IFERROR((M445-AVERAGEIF($G$2:$G$462,G445,$M$2:$M$462))/_xlfn.STDEV.P(IF($G$2:$G$462=G445,$M$2:$M$462)),0)</f>
        <v/>
      </c>
      <c r="AE445" s="6">
        <f t="array" ref="AE445">IFERROR((N445-AVERAGEIF($G$2:$G$462,G445,$N$2:$N$462))/_xlfn.STDEV.P(IF($G$2:$G$462=G445,$N$2:$N$462)),0)</f>
        <v/>
      </c>
      <c r="AF445" s="6">
        <f t="array" ref="AF445">IFERROR((O445-AVERAGEIF($G$2:$G$462,G445,$O$2:$O$462))/_xlfn.STDEV.P(IF($G$2:$G$462=G445,$O$2:$O$462)),0)</f>
        <v/>
      </c>
      <c r="AG445" s="6">
        <f t="array" ref="AG445">IFERROR((P445-AVERAGEIF($G$2:$G$462,G445,$P$2:$P$462))/_xlfn.STDEV.P(IF($G$2:$G$462=G445,$P$2:$P$462)),0)</f>
        <v/>
      </c>
      <c r="AH445" s="6">
        <f t="array" ref="AH445">IFERROR((R445-AVERAGEIF($G$2:$G$462,G445,$R$2:$R$462))/_xlfn.STDEV.P(IF($G$2:$G$462=G445,$R$2:$R$462)),0)</f>
        <v/>
      </c>
      <c r="AI445" s="6">
        <f>IFERROR((AC445+AD445+AE445+AF445+AG445+AH445)/6,0)</f>
        <v/>
      </c>
    </row>
    <row r="446">
      <c r="A446" s="2">
        <f>IF(BD_Carga!A447&lt;&gt;"",BD_Carga!A447,"")</f>
        <v/>
      </c>
      <c r="B446">
        <f>IF(A446&lt;&gt;"",YEAR(A446),"")</f>
        <v/>
      </c>
      <c r="C446">
        <f>IF(A446&lt;&gt;"",MONTH(A446),"")</f>
        <v/>
      </c>
      <c r="D446">
        <f>IF(A446&lt;&gt;"",_xlfn.ISOWEEKNUM(A446),"")</f>
        <v/>
      </c>
      <c r="E446">
        <f>IF(A446&lt;&gt;"",TEXT(A446,"dddd"),"")</f>
        <v/>
      </c>
      <c r="F446">
        <f>IF(BD_Carga!C447&lt;&gt;"",BD_Carga!C447,"")</f>
        <v/>
      </c>
      <c r="G446">
        <f>IF(BD_Carga!D447&lt;&gt;"",BD_Carga!D447,"")</f>
        <v/>
      </c>
      <c r="H446">
        <f>IF(BD_Carga!Q447&lt;&gt;"",BD_Carga!Q447,"")</f>
        <v/>
      </c>
      <c r="I446">
        <f>IF(BD_Carga!R447&lt;&gt;"",BD_Carga!R447,"")</f>
        <v/>
      </c>
      <c r="J446">
        <f>IF(BD_Carga!S447&lt;&gt;"",BD_Carga!S447,"")</f>
        <v/>
      </c>
      <c r="K446" s="4">
        <f>IF(BD_Carga!E447&lt;&gt;"",BD_Carga!E447,0)</f>
        <v/>
      </c>
      <c r="L446" s="4">
        <f>IF(BD_Carga!F447&lt;&gt;"",BD_Carga!F447,0)</f>
        <v/>
      </c>
      <c r="M446" s="4">
        <f>IF(BD_Carga!G447&lt;&gt;"",BD_Carga!G447,0)</f>
        <v/>
      </c>
      <c r="N446" s="4">
        <f>IF(BD_Carga!H447&lt;&gt;"",BD_Carga!H447,0)</f>
        <v/>
      </c>
      <c r="O446" s="4">
        <f>IF(BD_Carga!I447&lt;&gt;"",BD_Carga!I447,0)</f>
        <v/>
      </c>
      <c r="P446" s="4">
        <f>IF(BD_Carga!J447&lt;&gt;"",BD_Carga!J447,0)</f>
        <v/>
      </c>
      <c r="Q446" s="5">
        <f>IF(BD_Carga!K447&lt;&gt;"",BD_Carga!K447,0)</f>
        <v/>
      </c>
      <c r="R446" s="5">
        <f>IF(BD_Carga!L447&lt;&gt;"",BD_Carga!L447,0)</f>
        <v/>
      </c>
      <c r="S446">
        <f>IF(BD_Carga!N447&lt;&gt;"",BD_Carga!N447,0)</f>
        <v/>
      </c>
      <c r="T446">
        <f>IF(BD_Carga!O447&lt;&gt;"",BD_Carga!O447,0)</f>
        <v/>
      </c>
      <c r="U446">
        <f>IF(BD_Carga!P447&lt;&gt;"",BD_Carga!P447,0)</f>
        <v/>
      </c>
      <c r="V446">
        <f>IF(BD_Carga!U447&lt;&gt;"",BD_Carga!U447,0)</f>
        <v/>
      </c>
      <c r="W446">
        <f>IF(BD_Carga!T447&lt;&gt;"",BD_Carga!T447,0)</f>
        <v/>
      </c>
      <c r="X446">
        <f>IF(BD_Carga!W447&lt;&gt;"",BD_Carga!W447,0)</f>
        <v/>
      </c>
      <c r="Y446">
        <f>IF(BD_Carga!X447&lt;&gt;"",BD_Carga!X447,0)</f>
        <v/>
      </c>
      <c r="Z446">
        <f>IF(BD_Carga!Y447&lt;&gt;"",BD_Carga!Y447,0)</f>
        <v/>
      </c>
      <c r="AA446">
        <f>IF(BD_Carga!Z447&lt;&gt;"",BD_Carga!Z447,0)</f>
        <v/>
      </c>
      <c r="AB446">
        <f>IF(BD_Carga!AA447&lt;&gt;"",BD_Carga!AA447,0)</f>
        <v/>
      </c>
      <c r="AC446" s="6">
        <f t="array" ref="AC446">IFERROR((L446-AVERAGEIF($G$2:$G$462,G446,$L$2:$L$462))/_xlfn.STDEV.P(IF($G$2:$G$462=G446,$L$2:$L$462)),0)</f>
        <v/>
      </c>
      <c r="AD446" s="6">
        <f t="array" ref="AD446">IFERROR((M446-AVERAGEIF($G$2:$G$462,G446,$M$2:$M$462))/_xlfn.STDEV.P(IF($G$2:$G$462=G446,$M$2:$M$462)),0)</f>
        <v/>
      </c>
      <c r="AE446" s="6">
        <f t="array" ref="AE446">IFERROR((N446-AVERAGEIF($G$2:$G$462,G446,$N$2:$N$462))/_xlfn.STDEV.P(IF($G$2:$G$462=G446,$N$2:$N$462)),0)</f>
        <v/>
      </c>
      <c r="AF446" s="6">
        <f t="array" ref="AF446">IFERROR((O446-AVERAGEIF($G$2:$G$462,G446,$O$2:$O$462))/_xlfn.STDEV.P(IF($G$2:$G$462=G446,$O$2:$O$462)),0)</f>
        <v/>
      </c>
      <c r="AG446" s="6">
        <f t="array" ref="AG446">IFERROR((P446-AVERAGEIF($G$2:$G$462,G446,$P$2:$P$462))/_xlfn.STDEV.P(IF($G$2:$G$462=G446,$P$2:$P$462)),0)</f>
        <v/>
      </c>
      <c r="AH446" s="6">
        <f t="array" ref="AH446">IFERROR((R446-AVERAGEIF($G$2:$G$462,G446,$R$2:$R$462))/_xlfn.STDEV.P(IF($G$2:$G$462=G446,$R$2:$R$462)),0)</f>
        <v/>
      </c>
      <c r="AI446" s="6">
        <f>IFERROR((AC446+AD446+AE446+AF446+AG446+AH446)/6,0)</f>
        <v/>
      </c>
    </row>
    <row r="447">
      <c r="A447" s="2">
        <f>IF(BD_Carga!A448&lt;&gt;"",BD_Carga!A448,"")</f>
        <v/>
      </c>
      <c r="B447">
        <f>IF(A447&lt;&gt;"",YEAR(A447),"")</f>
        <v/>
      </c>
      <c r="C447">
        <f>IF(A447&lt;&gt;"",MONTH(A447),"")</f>
        <v/>
      </c>
      <c r="D447">
        <f>IF(A447&lt;&gt;"",_xlfn.ISOWEEKNUM(A447),"")</f>
        <v/>
      </c>
      <c r="E447">
        <f>IF(A447&lt;&gt;"",TEXT(A447,"dddd"),"")</f>
        <v/>
      </c>
      <c r="F447">
        <f>IF(BD_Carga!C448&lt;&gt;"",BD_Carga!C448,"")</f>
        <v/>
      </c>
      <c r="G447">
        <f>IF(BD_Carga!D448&lt;&gt;"",BD_Carga!D448,"")</f>
        <v/>
      </c>
      <c r="H447">
        <f>IF(BD_Carga!Q448&lt;&gt;"",BD_Carga!Q448,"")</f>
        <v/>
      </c>
      <c r="I447">
        <f>IF(BD_Carga!R448&lt;&gt;"",BD_Carga!R448,"")</f>
        <v/>
      </c>
      <c r="J447">
        <f>IF(BD_Carga!S448&lt;&gt;"",BD_Carga!S448,"")</f>
        <v/>
      </c>
      <c r="K447" s="4">
        <f>IF(BD_Carga!E448&lt;&gt;"",BD_Carga!E448,0)</f>
        <v/>
      </c>
      <c r="L447" s="4">
        <f>IF(BD_Carga!F448&lt;&gt;"",BD_Carga!F448,0)</f>
        <v/>
      </c>
      <c r="M447" s="4">
        <f>IF(BD_Carga!G448&lt;&gt;"",BD_Carga!G448,0)</f>
        <v/>
      </c>
      <c r="N447" s="4">
        <f>IF(BD_Carga!H448&lt;&gt;"",BD_Carga!H448,0)</f>
        <v/>
      </c>
      <c r="O447" s="4">
        <f>IF(BD_Carga!I448&lt;&gt;"",BD_Carga!I448,0)</f>
        <v/>
      </c>
      <c r="P447" s="4">
        <f>IF(BD_Carga!J448&lt;&gt;"",BD_Carga!J448,0)</f>
        <v/>
      </c>
      <c r="Q447" s="5">
        <f>IF(BD_Carga!K448&lt;&gt;"",BD_Carga!K448,0)</f>
        <v/>
      </c>
      <c r="R447" s="5">
        <f>IF(BD_Carga!L448&lt;&gt;"",BD_Carga!L448,0)</f>
        <v/>
      </c>
      <c r="S447">
        <f>IF(BD_Carga!N448&lt;&gt;"",BD_Carga!N448,0)</f>
        <v/>
      </c>
      <c r="T447">
        <f>IF(BD_Carga!O448&lt;&gt;"",BD_Carga!O448,0)</f>
        <v/>
      </c>
      <c r="U447">
        <f>IF(BD_Carga!P448&lt;&gt;"",BD_Carga!P448,0)</f>
        <v/>
      </c>
      <c r="V447">
        <f>IF(BD_Carga!U448&lt;&gt;"",BD_Carga!U448,0)</f>
        <v/>
      </c>
      <c r="W447">
        <f>IF(BD_Carga!T448&lt;&gt;"",BD_Carga!T448,0)</f>
        <v/>
      </c>
      <c r="X447">
        <f>IF(BD_Carga!W448&lt;&gt;"",BD_Carga!W448,0)</f>
        <v/>
      </c>
      <c r="Y447">
        <f>IF(BD_Carga!X448&lt;&gt;"",BD_Carga!X448,0)</f>
        <v/>
      </c>
      <c r="Z447">
        <f>IF(BD_Carga!Y448&lt;&gt;"",BD_Carga!Y448,0)</f>
        <v/>
      </c>
      <c r="AA447">
        <f>IF(BD_Carga!Z448&lt;&gt;"",BD_Carga!Z448,0)</f>
        <v/>
      </c>
      <c r="AB447">
        <f>IF(BD_Carga!AA448&lt;&gt;"",BD_Carga!AA448,0)</f>
        <v/>
      </c>
      <c r="AC447" s="6">
        <f t="array" ref="AC447">IFERROR((L447-AVERAGEIF($G$2:$G$462,G447,$L$2:$L$462))/_xlfn.STDEV.P(IF($G$2:$G$462=G447,$L$2:$L$462)),0)</f>
        <v/>
      </c>
      <c r="AD447" s="6">
        <f t="array" ref="AD447">IFERROR((M447-AVERAGEIF($G$2:$G$462,G447,$M$2:$M$462))/_xlfn.STDEV.P(IF($G$2:$G$462=G447,$M$2:$M$462)),0)</f>
        <v/>
      </c>
      <c r="AE447" s="6">
        <f t="array" ref="AE447">IFERROR((N447-AVERAGEIF($G$2:$G$462,G447,$N$2:$N$462))/_xlfn.STDEV.P(IF($G$2:$G$462=G447,$N$2:$N$462)),0)</f>
        <v/>
      </c>
      <c r="AF447" s="6">
        <f t="array" ref="AF447">IFERROR((O447-AVERAGEIF($G$2:$G$462,G447,$O$2:$O$462))/_xlfn.STDEV.P(IF($G$2:$G$462=G447,$O$2:$O$462)),0)</f>
        <v/>
      </c>
      <c r="AG447" s="6">
        <f t="array" ref="AG447">IFERROR((P447-AVERAGEIF($G$2:$G$462,G447,$P$2:$P$462))/_xlfn.STDEV.P(IF($G$2:$G$462=G447,$P$2:$P$462)),0)</f>
        <v/>
      </c>
      <c r="AH447" s="6">
        <f t="array" ref="AH447">IFERROR((R447-AVERAGEIF($G$2:$G$462,G447,$R$2:$R$462))/_xlfn.STDEV.P(IF($G$2:$G$462=G447,$R$2:$R$462)),0)</f>
        <v/>
      </c>
      <c r="AI447" s="6">
        <f>IFERROR((AC447+AD447+AE447+AF447+AG447+AH447)/6,0)</f>
        <v/>
      </c>
    </row>
    <row r="448">
      <c r="A448" s="2">
        <f>IF(BD_Carga!A449&lt;&gt;"",BD_Carga!A449,"")</f>
        <v/>
      </c>
      <c r="B448">
        <f>IF(A448&lt;&gt;"",YEAR(A448),"")</f>
        <v/>
      </c>
      <c r="C448">
        <f>IF(A448&lt;&gt;"",MONTH(A448),"")</f>
        <v/>
      </c>
      <c r="D448">
        <f>IF(A448&lt;&gt;"",_xlfn.ISOWEEKNUM(A448),"")</f>
        <v/>
      </c>
      <c r="E448">
        <f>IF(A448&lt;&gt;"",TEXT(A448,"dddd"),"")</f>
        <v/>
      </c>
      <c r="F448">
        <f>IF(BD_Carga!C449&lt;&gt;"",BD_Carga!C449,"")</f>
        <v/>
      </c>
      <c r="G448">
        <f>IF(BD_Carga!D449&lt;&gt;"",BD_Carga!D449,"")</f>
        <v/>
      </c>
      <c r="H448">
        <f>IF(BD_Carga!Q449&lt;&gt;"",BD_Carga!Q449,"")</f>
        <v/>
      </c>
      <c r="I448">
        <f>IF(BD_Carga!R449&lt;&gt;"",BD_Carga!R449,"")</f>
        <v/>
      </c>
      <c r="J448">
        <f>IF(BD_Carga!S449&lt;&gt;"",BD_Carga!S449,"")</f>
        <v/>
      </c>
      <c r="K448" s="4">
        <f>IF(BD_Carga!E449&lt;&gt;"",BD_Carga!E449,0)</f>
        <v/>
      </c>
      <c r="L448" s="4">
        <f>IF(BD_Carga!F449&lt;&gt;"",BD_Carga!F449,0)</f>
        <v/>
      </c>
      <c r="M448" s="4">
        <f>IF(BD_Carga!G449&lt;&gt;"",BD_Carga!G449,0)</f>
        <v/>
      </c>
      <c r="N448" s="4">
        <f>IF(BD_Carga!H449&lt;&gt;"",BD_Carga!H449,0)</f>
        <v/>
      </c>
      <c r="O448" s="4">
        <f>IF(BD_Carga!I449&lt;&gt;"",BD_Carga!I449,0)</f>
        <v/>
      </c>
      <c r="P448" s="4">
        <f>IF(BD_Carga!J449&lt;&gt;"",BD_Carga!J449,0)</f>
        <v/>
      </c>
      <c r="Q448" s="5">
        <f>IF(BD_Carga!K449&lt;&gt;"",BD_Carga!K449,0)</f>
        <v/>
      </c>
      <c r="R448" s="5">
        <f>IF(BD_Carga!L449&lt;&gt;"",BD_Carga!L449,0)</f>
        <v/>
      </c>
      <c r="S448">
        <f>IF(BD_Carga!N449&lt;&gt;"",BD_Carga!N449,0)</f>
        <v/>
      </c>
      <c r="T448">
        <f>IF(BD_Carga!O449&lt;&gt;"",BD_Carga!O449,0)</f>
        <v/>
      </c>
      <c r="U448">
        <f>IF(BD_Carga!P449&lt;&gt;"",BD_Carga!P449,0)</f>
        <v/>
      </c>
      <c r="V448">
        <f>IF(BD_Carga!U449&lt;&gt;"",BD_Carga!U449,0)</f>
        <v/>
      </c>
      <c r="W448">
        <f>IF(BD_Carga!T449&lt;&gt;"",BD_Carga!T449,0)</f>
        <v/>
      </c>
      <c r="X448">
        <f>IF(BD_Carga!W449&lt;&gt;"",BD_Carga!W449,0)</f>
        <v/>
      </c>
      <c r="Y448">
        <f>IF(BD_Carga!X449&lt;&gt;"",BD_Carga!X449,0)</f>
        <v/>
      </c>
      <c r="Z448">
        <f>IF(BD_Carga!Y449&lt;&gt;"",BD_Carga!Y449,0)</f>
        <v/>
      </c>
      <c r="AA448">
        <f>IF(BD_Carga!Z449&lt;&gt;"",BD_Carga!Z449,0)</f>
        <v/>
      </c>
      <c r="AB448">
        <f>IF(BD_Carga!AA449&lt;&gt;"",BD_Carga!AA449,0)</f>
        <v/>
      </c>
      <c r="AC448" s="6">
        <f t="array" ref="AC448">IFERROR((L448-AVERAGEIF($G$2:$G$462,G448,$L$2:$L$462))/_xlfn.STDEV.P(IF($G$2:$G$462=G448,$L$2:$L$462)),0)</f>
        <v/>
      </c>
      <c r="AD448" s="6">
        <f t="array" ref="AD448">IFERROR((M448-AVERAGEIF($G$2:$G$462,G448,$M$2:$M$462))/_xlfn.STDEV.P(IF($G$2:$G$462=G448,$M$2:$M$462)),0)</f>
        <v/>
      </c>
      <c r="AE448" s="6">
        <f t="array" ref="AE448">IFERROR((N448-AVERAGEIF($G$2:$G$462,G448,$N$2:$N$462))/_xlfn.STDEV.P(IF($G$2:$G$462=G448,$N$2:$N$462)),0)</f>
        <v/>
      </c>
      <c r="AF448" s="6">
        <f t="array" ref="AF448">IFERROR((O448-AVERAGEIF($G$2:$G$462,G448,$O$2:$O$462))/_xlfn.STDEV.P(IF($G$2:$G$462=G448,$O$2:$O$462)),0)</f>
        <v/>
      </c>
      <c r="AG448" s="6">
        <f t="array" ref="AG448">IFERROR((P448-AVERAGEIF($G$2:$G$462,G448,$P$2:$P$462))/_xlfn.STDEV.P(IF($G$2:$G$462=G448,$P$2:$P$462)),0)</f>
        <v/>
      </c>
      <c r="AH448" s="6">
        <f t="array" ref="AH448">IFERROR((R448-AVERAGEIF($G$2:$G$462,G448,$R$2:$R$462))/_xlfn.STDEV.P(IF($G$2:$G$462=G448,$R$2:$R$462)),0)</f>
        <v/>
      </c>
      <c r="AI448" s="6">
        <f>IFERROR((AC448+AD448+AE448+AF448+AG448+AH448)/6,0)</f>
        <v/>
      </c>
    </row>
    <row r="449">
      <c r="A449" s="2">
        <f>IF(BD_Carga!A450&lt;&gt;"",BD_Carga!A450,"")</f>
        <v/>
      </c>
      <c r="B449">
        <f>IF(A449&lt;&gt;"",YEAR(A449),"")</f>
        <v/>
      </c>
      <c r="C449">
        <f>IF(A449&lt;&gt;"",MONTH(A449),"")</f>
        <v/>
      </c>
      <c r="D449">
        <f>IF(A449&lt;&gt;"",_xlfn.ISOWEEKNUM(A449),"")</f>
        <v/>
      </c>
      <c r="E449">
        <f>IF(A449&lt;&gt;"",TEXT(A449,"dddd"),"")</f>
        <v/>
      </c>
      <c r="F449">
        <f>IF(BD_Carga!C450&lt;&gt;"",BD_Carga!C450,"")</f>
        <v/>
      </c>
      <c r="G449">
        <f>IF(BD_Carga!D450&lt;&gt;"",BD_Carga!D450,"")</f>
        <v/>
      </c>
      <c r="H449">
        <f>IF(BD_Carga!Q450&lt;&gt;"",BD_Carga!Q450,"")</f>
        <v/>
      </c>
      <c r="I449">
        <f>IF(BD_Carga!R450&lt;&gt;"",BD_Carga!R450,"")</f>
        <v/>
      </c>
      <c r="J449">
        <f>IF(BD_Carga!S450&lt;&gt;"",BD_Carga!S450,"")</f>
        <v/>
      </c>
      <c r="K449" s="4">
        <f>IF(BD_Carga!E450&lt;&gt;"",BD_Carga!E450,0)</f>
        <v/>
      </c>
      <c r="L449" s="4">
        <f>IF(BD_Carga!F450&lt;&gt;"",BD_Carga!F450,0)</f>
        <v/>
      </c>
      <c r="M449" s="4">
        <f>IF(BD_Carga!G450&lt;&gt;"",BD_Carga!G450,0)</f>
        <v/>
      </c>
      <c r="N449" s="4">
        <f>IF(BD_Carga!H450&lt;&gt;"",BD_Carga!H450,0)</f>
        <v/>
      </c>
      <c r="O449" s="4">
        <f>IF(BD_Carga!I450&lt;&gt;"",BD_Carga!I450,0)</f>
        <v/>
      </c>
      <c r="P449" s="4">
        <f>IF(BD_Carga!J450&lt;&gt;"",BD_Carga!J450,0)</f>
        <v/>
      </c>
      <c r="Q449" s="5">
        <f>IF(BD_Carga!K450&lt;&gt;"",BD_Carga!K450,0)</f>
        <v/>
      </c>
      <c r="R449" s="5">
        <f>IF(BD_Carga!L450&lt;&gt;"",BD_Carga!L450,0)</f>
        <v/>
      </c>
      <c r="S449">
        <f>IF(BD_Carga!N450&lt;&gt;"",BD_Carga!N450,0)</f>
        <v/>
      </c>
      <c r="T449">
        <f>IF(BD_Carga!O450&lt;&gt;"",BD_Carga!O450,0)</f>
        <v/>
      </c>
      <c r="U449">
        <f>IF(BD_Carga!P450&lt;&gt;"",BD_Carga!P450,0)</f>
        <v/>
      </c>
      <c r="V449">
        <f>IF(BD_Carga!U450&lt;&gt;"",BD_Carga!U450,0)</f>
        <v/>
      </c>
      <c r="W449">
        <f>IF(BD_Carga!T450&lt;&gt;"",BD_Carga!T450,0)</f>
        <v/>
      </c>
      <c r="X449">
        <f>IF(BD_Carga!W450&lt;&gt;"",BD_Carga!W450,0)</f>
        <v/>
      </c>
      <c r="Y449">
        <f>IF(BD_Carga!X450&lt;&gt;"",BD_Carga!X450,0)</f>
        <v/>
      </c>
      <c r="Z449">
        <f>IF(BD_Carga!Y450&lt;&gt;"",BD_Carga!Y450,0)</f>
        <v/>
      </c>
      <c r="AA449">
        <f>IF(BD_Carga!Z450&lt;&gt;"",BD_Carga!Z450,0)</f>
        <v/>
      </c>
      <c r="AB449">
        <f>IF(BD_Carga!AA450&lt;&gt;"",BD_Carga!AA450,0)</f>
        <v/>
      </c>
      <c r="AC449" s="6">
        <f t="array" ref="AC449">IFERROR((L449-AVERAGEIF($G$2:$G$462,G449,$L$2:$L$462))/_xlfn.STDEV.P(IF($G$2:$G$462=G449,$L$2:$L$462)),0)</f>
        <v/>
      </c>
      <c r="AD449" s="6">
        <f t="array" ref="AD449">IFERROR((M449-AVERAGEIF($G$2:$G$462,G449,$M$2:$M$462))/_xlfn.STDEV.P(IF($G$2:$G$462=G449,$M$2:$M$462)),0)</f>
        <v/>
      </c>
      <c r="AE449" s="6">
        <f t="array" ref="AE449">IFERROR((N449-AVERAGEIF($G$2:$G$462,G449,$N$2:$N$462))/_xlfn.STDEV.P(IF($G$2:$G$462=G449,$N$2:$N$462)),0)</f>
        <v/>
      </c>
      <c r="AF449" s="6">
        <f t="array" ref="AF449">IFERROR((O449-AVERAGEIF($G$2:$G$462,G449,$O$2:$O$462))/_xlfn.STDEV.P(IF($G$2:$G$462=G449,$O$2:$O$462)),0)</f>
        <v/>
      </c>
      <c r="AG449" s="6">
        <f t="array" ref="AG449">IFERROR((P449-AVERAGEIF($G$2:$G$462,G449,$P$2:$P$462))/_xlfn.STDEV.P(IF($G$2:$G$462=G449,$P$2:$P$462)),0)</f>
        <v/>
      </c>
      <c r="AH449" s="6">
        <f t="array" ref="AH449">IFERROR((R449-AVERAGEIF($G$2:$G$462,G449,$R$2:$R$462))/_xlfn.STDEV.P(IF($G$2:$G$462=G449,$R$2:$R$462)),0)</f>
        <v/>
      </c>
      <c r="AI449" s="6">
        <f>IFERROR((AC449+AD449+AE449+AF449+AG449+AH449)/6,0)</f>
        <v/>
      </c>
    </row>
    <row r="450">
      <c r="A450" s="2">
        <f>IF(BD_Carga!A451&lt;&gt;"",BD_Carga!A451,"")</f>
        <v/>
      </c>
      <c r="B450">
        <f>IF(A450&lt;&gt;"",YEAR(A450),"")</f>
        <v/>
      </c>
      <c r="C450">
        <f>IF(A450&lt;&gt;"",MONTH(A450),"")</f>
        <v/>
      </c>
      <c r="D450">
        <f>IF(A450&lt;&gt;"",_xlfn.ISOWEEKNUM(A450),"")</f>
        <v/>
      </c>
      <c r="E450">
        <f>IF(A450&lt;&gt;"",TEXT(A450,"dddd"),"")</f>
        <v/>
      </c>
      <c r="F450">
        <f>IF(BD_Carga!C451&lt;&gt;"",BD_Carga!C451,"")</f>
        <v/>
      </c>
      <c r="G450">
        <f>IF(BD_Carga!D451&lt;&gt;"",BD_Carga!D451,"")</f>
        <v/>
      </c>
      <c r="H450">
        <f>IF(BD_Carga!Q451&lt;&gt;"",BD_Carga!Q451,"")</f>
        <v/>
      </c>
      <c r="I450">
        <f>IF(BD_Carga!R451&lt;&gt;"",BD_Carga!R451,"")</f>
        <v/>
      </c>
      <c r="J450">
        <f>IF(BD_Carga!S451&lt;&gt;"",BD_Carga!S451,"")</f>
        <v/>
      </c>
      <c r="K450" s="4">
        <f>IF(BD_Carga!E451&lt;&gt;"",BD_Carga!E451,0)</f>
        <v/>
      </c>
      <c r="L450" s="4">
        <f>IF(BD_Carga!F451&lt;&gt;"",BD_Carga!F451,0)</f>
        <v/>
      </c>
      <c r="M450" s="4">
        <f>IF(BD_Carga!G451&lt;&gt;"",BD_Carga!G451,0)</f>
        <v/>
      </c>
      <c r="N450" s="4">
        <f>IF(BD_Carga!H451&lt;&gt;"",BD_Carga!H451,0)</f>
        <v/>
      </c>
      <c r="O450" s="4">
        <f>IF(BD_Carga!I451&lt;&gt;"",BD_Carga!I451,0)</f>
        <v/>
      </c>
      <c r="P450" s="4">
        <f>IF(BD_Carga!J451&lt;&gt;"",BD_Carga!J451,0)</f>
        <v/>
      </c>
      <c r="Q450" s="5">
        <f>IF(BD_Carga!K451&lt;&gt;"",BD_Carga!K451,0)</f>
        <v/>
      </c>
      <c r="R450" s="5">
        <f>IF(BD_Carga!L451&lt;&gt;"",BD_Carga!L451,0)</f>
        <v/>
      </c>
      <c r="S450">
        <f>IF(BD_Carga!N451&lt;&gt;"",BD_Carga!N451,0)</f>
        <v/>
      </c>
      <c r="T450">
        <f>IF(BD_Carga!O451&lt;&gt;"",BD_Carga!O451,0)</f>
        <v/>
      </c>
      <c r="U450">
        <f>IF(BD_Carga!P451&lt;&gt;"",BD_Carga!P451,0)</f>
        <v/>
      </c>
      <c r="V450">
        <f>IF(BD_Carga!U451&lt;&gt;"",BD_Carga!U451,0)</f>
        <v/>
      </c>
      <c r="W450">
        <f>IF(BD_Carga!T451&lt;&gt;"",BD_Carga!T451,0)</f>
        <v/>
      </c>
      <c r="X450">
        <f>IF(BD_Carga!W451&lt;&gt;"",BD_Carga!W451,0)</f>
        <v/>
      </c>
      <c r="Y450">
        <f>IF(BD_Carga!X451&lt;&gt;"",BD_Carga!X451,0)</f>
        <v/>
      </c>
      <c r="Z450">
        <f>IF(BD_Carga!Y451&lt;&gt;"",BD_Carga!Y451,0)</f>
        <v/>
      </c>
      <c r="AA450">
        <f>IF(BD_Carga!Z451&lt;&gt;"",BD_Carga!Z451,0)</f>
        <v/>
      </c>
      <c r="AB450">
        <f>IF(BD_Carga!AA451&lt;&gt;"",BD_Carga!AA451,0)</f>
        <v/>
      </c>
      <c r="AC450" s="6">
        <f t="array" ref="AC450">IFERROR((L450-AVERAGEIF($G$2:$G$462,G450,$L$2:$L$462))/_xlfn.STDEV.P(IF($G$2:$G$462=G450,$L$2:$L$462)),0)</f>
        <v/>
      </c>
      <c r="AD450" s="6">
        <f t="array" ref="AD450">IFERROR((M450-AVERAGEIF($G$2:$G$462,G450,$M$2:$M$462))/_xlfn.STDEV.P(IF($G$2:$G$462=G450,$M$2:$M$462)),0)</f>
        <v/>
      </c>
      <c r="AE450" s="6">
        <f t="array" ref="AE450">IFERROR((N450-AVERAGEIF($G$2:$G$462,G450,$N$2:$N$462))/_xlfn.STDEV.P(IF($G$2:$G$462=G450,$N$2:$N$462)),0)</f>
        <v/>
      </c>
      <c r="AF450" s="6">
        <f t="array" ref="AF450">IFERROR((O450-AVERAGEIF($G$2:$G$462,G450,$O$2:$O$462))/_xlfn.STDEV.P(IF($G$2:$G$462=G450,$O$2:$O$462)),0)</f>
        <v/>
      </c>
      <c r="AG450" s="6">
        <f t="array" ref="AG450">IFERROR((P450-AVERAGEIF($G$2:$G$462,G450,$P$2:$P$462))/_xlfn.STDEV.P(IF($G$2:$G$462=G450,$P$2:$P$462)),0)</f>
        <v/>
      </c>
      <c r="AH450" s="6">
        <f t="array" ref="AH450">IFERROR((R450-AVERAGEIF($G$2:$G$462,G450,$R$2:$R$462))/_xlfn.STDEV.P(IF($G$2:$G$462=G450,$R$2:$R$462)),0)</f>
        <v/>
      </c>
      <c r="AI450" s="6">
        <f>IFERROR((AC450+AD450+AE450+AF450+AG450+AH450)/6,0)</f>
        <v/>
      </c>
    </row>
    <row r="451">
      <c r="A451" s="2">
        <f>IF(BD_Carga!A452&lt;&gt;"",BD_Carga!A452,"")</f>
        <v/>
      </c>
      <c r="B451">
        <f>IF(A451&lt;&gt;"",YEAR(A451),"")</f>
        <v/>
      </c>
      <c r="C451">
        <f>IF(A451&lt;&gt;"",MONTH(A451),"")</f>
        <v/>
      </c>
      <c r="D451">
        <f>IF(A451&lt;&gt;"",_xlfn.ISOWEEKNUM(A451),"")</f>
        <v/>
      </c>
      <c r="E451">
        <f>IF(A451&lt;&gt;"",TEXT(A451,"dddd"),"")</f>
        <v/>
      </c>
      <c r="F451">
        <f>IF(BD_Carga!C452&lt;&gt;"",BD_Carga!C452,"")</f>
        <v/>
      </c>
      <c r="G451">
        <f>IF(BD_Carga!D452&lt;&gt;"",BD_Carga!D452,"")</f>
        <v/>
      </c>
      <c r="H451">
        <f>IF(BD_Carga!Q452&lt;&gt;"",BD_Carga!Q452,"")</f>
        <v/>
      </c>
      <c r="I451">
        <f>IF(BD_Carga!R452&lt;&gt;"",BD_Carga!R452,"")</f>
        <v/>
      </c>
      <c r="J451">
        <f>IF(BD_Carga!S452&lt;&gt;"",BD_Carga!S452,"")</f>
        <v/>
      </c>
      <c r="K451" s="4">
        <f>IF(BD_Carga!E452&lt;&gt;"",BD_Carga!E452,0)</f>
        <v/>
      </c>
      <c r="L451" s="4">
        <f>IF(BD_Carga!F452&lt;&gt;"",BD_Carga!F452,0)</f>
        <v/>
      </c>
      <c r="M451" s="4">
        <f>IF(BD_Carga!G452&lt;&gt;"",BD_Carga!G452,0)</f>
        <v/>
      </c>
      <c r="N451" s="4">
        <f>IF(BD_Carga!H452&lt;&gt;"",BD_Carga!H452,0)</f>
        <v/>
      </c>
      <c r="O451" s="4">
        <f>IF(BD_Carga!I452&lt;&gt;"",BD_Carga!I452,0)</f>
        <v/>
      </c>
      <c r="P451" s="4">
        <f>IF(BD_Carga!J452&lt;&gt;"",BD_Carga!J452,0)</f>
        <v/>
      </c>
      <c r="Q451" s="5">
        <f>IF(BD_Carga!K452&lt;&gt;"",BD_Carga!K452,0)</f>
        <v/>
      </c>
      <c r="R451" s="5">
        <f>IF(BD_Carga!L452&lt;&gt;"",BD_Carga!L452,0)</f>
        <v/>
      </c>
      <c r="S451">
        <f>IF(BD_Carga!N452&lt;&gt;"",BD_Carga!N452,0)</f>
        <v/>
      </c>
      <c r="T451">
        <f>IF(BD_Carga!O452&lt;&gt;"",BD_Carga!O452,0)</f>
        <v/>
      </c>
      <c r="U451">
        <f>IF(BD_Carga!P452&lt;&gt;"",BD_Carga!P452,0)</f>
        <v/>
      </c>
      <c r="V451">
        <f>IF(BD_Carga!U452&lt;&gt;"",BD_Carga!U452,0)</f>
        <v/>
      </c>
      <c r="W451">
        <f>IF(BD_Carga!T452&lt;&gt;"",BD_Carga!T452,0)</f>
        <v/>
      </c>
      <c r="X451">
        <f>IF(BD_Carga!W452&lt;&gt;"",BD_Carga!W452,0)</f>
        <v/>
      </c>
      <c r="Y451">
        <f>IF(BD_Carga!X452&lt;&gt;"",BD_Carga!X452,0)</f>
        <v/>
      </c>
      <c r="Z451">
        <f>IF(BD_Carga!Y452&lt;&gt;"",BD_Carga!Y452,0)</f>
        <v/>
      </c>
      <c r="AA451">
        <f>IF(BD_Carga!Z452&lt;&gt;"",BD_Carga!Z452,0)</f>
        <v/>
      </c>
      <c r="AB451">
        <f>IF(BD_Carga!AA452&lt;&gt;"",BD_Carga!AA452,0)</f>
        <v/>
      </c>
      <c r="AC451" s="6">
        <f t="array" ref="AC451">IFERROR((L451-AVERAGEIF($G$2:$G$462,G451,$L$2:$L$462))/_xlfn.STDEV.P(IF($G$2:$G$462=G451,$L$2:$L$462)),0)</f>
        <v/>
      </c>
      <c r="AD451" s="6">
        <f t="array" ref="AD451">IFERROR((M451-AVERAGEIF($G$2:$G$462,G451,$M$2:$M$462))/_xlfn.STDEV.P(IF($G$2:$G$462=G451,$M$2:$M$462)),0)</f>
        <v/>
      </c>
      <c r="AE451" s="6">
        <f t="array" ref="AE451">IFERROR((N451-AVERAGEIF($G$2:$G$462,G451,$N$2:$N$462))/_xlfn.STDEV.P(IF($G$2:$G$462=G451,$N$2:$N$462)),0)</f>
        <v/>
      </c>
      <c r="AF451" s="6">
        <f t="array" ref="AF451">IFERROR((O451-AVERAGEIF($G$2:$G$462,G451,$O$2:$O$462))/_xlfn.STDEV.P(IF($G$2:$G$462=G451,$O$2:$O$462)),0)</f>
        <v/>
      </c>
      <c r="AG451" s="6">
        <f t="array" ref="AG451">IFERROR((P451-AVERAGEIF($G$2:$G$462,G451,$P$2:$P$462))/_xlfn.STDEV.P(IF($G$2:$G$462=G451,$P$2:$P$462)),0)</f>
        <v/>
      </c>
      <c r="AH451" s="6">
        <f t="array" ref="AH451">IFERROR((R451-AVERAGEIF($G$2:$G$462,G451,$R$2:$R$462))/_xlfn.STDEV.P(IF($G$2:$G$462=G451,$R$2:$R$462)),0)</f>
        <v/>
      </c>
      <c r="AI451" s="6">
        <f>IFERROR((AC451+AD451+AE451+AF451+AG451+AH451)/6,0)</f>
        <v/>
      </c>
    </row>
    <row r="452">
      <c r="A452" s="2">
        <f>IF(BD_Carga!A453&lt;&gt;"",BD_Carga!A453,"")</f>
        <v/>
      </c>
      <c r="B452">
        <f>IF(A452&lt;&gt;"",YEAR(A452),"")</f>
        <v/>
      </c>
      <c r="C452">
        <f>IF(A452&lt;&gt;"",MONTH(A452),"")</f>
        <v/>
      </c>
      <c r="D452">
        <f>IF(A452&lt;&gt;"",_xlfn.ISOWEEKNUM(A452),"")</f>
        <v/>
      </c>
      <c r="E452">
        <f>IF(A452&lt;&gt;"",TEXT(A452,"dddd"),"")</f>
        <v/>
      </c>
      <c r="F452">
        <f>IF(BD_Carga!C453&lt;&gt;"",BD_Carga!C453,"")</f>
        <v/>
      </c>
      <c r="G452">
        <f>IF(BD_Carga!D453&lt;&gt;"",BD_Carga!D453,"")</f>
        <v/>
      </c>
      <c r="H452">
        <f>IF(BD_Carga!Q453&lt;&gt;"",BD_Carga!Q453,"")</f>
        <v/>
      </c>
      <c r="I452">
        <f>IF(BD_Carga!R453&lt;&gt;"",BD_Carga!R453,"")</f>
        <v/>
      </c>
      <c r="J452">
        <f>IF(BD_Carga!S453&lt;&gt;"",BD_Carga!S453,"")</f>
        <v/>
      </c>
      <c r="K452" s="4">
        <f>IF(BD_Carga!E453&lt;&gt;"",BD_Carga!E453,0)</f>
        <v/>
      </c>
      <c r="L452" s="4">
        <f>IF(BD_Carga!F453&lt;&gt;"",BD_Carga!F453,0)</f>
        <v/>
      </c>
      <c r="M452" s="4">
        <f>IF(BD_Carga!G453&lt;&gt;"",BD_Carga!G453,0)</f>
        <v/>
      </c>
      <c r="N452" s="4">
        <f>IF(BD_Carga!H453&lt;&gt;"",BD_Carga!H453,0)</f>
        <v/>
      </c>
      <c r="O452" s="4">
        <f>IF(BD_Carga!I453&lt;&gt;"",BD_Carga!I453,0)</f>
        <v/>
      </c>
      <c r="P452" s="4">
        <f>IF(BD_Carga!J453&lt;&gt;"",BD_Carga!J453,0)</f>
        <v/>
      </c>
      <c r="Q452" s="5">
        <f>IF(BD_Carga!K453&lt;&gt;"",BD_Carga!K453,0)</f>
        <v/>
      </c>
      <c r="R452" s="5">
        <f>IF(BD_Carga!L453&lt;&gt;"",BD_Carga!L453,0)</f>
        <v/>
      </c>
      <c r="S452">
        <f>IF(BD_Carga!N453&lt;&gt;"",BD_Carga!N453,0)</f>
        <v/>
      </c>
      <c r="T452">
        <f>IF(BD_Carga!O453&lt;&gt;"",BD_Carga!O453,0)</f>
        <v/>
      </c>
      <c r="U452">
        <f>IF(BD_Carga!P453&lt;&gt;"",BD_Carga!P453,0)</f>
        <v/>
      </c>
      <c r="V452">
        <f>IF(BD_Carga!U453&lt;&gt;"",BD_Carga!U453,0)</f>
        <v/>
      </c>
      <c r="W452">
        <f>IF(BD_Carga!T453&lt;&gt;"",BD_Carga!T453,0)</f>
        <v/>
      </c>
      <c r="X452">
        <f>IF(BD_Carga!W453&lt;&gt;"",BD_Carga!W453,0)</f>
        <v/>
      </c>
      <c r="Y452">
        <f>IF(BD_Carga!X453&lt;&gt;"",BD_Carga!X453,0)</f>
        <v/>
      </c>
      <c r="Z452">
        <f>IF(BD_Carga!Y453&lt;&gt;"",BD_Carga!Y453,0)</f>
        <v/>
      </c>
      <c r="AA452">
        <f>IF(BD_Carga!Z453&lt;&gt;"",BD_Carga!Z453,0)</f>
        <v/>
      </c>
      <c r="AB452">
        <f>IF(BD_Carga!AA453&lt;&gt;"",BD_Carga!AA453,0)</f>
        <v/>
      </c>
      <c r="AC452" s="6">
        <f t="array" ref="AC452">IFERROR((L452-AVERAGEIF($G$2:$G$462,G452,$L$2:$L$462))/_xlfn.STDEV.P(IF($G$2:$G$462=G452,$L$2:$L$462)),0)</f>
        <v/>
      </c>
      <c r="AD452" s="6">
        <f t="array" ref="AD452">IFERROR((M452-AVERAGEIF($G$2:$G$462,G452,$M$2:$M$462))/_xlfn.STDEV.P(IF($G$2:$G$462=G452,$M$2:$M$462)),0)</f>
        <v/>
      </c>
      <c r="AE452" s="6">
        <f t="array" ref="AE452">IFERROR((N452-AVERAGEIF($G$2:$G$462,G452,$N$2:$N$462))/_xlfn.STDEV.P(IF($G$2:$G$462=G452,$N$2:$N$462)),0)</f>
        <v/>
      </c>
      <c r="AF452" s="6">
        <f t="array" ref="AF452">IFERROR((O452-AVERAGEIF($G$2:$G$462,G452,$O$2:$O$462))/_xlfn.STDEV.P(IF($G$2:$G$462=G452,$O$2:$O$462)),0)</f>
        <v/>
      </c>
      <c r="AG452" s="6">
        <f t="array" ref="AG452">IFERROR((P452-AVERAGEIF($G$2:$G$462,G452,$P$2:$P$462))/_xlfn.STDEV.P(IF($G$2:$G$462=G452,$P$2:$P$462)),0)</f>
        <v/>
      </c>
      <c r="AH452" s="6">
        <f t="array" ref="AH452">IFERROR((R452-AVERAGEIF($G$2:$G$462,G452,$R$2:$R$462))/_xlfn.STDEV.P(IF($G$2:$G$462=G452,$R$2:$R$462)),0)</f>
        <v/>
      </c>
      <c r="AI452" s="6">
        <f>IFERROR((AC452+AD452+AE452+AF452+AG452+AH452)/6,0)</f>
        <v/>
      </c>
    </row>
    <row r="453">
      <c r="A453" s="2">
        <f>IF(BD_Carga!A454&lt;&gt;"",BD_Carga!A454,"")</f>
        <v/>
      </c>
      <c r="B453">
        <f>IF(A453&lt;&gt;"",YEAR(A453),"")</f>
        <v/>
      </c>
      <c r="C453">
        <f>IF(A453&lt;&gt;"",MONTH(A453),"")</f>
        <v/>
      </c>
      <c r="D453">
        <f>IF(A453&lt;&gt;"",_xlfn.ISOWEEKNUM(A453),"")</f>
        <v/>
      </c>
      <c r="E453">
        <f>IF(A453&lt;&gt;"",TEXT(A453,"dddd"),"")</f>
        <v/>
      </c>
      <c r="F453">
        <f>IF(BD_Carga!C454&lt;&gt;"",BD_Carga!C454,"")</f>
        <v/>
      </c>
      <c r="G453">
        <f>IF(BD_Carga!D454&lt;&gt;"",BD_Carga!D454,"")</f>
        <v/>
      </c>
      <c r="H453">
        <f>IF(BD_Carga!Q454&lt;&gt;"",BD_Carga!Q454,"")</f>
        <v/>
      </c>
      <c r="I453">
        <f>IF(BD_Carga!R454&lt;&gt;"",BD_Carga!R454,"")</f>
        <v/>
      </c>
      <c r="J453">
        <f>IF(BD_Carga!S454&lt;&gt;"",BD_Carga!S454,"")</f>
        <v/>
      </c>
      <c r="K453" s="4">
        <f>IF(BD_Carga!E454&lt;&gt;"",BD_Carga!E454,0)</f>
        <v/>
      </c>
      <c r="L453" s="4">
        <f>IF(BD_Carga!F454&lt;&gt;"",BD_Carga!F454,0)</f>
        <v/>
      </c>
      <c r="M453" s="4">
        <f>IF(BD_Carga!G454&lt;&gt;"",BD_Carga!G454,0)</f>
        <v/>
      </c>
      <c r="N453" s="4">
        <f>IF(BD_Carga!H454&lt;&gt;"",BD_Carga!H454,0)</f>
        <v/>
      </c>
      <c r="O453" s="4">
        <f>IF(BD_Carga!I454&lt;&gt;"",BD_Carga!I454,0)</f>
        <v/>
      </c>
      <c r="P453" s="4">
        <f>IF(BD_Carga!J454&lt;&gt;"",BD_Carga!J454,0)</f>
        <v/>
      </c>
      <c r="Q453" s="5">
        <f>IF(BD_Carga!K454&lt;&gt;"",BD_Carga!K454,0)</f>
        <v/>
      </c>
      <c r="R453" s="5">
        <f>IF(BD_Carga!L454&lt;&gt;"",BD_Carga!L454,0)</f>
        <v/>
      </c>
      <c r="S453">
        <f>IF(BD_Carga!N454&lt;&gt;"",BD_Carga!N454,0)</f>
        <v/>
      </c>
      <c r="T453">
        <f>IF(BD_Carga!O454&lt;&gt;"",BD_Carga!O454,0)</f>
        <v/>
      </c>
      <c r="U453">
        <f>IF(BD_Carga!P454&lt;&gt;"",BD_Carga!P454,0)</f>
        <v/>
      </c>
      <c r="V453">
        <f>IF(BD_Carga!U454&lt;&gt;"",BD_Carga!U454,0)</f>
        <v/>
      </c>
      <c r="W453">
        <f>IF(BD_Carga!T454&lt;&gt;"",BD_Carga!T454,0)</f>
        <v/>
      </c>
      <c r="X453">
        <f>IF(BD_Carga!W454&lt;&gt;"",BD_Carga!W454,0)</f>
        <v/>
      </c>
      <c r="Y453">
        <f>IF(BD_Carga!X454&lt;&gt;"",BD_Carga!X454,0)</f>
        <v/>
      </c>
      <c r="Z453">
        <f>IF(BD_Carga!Y454&lt;&gt;"",BD_Carga!Y454,0)</f>
        <v/>
      </c>
      <c r="AA453">
        <f>IF(BD_Carga!Z454&lt;&gt;"",BD_Carga!Z454,0)</f>
        <v/>
      </c>
      <c r="AB453">
        <f>IF(BD_Carga!AA454&lt;&gt;"",BD_Carga!AA454,0)</f>
        <v/>
      </c>
      <c r="AC453" s="6">
        <f t="array" ref="AC453">IFERROR((L453-AVERAGEIF($G$2:$G$462,G453,$L$2:$L$462))/_xlfn.STDEV.P(IF($G$2:$G$462=G453,$L$2:$L$462)),0)</f>
        <v/>
      </c>
      <c r="AD453" s="6">
        <f t="array" ref="AD453">IFERROR((M453-AVERAGEIF($G$2:$G$462,G453,$M$2:$M$462))/_xlfn.STDEV.P(IF($G$2:$G$462=G453,$M$2:$M$462)),0)</f>
        <v/>
      </c>
      <c r="AE453" s="6">
        <f t="array" ref="AE453">IFERROR((N453-AVERAGEIF($G$2:$G$462,G453,$N$2:$N$462))/_xlfn.STDEV.P(IF($G$2:$G$462=G453,$N$2:$N$462)),0)</f>
        <v/>
      </c>
      <c r="AF453" s="6">
        <f t="array" ref="AF453">IFERROR((O453-AVERAGEIF($G$2:$G$462,G453,$O$2:$O$462))/_xlfn.STDEV.P(IF($G$2:$G$462=G453,$O$2:$O$462)),0)</f>
        <v/>
      </c>
      <c r="AG453" s="6">
        <f t="array" ref="AG453">IFERROR((P453-AVERAGEIF($G$2:$G$462,G453,$P$2:$P$462))/_xlfn.STDEV.P(IF($G$2:$G$462=G453,$P$2:$P$462)),0)</f>
        <v/>
      </c>
      <c r="AH453" s="6">
        <f t="array" ref="AH453">IFERROR((R453-AVERAGEIF($G$2:$G$462,G453,$R$2:$R$462))/_xlfn.STDEV.P(IF($G$2:$G$462=G453,$R$2:$R$462)),0)</f>
        <v/>
      </c>
      <c r="AI453" s="6">
        <f>IFERROR((AC453+AD453+AE453+AF453+AG453+AH453)/6,0)</f>
        <v/>
      </c>
    </row>
    <row r="454">
      <c r="A454" s="2">
        <f>IF(BD_Carga!A455&lt;&gt;"",BD_Carga!A455,"")</f>
        <v/>
      </c>
      <c r="B454">
        <f>IF(A454&lt;&gt;"",YEAR(A454),"")</f>
        <v/>
      </c>
      <c r="C454">
        <f>IF(A454&lt;&gt;"",MONTH(A454),"")</f>
        <v/>
      </c>
      <c r="D454">
        <f>IF(A454&lt;&gt;"",_xlfn.ISOWEEKNUM(A454),"")</f>
        <v/>
      </c>
      <c r="E454">
        <f>IF(A454&lt;&gt;"",TEXT(A454,"dddd"),"")</f>
        <v/>
      </c>
      <c r="F454">
        <f>IF(BD_Carga!C455&lt;&gt;"",BD_Carga!C455,"")</f>
        <v/>
      </c>
      <c r="G454">
        <f>IF(BD_Carga!D455&lt;&gt;"",BD_Carga!D455,"")</f>
        <v/>
      </c>
      <c r="H454">
        <f>IF(BD_Carga!Q455&lt;&gt;"",BD_Carga!Q455,"")</f>
        <v/>
      </c>
      <c r="I454">
        <f>IF(BD_Carga!R455&lt;&gt;"",BD_Carga!R455,"")</f>
        <v/>
      </c>
      <c r="J454">
        <f>IF(BD_Carga!S455&lt;&gt;"",BD_Carga!S455,"")</f>
        <v/>
      </c>
      <c r="K454" s="4">
        <f>IF(BD_Carga!E455&lt;&gt;"",BD_Carga!E455,0)</f>
        <v/>
      </c>
      <c r="L454" s="4">
        <f>IF(BD_Carga!F455&lt;&gt;"",BD_Carga!F455,0)</f>
        <v/>
      </c>
      <c r="M454" s="4">
        <f>IF(BD_Carga!G455&lt;&gt;"",BD_Carga!G455,0)</f>
        <v/>
      </c>
      <c r="N454" s="4">
        <f>IF(BD_Carga!H455&lt;&gt;"",BD_Carga!H455,0)</f>
        <v/>
      </c>
      <c r="O454" s="4">
        <f>IF(BD_Carga!I455&lt;&gt;"",BD_Carga!I455,0)</f>
        <v/>
      </c>
      <c r="P454" s="4">
        <f>IF(BD_Carga!J455&lt;&gt;"",BD_Carga!J455,0)</f>
        <v/>
      </c>
      <c r="Q454" s="5">
        <f>IF(BD_Carga!K455&lt;&gt;"",BD_Carga!K455,0)</f>
        <v/>
      </c>
      <c r="R454" s="5">
        <f>IF(BD_Carga!L455&lt;&gt;"",BD_Carga!L455,0)</f>
        <v/>
      </c>
      <c r="S454">
        <f>IF(BD_Carga!N455&lt;&gt;"",BD_Carga!N455,0)</f>
        <v/>
      </c>
      <c r="T454">
        <f>IF(BD_Carga!O455&lt;&gt;"",BD_Carga!O455,0)</f>
        <v/>
      </c>
      <c r="U454">
        <f>IF(BD_Carga!P455&lt;&gt;"",BD_Carga!P455,0)</f>
        <v/>
      </c>
      <c r="V454">
        <f>IF(BD_Carga!U455&lt;&gt;"",BD_Carga!U455,0)</f>
        <v/>
      </c>
      <c r="W454">
        <f>IF(BD_Carga!T455&lt;&gt;"",BD_Carga!T455,0)</f>
        <v/>
      </c>
      <c r="X454">
        <f>IF(BD_Carga!W455&lt;&gt;"",BD_Carga!W455,0)</f>
        <v/>
      </c>
      <c r="Y454">
        <f>IF(BD_Carga!X455&lt;&gt;"",BD_Carga!X455,0)</f>
        <v/>
      </c>
      <c r="Z454">
        <f>IF(BD_Carga!Y455&lt;&gt;"",BD_Carga!Y455,0)</f>
        <v/>
      </c>
      <c r="AA454">
        <f>IF(BD_Carga!Z455&lt;&gt;"",BD_Carga!Z455,0)</f>
        <v/>
      </c>
      <c r="AB454">
        <f>IF(BD_Carga!AA455&lt;&gt;"",BD_Carga!AA455,0)</f>
        <v/>
      </c>
      <c r="AC454" s="6">
        <f t="array" ref="AC454">IFERROR((L454-AVERAGEIF($G$2:$G$462,G454,$L$2:$L$462))/_xlfn.STDEV.P(IF($G$2:$G$462=G454,$L$2:$L$462)),0)</f>
        <v/>
      </c>
      <c r="AD454" s="6">
        <f t="array" ref="AD454">IFERROR((M454-AVERAGEIF($G$2:$G$462,G454,$M$2:$M$462))/_xlfn.STDEV.P(IF($G$2:$G$462=G454,$M$2:$M$462)),0)</f>
        <v/>
      </c>
      <c r="AE454" s="6">
        <f t="array" ref="AE454">IFERROR((N454-AVERAGEIF($G$2:$G$462,G454,$N$2:$N$462))/_xlfn.STDEV.P(IF($G$2:$G$462=G454,$N$2:$N$462)),0)</f>
        <v/>
      </c>
      <c r="AF454" s="6">
        <f t="array" ref="AF454">IFERROR((O454-AVERAGEIF($G$2:$G$462,G454,$O$2:$O$462))/_xlfn.STDEV.P(IF($G$2:$G$462=G454,$O$2:$O$462)),0)</f>
        <v/>
      </c>
      <c r="AG454" s="6">
        <f t="array" ref="AG454">IFERROR((P454-AVERAGEIF($G$2:$G$462,G454,$P$2:$P$462))/_xlfn.STDEV.P(IF($G$2:$G$462=G454,$P$2:$P$462)),0)</f>
        <v/>
      </c>
      <c r="AH454" s="6">
        <f t="array" ref="AH454">IFERROR((R454-AVERAGEIF($G$2:$G$462,G454,$R$2:$R$462))/_xlfn.STDEV.P(IF($G$2:$G$462=G454,$R$2:$R$462)),0)</f>
        <v/>
      </c>
      <c r="AI454" s="6">
        <f>IFERROR((AC454+AD454+AE454+AF454+AG454+AH454)/6,0)</f>
        <v/>
      </c>
    </row>
    <row r="455">
      <c r="A455" s="2">
        <f>IF(BD_Carga!A456&lt;&gt;"",BD_Carga!A456,"")</f>
        <v/>
      </c>
      <c r="B455">
        <f>IF(A455&lt;&gt;"",YEAR(A455),"")</f>
        <v/>
      </c>
      <c r="C455">
        <f>IF(A455&lt;&gt;"",MONTH(A455),"")</f>
        <v/>
      </c>
      <c r="D455">
        <f>IF(A455&lt;&gt;"",_xlfn.ISOWEEKNUM(A455),"")</f>
        <v/>
      </c>
      <c r="E455">
        <f>IF(A455&lt;&gt;"",TEXT(A455,"dddd"),"")</f>
        <v/>
      </c>
      <c r="F455">
        <f>IF(BD_Carga!C456&lt;&gt;"",BD_Carga!C456,"")</f>
        <v/>
      </c>
      <c r="G455">
        <f>IF(BD_Carga!D456&lt;&gt;"",BD_Carga!D456,"")</f>
        <v/>
      </c>
      <c r="H455">
        <f>IF(BD_Carga!Q456&lt;&gt;"",BD_Carga!Q456,"")</f>
        <v/>
      </c>
      <c r="I455">
        <f>IF(BD_Carga!R456&lt;&gt;"",BD_Carga!R456,"")</f>
        <v/>
      </c>
      <c r="J455">
        <f>IF(BD_Carga!S456&lt;&gt;"",BD_Carga!S456,"")</f>
        <v/>
      </c>
      <c r="K455" s="4">
        <f>IF(BD_Carga!E456&lt;&gt;"",BD_Carga!E456,0)</f>
        <v/>
      </c>
      <c r="L455" s="4">
        <f>IF(BD_Carga!F456&lt;&gt;"",BD_Carga!F456,0)</f>
        <v/>
      </c>
      <c r="M455" s="4">
        <f>IF(BD_Carga!G456&lt;&gt;"",BD_Carga!G456,0)</f>
        <v/>
      </c>
      <c r="N455" s="4">
        <f>IF(BD_Carga!H456&lt;&gt;"",BD_Carga!H456,0)</f>
        <v/>
      </c>
      <c r="O455" s="4">
        <f>IF(BD_Carga!I456&lt;&gt;"",BD_Carga!I456,0)</f>
        <v/>
      </c>
      <c r="P455" s="4">
        <f>IF(BD_Carga!J456&lt;&gt;"",BD_Carga!J456,0)</f>
        <v/>
      </c>
      <c r="Q455" s="5">
        <f>IF(BD_Carga!K456&lt;&gt;"",BD_Carga!K456,0)</f>
        <v/>
      </c>
      <c r="R455" s="5">
        <f>IF(BD_Carga!L456&lt;&gt;"",BD_Carga!L456,0)</f>
        <v/>
      </c>
      <c r="S455">
        <f>IF(BD_Carga!N456&lt;&gt;"",BD_Carga!N456,0)</f>
        <v/>
      </c>
      <c r="T455">
        <f>IF(BD_Carga!O456&lt;&gt;"",BD_Carga!O456,0)</f>
        <v/>
      </c>
      <c r="U455">
        <f>IF(BD_Carga!P456&lt;&gt;"",BD_Carga!P456,0)</f>
        <v/>
      </c>
      <c r="V455">
        <f>IF(BD_Carga!U456&lt;&gt;"",BD_Carga!U456,0)</f>
        <v/>
      </c>
      <c r="W455">
        <f>IF(BD_Carga!T456&lt;&gt;"",BD_Carga!T456,0)</f>
        <v/>
      </c>
      <c r="X455">
        <f>IF(BD_Carga!W456&lt;&gt;"",BD_Carga!W456,0)</f>
        <v/>
      </c>
      <c r="Y455">
        <f>IF(BD_Carga!X456&lt;&gt;"",BD_Carga!X456,0)</f>
        <v/>
      </c>
      <c r="Z455">
        <f>IF(BD_Carga!Y456&lt;&gt;"",BD_Carga!Y456,0)</f>
        <v/>
      </c>
      <c r="AA455">
        <f>IF(BD_Carga!Z456&lt;&gt;"",BD_Carga!Z456,0)</f>
        <v/>
      </c>
      <c r="AB455">
        <f>IF(BD_Carga!AA456&lt;&gt;"",BD_Carga!AA456,0)</f>
        <v/>
      </c>
      <c r="AC455" s="6">
        <f t="array" ref="AC455">IFERROR((L455-AVERAGEIF($G$2:$G$462,G455,$L$2:$L$462))/_xlfn.STDEV.P(IF($G$2:$G$462=G455,$L$2:$L$462)),0)</f>
        <v/>
      </c>
      <c r="AD455" s="6">
        <f t="array" ref="AD455">IFERROR((M455-AVERAGEIF($G$2:$G$462,G455,$M$2:$M$462))/_xlfn.STDEV.P(IF($G$2:$G$462=G455,$M$2:$M$462)),0)</f>
        <v/>
      </c>
      <c r="AE455" s="6">
        <f t="array" ref="AE455">IFERROR((N455-AVERAGEIF($G$2:$G$462,G455,$N$2:$N$462))/_xlfn.STDEV.P(IF($G$2:$G$462=G455,$N$2:$N$462)),0)</f>
        <v/>
      </c>
      <c r="AF455" s="6">
        <f t="array" ref="AF455">IFERROR((O455-AVERAGEIF($G$2:$G$462,G455,$O$2:$O$462))/_xlfn.STDEV.P(IF($G$2:$G$462=G455,$O$2:$O$462)),0)</f>
        <v/>
      </c>
      <c r="AG455" s="6">
        <f t="array" ref="AG455">IFERROR((P455-AVERAGEIF($G$2:$G$462,G455,$P$2:$P$462))/_xlfn.STDEV.P(IF($G$2:$G$462=G455,$P$2:$P$462)),0)</f>
        <v/>
      </c>
      <c r="AH455" s="6">
        <f t="array" ref="AH455">IFERROR((R455-AVERAGEIF($G$2:$G$462,G455,$R$2:$R$462))/_xlfn.STDEV.P(IF($G$2:$G$462=G455,$R$2:$R$462)),0)</f>
        <v/>
      </c>
      <c r="AI455" s="6">
        <f>IFERROR((AC455+AD455+AE455+AF455+AG455+AH455)/6,0)</f>
        <v/>
      </c>
    </row>
    <row r="456">
      <c r="A456" s="2">
        <f>IF(BD_Carga!A457&lt;&gt;"",BD_Carga!A457,"")</f>
        <v/>
      </c>
      <c r="B456">
        <f>IF(A456&lt;&gt;"",YEAR(A456),"")</f>
        <v/>
      </c>
      <c r="C456">
        <f>IF(A456&lt;&gt;"",MONTH(A456),"")</f>
        <v/>
      </c>
      <c r="D456">
        <f>IF(A456&lt;&gt;"",_xlfn.ISOWEEKNUM(A456),"")</f>
        <v/>
      </c>
      <c r="E456">
        <f>IF(A456&lt;&gt;"",TEXT(A456,"dddd"),"")</f>
        <v/>
      </c>
      <c r="F456">
        <f>IF(BD_Carga!C457&lt;&gt;"",BD_Carga!C457,"")</f>
        <v/>
      </c>
      <c r="G456">
        <f>IF(BD_Carga!D457&lt;&gt;"",BD_Carga!D457,"")</f>
        <v/>
      </c>
      <c r="H456">
        <f>IF(BD_Carga!Q457&lt;&gt;"",BD_Carga!Q457,"")</f>
        <v/>
      </c>
      <c r="I456">
        <f>IF(BD_Carga!R457&lt;&gt;"",BD_Carga!R457,"")</f>
        <v/>
      </c>
      <c r="J456">
        <f>IF(BD_Carga!S457&lt;&gt;"",BD_Carga!S457,"")</f>
        <v/>
      </c>
      <c r="K456" s="4">
        <f>IF(BD_Carga!E457&lt;&gt;"",BD_Carga!E457,0)</f>
        <v/>
      </c>
      <c r="L456" s="4">
        <f>IF(BD_Carga!F457&lt;&gt;"",BD_Carga!F457,0)</f>
        <v/>
      </c>
      <c r="M456" s="4">
        <f>IF(BD_Carga!G457&lt;&gt;"",BD_Carga!G457,0)</f>
        <v/>
      </c>
      <c r="N456" s="4">
        <f>IF(BD_Carga!H457&lt;&gt;"",BD_Carga!H457,0)</f>
        <v/>
      </c>
      <c r="O456" s="4">
        <f>IF(BD_Carga!I457&lt;&gt;"",BD_Carga!I457,0)</f>
        <v/>
      </c>
      <c r="P456" s="4">
        <f>IF(BD_Carga!J457&lt;&gt;"",BD_Carga!J457,0)</f>
        <v/>
      </c>
      <c r="Q456" s="5">
        <f>IF(BD_Carga!K457&lt;&gt;"",BD_Carga!K457,0)</f>
        <v/>
      </c>
      <c r="R456" s="5">
        <f>IF(BD_Carga!L457&lt;&gt;"",BD_Carga!L457,0)</f>
        <v/>
      </c>
      <c r="S456">
        <f>IF(BD_Carga!N457&lt;&gt;"",BD_Carga!N457,0)</f>
        <v/>
      </c>
      <c r="T456">
        <f>IF(BD_Carga!O457&lt;&gt;"",BD_Carga!O457,0)</f>
        <v/>
      </c>
      <c r="U456">
        <f>IF(BD_Carga!P457&lt;&gt;"",BD_Carga!P457,0)</f>
        <v/>
      </c>
      <c r="V456">
        <f>IF(BD_Carga!U457&lt;&gt;"",BD_Carga!U457,0)</f>
        <v/>
      </c>
      <c r="W456">
        <f>IF(BD_Carga!T457&lt;&gt;"",BD_Carga!T457,0)</f>
        <v/>
      </c>
      <c r="X456">
        <f>IF(BD_Carga!W457&lt;&gt;"",BD_Carga!W457,0)</f>
        <v/>
      </c>
      <c r="Y456">
        <f>IF(BD_Carga!X457&lt;&gt;"",BD_Carga!X457,0)</f>
        <v/>
      </c>
      <c r="Z456">
        <f>IF(BD_Carga!Y457&lt;&gt;"",BD_Carga!Y457,0)</f>
        <v/>
      </c>
      <c r="AA456">
        <f>IF(BD_Carga!Z457&lt;&gt;"",BD_Carga!Z457,0)</f>
        <v/>
      </c>
      <c r="AB456">
        <f>IF(BD_Carga!AA457&lt;&gt;"",BD_Carga!AA457,0)</f>
        <v/>
      </c>
      <c r="AC456" s="6">
        <f t="array" ref="AC456">IFERROR((L456-AVERAGEIF($G$2:$G$462,G456,$L$2:$L$462))/_xlfn.STDEV.P(IF($G$2:$G$462=G456,$L$2:$L$462)),0)</f>
        <v/>
      </c>
      <c r="AD456" s="6">
        <f t="array" ref="AD456">IFERROR((M456-AVERAGEIF($G$2:$G$462,G456,$M$2:$M$462))/_xlfn.STDEV.P(IF($G$2:$G$462=G456,$M$2:$M$462)),0)</f>
        <v/>
      </c>
      <c r="AE456" s="6">
        <f t="array" ref="AE456">IFERROR((N456-AVERAGEIF($G$2:$G$462,G456,$N$2:$N$462))/_xlfn.STDEV.P(IF($G$2:$G$462=G456,$N$2:$N$462)),0)</f>
        <v/>
      </c>
      <c r="AF456" s="6">
        <f t="array" ref="AF456">IFERROR((O456-AVERAGEIF($G$2:$G$462,G456,$O$2:$O$462))/_xlfn.STDEV.P(IF($G$2:$G$462=G456,$O$2:$O$462)),0)</f>
        <v/>
      </c>
      <c r="AG456" s="6">
        <f t="array" ref="AG456">IFERROR((P456-AVERAGEIF($G$2:$G$462,G456,$P$2:$P$462))/_xlfn.STDEV.P(IF($G$2:$G$462=G456,$P$2:$P$462)),0)</f>
        <v/>
      </c>
      <c r="AH456" s="6">
        <f t="array" ref="AH456">IFERROR((R456-AVERAGEIF($G$2:$G$462,G456,$R$2:$R$462))/_xlfn.STDEV.P(IF($G$2:$G$462=G456,$R$2:$R$462)),0)</f>
        <v/>
      </c>
      <c r="AI456" s="6">
        <f>IFERROR((AC456+AD456+AE456+AF456+AG456+AH456)/6,0)</f>
        <v/>
      </c>
    </row>
    <row r="457">
      <c r="A457" s="2">
        <f>IF(BD_Carga!A458&lt;&gt;"",BD_Carga!A458,"")</f>
        <v/>
      </c>
      <c r="B457">
        <f>IF(A457&lt;&gt;"",YEAR(A457),"")</f>
        <v/>
      </c>
      <c r="C457">
        <f>IF(A457&lt;&gt;"",MONTH(A457),"")</f>
        <v/>
      </c>
      <c r="D457">
        <f>IF(A457&lt;&gt;"",_xlfn.ISOWEEKNUM(A457),"")</f>
        <v/>
      </c>
      <c r="E457">
        <f>IF(A457&lt;&gt;"",TEXT(A457,"dddd"),"")</f>
        <v/>
      </c>
      <c r="F457">
        <f>IF(BD_Carga!C458&lt;&gt;"",BD_Carga!C458,"")</f>
        <v/>
      </c>
      <c r="G457">
        <f>IF(BD_Carga!D458&lt;&gt;"",BD_Carga!D458,"")</f>
        <v/>
      </c>
      <c r="H457">
        <f>IF(BD_Carga!Q458&lt;&gt;"",BD_Carga!Q458,"")</f>
        <v/>
      </c>
      <c r="I457">
        <f>IF(BD_Carga!R458&lt;&gt;"",BD_Carga!R458,"")</f>
        <v/>
      </c>
      <c r="J457">
        <f>IF(BD_Carga!S458&lt;&gt;"",BD_Carga!S458,"")</f>
        <v/>
      </c>
      <c r="K457" s="4">
        <f>IF(BD_Carga!E458&lt;&gt;"",BD_Carga!E458,0)</f>
        <v/>
      </c>
      <c r="L457" s="4">
        <f>IF(BD_Carga!F458&lt;&gt;"",BD_Carga!F458,0)</f>
        <v/>
      </c>
      <c r="M457" s="4">
        <f>IF(BD_Carga!G458&lt;&gt;"",BD_Carga!G458,0)</f>
        <v/>
      </c>
      <c r="N457" s="4">
        <f>IF(BD_Carga!H458&lt;&gt;"",BD_Carga!H458,0)</f>
        <v/>
      </c>
      <c r="O457" s="4">
        <f>IF(BD_Carga!I458&lt;&gt;"",BD_Carga!I458,0)</f>
        <v/>
      </c>
      <c r="P457" s="4">
        <f>IF(BD_Carga!J458&lt;&gt;"",BD_Carga!J458,0)</f>
        <v/>
      </c>
      <c r="Q457" s="5">
        <f>IF(BD_Carga!K458&lt;&gt;"",BD_Carga!K458,0)</f>
        <v/>
      </c>
      <c r="R457" s="5">
        <f>IF(BD_Carga!L458&lt;&gt;"",BD_Carga!L458,0)</f>
        <v/>
      </c>
      <c r="S457">
        <f>IF(BD_Carga!N458&lt;&gt;"",BD_Carga!N458,0)</f>
        <v/>
      </c>
      <c r="T457">
        <f>IF(BD_Carga!O458&lt;&gt;"",BD_Carga!O458,0)</f>
        <v/>
      </c>
      <c r="U457">
        <f>IF(BD_Carga!P458&lt;&gt;"",BD_Carga!P458,0)</f>
        <v/>
      </c>
      <c r="V457">
        <f>IF(BD_Carga!U458&lt;&gt;"",BD_Carga!U458,0)</f>
        <v/>
      </c>
      <c r="W457">
        <f>IF(BD_Carga!T458&lt;&gt;"",BD_Carga!T458,0)</f>
        <v/>
      </c>
      <c r="X457">
        <f>IF(BD_Carga!W458&lt;&gt;"",BD_Carga!W458,0)</f>
        <v/>
      </c>
      <c r="Y457">
        <f>IF(BD_Carga!X458&lt;&gt;"",BD_Carga!X458,0)</f>
        <v/>
      </c>
      <c r="Z457">
        <f>IF(BD_Carga!Y458&lt;&gt;"",BD_Carga!Y458,0)</f>
        <v/>
      </c>
      <c r="AA457">
        <f>IF(BD_Carga!Z458&lt;&gt;"",BD_Carga!Z458,0)</f>
        <v/>
      </c>
      <c r="AB457">
        <f>IF(BD_Carga!AA458&lt;&gt;"",BD_Carga!AA458,0)</f>
        <v/>
      </c>
      <c r="AC457" s="6">
        <f t="array" ref="AC457">IFERROR((L457-AVERAGEIF($G$2:$G$462,G457,$L$2:$L$462))/_xlfn.STDEV.P(IF($G$2:$G$462=G457,$L$2:$L$462)),0)</f>
        <v/>
      </c>
      <c r="AD457" s="6">
        <f t="array" ref="AD457">IFERROR((M457-AVERAGEIF($G$2:$G$462,G457,$M$2:$M$462))/_xlfn.STDEV.P(IF($G$2:$G$462=G457,$M$2:$M$462)),0)</f>
        <v/>
      </c>
      <c r="AE457" s="6">
        <f t="array" ref="AE457">IFERROR((N457-AVERAGEIF($G$2:$G$462,G457,$N$2:$N$462))/_xlfn.STDEV.P(IF($G$2:$G$462=G457,$N$2:$N$462)),0)</f>
        <v/>
      </c>
      <c r="AF457" s="6">
        <f t="array" ref="AF457">IFERROR((O457-AVERAGEIF($G$2:$G$462,G457,$O$2:$O$462))/_xlfn.STDEV.P(IF($G$2:$G$462=G457,$O$2:$O$462)),0)</f>
        <v/>
      </c>
      <c r="AG457" s="6">
        <f t="array" ref="AG457">IFERROR((P457-AVERAGEIF($G$2:$G$462,G457,$P$2:$P$462))/_xlfn.STDEV.P(IF($G$2:$G$462=G457,$P$2:$P$462)),0)</f>
        <v/>
      </c>
      <c r="AH457" s="6">
        <f t="array" ref="AH457">IFERROR((R457-AVERAGEIF($G$2:$G$462,G457,$R$2:$R$462))/_xlfn.STDEV.P(IF($G$2:$G$462=G457,$R$2:$R$462)),0)</f>
        <v/>
      </c>
      <c r="AI457" s="6">
        <f>IFERROR((AC457+AD457+AE457+AF457+AG457+AH457)/6,0)</f>
        <v/>
      </c>
    </row>
    <row r="458">
      <c r="A458" s="2">
        <f>IF(BD_Carga!A459&lt;&gt;"",BD_Carga!A459,"")</f>
        <v/>
      </c>
      <c r="B458">
        <f>IF(A458&lt;&gt;"",YEAR(A458),"")</f>
        <v/>
      </c>
      <c r="C458">
        <f>IF(A458&lt;&gt;"",MONTH(A458),"")</f>
        <v/>
      </c>
      <c r="D458">
        <f>IF(A458&lt;&gt;"",_xlfn.ISOWEEKNUM(A458),"")</f>
        <v/>
      </c>
      <c r="E458">
        <f>IF(A458&lt;&gt;"",TEXT(A458,"dddd"),"")</f>
        <v/>
      </c>
      <c r="F458">
        <f>IF(BD_Carga!C459&lt;&gt;"",BD_Carga!C459,"")</f>
        <v/>
      </c>
      <c r="G458">
        <f>IF(BD_Carga!D459&lt;&gt;"",BD_Carga!D459,"")</f>
        <v/>
      </c>
      <c r="H458">
        <f>IF(BD_Carga!Q459&lt;&gt;"",BD_Carga!Q459,"")</f>
        <v/>
      </c>
      <c r="I458">
        <f>IF(BD_Carga!R459&lt;&gt;"",BD_Carga!R459,"")</f>
        <v/>
      </c>
      <c r="J458">
        <f>IF(BD_Carga!S459&lt;&gt;"",BD_Carga!S459,"")</f>
        <v/>
      </c>
      <c r="K458" s="4">
        <f>IF(BD_Carga!E459&lt;&gt;"",BD_Carga!E459,0)</f>
        <v/>
      </c>
      <c r="L458" s="4">
        <f>IF(BD_Carga!F459&lt;&gt;"",BD_Carga!F459,0)</f>
        <v/>
      </c>
      <c r="M458" s="4">
        <f>IF(BD_Carga!G459&lt;&gt;"",BD_Carga!G459,0)</f>
        <v/>
      </c>
      <c r="N458" s="4">
        <f>IF(BD_Carga!H459&lt;&gt;"",BD_Carga!H459,0)</f>
        <v/>
      </c>
      <c r="O458" s="4">
        <f>IF(BD_Carga!I459&lt;&gt;"",BD_Carga!I459,0)</f>
        <v/>
      </c>
      <c r="P458" s="4">
        <f>IF(BD_Carga!J459&lt;&gt;"",BD_Carga!J459,0)</f>
        <v/>
      </c>
      <c r="Q458" s="5">
        <f>IF(BD_Carga!K459&lt;&gt;"",BD_Carga!K459,0)</f>
        <v/>
      </c>
      <c r="R458" s="5">
        <f>IF(BD_Carga!L459&lt;&gt;"",BD_Carga!L459,0)</f>
        <v/>
      </c>
      <c r="S458">
        <f>IF(BD_Carga!N459&lt;&gt;"",BD_Carga!N459,0)</f>
        <v/>
      </c>
      <c r="T458">
        <f>IF(BD_Carga!O459&lt;&gt;"",BD_Carga!O459,0)</f>
        <v/>
      </c>
      <c r="U458">
        <f>IF(BD_Carga!P459&lt;&gt;"",BD_Carga!P459,0)</f>
        <v/>
      </c>
      <c r="V458">
        <f>IF(BD_Carga!U459&lt;&gt;"",BD_Carga!U459,0)</f>
        <v/>
      </c>
      <c r="W458">
        <f>IF(BD_Carga!T459&lt;&gt;"",BD_Carga!T459,0)</f>
        <v/>
      </c>
      <c r="X458">
        <f>IF(BD_Carga!W459&lt;&gt;"",BD_Carga!W459,0)</f>
        <v/>
      </c>
      <c r="Y458">
        <f>IF(BD_Carga!X459&lt;&gt;"",BD_Carga!X459,0)</f>
        <v/>
      </c>
      <c r="Z458">
        <f>IF(BD_Carga!Y459&lt;&gt;"",BD_Carga!Y459,0)</f>
        <v/>
      </c>
      <c r="AA458">
        <f>IF(BD_Carga!Z459&lt;&gt;"",BD_Carga!Z459,0)</f>
        <v/>
      </c>
      <c r="AB458">
        <f>IF(BD_Carga!AA459&lt;&gt;"",BD_Carga!AA459,0)</f>
        <v/>
      </c>
      <c r="AC458" s="6">
        <f t="array" ref="AC458">IFERROR((L458-AVERAGEIF($G$2:$G$462,G458,$L$2:$L$462))/_xlfn.STDEV.P(IF($G$2:$G$462=G458,$L$2:$L$462)),0)</f>
        <v/>
      </c>
      <c r="AD458" s="6">
        <f t="array" ref="AD458">IFERROR((M458-AVERAGEIF($G$2:$G$462,G458,$M$2:$M$462))/_xlfn.STDEV.P(IF($G$2:$G$462=G458,$M$2:$M$462)),0)</f>
        <v/>
      </c>
      <c r="AE458" s="6">
        <f t="array" ref="AE458">IFERROR((N458-AVERAGEIF($G$2:$G$462,G458,$N$2:$N$462))/_xlfn.STDEV.P(IF($G$2:$G$462=G458,$N$2:$N$462)),0)</f>
        <v/>
      </c>
      <c r="AF458" s="6">
        <f t="array" ref="AF458">IFERROR((O458-AVERAGEIF($G$2:$G$462,G458,$O$2:$O$462))/_xlfn.STDEV.P(IF($G$2:$G$462=G458,$O$2:$O$462)),0)</f>
        <v/>
      </c>
      <c r="AG458" s="6">
        <f t="array" ref="AG458">IFERROR((P458-AVERAGEIF($G$2:$G$462,G458,$P$2:$P$462))/_xlfn.STDEV.P(IF($G$2:$G$462=G458,$P$2:$P$462)),0)</f>
        <v/>
      </c>
      <c r="AH458" s="6">
        <f t="array" ref="AH458">IFERROR((R458-AVERAGEIF($G$2:$G$462,G458,$R$2:$R$462))/_xlfn.STDEV.P(IF($G$2:$G$462=G458,$R$2:$R$462)),0)</f>
        <v/>
      </c>
      <c r="AI458" s="6">
        <f>IFERROR((AC458+AD458+AE458+AF458+AG458+AH458)/6,0)</f>
        <v/>
      </c>
    </row>
    <row r="459">
      <c r="A459" s="2">
        <f>IF(BD_Carga!A460&lt;&gt;"",BD_Carga!A460,"")</f>
        <v/>
      </c>
      <c r="B459">
        <f>IF(A459&lt;&gt;"",YEAR(A459),"")</f>
        <v/>
      </c>
      <c r="C459">
        <f>IF(A459&lt;&gt;"",MONTH(A459),"")</f>
        <v/>
      </c>
      <c r="D459">
        <f>IF(A459&lt;&gt;"",_xlfn.ISOWEEKNUM(A459),"")</f>
        <v/>
      </c>
      <c r="E459">
        <f>IF(A459&lt;&gt;"",TEXT(A459,"dddd"),"")</f>
        <v/>
      </c>
      <c r="F459">
        <f>IF(BD_Carga!C460&lt;&gt;"",BD_Carga!C460,"")</f>
        <v/>
      </c>
      <c r="G459">
        <f>IF(BD_Carga!D460&lt;&gt;"",BD_Carga!D460,"")</f>
        <v/>
      </c>
      <c r="H459">
        <f>IF(BD_Carga!Q460&lt;&gt;"",BD_Carga!Q460,"")</f>
        <v/>
      </c>
      <c r="I459">
        <f>IF(BD_Carga!R460&lt;&gt;"",BD_Carga!R460,"")</f>
        <v/>
      </c>
      <c r="J459">
        <f>IF(BD_Carga!S460&lt;&gt;"",BD_Carga!S460,"")</f>
        <v/>
      </c>
      <c r="K459" s="4">
        <f>IF(BD_Carga!E460&lt;&gt;"",BD_Carga!E460,0)</f>
        <v/>
      </c>
      <c r="L459" s="4">
        <f>IF(BD_Carga!F460&lt;&gt;"",BD_Carga!F460,0)</f>
        <v/>
      </c>
      <c r="M459" s="4">
        <f>IF(BD_Carga!G460&lt;&gt;"",BD_Carga!G460,0)</f>
        <v/>
      </c>
      <c r="N459" s="4">
        <f>IF(BD_Carga!H460&lt;&gt;"",BD_Carga!H460,0)</f>
        <v/>
      </c>
      <c r="O459" s="4">
        <f>IF(BD_Carga!I460&lt;&gt;"",BD_Carga!I460,0)</f>
        <v/>
      </c>
      <c r="P459" s="4">
        <f>IF(BD_Carga!J460&lt;&gt;"",BD_Carga!J460,0)</f>
        <v/>
      </c>
      <c r="Q459" s="5">
        <f>IF(BD_Carga!K460&lt;&gt;"",BD_Carga!K460,0)</f>
        <v/>
      </c>
      <c r="R459" s="5">
        <f>IF(BD_Carga!L460&lt;&gt;"",BD_Carga!L460,0)</f>
        <v/>
      </c>
      <c r="S459">
        <f>IF(BD_Carga!N460&lt;&gt;"",BD_Carga!N460,0)</f>
        <v/>
      </c>
      <c r="T459">
        <f>IF(BD_Carga!O460&lt;&gt;"",BD_Carga!O460,0)</f>
        <v/>
      </c>
      <c r="U459">
        <f>IF(BD_Carga!P460&lt;&gt;"",BD_Carga!P460,0)</f>
        <v/>
      </c>
      <c r="V459">
        <f>IF(BD_Carga!U460&lt;&gt;"",BD_Carga!U460,0)</f>
        <v/>
      </c>
      <c r="W459">
        <f>IF(BD_Carga!T460&lt;&gt;"",BD_Carga!T460,0)</f>
        <v/>
      </c>
      <c r="X459">
        <f>IF(BD_Carga!W460&lt;&gt;"",BD_Carga!W460,0)</f>
        <v/>
      </c>
      <c r="Y459">
        <f>IF(BD_Carga!X460&lt;&gt;"",BD_Carga!X460,0)</f>
        <v/>
      </c>
      <c r="Z459">
        <f>IF(BD_Carga!Y460&lt;&gt;"",BD_Carga!Y460,0)</f>
        <v/>
      </c>
      <c r="AA459">
        <f>IF(BD_Carga!Z460&lt;&gt;"",BD_Carga!Z460,0)</f>
        <v/>
      </c>
      <c r="AB459">
        <f>IF(BD_Carga!AA460&lt;&gt;"",BD_Carga!AA460,0)</f>
        <v/>
      </c>
      <c r="AC459" s="6">
        <f t="array" ref="AC459">IFERROR((L459-AVERAGEIF($G$2:$G$462,G459,$L$2:$L$462))/_xlfn.STDEV.P(IF($G$2:$G$462=G459,$L$2:$L$462)),0)</f>
        <v/>
      </c>
      <c r="AD459" s="6">
        <f t="array" ref="AD459">IFERROR((M459-AVERAGEIF($G$2:$G$462,G459,$M$2:$M$462))/_xlfn.STDEV.P(IF($G$2:$G$462=G459,$M$2:$M$462)),0)</f>
        <v/>
      </c>
      <c r="AE459" s="6">
        <f t="array" ref="AE459">IFERROR((N459-AVERAGEIF($G$2:$G$462,G459,$N$2:$N$462))/_xlfn.STDEV.P(IF($G$2:$G$462=G459,$N$2:$N$462)),0)</f>
        <v/>
      </c>
      <c r="AF459" s="6">
        <f t="array" ref="AF459">IFERROR((O459-AVERAGEIF($G$2:$G$462,G459,$O$2:$O$462))/_xlfn.STDEV.P(IF($G$2:$G$462=G459,$O$2:$O$462)),0)</f>
        <v/>
      </c>
      <c r="AG459" s="6">
        <f t="array" ref="AG459">IFERROR((P459-AVERAGEIF($G$2:$G$462,G459,$P$2:$P$462))/_xlfn.STDEV.P(IF($G$2:$G$462=G459,$P$2:$P$462)),0)</f>
        <v/>
      </c>
      <c r="AH459" s="6">
        <f t="array" ref="AH459">IFERROR((R459-AVERAGEIF($G$2:$G$462,G459,$R$2:$R$462))/_xlfn.STDEV.P(IF($G$2:$G$462=G459,$R$2:$R$462)),0)</f>
        <v/>
      </c>
      <c r="AI459" s="6">
        <f>IFERROR((AC459+AD459+AE459+AF459+AG459+AH459)/6,0)</f>
        <v/>
      </c>
    </row>
    <row r="460">
      <c r="A460" s="2">
        <f>IF(BD_Carga!A461&lt;&gt;"",BD_Carga!A461,"")</f>
        <v/>
      </c>
      <c r="B460">
        <f>IF(A460&lt;&gt;"",YEAR(A460),"")</f>
        <v/>
      </c>
      <c r="C460">
        <f>IF(A460&lt;&gt;"",MONTH(A460),"")</f>
        <v/>
      </c>
      <c r="D460">
        <f>IF(A460&lt;&gt;"",_xlfn.ISOWEEKNUM(A460),"")</f>
        <v/>
      </c>
      <c r="E460">
        <f>IF(A460&lt;&gt;"",TEXT(A460,"dddd"),"")</f>
        <v/>
      </c>
      <c r="F460">
        <f>IF(BD_Carga!C461&lt;&gt;"",BD_Carga!C461,"")</f>
        <v/>
      </c>
      <c r="G460">
        <f>IF(BD_Carga!D461&lt;&gt;"",BD_Carga!D461,"")</f>
        <v/>
      </c>
      <c r="H460">
        <f>IF(BD_Carga!Q461&lt;&gt;"",BD_Carga!Q461,"")</f>
        <v/>
      </c>
      <c r="I460">
        <f>IF(BD_Carga!R461&lt;&gt;"",BD_Carga!R461,"")</f>
        <v/>
      </c>
      <c r="J460">
        <f>IF(BD_Carga!S461&lt;&gt;"",BD_Carga!S461,"")</f>
        <v/>
      </c>
      <c r="K460" s="4">
        <f>IF(BD_Carga!E461&lt;&gt;"",BD_Carga!E461,0)</f>
        <v/>
      </c>
      <c r="L460" s="4">
        <f>IF(BD_Carga!F461&lt;&gt;"",BD_Carga!F461,0)</f>
        <v/>
      </c>
      <c r="M460" s="4">
        <f>IF(BD_Carga!G461&lt;&gt;"",BD_Carga!G461,0)</f>
        <v/>
      </c>
      <c r="N460" s="4">
        <f>IF(BD_Carga!H461&lt;&gt;"",BD_Carga!H461,0)</f>
        <v/>
      </c>
      <c r="O460" s="4">
        <f>IF(BD_Carga!I461&lt;&gt;"",BD_Carga!I461,0)</f>
        <v/>
      </c>
      <c r="P460" s="4">
        <f>IF(BD_Carga!J461&lt;&gt;"",BD_Carga!J461,0)</f>
        <v/>
      </c>
      <c r="Q460" s="5">
        <f>IF(BD_Carga!K461&lt;&gt;"",BD_Carga!K461,0)</f>
        <v/>
      </c>
      <c r="R460" s="5">
        <f>IF(BD_Carga!L461&lt;&gt;"",BD_Carga!L461,0)</f>
        <v/>
      </c>
      <c r="S460">
        <f>IF(BD_Carga!N461&lt;&gt;"",BD_Carga!N461,0)</f>
        <v/>
      </c>
      <c r="T460">
        <f>IF(BD_Carga!O461&lt;&gt;"",BD_Carga!O461,0)</f>
        <v/>
      </c>
      <c r="U460">
        <f>IF(BD_Carga!P461&lt;&gt;"",BD_Carga!P461,0)</f>
        <v/>
      </c>
      <c r="V460">
        <f>IF(BD_Carga!U461&lt;&gt;"",BD_Carga!U461,0)</f>
        <v/>
      </c>
      <c r="W460">
        <f>IF(BD_Carga!T461&lt;&gt;"",BD_Carga!T461,0)</f>
        <v/>
      </c>
      <c r="X460">
        <f>IF(BD_Carga!W461&lt;&gt;"",BD_Carga!W461,0)</f>
        <v/>
      </c>
      <c r="Y460">
        <f>IF(BD_Carga!X461&lt;&gt;"",BD_Carga!X461,0)</f>
        <v/>
      </c>
      <c r="Z460">
        <f>IF(BD_Carga!Y461&lt;&gt;"",BD_Carga!Y461,0)</f>
        <v/>
      </c>
      <c r="AA460">
        <f>IF(BD_Carga!Z461&lt;&gt;"",BD_Carga!Z461,0)</f>
        <v/>
      </c>
      <c r="AB460">
        <f>IF(BD_Carga!AA461&lt;&gt;"",BD_Carga!AA461,0)</f>
        <v/>
      </c>
      <c r="AC460" s="6">
        <f t="array" ref="AC460">IFERROR((L460-AVERAGEIF($G$2:$G$462,G460,$L$2:$L$462))/_xlfn.STDEV.P(IF($G$2:$G$462=G460,$L$2:$L$462)),0)</f>
        <v/>
      </c>
      <c r="AD460" s="6">
        <f t="array" ref="AD460">IFERROR((M460-AVERAGEIF($G$2:$G$462,G460,$M$2:$M$462))/_xlfn.STDEV.P(IF($G$2:$G$462=G460,$M$2:$M$462)),0)</f>
        <v/>
      </c>
      <c r="AE460" s="6">
        <f t="array" ref="AE460">IFERROR((N460-AVERAGEIF($G$2:$G$462,G460,$N$2:$N$462))/_xlfn.STDEV.P(IF($G$2:$G$462=G460,$N$2:$N$462)),0)</f>
        <v/>
      </c>
      <c r="AF460" s="6">
        <f t="array" ref="AF460">IFERROR((O460-AVERAGEIF($G$2:$G$462,G460,$O$2:$O$462))/_xlfn.STDEV.P(IF($G$2:$G$462=G460,$O$2:$O$462)),0)</f>
        <v/>
      </c>
      <c r="AG460" s="6">
        <f t="array" ref="AG460">IFERROR((P460-AVERAGEIF($G$2:$G$462,G460,$P$2:$P$462))/_xlfn.STDEV.P(IF($G$2:$G$462=G460,$P$2:$P$462)),0)</f>
        <v/>
      </c>
      <c r="AH460" s="6">
        <f t="array" ref="AH460">IFERROR((R460-AVERAGEIF($G$2:$G$462,G460,$R$2:$R$462))/_xlfn.STDEV.P(IF($G$2:$G$462=G460,$R$2:$R$462)),0)</f>
        <v/>
      </c>
      <c r="AI460" s="6">
        <f>IFERROR((AC460+AD460+AE460+AF460+AG460+AH460)/6,0)</f>
        <v/>
      </c>
    </row>
    <row r="461">
      <c r="A461" s="2">
        <f>IF(BD_Carga!A462&lt;&gt;"",BD_Carga!A462,"")</f>
        <v/>
      </c>
      <c r="B461">
        <f>IF(A461&lt;&gt;"",YEAR(A461),"")</f>
        <v/>
      </c>
      <c r="C461">
        <f>IF(A461&lt;&gt;"",MONTH(A461),"")</f>
        <v/>
      </c>
      <c r="D461">
        <f>IF(A461&lt;&gt;"",_xlfn.ISOWEEKNUM(A461),"")</f>
        <v/>
      </c>
      <c r="E461">
        <f>IF(A461&lt;&gt;"",TEXT(A461,"dddd"),"")</f>
        <v/>
      </c>
      <c r="F461">
        <f>IF(BD_Carga!C462&lt;&gt;"",BD_Carga!C462,"")</f>
        <v/>
      </c>
      <c r="G461">
        <f>IF(BD_Carga!D462&lt;&gt;"",BD_Carga!D462,"")</f>
        <v/>
      </c>
      <c r="H461">
        <f>IF(BD_Carga!Q462&lt;&gt;"",BD_Carga!Q462,"")</f>
        <v/>
      </c>
      <c r="I461">
        <f>IF(BD_Carga!R462&lt;&gt;"",BD_Carga!R462,"")</f>
        <v/>
      </c>
      <c r="J461">
        <f>IF(BD_Carga!S462&lt;&gt;"",BD_Carga!S462,"")</f>
        <v/>
      </c>
      <c r="K461" s="4">
        <f>IF(BD_Carga!E462&lt;&gt;"",BD_Carga!E462,0)</f>
        <v/>
      </c>
      <c r="L461" s="4">
        <f>IF(BD_Carga!F462&lt;&gt;"",BD_Carga!F462,0)</f>
        <v/>
      </c>
      <c r="M461" s="4">
        <f>IF(BD_Carga!G462&lt;&gt;"",BD_Carga!G462,0)</f>
        <v/>
      </c>
      <c r="N461" s="4">
        <f>IF(BD_Carga!H462&lt;&gt;"",BD_Carga!H462,0)</f>
        <v/>
      </c>
      <c r="O461" s="4">
        <f>IF(BD_Carga!I462&lt;&gt;"",BD_Carga!I462,0)</f>
        <v/>
      </c>
      <c r="P461" s="4">
        <f>IF(BD_Carga!J462&lt;&gt;"",BD_Carga!J462,0)</f>
        <v/>
      </c>
      <c r="Q461" s="5">
        <f>IF(BD_Carga!K462&lt;&gt;"",BD_Carga!K462,0)</f>
        <v/>
      </c>
      <c r="R461" s="5">
        <f>IF(BD_Carga!L462&lt;&gt;"",BD_Carga!L462,0)</f>
        <v/>
      </c>
      <c r="S461">
        <f>IF(BD_Carga!N462&lt;&gt;"",BD_Carga!N462,0)</f>
        <v/>
      </c>
      <c r="T461">
        <f>IF(BD_Carga!O462&lt;&gt;"",BD_Carga!O462,0)</f>
        <v/>
      </c>
      <c r="U461">
        <f>IF(BD_Carga!P462&lt;&gt;"",BD_Carga!P462,0)</f>
        <v/>
      </c>
      <c r="V461">
        <f>IF(BD_Carga!U462&lt;&gt;"",BD_Carga!U462,0)</f>
        <v/>
      </c>
      <c r="W461">
        <f>IF(BD_Carga!T462&lt;&gt;"",BD_Carga!T462,0)</f>
        <v/>
      </c>
      <c r="X461">
        <f>IF(BD_Carga!W462&lt;&gt;"",BD_Carga!W462,0)</f>
        <v/>
      </c>
      <c r="Y461">
        <f>IF(BD_Carga!X462&lt;&gt;"",BD_Carga!X462,0)</f>
        <v/>
      </c>
      <c r="Z461">
        <f>IF(BD_Carga!Y462&lt;&gt;"",BD_Carga!Y462,0)</f>
        <v/>
      </c>
      <c r="AA461">
        <f>IF(BD_Carga!Z462&lt;&gt;"",BD_Carga!Z462,0)</f>
        <v/>
      </c>
      <c r="AB461">
        <f>IF(BD_Carga!AA462&lt;&gt;"",BD_Carga!AA462,0)</f>
        <v/>
      </c>
      <c r="AC461" s="6">
        <f t="array" ref="AC461">IFERROR((L461-AVERAGEIF($G$2:$G$462,G461,$L$2:$L$462))/_xlfn.STDEV.P(IF($G$2:$G$462=G461,$L$2:$L$462)),0)</f>
        <v/>
      </c>
      <c r="AD461" s="6">
        <f t="array" ref="AD461">IFERROR((M461-AVERAGEIF($G$2:$G$462,G461,$M$2:$M$462))/_xlfn.STDEV.P(IF($G$2:$G$462=G461,$M$2:$M$462)),0)</f>
        <v/>
      </c>
      <c r="AE461" s="6">
        <f t="array" ref="AE461">IFERROR((N461-AVERAGEIF($G$2:$G$462,G461,$N$2:$N$462))/_xlfn.STDEV.P(IF($G$2:$G$462=G461,$N$2:$N$462)),0)</f>
        <v/>
      </c>
      <c r="AF461" s="6">
        <f t="array" ref="AF461">IFERROR((O461-AVERAGEIF($G$2:$G$462,G461,$O$2:$O$462))/_xlfn.STDEV.P(IF($G$2:$G$462=G461,$O$2:$O$462)),0)</f>
        <v/>
      </c>
      <c r="AG461" s="6">
        <f t="array" ref="AG461">IFERROR((P461-AVERAGEIF($G$2:$G$462,G461,$P$2:$P$462))/_xlfn.STDEV.P(IF($G$2:$G$462=G461,$P$2:$P$462)),0)</f>
        <v/>
      </c>
      <c r="AH461" s="6">
        <f t="array" ref="AH461">IFERROR((R461-AVERAGEIF($G$2:$G$462,G461,$R$2:$R$462))/_xlfn.STDEV.P(IF($G$2:$G$462=G461,$R$2:$R$462)),0)</f>
        <v/>
      </c>
      <c r="AI461" s="6">
        <f>IFERROR((AC461+AD461+AE461+AF461+AG461+AH461)/6,0)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I16" sqref="I16"/>
    </sheetView>
  </sheetViews>
  <sheetFormatPr baseColWidth="8" defaultRowHeight="15"/>
  <cols>
    <col width="10.140625" bestFit="1" customWidth="1" min="1" max="1"/>
    <col width="13.7109375" bestFit="1" customWidth="1" min="2" max="2"/>
    <col width="9.42578125" bestFit="1" customWidth="1" min="3" max="3"/>
    <col width="14.7109375" bestFit="1" customWidth="1" min="4" max="4"/>
  </cols>
  <sheetData>
    <row r="1">
      <c r="A1" s="574" t="inlineStr">
        <is>
          <t>Jogador</t>
        </is>
      </c>
      <c r="B1" s="574" t="inlineStr">
        <is>
          <t>Posicao</t>
        </is>
      </c>
      <c r="C1" s="574" t="inlineStr">
        <is>
          <t>Estado</t>
        </is>
      </c>
      <c r="D1" s="574" t="inlineStr">
        <is>
          <t>Nr_Camisola</t>
        </is>
      </c>
    </row>
    <row r="2">
      <c r="A2">
        <f>IF(Plantel!A4&lt;&gt;"",Plantel!A4,"")</f>
        <v/>
      </c>
      <c r="B2">
        <f>IF(Plantel!B4&lt;&gt;"",Plantel!B4,"")</f>
        <v/>
      </c>
      <c r="C2">
        <f>IF(Plantel!C4&lt;&gt;"",Plantel!C4,"")</f>
        <v/>
      </c>
      <c r="D2">
        <f>IF(Plantel!D4&lt;&gt;"",Plantel!D4,"")</f>
        <v/>
      </c>
    </row>
    <row r="3">
      <c r="A3">
        <f>IF(Plantel!A5&lt;&gt;"",Plantel!A5,"")</f>
        <v/>
      </c>
      <c r="B3">
        <f>IF(Plantel!B5&lt;&gt;"",Plantel!B5,"")</f>
        <v/>
      </c>
      <c r="C3">
        <f>IF(Plantel!C5&lt;&gt;"",Plantel!C5,"")</f>
        <v/>
      </c>
      <c r="D3">
        <f>IF(Plantel!D5&lt;&gt;"",Plantel!D5,"")</f>
        <v/>
      </c>
    </row>
    <row r="4">
      <c r="A4">
        <f>IF(Plantel!A6&lt;&gt;"",Plantel!A6,"")</f>
        <v/>
      </c>
      <c r="B4">
        <f>IF(Plantel!B6&lt;&gt;"",Plantel!B6,"")</f>
        <v/>
      </c>
      <c r="C4">
        <f>IF(Plantel!C6&lt;&gt;"",Plantel!C6,"")</f>
        <v/>
      </c>
      <c r="D4">
        <f>IF(Plantel!D6&lt;&gt;"",Plantel!D6,"")</f>
        <v/>
      </c>
    </row>
    <row r="5">
      <c r="A5">
        <f>IF(Plantel!A7&lt;&gt;"",Plantel!A7,"")</f>
        <v/>
      </c>
      <c r="B5">
        <f>IF(Plantel!B7&lt;&gt;"",Plantel!B7,"")</f>
        <v/>
      </c>
      <c r="C5">
        <f>IF(Plantel!C7&lt;&gt;"",Plantel!C7,"")</f>
        <v/>
      </c>
      <c r="D5">
        <f>IF(Plantel!D7&lt;&gt;"",Plantel!D7,"")</f>
        <v/>
      </c>
    </row>
    <row r="6">
      <c r="A6">
        <f>IF(Plantel!A8&lt;&gt;"",Plantel!A8,"")</f>
        <v/>
      </c>
      <c r="B6">
        <f>IF(Plantel!B8&lt;&gt;"",Plantel!B8,"")</f>
        <v/>
      </c>
      <c r="C6">
        <f>IF(Plantel!C8&lt;&gt;"",Plantel!C8,"")</f>
        <v/>
      </c>
      <c r="D6">
        <f>IF(Plantel!D8&lt;&gt;"",Plantel!D8,"")</f>
        <v/>
      </c>
    </row>
    <row r="7">
      <c r="A7">
        <f>IF(Plantel!A9&lt;&gt;"",Plantel!A9,"")</f>
        <v/>
      </c>
      <c r="B7">
        <f>IF(Plantel!B9&lt;&gt;"",Plantel!B9,"")</f>
        <v/>
      </c>
      <c r="C7">
        <f>IF(Plantel!C9&lt;&gt;"",Plantel!C9,"")</f>
        <v/>
      </c>
      <c r="D7">
        <f>IF(Plantel!D9&lt;&gt;"",Plantel!D9,"")</f>
        <v/>
      </c>
    </row>
    <row r="8">
      <c r="A8">
        <f>IF(Plantel!A10&lt;&gt;"",Plantel!A10,"")</f>
        <v/>
      </c>
      <c r="B8">
        <f>IF(Plantel!B10&lt;&gt;"",Plantel!B10,"")</f>
        <v/>
      </c>
      <c r="C8">
        <f>IF(Plantel!C10&lt;&gt;"",Plantel!C10,"")</f>
        <v/>
      </c>
      <c r="D8">
        <f>IF(Plantel!D10&lt;&gt;"",Plantel!D10,"")</f>
        <v/>
      </c>
    </row>
    <row r="9">
      <c r="A9">
        <f>IF(Plantel!A11&lt;&gt;"",Plantel!A11,"")</f>
        <v/>
      </c>
      <c r="B9">
        <f>IF(Plantel!B11&lt;&gt;"",Plantel!B11,"")</f>
        <v/>
      </c>
      <c r="C9">
        <f>IF(Plantel!C11&lt;&gt;"",Plantel!C11,"")</f>
        <v/>
      </c>
      <c r="D9">
        <f>IF(Plantel!D11&lt;&gt;"",Plantel!D11,"")</f>
        <v/>
      </c>
    </row>
    <row r="10">
      <c r="A10">
        <f>IF(Plantel!A12&lt;&gt;"",Plantel!A12,"")</f>
        <v/>
      </c>
      <c r="B10">
        <f>IF(Plantel!B12&lt;&gt;"",Plantel!B12,"")</f>
        <v/>
      </c>
      <c r="C10">
        <f>IF(Plantel!C12&lt;&gt;"",Plantel!C12,"")</f>
        <v/>
      </c>
      <c r="D10">
        <f>IF(Plantel!D12&lt;&gt;"",Plantel!D12,"")</f>
        <v/>
      </c>
    </row>
    <row r="11">
      <c r="A11">
        <f>IF(Plantel!A13&lt;&gt;"",Plantel!A13,"")</f>
        <v/>
      </c>
      <c r="B11">
        <f>IF(Plantel!B13&lt;&gt;"",Plantel!B13,"")</f>
        <v/>
      </c>
      <c r="C11">
        <f>IF(Plantel!C13&lt;&gt;"",Plantel!C13,"")</f>
        <v/>
      </c>
      <c r="D11">
        <f>IF(Plantel!D13&lt;&gt;"",Plantel!D13,"")</f>
        <v/>
      </c>
    </row>
    <row r="12">
      <c r="A12">
        <f>IF(Plantel!A14&lt;&gt;"",Plantel!A14,"")</f>
        <v/>
      </c>
      <c r="B12">
        <f>IF(Plantel!B14&lt;&gt;"",Plantel!B14,"")</f>
        <v/>
      </c>
      <c r="C12">
        <f>IF(Plantel!C14&lt;&gt;"",Plantel!C14,"")</f>
        <v/>
      </c>
      <c r="D12">
        <f>IF(Plantel!D14&lt;&gt;"",Plantel!D14,"")</f>
        <v/>
      </c>
    </row>
    <row r="13">
      <c r="A13">
        <f>IF(Plantel!A15&lt;&gt;"",Plantel!A15,"")</f>
        <v/>
      </c>
      <c r="B13">
        <f>IF(Plantel!B15&lt;&gt;"",Plantel!B15,"")</f>
        <v/>
      </c>
      <c r="C13">
        <f>IF(Plantel!C15&lt;&gt;"",Plantel!C15,"")</f>
        <v/>
      </c>
      <c r="D13">
        <f>IF(Plantel!D15&lt;&gt;"",Plantel!D15,"")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1"/>
  <sheetViews>
    <sheetView topLeftCell="A29" workbookViewId="0">
      <selection activeCell="A1" sqref="A1"/>
    </sheetView>
  </sheetViews>
  <sheetFormatPr baseColWidth="8" defaultRowHeight="15"/>
  <cols>
    <col width="10.140625" bestFit="1" customWidth="1" min="1" max="1"/>
    <col width="8" bestFit="1" customWidth="1" min="2" max="2"/>
    <col width="10.42578125" bestFit="1" customWidth="1" min="3" max="3"/>
    <col width="13.42578125" bestFit="1" customWidth="1" min="4" max="4"/>
    <col width="6.5703125" bestFit="1" customWidth="1" min="5" max="5"/>
    <col width="13.140625" bestFit="1" customWidth="1" min="6" max="6"/>
    <col width="14" bestFit="1" customWidth="1" min="7" max="9"/>
    <col width="21.140625" bestFit="1" customWidth="1" min="10" max="10"/>
    <col width="11.140625" bestFit="1" customWidth="1" min="11" max="11"/>
    <col width="12.7109375" bestFit="1" customWidth="1" min="12" max="12"/>
  </cols>
  <sheetData>
    <row r="1">
      <c r="A1" s="120" t="inlineStr">
        <is>
          <t>Jogador</t>
        </is>
      </c>
      <c r="B1" s="120" t="inlineStr">
        <is>
          <t>Posicao</t>
        </is>
      </c>
      <c r="C1" s="120" t="inlineStr">
        <is>
          <t>Data</t>
        </is>
      </c>
      <c r="D1" s="120" t="inlineStr">
        <is>
          <t>Microciclo_Nr</t>
        </is>
      </c>
      <c r="E1" s="120" t="inlineStr">
        <is>
          <t>Tipo</t>
        </is>
      </c>
      <c r="F1" s="120" t="inlineStr">
        <is>
          <t>Vel_Max_kmh</t>
        </is>
      </c>
      <c r="G1" s="120" t="inlineStr">
        <is>
          <t>N_85pct_Vmax</t>
        </is>
      </c>
      <c r="H1" s="120" t="inlineStr">
        <is>
          <t>N_90pct_Vmax</t>
        </is>
      </c>
      <c r="I1" s="120" t="inlineStr">
        <is>
          <t>N_95pct_Vmax</t>
        </is>
      </c>
      <c r="J1" s="120" t="inlineStr">
        <is>
          <t>Vmax_Record_Jogador</t>
        </is>
      </c>
      <c r="K1" s="120" t="inlineStr">
        <is>
          <t>Pct_Record</t>
        </is>
      </c>
      <c r="L1" s="120" t="inlineStr">
        <is>
          <t>Duracao_min</t>
        </is>
      </c>
    </row>
    <row r="2">
      <c r="A2">
        <f>IF(BD_Carga!C3="","",BD_Carga!C3)</f>
        <v/>
      </c>
      <c r="B2">
        <f>IF(A2="","",BD_Carga!D3)</f>
        <v/>
      </c>
      <c r="C2" s="2">
        <f>IF(A2="","",BD_Carga!A3)</f>
        <v/>
      </c>
      <c r="D2">
        <f>IF(A2="","",BD_Carga!R3)</f>
        <v/>
      </c>
      <c r="E2">
        <f>IF(A2="","",BD_Carga!Q3)</f>
        <v/>
      </c>
      <c r="F2" s="5">
        <f>IF(A2="","",BD_Carga!L3)</f>
        <v/>
      </c>
      <c r="G2">
        <f>IF(A2="","",BD_Carga!N3)</f>
        <v/>
      </c>
      <c r="H2">
        <f>IF(A2="","",BD_Carga!O3)</f>
        <v/>
      </c>
      <c r="I2">
        <f>IF(A2="","",BD_Carga!P3)</f>
        <v/>
      </c>
      <c r="J2">
        <f>IF(A2="","",_xlfn.MAXIFS(BD_Carga!$L:$L,BD_Carga!$C:$C,A2))</f>
        <v/>
      </c>
      <c r="K2" s="11">
        <f>IF(OR(A2="",J2=0),"",F2/J2)</f>
        <v/>
      </c>
      <c r="L2">
        <f>IF(A2="","",BD_Carga!E3)</f>
        <v/>
      </c>
    </row>
    <row r="3">
      <c r="A3">
        <f>IF(BD_Carga!C4="","",BD_Carga!C4)</f>
        <v/>
      </c>
      <c r="B3">
        <f>IF(A3="","",BD_Carga!D4)</f>
        <v/>
      </c>
      <c r="C3" s="2">
        <f>IF(A3="","",BD_Carga!A4)</f>
        <v/>
      </c>
      <c r="D3">
        <f>IF(A3="","",BD_Carga!R4)</f>
        <v/>
      </c>
      <c r="E3">
        <f>IF(A3="","",BD_Carga!Q4)</f>
        <v/>
      </c>
      <c r="F3" s="5">
        <f>IF(A3="","",BD_Carga!L4)</f>
        <v/>
      </c>
      <c r="G3">
        <f>IF(A3="","",BD_Carga!N4)</f>
        <v/>
      </c>
      <c r="H3">
        <f>IF(A3="","",BD_Carga!O4)</f>
        <v/>
      </c>
      <c r="I3">
        <f>IF(A3="","",BD_Carga!P4)</f>
        <v/>
      </c>
      <c r="J3">
        <f>IF(A3="","",_xlfn.MAXIFS(BD_Carga!$L:$L,BD_Carga!$C:$C,A3))</f>
        <v/>
      </c>
      <c r="K3" s="11">
        <f>IF(OR(A3="",J3=0),"",F3/J3)</f>
        <v/>
      </c>
      <c r="L3">
        <f>IF(A3="","",BD_Carga!E4)</f>
        <v/>
      </c>
    </row>
    <row r="4">
      <c r="A4">
        <f>IF(BD_Carga!C5="","",BD_Carga!C5)</f>
        <v/>
      </c>
      <c r="B4">
        <f>IF(A4="","",BD_Carga!D5)</f>
        <v/>
      </c>
      <c r="C4" s="2">
        <f>IF(A4="","",BD_Carga!A5)</f>
        <v/>
      </c>
      <c r="D4">
        <f>IF(A4="","",BD_Carga!R5)</f>
        <v/>
      </c>
      <c r="E4">
        <f>IF(A4="","",BD_Carga!Q5)</f>
        <v/>
      </c>
      <c r="F4" s="5">
        <f>IF(A4="","",BD_Carga!L5)</f>
        <v/>
      </c>
      <c r="G4">
        <f>IF(A4="","",BD_Carga!N5)</f>
        <v/>
      </c>
      <c r="H4">
        <f>IF(A4="","",BD_Carga!O5)</f>
        <v/>
      </c>
      <c r="I4">
        <f>IF(A4="","",BD_Carga!P5)</f>
        <v/>
      </c>
      <c r="J4">
        <f>IF(A4="","",_xlfn.MAXIFS(BD_Carga!$L:$L,BD_Carga!$C:$C,A4))</f>
        <v/>
      </c>
      <c r="K4" s="11">
        <f>IF(OR(A4="",J4=0),"",F4/J4)</f>
        <v/>
      </c>
      <c r="L4">
        <f>IF(A4="","",BD_Carga!E5)</f>
        <v/>
      </c>
    </row>
    <row r="5">
      <c r="A5">
        <f>IF(BD_Carga!C6="","",BD_Carga!C6)</f>
        <v/>
      </c>
      <c r="B5">
        <f>IF(A5="","",BD_Carga!D6)</f>
        <v/>
      </c>
      <c r="C5" s="2">
        <f>IF(A5="","",BD_Carga!A6)</f>
        <v/>
      </c>
      <c r="D5">
        <f>IF(A5="","",BD_Carga!R6)</f>
        <v/>
      </c>
      <c r="E5">
        <f>IF(A5="","",BD_Carga!Q6)</f>
        <v/>
      </c>
      <c r="F5" s="5">
        <f>IF(A5="","",BD_Carga!L6)</f>
        <v/>
      </c>
      <c r="G5">
        <f>IF(A5="","",BD_Carga!N6)</f>
        <v/>
      </c>
      <c r="H5">
        <f>IF(A5="","",BD_Carga!O6)</f>
        <v/>
      </c>
      <c r="I5">
        <f>IF(A5="","",BD_Carga!P6)</f>
        <v/>
      </c>
      <c r="J5">
        <f>IF(A5="","",_xlfn.MAXIFS(BD_Carga!$L:$L,BD_Carga!$C:$C,A5))</f>
        <v/>
      </c>
      <c r="K5" s="11">
        <f>IF(OR(A5="",J5=0),"",F5/J5)</f>
        <v/>
      </c>
      <c r="L5">
        <f>IF(A5="","",BD_Carga!E6)</f>
        <v/>
      </c>
    </row>
    <row r="6">
      <c r="A6">
        <f>IF(BD_Carga!C7="","",BD_Carga!C7)</f>
        <v/>
      </c>
      <c r="B6">
        <f>IF(A6="","",BD_Carga!D7)</f>
        <v/>
      </c>
      <c r="C6" s="2">
        <f>IF(A6="","",BD_Carga!A7)</f>
        <v/>
      </c>
      <c r="D6">
        <f>IF(A6="","",BD_Carga!R7)</f>
        <v/>
      </c>
      <c r="E6">
        <f>IF(A6="","",BD_Carga!Q7)</f>
        <v/>
      </c>
      <c r="F6" s="5">
        <f>IF(A6="","",BD_Carga!L7)</f>
        <v/>
      </c>
      <c r="G6">
        <f>IF(A6="","",BD_Carga!N7)</f>
        <v/>
      </c>
      <c r="H6">
        <f>IF(A6="","",BD_Carga!O7)</f>
        <v/>
      </c>
      <c r="I6">
        <f>IF(A6="","",BD_Carga!P7)</f>
        <v/>
      </c>
      <c r="J6">
        <f>IF(A6="","",_xlfn.MAXIFS(BD_Carga!$L:$L,BD_Carga!$C:$C,A6))</f>
        <v/>
      </c>
      <c r="K6" s="11">
        <f>IF(OR(A6="",J6=0),"",F6/J6)</f>
        <v/>
      </c>
      <c r="L6">
        <f>IF(A6="","",BD_Carga!E7)</f>
        <v/>
      </c>
    </row>
    <row r="7">
      <c r="A7">
        <f>IF(BD_Carga!C8="","",BD_Carga!C8)</f>
        <v/>
      </c>
      <c r="B7">
        <f>IF(A7="","",BD_Carga!D8)</f>
        <v/>
      </c>
      <c r="C7" s="2">
        <f>IF(A7="","",BD_Carga!A8)</f>
        <v/>
      </c>
      <c r="D7">
        <f>IF(A7="","",BD_Carga!R8)</f>
        <v/>
      </c>
      <c r="E7">
        <f>IF(A7="","",BD_Carga!Q8)</f>
        <v/>
      </c>
      <c r="F7" s="5">
        <f>IF(A7="","",BD_Carga!L8)</f>
        <v/>
      </c>
      <c r="G7">
        <f>IF(A7="","",BD_Carga!N8)</f>
        <v/>
      </c>
      <c r="H7">
        <f>IF(A7="","",BD_Carga!O8)</f>
        <v/>
      </c>
      <c r="I7">
        <f>IF(A7="","",BD_Carga!P8)</f>
        <v/>
      </c>
      <c r="J7">
        <f>IF(A7="","",_xlfn.MAXIFS(BD_Carga!$L:$L,BD_Carga!$C:$C,A7))</f>
        <v/>
      </c>
      <c r="K7" s="11">
        <f>IF(OR(A7="",J7=0),"",F7/J7)</f>
        <v/>
      </c>
      <c r="L7">
        <f>IF(A7="","",BD_Carga!E8)</f>
        <v/>
      </c>
    </row>
    <row r="8">
      <c r="A8">
        <f>IF(BD_Carga!C9="","",BD_Carga!C9)</f>
        <v/>
      </c>
      <c r="B8">
        <f>IF(A8="","",BD_Carga!D9)</f>
        <v/>
      </c>
      <c r="C8" s="2">
        <f>IF(A8="","",BD_Carga!A9)</f>
        <v/>
      </c>
      <c r="D8">
        <f>IF(A8="","",BD_Carga!R9)</f>
        <v/>
      </c>
      <c r="E8">
        <f>IF(A8="","",BD_Carga!Q9)</f>
        <v/>
      </c>
      <c r="F8" s="5">
        <f>IF(A8="","",BD_Carga!L9)</f>
        <v/>
      </c>
      <c r="G8">
        <f>IF(A8="","",BD_Carga!N9)</f>
        <v/>
      </c>
      <c r="H8">
        <f>IF(A8="","",BD_Carga!O9)</f>
        <v/>
      </c>
      <c r="I8">
        <f>IF(A8="","",BD_Carga!P9)</f>
        <v/>
      </c>
      <c r="J8">
        <f>IF(A8="","",_xlfn.MAXIFS(BD_Carga!$L:$L,BD_Carga!$C:$C,A8))</f>
        <v/>
      </c>
      <c r="K8" s="11">
        <f>IF(OR(A8="",J8=0),"",F8/J8)</f>
        <v/>
      </c>
      <c r="L8">
        <f>IF(A8="","",BD_Carga!E9)</f>
        <v/>
      </c>
    </row>
    <row r="9">
      <c r="A9">
        <f>IF(BD_Carga!C10="","",BD_Carga!C10)</f>
        <v/>
      </c>
      <c r="B9">
        <f>IF(A9="","",BD_Carga!D10)</f>
        <v/>
      </c>
      <c r="C9" s="2">
        <f>IF(A9="","",BD_Carga!A10)</f>
        <v/>
      </c>
      <c r="D9">
        <f>IF(A9="","",BD_Carga!R10)</f>
        <v/>
      </c>
      <c r="E9">
        <f>IF(A9="","",BD_Carga!Q10)</f>
        <v/>
      </c>
      <c r="F9" s="5">
        <f>IF(A9="","",BD_Carga!L10)</f>
        <v/>
      </c>
      <c r="G9">
        <f>IF(A9="","",BD_Carga!N10)</f>
        <v/>
      </c>
      <c r="H9">
        <f>IF(A9="","",BD_Carga!O10)</f>
        <v/>
      </c>
      <c r="I9">
        <f>IF(A9="","",BD_Carga!P10)</f>
        <v/>
      </c>
      <c r="J9">
        <f>IF(A9="","",_xlfn.MAXIFS(BD_Carga!$L:$L,BD_Carga!$C:$C,A9))</f>
        <v/>
      </c>
      <c r="K9" s="11">
        <f>IF(OR(A9="",J9=0),"",F9/J9)</f>
        <v/>
      </c>
      <c r="L9">
        <f>IF(A9="","",BD_Carga!E10)</f>
        <v/>
      </c>
    </row>
    <row r="10">
      <c r="A10">
        <f>IF(BD_Carga!C11="","",BD_Carga!C11)</f>
        <v/>
      </c>
      <c r="B10">
        <f>IF(A10="","",BD_Carga!D11)</f>
        <v/>
      </c>
      <c r="C10" s="2">
        <f>IF(A10="","",BD_Carga!A11)</f>
        <v/>
      </c>
      <c r="D10">
        <f>IF(A10="","",BD_Carga!R11)</f>
        <v/>
      </c>
      <c r="E10">
        <f>IF(A10="","",BD_Carga!Q11)</f>
        <v/>
      </c>
      <c r="F10" s="5">
        <f>IF(A10="","",BD_Carga!L11)</f>
        <v/>
      </c>
      <c r="G10">
        <f>IF(A10="","",BD_Carga!N11)</f>
        <v/>
      </c>
      <c r="H10">
        <f>IF(A10="","",BD_Carga!O11)</f>
        <v/>
      </c>
      <c r="I10">
        <f>IF(A10="","",BD_Carga!P11)</f>
        <v/>
      </c>
      <c r="J10">
        <f>IF(A10="","",_xlfn.MAXIFS(BD_Carga!$L:$L,BD_Carga!$C:$C,A10))</f>
        <v/>
      </c>
      <c r="K10" s="11">
        <f>IF(OR(A10="",J10=0),"",F10/J10)</f>
        <v/>
      </c>
      <c r="L10">
        <f>IF(A10="","",BD_Carga!E11)</f>
        <v/>
      </c>
    </row>
    <row r="11">
      <c r="A11">
        <f>IF(BD_Carga!C12="","",BD_Carga!C12)</f>
        <v/>
      </c>
      <c r="B11">
        <f>IF(A11="","",BD_Carga!D12)</f>
        <v/>
      </c>
      <c r="C11" s="2">
        <f>IF(A11="","",BD_Carga!A12)</f>
        <v/>
      </c>
      <c r="D11">
        <f>IF(A11="","",BD_Carga!R12)</f>
        <v/>
      </c>
      <c r="E11">
        <f>IF(A11="","",BD_Carga!Q12)</f>
        <v/>
      </c>
      <c r="F11" s="5">
        <f>IF(A11="","",BD_Carga!L12)</f>
        <v/>
      </c>
      <c r="G11">
        <f>IF(A11="","",BD_Carga!N12)</f>
        <v/>
      </c>
      <c r="H11">
        <f>IF(A11="","",BD_Carga!O12)</f>
        <v/>
      </c>
      <c r="I11">
        <f>IF(A11="","",BD_Carga!P12)</f>
        <v/>
      </c>
      <c r="J11">
        <f>IF(A11="","",_xlfn.MAXIFS(BD_Carga!$L:$L,BD_Carga!$C:$C,A11))</f>
        <v/>
      </c>
      <c r="K11" s="11">
        <f>IF(OR(A11="",J11=0),"",F11/J11)</f>
        <v/>
      </c>
      <c r="L11">
        <f>IF(A11="","",BD_Carga!E12)</f>
        <v/>
      </c>
    </row>
    <row r="12">
      <c r="A12">
        <f>IF(BD_Carga!C13="","",BD_Carga!C13)</f>
        <v/>
      </c>
      <c r="B12">
        <f>IF(A12="","",BD_Carga!D13)</f>
        <v/>
      </c>
      <c r="C12" s="2">
        <f>IF(A12="","",BD_Carga!A13)</f>
        <v/>
      </c>
      <c r="D12">
        <f>IF(A12="","",BD_Carga!R13)</f>
        <v/>
      </c>
      <c r="E12">
        <f>IF(A12="","",BD_Carga!Q13)</f>
        <v/>
      </c>
      <c r="F12" s="5">
        <f>IF(A12="","",BD_Carga!L13)</f>
        <v/>
      </c>
      <c r="G12">
        <f>IF(A12="","",BD_Carga!N13)</f>
        <v/>
      </c>
      <c r="H12">
        <f>IF(A12="","",BD_Carga!O13)</f>
        <v/>
      </c>
      <c r="I12">
        <f>IF(A12="","",BD_Carga!P13)</f>
        <v/>
      </c>
      <c r="J12">
        <f>IF(A12="","",_xlfn.MAXIFS(BD_Carga!$L:$L,BD_Carga!$C:$C,A12))</f>
        <v/>
      </c>
      <c r="K12" s="11">
        <f>IF(OR(A12="",J12=0),"",F12/J12)</f>
        <v/>
      </c>
      <c r="L12">
        <f>IF(A12="","",BD_Carga!E13)</f>
        <v/>
      </c>
    </row>
    <row r="13">
      <c r="A13">
        <f>IF(BD_Carga!C14="","",BD_Carga!C14)</f>
        <v/>
      </c>
      <c r="B13">
        <f>IF(A13="","",BD_Carga!D14)</f>
        <v/>
      </c>
      <c r="C13" s="2">
        <f>IF(A13="","",BD_Carga!A14)</f>
        <v/>
      </c>
      <c r="D13">
        <f>IF(A13="","",BD_Carga!R14)</f>
        <v/>
      </c>
      <c r="E13">
        <f>IF(A13="","",BD_Carga!Q14)</f>
        <v/>
      </c>
      <c r="F13" s="5">
        <f>IF(A13="","",BD_Carga!L14)</f>
        <v/>
      </c>
      <c r="G13">
        <f>IF(A13="","",BD_Carga!N14)</f>
        <v/>
      </c>
      <c r="H13">
        <f>IF(A13="","",BD_Carga!O14)</f>
        <v/>
      </c>
      <c r="I13">
        <f>IF(A13="","",BD_Carga!P14)</f>
        <v/>
      </c>
      <c r="J13">
        <f>IF(A13="","",_xlfn.MAXIFS(BD_Carga!$L:$L,BD_Carga!$C:$C,A13))</f>
        <v/>
      </c>
      <c r="K13" s="11">
        <f>IF(OR(A13="",J13=0),"",F13/J13)</f>
        <v/>
      </c>
      <c r="L13">
        <f>IF(A13="","",BD_Carga!E14)</f>
        <v/>
      </c>
    </row>
    <row r="14">
      <c r="A14">
        <f>IF(BD_Carga!C15="","",BD_Carga!C15)</f>
        <v/>
      </c>
      <c r="B14">
        <f>IF(A14="","",BD_Carga!D15)</f>
        <v/>
      </c>
      <c r="C14" s="2">
        <f>IF(A14="","",BD_Carga!A15)</f>
        <v/>
      </c>
      <c r="D14">
        <f>IF(A14="","",BD_Carga!R15)</f>
        <v/>
      </c>
      <c r="E14">
        <f>IF(A14="","",BD_Carga!Q15)</f>
        <v/>
      </c>
      <c r="F14" s="5">
        <f>IF(A14="","",BD_Carga!L15)</f>
        <v/>
      </c>
      <c r="G14">
        <f>IF(A14="","",BD_Carga!N15)</f>
        <v/>
      </c>
      <c r="H14">
        <f>IF(A14="","",BD_Carga!O15)</f>
        <v/>
      </c>
      <c r="I14">
        <f>IF(A14="","",BD_Carga!P15)</f>
        <v/>
      </c>
      <c r="J14">
        <f>IF(A14="","",_xlfn.MAXIFS(BD_Carga!$L:$L,BD_Carga!$C:$C,A14))</f>
        <v/>
      </c>
      <c r="K14" s="11">
        <f>IF(OR(A14="",J14=0),"",F14/J14)</f>
        <v/>
      </c>
      <c r="L14">
        <f>IF(A14="","",BD_Carga!E15)</f>
        <v/>
      </c>
    </row>
    <row r="15">
      <c r="A15">
        <f>IF(BD_Carga!C16="","",BD_Carga!C16)</f>
        <v/>
      </c>
      <c r="B15">
        <f>IF(A15="","",BD_Carga!D16)</f>
        <v/>
      </c>
      <c r="C15" s="2">
        <f>IF(A15="","",BD_Carga!A16)</f>
        <v/>
      </c>
      <c r="D15">
        <f>IF(A15="","",BD_Carga!R16)</f>
        <v/>
      </c>
      <c r="E15">
        <f>IF(A15="","",BD_Carga!Q16)</f>
        <v/>
      </c>
      <c r="F15" s="5">
        <f>IF(A15="","",BD_Carga!L16)</f>
        <v/>
      </c>
      <c r="G15">
        <f>IF(A15="","",BD_Carga!N16)</f>
        <v/>
      </c>
      <c r="H15">
        <f>IF(A15="","",BD_Carga!O16)</f>
        <v/>
      </c>
      <c r="I15">
        <f>IF(A15="","",BD_Carga!P16)</f>
        <v/>
      </c>
      <c r="J15">
        <f>IF(A15="","",_xlfn.MAXIFS(BD_Carga!$L:$L,BD_Carga!$C:$C,A15))</f>
        <v/>
      </c>
      <c r="K15" s="11">
        <f>IF(OR(A15="",J15=0),"",F15/J15)</f>
        <v/>
      </c>
      <c r="L15">
        <f>IF(A15="","",BD_Carga!E16)</f>
        <v/>
      </c>
    </row>
    <row r="16">
      <c r="A16">
        <f>IF(BD_Carga!C17="","",BD_Carga!C17)</f>
        <v/>
      </c>
      <c r="B16">
        <f>IF(A16="","",BD_Carga!D17)</f>
        <v/>
      </c>
      <c r="C16" s="2">
        <f>IF(A16="","",BD_Carga!A17)</f>
        <v/>
      </c>
      <c r="D16">
        <f>IF(A16="","",BD_Carga!R17)</f>
        <v/>
      </c>
      <c r="E16">
        <f>IF(A16="","",BD_Carga!Q17)</f>
        <v/>
      </c>
      <c r="F16" s="5">
        <f>IF(A16="","",BD_Carga!L17)</f>
        <v/>
      </c>
      <c r="G16">
        <f>IF(A16="","",BD_Carga!N17)</f>
        <v/>
      </c>
      <c r="H16">
        <f>IF(A16="","",BD_Carga!O17)</f>
        <v/>
      </c>
      <c r="I16">
        <f>IF(A16="","",BD_Carga!P17)</f>
        <v/>
      </c>
      <c r="J16">
        <f>IF(A16="","",_xlfn.MAXIFS(BD_Carga!$L:$L,BD_Carga!$C:$C,A16))</f>
        <v/>
      </c>
      <c r="K16" s="11">
        <f>IF(OR(A16="",J16=0),"",F16/J16)</f>
        <v/>
      </c>
      <c r="L16">
        <f>IF(A16="","",BD_Carga!E17)</f>
        <v/>
      </c>
    </row>
    <row r="17">
      <c r="A17">
        <f>IF(BD_Carga!C18="","",BD_Carga!C18)</f>
        <v/>
      </c>
      <c r="B17">
        <f>IF(A17="","",BD_Carga!D18)</f>
        <v/>
      </c>
      <c r="C17" s="2">
        <f>IF(A17="","",BD_Carga!A18)</f>
        <v/>
      </c>
      <c r="D17">
        <f>IF(A17="","",BD_Carga!R18)</f>
        <v/>
      </c>
      <c r="E17">
        <f>IF(A17="","",BD_Carga!Q18)</f>
        <v/>
      </c>
      <c r="F17" s="5">
        <f>IF(A17="","",BD_Carga!L18)</f>
        <v/>
      </c>
      <c r="G17">
        <f>IF(A17="","",BD_Carga!N18)</f>
        <v/>
      </c>
      <c r="H17">
        <f>IF(A17="","",BD_Carga!O18)</f>
        <v/>
      </c>
      <c r="I17">
        <f>IF(A17="","",BD_Carga!P18)</f>
        <v/>
      </c>
      <c r="J17">
        <f>IF(A17="","",_xlfn.MAXIFS(BD_Carga!$L:$L,BD_Carga!$C:$C,A17))</f>
        <v/>
      </c>
      <c r="K17" s="11">
        <f>IF(OR(A17="",J17=0),"",F17/J17)</f>
        <v/>
      </c>
      <c r="L17">
        <f>IF(A17="","",BD_Carga!E18)</f>
        <v/>
      </c>
    </row>
    <row r="18">
      <c r="A18">
        <f>IF(BD_Carga!C19="","",BD_Carga!C19)</f>
        <v/>
      </c>
      <c r="B18">
        <f>IF(A18="","",BD_Carga!D19)</f>
        <v/>
      </c>
      <c r="C18" s="2">
        <f>IF(A18="","",BD_Carga!A19)</f>
        <v/>
      </c>
      <c r="D18">
        <f>IF(A18="","",BD_Carga!R19)</f>
        <v/>
      </c>
      <c r="E18">
        <f>IF(A18="","",BD_Carga!Q19)</f>
        <v/>
      </c>
      <c r="F18" s="5">
        <f>IF(A18="","",BD_Carga!L19)</f>
        <v/>
      </c>
      <c r="G18">
        <f>IF(A18="","",BD_Carga!N19)</f>
        <v/>
      </c>
      <c r="H18">
        <f>IF(A18="","",BD_Carga!O19)</f>
        <v/>
      </c>
      <c r="I18">
        <f>IF(A18="","",BD_Carga!P19)</f>
        <v/>
      </c>
      <c r="J18">
        <f>IF(A18="","",_xlfn.MAXIFS(BD_Carga!$L:$L,BD_Carga!$C:$C,A18))</f>
        <v/>
      </c>
      <c r="K18" s="11">
        <f>IF(OR(A18="",J18=0),"",F18/J18)</f>
        <v/>
      </c>
      <c r="L18">
        <f>IF(A18="","",BD_Carga!E19)</f>
        <v/>
      </c>
    </row>
    <row r="19">
      <c r="A19">
        <f>IF(BD_Carga!C20="","",BD_Carga!C20)</f>
        <v/>
      </c>
      <c r="B19">
        <f>IF(A19="","",BD_Carga!D20)</f>
        <v/>
      </c>
      <c r="C19" s="2">
        <f>IF(A19="","",BD_Carga!A20)</f>
        <v/>
      </c>
      <c r="D19">
        <f>IF(A19="","",BD_Carga!R20)</f>
        <v/>
      </c>
      <c r="E19">
        <f>IF(A19="","",BD_Carga!Q20)</f>
        <v/>
      </c>
      <c r="F19" s="5">
        <f>IF(A19="","",BD_Carga!L20)</f>
        <v/>
      </c>
      <c r="G19">
        <f>IF(A19="","",BD_Carga!N20)</f>
        <v/>
      </c>
      <c r="H19">
        <f>IF(A19="","",BD_Carga!O20)</f>
        <v/>
      </c>
      <c r="I19">
        <f>IF(A19="","",BD_Carga!P20)</f>
        <v/>
      </c>
      <c r="J19">
        <f>IF(A19="","",_xlfn.MAXIFS(BD_Carga!$L:$L,BD_Carga!$C:$C,A19))</f>
        <v/>
      </c>
      <c r="K19" s="11">
        <f>IF(OR(A19="",J19=0),"",F19/J19)</f>
        <v/>
      </c>
      <c r="L19">
        <f>IF(A19="","",BD_Carga!E20)</f>
        <v/>
      </c>
    </row>
    <row r="20">
      <c r="A20">
        <f>IF(BD_Carga!C21="","",BD_Carga!C21)</f>
        <v/>
      </c>
      <c r="B20">
        <f>IF(A20="","",BD_Carga!D21)</f>
        <v/>
      </c>
      <c r="C20" s="2">
        <f>IF(A20="","",BD_Carga!A21)</f>
        <v/>
      </c>
      <c r="D20">
        <f>IF(A20="","",BD_Carga!R21)</f>
        <v/>
      </c>
      <c r="E20">
        <f>IF(A20="","",BD_Carga!Q21)</f>
        <v/>
      </c>
      <c r="F20" s="5">
        <f>IF(A20="","",BD_Carga!L21)</f>
        <v/>
      </c>
      <c r="G20">
        <f>IF(A20="","",BD_Carga!N21)</f>
        <v/>
      </c>
      <c r="H20">
        <f>IF(A20="","",BD_Carga!O21)</f>
        <v/>
      </c>
      <c r="I20">
        <f>IF(A20="","",BD_Carga!P21)</f>
        <v/>
      </c>
      <c r="J20">
        <f>IF(A20="","",_xlfn.MAXIFS(BD_Carga!$L:$L,BD_Carga!$C:$C,A20))</f>
        <v/>
      </c>
      <c r="K20" s="11">
        <f>IF(OR(A20="",J20=0),"",F20/J20)</f>
        <v/>
      </c>
      <c r="L20">
        <f>IF(A20="","",BD_Carga!E21)</f>
        <v/>
      </c>
    </row>
    <row r="21">
      <c r="A21">
        <f>IF(BD_Carga!C22="","",BD_Carga!C22)</f>
        <v/>
      </c>
      <c r="B21">
        <f>IF(A21="","",BD_Carga!D22)</f>
        <v/>
      </c>
      <c r="C21" s="2">
        <f>IF(A21="","",BD_Carga!A22)</f>
        <v/>
      </c>
      <c r="D21">
        <f>IF(A21="","",BD_Carga!R22)</f>
        <v/>
      </c>
      <c r="E21">
        <f>IF(A21="","",BD_Carga!Q22)</f>
        <v/>
      </c>
      <c r="F21" s="5">
        <f>IF(A21="","",BD_Carga!L22)</f>
        <v/>
      </c>
      <c r="G21">
        <f>IF(A21="","",BD_Carga!N22)</f>
        <v/>
      </c>
      <c r="H21">
        <f>IF(A21="","",BD_Carga!O22)</f>
        <v/>
      </c>
      <c r="I21">
        <f>IF(A21="","",BD_Carga!P22)</f>
        <v/>
      </c>
      <c r="J21">
        <f>IF(A21="","",_xlfn.MAXIFS(BD_Carga!$L:$L,BD_Carga!$C:$C,A21))</f>
        <v/>
      </c>
      <c r="K21" s="11">
        <f>IF(OR(A21="",J21=0),"",F21/J21)</f>
        <v/>
      </c>
      <c r="L21">
        <f>IF(A21="","",BD_Carga!E22)</f>
        <v/>
      </c>
    </row>
    <row r="22">
      <c r="A22">
        <f>IF(BD_Carga!C23="","",BD_Carga!C23)</f>
        <v/>
      </c>
      <c r="B22">
        <f>IF(A22="","",BD_Carga!D23)</f>
        <v/>
      </c>
      <c r="C22" s="2">
        <f>IF(A22="","",BD_Carga!A23)</f>
        <v/>
      </c>
      <c r="D22">
        <f>IF(A22="","",BD_Carga!R23)</f>
        <v/>
      </c>
      <c r="E22">
        <f>IF(A22="","",BD_Carga!Q23)</f>
        <v/>
      </c>
      <c r="F22" s="5">
        <f>IF(A22="","",BD_Carga!L23)</f>
        <v/>
      </c>
      <c r="G22">
        <f>IF(A22="","",BD_Carga!N23)</f>
        <v/>
      </c>
      <c r="H22">
        <f>IF(A22="","",BD_Carga!O23)</f>
        <v/>
      </c>
      <c r="I22">
        <f>IF(A22="","",BD_Carga!P23)</f>
        <v/>
      </c>
      <c r="J22">
        <f>IF(A22="","",_xlfn.MAXIFS(BD_Carga!$L:$L,BD_Carga!$C:$C,A22))</f>
        <v/>
      </c>
      <c r="K22" s="11">
        <f>IF(OR(A22="",J22=0),"",F22/J22)</f>
        <v/>
      </c>
      <c r="L22">
        <f>IF(A22="","",BD_Carga!E23)</f>
        <v/>
      </c>
    </row>
    <row r="23">
      <c r="A23">
        <f>IF(BD_Carga!C24="","",BD_Carga!C24)</f>
        <v/>
      </c>
      <c r="B23">
        <f>IF(A23="","",BD_Carga!D24)</f>
        <v/>
      </c>
      <c r="C23" s="2">
        <f>IF(A23="","",BD_Carga!A24)</f>
        <v/>
      </c>
      <c r="D23">
        <f>IF(A23="","",BD_Carga!R24)</f>
        <v/>
      </c>
      <c r="E23">
        <f>IF(A23="","",BD_Carga!Q24)</f>
        <v/>
      </c>
      <c r="F23" s="5">
        <f>IF(A23="","",BD_Carga!L24)</f>
        <v/>
      </c>
      <c r="G23">
        <f>IF(A23="","",BD_Carga!N24)</f>
        <v/>
      </c>
      <c r="H23">
        <f>IF(A23="","",BD_Carga!O24)</f>
        <v/>
      </c>
      <c r="I23">
        <f>IF(A23="","",BD_Carga!P24)</f>
        <v/>
      </c>
      <c r="J23">
        <f>IF(A23="","",_xlfn.MAXIFS(BD_Carga!$L:$L,BD_Carga!$C:$C,A23))</f>
        <v/>
      </c>
      <c r="K23" s="11">
        <f>IF(OR(A23="",J23=0),"",F23/J23)</f>
        <v/>
      </c>
      <c r="L23">
        <f>IF(A23="","",BD_Carga!E24)</f>
        <v/>
      </c>
    </row>
    <row r="24">
      <c r="A24">
        <f>IF(BD_Carga!C25="","",BD_Carga!C25)</f>
        <v/>
      </c>
      <c r="B24">
        <f>IF(A24="","",BD_Carga!D25)</f>
        <v/>
      </c>
      <c r="C24" s="2">
        <f>IF(A24="","",BD_Carga!A25)</f>
        <v/>
      </c>
      <c r="D24">
        <f>IF(A24="","",BD_Carga!R25)</f>
        <v/>
      </c>
      <c r="E24">
        <f>IF(A24="","",BD_Carga!Q25)</f>
        <v/>
      </c>
      <c r="F24" s="5">
        <f>IF(A24="","",BD_Carga!L25)</f>
        <v/>
      </c>
      <c r="G24">
        <f>IF(A24="","",BD_Carga!N25)</f>
        <v/>
      </c>
      <c r="H24">
        <f>IF(A24="","",BD_Carga!O25)</f>
        <v/>
      </c>
      <c r="I24">
        <f>IF(A24="","",BD_Carga!P25)</f>
        <v/>
      </c>
      <c r="J24">
        <f>IF(A24="","",_xlfn.MAXIFS(BD_Carga!$L:$L,BD_Carga!$C:$C,A24))</f>
        <v/>
      </c>
      <c r="K24" s="11">
        <f>IF(OR(A24="",J24=0),"",F24/J24)</f>
        <v/>
      </c>
      <c r="L24">
        <f>IF(A24="","",BD_Carga!E25)</f>
        <v/>
      </c>
    </row>
    <row r="25">
      <c r="A25">
        <f>IF(BD_Carga!C26="","",BD_Carga!C26)</f>
        <v/>
      </c>
      <c r="B25">
        <f>IF(A25="","",BD_Carga!D26)</f>
        <v/>
      </c>
      <c r="C25" s="2">
        <f>IF(A25="","",BD_Carga!A26)</f>
        <v/>
      </c>
      <c r="D25">
        <f>IF(A25="","",BD_Carga!R26)</f>
        <v/>
      </c>
      <c r="E25">
        <f>IF(A25="","",BD_Carga!Q26)</f>
        <v/>
      </c>
      <c r="F25" s="5">
        <f>IF(A25="","",BD_Carga!L26)</f>
        <v/>
      </c>
      <c r="G25">
        <f>IF(A25="","",BD_Carga!N26)</f>
        <v/>
      </c>
      <c r="H25">
        <f>IF(A25="","",BD_Carga!O26)</f>
        <v/>
      </c>
      <c r="I25">
        <f>IF(A25="","",BD_Carga!P26)</f>
        <v/>
      </c>
      <c r="J25">
        <f>IF(A25="","",_xlfn.MAXIFS(BD_Carga!$L:$L,BD_Carga!$C:$C,A25))</f>
        <v/>
      </c>
      <c r="K25" s="11">
        <f>IF(OR(A25="",J25=0),"",F25/J25)</f>
        <v/>
      </c>
      <c r="L25">
        <f>IF(A25="","",BD_Carga!E26)</f>
        <v/>
      </c>
    </row>
    <row r="26">
      <c r="A26">
        <f>IF(BD_Carga!C27="","",BD_Carga!C27)</f>
        <v/>
      </c>
      <c r="B26">
        <f>IF(A26="","",BD_Carga!D27)</f>
        <v/>
      </c>
      <c r="C26" s="2">
        <f>IF(A26="","",BD_Carga!A27)</f>
        <v/>
      </c>
      <c r="D26">
        <f>IF(A26="","",BD_Carga!R27)</f>
        <v/>
      </c>
      <c r="E26">
        <f>IF(A26="","",BD_Carga!Q27)</f>
        <v/>
      </c>
      <c r="F26" s="5">
        <f>IF(A26="","",BD_Carga!L27)</f>
        <v/>
      </c>
      <c r="G26">
        <f>IF(A26="","",BD_Carga!N27)</f>
        <v/>
      </c>
      <c r="H26">
        <f>IF(A26="","",BD_Carga!O27)</f>
        <v/>
      </c>
      <c r="I26">
        <f>IF(A26="","",BD_Carga!P27)</f>
        <v/>
      </c>
      <c r="J26">
        <f>IF(A26="","",_xlfn.MAXIFS(BD_Carga!$L:$L,BD_Carga!$C:$C,A26))</f>
        <v/>
      </c>
      <c r="K26" s="11">
        <f>IF(OR(A26="",J26=0),"",F26/J26)</f>
        <v/>
      </c>
      <c r="L26">
        <f>IF(A26="","",BD_Carga!E27)</f>
        <v/>
      </c>
    </row>
    <row r="27">
      <c r="A27">
        <f>IF(BD_Carga!C28="","",BD_Carga!C28)</f>
        <v/>
      </c>
      <c r="B27">
        <f>IF(A27="","",BD_Carga!D28)</f>
        <v/>
      </c>
      <c r="C27" s="2">
        <f>IF(A27="","",BD_Carga!A28)</f>
        <v/>
      </c>
      <c r="D27">
        <f>IF(A27="","",BD_Carga!R28)</f>
        <v/>
      </c>
      <c r="E27">
        <f>IF(A27="","",BD_Carga!Q28)</f>
        <v/>
      </c>
      <c r="F27" s="5">
        <f>IF(A27="","",BD_Carga!L28)</f>
        <v/>
      </c>
      <c r="G27">
        <f>IF(A27="","",BD_Carga!N28)</f>
        <v/>
      </c>
      <c r="H27">
        <f>IF(A27="","",BD_Carga!O28)</f>
        <v/>
      </c>
      <c r="I27">
        <f>IF(A27="","",BD_Carga!P28)</f>
        <v/>
      </c>
      <c r="J27">
        <f>IF(A27="","",_xlfn.MAXIFS(BD_Carga!$L:$L,BD_Carga!$C:$C,A27))</f>
        <v/>
      </c>
      <c r="K27" s="11">
        <f>IF(OR(A27="",J27=0),"",F27/J27)</f>
        <v/>
      </c>
      <c r="L27">
        <f>IF(A27="","",BD_Carga!E28)</f>
        <v/>
      </c>
    </row>
    <row r="28">
      <c r="A28">
        <f>IF(BD_Carga!C29="","",BD_Carga!C29)</f>
        <v/>
      </c>
      <c r="B28">
        <f>IF(A28="","",BD_Carga!D29)</f>
        <v/>
      </c>
      <c r="C28" s="2">
        <f>IF(A28="","",BD_Carga!A29)</f>
        <v/>
      </c>
      <c r="D28">
        <f>IF(A28="","",BD_Carga!R29)</f>
        <v/>
      </c>
      <c r="E28">
        <f>IF(A28="","",BD_Carga!Q29)</f>
        <v/>
      </c>
      <c r="F28" s="5">
        <f>IF(A28="","",BD_Carga!L29)</f>
        <v/>
      </c>
      <c r="G28">
        <f>IF(A28="","",BD_Carga!N29)</f>
        <v/>
      </c>
      <c r="H28">
        <f>IF(A28="","",BD_Carga!O29)</f>
        <v/>
      </c>
      <c r="I28">
        <f>IF(A28="","",BD_Carga!P29)</f>
        <v/>
      </c>
      <c r="J28">
        <f>IF(A28="","",_xlfn.MAXIFS(BD_Carga!$L:$L,BD_Carga!$C:$C,A28))</f>
        <v/>
      </c>
      <c r="K28" s="11">
        <f>IF(OR(A28="",J28=0),"",F28/J28)</f>
        <v/>
      </c>
      <c r="L28">
        <f>IF(A28="","",BD_Carga!E29)</f>
        <v/>
      </c>
    </row>
    <row r="29">
      <c r="A29">
        <f>IF(BD_Carga!C30="","",BD_Carga!C30)</f>
        <v/>
      </c>
      <c r="B29">
        <f>IF(A29="","",BD_Carga!D30)</f>
        <v/>
      </c>
      <c r="C29" s="2">
        <f>IF(A29="","",BD_Carga!A30)</f>
        <v/>
      </c>
      <c r="D29">
        <f>IF(A29="","",BD_Carga!R30)</f>
        <v/>
      </c>
      <c r="E29">
        <f>IF(A29="","",BD_Carga!Q30)</f>
        <v/>
      </c>
      <c r="F29" s="5">
        <f>IF(A29="","",BD_Carga!L30)</f>
        <v/>
      </c>
      <c r="G29">
        <f>IF(A29="","",BD_Carga!N30)</f>
        <v/>
      </c>
      <c r="H29">
        <f>IF(A29="","",BD_Carga!O30)</f>
        <v/>
      </c>
      <c r="I29">
        <f>IF(A29="","",BD_Carga!P30)</f>
        <v/>
      </c>
      <c r="J29">
        <f>IF(A29="","",_xlfn.MAXIFS(BD_Carga!$L:$L,BD_Carga!$C:$C,A29))</f>
        <v/>
      </c>
      <c r="K29" s="11">
        <f>IF(OR(A29="",J29=0),"",F29/J29)</f>
        <v/>
      </c>
      <c r="L29">
        <f>IF(A29="","",BD_Carga!E30)</f>
        <v/>
      </c>
    </row>
    <row r="30">
      <c r="A30">
        <f>IF(BD_Carga!C31="","",BD_Carga!C31)</f>
        <v/>
      </c>
      <c r="B30">
        <f>IF(A30="","",BD_Carga!D31)</f>
        <v/>
      </c>
      <c r="C30" s="2">
        <f>IF(A30="","",BD_Carga!A31)</f>
        <v/>
      </c>
      <c r="D30">
        <f>IF(A30="","",BD_Carga!R31)</f>
        <v/>
      </c>
      <c r="E30">
        <f>IF(A30="","",BD_Carga!Q31)</f>
        <v/>
      </c>
      <c r="F30" s="5">
        <f>IF(A30="","",BD_Carga!L31)</f>
        <v/>
      </c>
      <c r="G30">
        <f>IF(A30="","",BD_Carga!N31)</f>
        <v/>
      </c>
      <c r="H30">
        <f>IF(A30="","",BD_Carga!O31)</f>
        <v/>
      </c>
      <c r="I30">
        <f>IF(A30="","",BD_Carga!P31)</f>
        <v/>
      </c>
      <c r="J30">
        <f>IF(A30="","",_xlfn.MAXIFS(BD_Carga!$L:$L,BD_Carga!$C:$C,A30))</f>
        <v/>
      </c>
      <c r="K30" s="11">
        <f>IF(OR(A30="",J30=0),"",F30/J30)</f>
        <v/>
      </c>
      <c r="L30">
        <f>IF(A30="","",BD_Carga!E31)</f>
        <v/>
      </c>
    </row>
    <row r="31">
      <c r="A31">
        <f>IF(BD_Carga!C32="","",BD_Carga!C32)</f>
        <v/>
      </c>
      <c r="B31">
        <f>IF(A31="","",BD_Carga!D32)</f>
        <v/>
      </c>
      <c r="C31" s="2">
        <f>IF(A31="","",BD_Carga!A32)</f>
        <v/>
      </c>
      <c r="D31">
        <f>IF(A31="","",BD_Carga!R32)</f>
        <v/>
      </c>
      <c r="E31">
        <f>IF(A31="","",BD_Carga!Q32)</f>
        <v/>
      </c>
      <c r="F31" s="5">
        <f>IF(A31="","",BD_Carga!L32)</f>
        <v/>
      </c>
      <c r="G31">
        <f>IF(A31="","",BD_Carga!N32)</f>
        <v/>
      </c>
      <c r="H31">
        <f>IF(A31="","",BD_Carga!O32)</f>
        <v/>
      </c>
      <c r="I31">
        <f>IF(A31="","",BD_Carga!P32)</f>
        <v/>
      </c>
      <c r="J31">
        <f>IF(A31="","",_xlfn.MAXIFS(BD_Carga!$L:$L,BD_Carga!$C:$C,A31))</f>
        <v/>
      </c>
      <c r="K31" s="11">
        <f>IF(OR(A31="",J31=0),"",F31/J31)</f>
        <v/>
      </c>
      <c r="L31">
        <f>IF(A31="","",BD_Carga!E32)</f>
        <v/>
      </c>
    </row>
    <row r="32">
      <c r="A32">
        <f>IF(BD_Carga!C33="","",BD_Carga!C33)</f>
        <v/>
      </c>
      <c r="B32">
        <f>IF(A32="","",BD_Carga!D33)</f>
        <v/>
      </c>
      <c r="C32" s="2">
        <f>IF(A32="","",BD_Carga!A33)</f>
        <v/>
      </c>
      <c r="D32">
        <f>IF(A32="","",BD_Carga!R33)</f>
        <v/>
      </c>
      <c r="E32">
        <f>IF(A32="","",BD_Carga!Q33)</f>
        <v/>
      </c>
      <c r="F32" s="5">
        <f>IF(A32="","",BD_Carga!L33)</f>
        <v/>
      </c>
      <c r="G32">
        <f>IF(A32="","",BD_Carga!N33)</f>
        <v/>
      </c>
      <c r="H32">
        <f>IF(A32="","",BD_Carga!O33)</f>
        <v/>
      </c>
      <c r="I32">
        <f>IF(A32="","",BD_Carga!P33)</f>
        <v/>
      </c>
      <c r="J32">
        <f>IF(A32="","",_xlfn.MAXIFS(BD_Carga!$L:$L,BD_Carga!$C:$C,A32))</f>
        <v/>
      </c>
      <c r="K32" s="11">
        <f>IF(OR(A32="",J32=0),"",F32/J32)</f>
        <v/>
      </c>
      <c r="L32">
        <f>IF(A32="","",BD_Carga!E33)</f>
        <v/>
      </c>
    </row>
    <row r="33">
      <c r="A33">
        <f>IF(BD_Carga!C34="","",BD_Carga!C34)</f>
        <v/>
      </c>
      <c r="B33">
        <f>IF(A33="","",BD_Carga!D34)</f>
        <v/>
      </c>
      <c r="C33" s="2">
        <f>IF(A33="","",BD_Carga!A34)</f>
        <v/>
      </c>
      <c r="D33">
        <f>IF(A33="","",BD_Carga!R34)</f>
        <v/>
      </c>
      <c r="E33">
        <f>IF(A33="","",BD_Carga!Q34)</f>
        <v/>
      </c>
      <c r="F33" s="5">
        <f>IF(A33="","",BD_Carga!L34)</f>
        <v/>
      </c>
      <c r="G33">
        <f>IF(A33="","",BD_Carga!N34)</f>
        <v/>
      </c>
      <c r="H33">
        <f>IF(A33="","",BD_Carga!O34)</f>
        <v/>
      </c>
      <c r="I33">
        <f>IF(A33="","",BD_Carga!P34)</f>
        <v/>
      </c>
      <c r="J33">
        <f>IF(A33="","",_xlfn.MAXIFS(BD_Carga!$L:$L,BD_Carga!$C:$C,A33))</f>
        <v/>
      </c>
      <c r="K33" s="11">
        <f>IF(OR(A33="",J33=0),"",F33/J33)</f>
        <v/>
      </c>
      <c r="L33">
        <f>IF(A33="","",BD_Carga!E34)</f>
        <v/>
      </c>
    </row>
    <row r="34">
      <c r="A34">
        <f>IF(BD_Carga!C35="","",BD_Carga!C35)</f>
        <v/>
      </c>
      <c r="B34">
        <f>IF(A34="","",BD_Carga!D35)</f>
        <v/>
      </c>
      <c r="C34" s="2">
        <f>IF(A34="","",BD_Carga!A35)</f>
        <v/>
      </c>
      <c r="D34">
        <f>IF(A34="","",BD_Carga!R35)</f>
        <v/>
      </c>
      <c r="E34">
        <f>IF(A34="","",BD_Carga!Q35)</f>
        <v/>
      </c>
      <c r="F34" s="5">
        <f>IF(A34="","",BD_Carga!L35)</f>
        <v/>
      </c>
      <c r="G34">
        <f>IF(A34="","",BD_Carga!N35)</f>
        <v/>
      </c>
      <c r="H34">
        <f>IF(A34="","",BD_Carga!O35)</f>
        <v/>
      </c>
      <c r="I34">
        <f>IF(A34="","",BD_Carga!P35)</f>
        <v/>
      </c>
      <c r="J34">
        <f>IF(A34="","",_xlfn.MAXIFS(BD_Carga!$L:$L,BD_Carga!$C:$C,A34))</f>
        <v/>
      </c>
      <c r="K34" s="11">
        <f>IF(OR(A34="",J34=0),"",F34/J34)</f>
        <v/>
      </c>
      <c r="L34">
        <f>IF(A34="","",BD_Carga!E35)</f>
        <v/>
      </c>
    </row>
    <row r="35">
      <c r="A35">
        <f>IF(BD_Carga!C36="","",BD_Carga!C36)</f>
        <v/>
      </c>
      <c r="B35">
        <f>IF(A35="","",BD_Carga!D36)</f>
        <v/>
      </c>
      <c r="C35" s="2">
        <f>IF(A35="","",BD_Carga!A36)</f>
        <v/>
      </c>
      <c r="D35">
        <f>IF(A35="","",BD_Carga!R36)</f>
        <v/>
      </c>
      <c r="E35">
        <f>IF(A35="","",BD_Carga!Q36)</f>
        <v/>
      </c>
      <c r="F35" s="5">
        <f>IF(A35="","",BD_Carga!L36)</f>
        <v/>
      </c>
      <c r="G35">
        <f>IF(A35="","",BD_Carga!N36)</f>
        <v/>
      </c>
      <c r="H35">
        <f>IF(A35="","",BD_Carga!O36)</f>
        <v/>
      </c>
      <c r="I35">
        <f>IF(A35="","",BD_Carga!P36)</f>
        <v/>
      </c>
      <c r="J35">
        <f>IF(A35="","",_xlfn.MAXIFS(BD_Carga!$L:$L,BD_Carga!$C:$C,A35))</f>
        <v/>
      </c>
      <c r="K35" s="11">
        <f>IF(OR(A35="",J35=0),"",F35/J35)</f>
        <v/>
      </c>
      <c r="L35">
        <f>IF(A35="","",BD_Carga!E36)</f>
        <v/>
      </c>
    </row>
    <row r="36">
      <c r="A36">
        <f>IF(BD_Carga!C37="","",BD_Carga!C37)</f>
        <v/>
      </c>
      <c r="B36">
        <f>IF(A36="","",BD_Carga!D37)</f>
        <v/>
      </c>
      <c r="C36" s="2">
        <f>IF(A36="","",BD_Carga!A37)</f>
        <v/>
      </c>
      <c r="D36">
        <f>IF(A36="","",BD_Carga!R37)</f>
        <v/>
      </c>
      <c r="E36">
        <f>IF(A36="","",BD_Carga!Q37)</f>
        <v/>
      </c>
      <c r="F36" s="5">
        <f>IF(A36="","",BD_Carga!L37)</f>
        <v/>
      </c>
      <c r="G36">
        <f>IF(A36="","",BD_Carga!N37)</f>
        <v/>
      </c>
      <c r="H36">
        <f>IF(A36="","",BD_Carga!O37)</f>
        <v/>
      </c>
      <c r="I36">
        <f>IF(A36="","",BD_Carga!P37)</f>
        <v/>
      </c>
      <c r="J36">
        <f>IF(A36="","",_xlfn.MAXIFS(BD_Carga!$L:$L,BD_Carga!$C:$C,A36))</f>
        <v/>
      </c>
      <c r="K36" s="11">
        <f>IF(OR(A36="",J36=0),"",F36/J36)</f>
        <v/>
      </c>
      <c r="L36">
        <f>IF(A36="","",BD_Carga!E37)</f>
        <v/>
      </c>
    </row>
    <row r="37">
      <c r="A37">
        <f>IF(BD_Carga!C38="","",BD_Carga!C38)</f>
        <v/>
      </c>
      <c r="B37">
        <f>IF(A37="","",BD_Carga!D38)</f>
        <v/>
      </c>
      <c r="C37" s="2">
        <f>IF(A37="","",BD_Carga!A38)</f>
        <v/>
      </c>
      <c r="D37">
        <f>IF(A37="","",BD_Carga!R38)</f>
        <v/>
      </c>
      <c r="E37">
        <f>IF(A37="","",BD_Carga!Q38)</f>
        <v/>
      </c>
      <c r="F37" s="5">
        <f>IF(A37="","",BD_Carga!L38)</f>
        <v/>
      </c>
      <c r="G37">
        <f>IF(A37="","",BD_Carga!N38)</f>
        <v/>
      </c>
      <c r="H37">
        <f>IF(A37="","",BD_Carga!O38)</f>
        <v/>
      </c>
      <c r="I37">
        <f>IF(A37="","",BD_Carga!P38)</f>
        <v/>
      </c>
      <c r="J37">
        <f>IF(A37="","",_xlfn.MAXIFS(BD_Carga!$L:$L,BD_Carga!$C:$C,A37))</f>
        <v/>
      </c>
      <c r="K37" s="11">
        <f>IF(OR(A37="",J37=0),"",F37/J37)</f>
        <v/>
      </c>
      <c r="L37">
        <f>IF(A37="","",BD_Carga!E38)</f>
        <v/>
      </c>
    </row>
    <row r="38">
      <c r="A38">
        <f>IF(BD_Carga!C39="","",BD_Carga!C39)</f>
        <v/>
      </c>
      <c r="B38">
        <f>IF(A38="","",BD_Carga!D39)</f>
        <v/>
      </c>
      <c r="C38" s="2">
        <f>IF(A38="","",BD_Carga!A39)</f>
        <v/>
      </c>
      <c r="D38">
        <f>IF(A38="","",BD_Carga!R39)</f>
        <v/>
      </c>
      <c r="E38">
        <f>IF(A38="","",BD_Carga!Q39)</f>
        <v/>
      </c>
      <c r="F38" s="5">
        <f>IF(A38="","",BD_Carga!L39)</f>
        <v/>
      </c>
      <c r="G38">
        <f>IF(A38="","",BD_Carga!N39)</f>
        <v/>
      </c>
      <c r="H38">
        <f>IF(A38="","",BD_Carga!O39)</f>
        <v/>
      </c>
      <c r="I38">
        <f>IF(A38="","",BD_Carga!P39)</f>
        <v/>
      </c>
      <c r="J38">
        <f>IF(A38="","",_xlfn.MAXIFS(BD_Carga!$L:$L,BD_Carga!$C:$C,A38))</f>
        <v/>
      </c>
      <c r="K38" s="11">
        <f>IF(OR(A38="",J38=0),"",F38/J38)</f>
        <v/>
      </c>
      <c r="L38">
        <f>IF(A38="","",BD_Carga!E39)</f>
        <v/>
      </c>
    </row>
    <row r="39">
      <c r="A39">
        <f>IF(BD_Carga!C40="","",BD_Carga!C40)</f>
        <v/>
      </c>
      <c r="B39">
        <f>IF(A39="","",BD_Carga!D40)</f>
        <v/>
      </c>
      <c r="C39" s="2">
        <f>IF(A39="","",BD_Carga!A40)</f>
        <v/>
      </c>
      <c r="D39">
        <f>IF(A39="","",BD_Carga!R40)</f>
        <v/>
      </c>
      <c r="E39">
        <f>IF(A39="","",BD_Carga!Q40)</f>
        <v/>
      </c>
      <c r="F39" s="5">
        <f>IF(A39="","",BD_Carga!L40)</f>
        <v/>
      </c>
      <c r="G39">
        <f>IF(A39="","",BD_Carga!N40)</f>
        <v/>
      </c>
      <c r="H39">
        <f>IF(A39="","",BD_Carga!O40)</f>
        <v/>
      </c>
      <c r="I39">
        <f>IF(A39="","",BD_Carga!P40)</f>
        <v/>
      </c>
      <c r="J39">
        <f>IF(A39="","",_xlfn.MAXIFS(BD_Carga!$L:$L,BD_Carga!$C:$C,A39))</f>
        <v/>
      </c>
      <c r="K39" s="11">
        <f>IF(OR(A39="",J39=0),"",F39/J39)</f>
        <v/>
      </c>
      <c r="L39">
        <f>IF(A39="","",BD_Carga!E40)</f>
        <v/>
      </c>
    </row>
    <row r="40">
      <c r="A40">
        <f>IF(BD_Carga!C41="","",BD_Carga!C41)</f>
        <v/>
      </c>
      <c r="B40">
        <f>IF(A40="","",BD_Carga!D41)</f>
        <v/>
      </c>
      <c r="C40" s="2">
        <f>IF(A40="","",BD_Carga!A41)</f>
        <v/>
      </c>
      <c r="D40">
        <f>IF(A40="","",BD_Carga!R41)</f>
        <v/>
      </c>
      <c r="E40">
        <f>IF(A40="","",BD_Carga!Q41)</f>
        <v/>
      </c>
      <c r="F40" s="5">
        <f>IF(A40="","",BD_Carga!L41)</f>
        <v/>
      </c>
      <c r="G40">
        <f>IF(A40="","",BD_Carga!N41)</f>
        <v/>
      </c>
      <c r="H40">
        <f>IF(A40="","",BD_Carga!O41)</f>
        <v/>
      </c>
      <c r="I40">
        <f>IF(A40="","",BD_Carga!P41)</f>
        <v/>
      </c>
      <c r="J40">
        <f>IF(A40="","",_xlfn.MAXIFS(BD_Carga!$L:$L,BD_Carga!$C:$C,A40))</f>
        <v/>
      </c>
      <c r="K40" s="11">
        <f>IF(OR(A40="",J40=0),"",F40/J40)</f>
        <v/>
      </c>
      <c r="L40">
        <f>IF(A40="","",BD_Carga!E41)</f>
        <v/>
      </c>
    </row>
    <row r="41">
      <c r="A41">
        <f>IF(BD_Carga!C42="","",BD_Carga!C42)</f>
        <v/>
      </c>
      <c r="B41">
        <f>IF(A41="","",BD_Carga!D42)</f>
        <v/>
      </c>
      <c r="C41" s="2">
        <f>IF(A41="","",BD_Carga!A42)</f>
        <v/>
      </c>
      <c r="D41">
        <f>IF(A41="","",BD_Carga!R42)</f>
        <v/>
      </c>
      <c r="E41">
        <f>IF(A41="","",BD_Carga!Q42)</f>
        <v/>
      </c>
      <c r="F41" s="5">
        <f>IF(A41="","",BD_Carga!L42)</f>
        <v/>
      </c>
      <c r="G41">
        <f>IF(A41="","",BD_Carga!N42)</f>
        <v/>
      </c>
      <c r="H41">
        <f>IF(A41="","",BD_Carga!O42)</f>
        <v/>
      </c>
      <c r="I41">
        <f>IF(A41="","",BD_Carga!P42)</f>
        <v/>
      </c>
      <c r="J41">
        <f>IF(A41="","",_xlfn.MAXIFS(BD_Carga!$L:$L,BD_Carga!$C:$C,A41))</f>
        <v/>
      </c>
      <c r="K41" s="11">
        <f>IF(OR(A41="",J41=0),"",F41/J41)</f>
        <v/>
      </c>
      <c r="L41">
        <f>IF(A41="","",BD_Carga!E42)</f>
        <v/>
      </c>
    </row>
    <row r="42">
      <c r="A42">
        <f>IF(BD_Carga!C43="","",BD_Carga!C43)</f>
        <v/>
      </c>
      <c r="B42">
        <f>IF(A42="","",BD_Carga!D43)</f>
        <v/>
      </c>
      <c r="C42" s="2">
        <f>IF(A42="","",BD_Carga!A43)</f>
        <v/>
      </c>
      <c r="D42">
        <f>IF(A42="","",BD_Carga!R43)</f>
        <v/>
      </c>
      <c r="E42">
        <f>IF(A42="","",BD_Carga!Q43)</f>
        <v/>
      </c>
      <c r="F42" s="5">
        <f>IF(A42="","",BD_Carga!L43)</f>
        <v/>
      </c>
      <c r="G42">
        <f>IF(A42="","",BD_Carga!N43)</f>
        <v/>
      </c>
      <c r="H42">
        <f>IF(A42="","",BD_Carga!O43)</f>
        <v/>
      </c>
      <c r="I42">
        <f>IF(A42="","",BD_Carga!P43)</f>
        <v/>
      </c>
      <c r="J42">
        <f>IF(A42="","",_xlfn.MAXIFS(BD_Carga!$L:$L,BD_Carga!$C:$C,A42))</f>
        <v/>
      </c>
      <c r="K42" s="11">
        <f>IF(OR(A42="",J42=0),"",F42/J42)</f>
        <v/>
      </c>
      <c r="L42">
        <f>IF(A42="","",BD_Carga!E43)</f>
        <v/>
      </c>
    </row>
    <row r="43">
      <c r="A43">
        <f>IF(BD_Carga!C44="","",BD_Carga!C44)</f>
        <v/>
      </c>
      <c r="B43">
        <f>IF(A43="","",BD_Carga!D44)</f>
        <v/>
      </c>
      <c r="C43" s="2">
        <f>IF(A43="","",BD_Carga!A44)</f>
        <v/>
      </c>
      <c r="D43">
        <f>IF(A43="","",BD_Carga!R44)</f>
        <v/>
      </c>
      <c r="E43">
        <f>IF(A43="","",BD_Carga!Q44)</f>
        <v/>
      </c>
      <c r="F43" s="5">
        <f>IF(A43="","",BD_Carga!L44)</f>
        <v/>
      </c>
      <c r="G43">
        <f>IF(A43="","",BD_Carga!N44)</f>
        <v/>
      </c>
      <c r="H43">
        <f>IF(A43="","",BD_Carga!O44)</f>
        <v/>
      </c>
      <c r="I43">
        <f>IF(A43="","",BD_Carga!P44)</f>
        <v/>
      </c>
      <c r="J43">
        <f>IF(A43="","",_xlfn.MAXIFS(BD_Carga!$L:$L,BD_Carga!$C:$C,A43))</f>
        <v/>
      </c>
      <c r="K43" s="11">
        <f>IF(OR(A43="",J43=0),"",F43/J43)</f>
        <v/>
      </c>
      <c r="L43">
        <f>IF(A43="","",BD_Carga!E44)</f>
        <v/>
      </c>
    </row>
    <row r="44">
      <c r="A44">
        <f>IF(BD_Carga!C45="","",BD_Carga!C45)</f>
        <v/>
      </c>
      <c r="B44">
        <f>IF(A44="","",BD_Carga!D45)</f>
        <v/>
      </c>
      <c r="C44" s="2">
        <f>IF(A44="","",BD_Carga!A45)</f>
        <v/>
      </c>
      <c r="D44">
        <f>IF(A44="","",BD_Carga!R45)</f>
        <v/>
      </c>
      <c r="E44">
        <f>IF(A44="","",BD_Carga!Q45)</f>
        <v/>
      </c>
      <c r="F44" s="5">
        <f>IF(A44="","",BD_Carga!L45)</f>
        <v/>
      </c>
      <c r="G44">
        <f>IF(A44="","",BD_Carga!N45)</f>
        <v/>
      </c>
      <c r="H44">
        <f>IF(A44="","",BD_Carga!O45)</f>
        <v/>
      </c>
      <c r="I44">
        <f>IF(A44="","",BD_Carga!P45)</f>
        <v/>
      </c>
      <c r="J44">
        <f>IF(A44="","",_xlfn.MAXIFS(BD_Carga!$L:$L,BD_Carga!$C:$C,A44))</f>
        <v/>
      </c>
      <c r="K44" s="11">
        <f>IF(OR(A44="",J44=0),"",F44/J44)</f>
        <v/>
      </c>
      <c r="L44">
        <f>IF(A44="","",BD_Carga!E45)</f>
        <v/>
      </c>
    </row>
    <row r="45">
      <c r="A45">
        <f>IF(BD_Carga!C46="","",BD_Carga!C46)</f>
        <v/>
      </c>
      <c r="B45">
        <f>IF(A45="","",BD_Carga!D46)</f>
        <v/>
      </c>
      <c r="C45" s="2">
        <f>IF(A45="","",BD_Carga!A46)</f>
        <v/>
      </c>
      <c r="D45">
        <f>IF(A45="","",BD_Carga!R46)</f>
        <v/>
      </c>
      <c r="E45">
        <f>IF(A45="","",BD_Carga!Q46)</f>
        <v/>
      </c>
      <c r="F45" s="5">
        <f>IF(A45="","",BD_Carga!L46)</f>
        <v/>
      </c>
      <c r="G45">
        <f>IF(A45="","",BD_Carga!N46)</f>
        <v/>
      </c>
      <c r="H45">
        <f>IF(A45="","",BD_Carga!O46)</f>
        <v/>
      </c>
      <c r="I45">
        <f>IF(A45="","",BD_Carga!P46)</f>
        <v/>
      </c>
      <c r="J45">
        <f>IF(A45="","",_xlfn.MAXIFS(BD_Carga!$L:$L,BD_Carga!$C:$C,A45))</f>
        <v/>
      </c>
      <c r="K45" s="11">
        <f>IF(OR(A45="",J45=0),"",F45/J45)</f>
        <v/>
      </c>
      <c r="L45">
        <f>IF(A45="","",BD_Carga!E46)</f>
        <v/>
      </c>
    </row>
    <row r="46">
      <c r="A46">
        <f>IF(BD_Carga!C47="","",BD_Carga!C47)</f>
        <v/>
      </c>
      <c r="B46">
        <f>IF(A46="","",BD_Carga!D47)</f>
        <v/>
      </c>
      <c r="C46" s="2">
        <f>IF(A46="","",BD_Carga!A47)</f>
        <v/>
      </c>
      <c r="D46">
        <f>IF(A46="","",BD_Carga!R47)</f>
        <v/>
      </c>
      <c r="E46">
        <f>IF(A46="","",BD_Carga!Q47)</f>
        <v/>
      </c>
      <c r="F46" s="5">
        <f>IF(A46="","",BD_Carga!L47)</f>
        <v/>
      </c>
      <c r="G46">
        <f>IF(A46="","",BD_Carga!N47)</f>
        <v/>
      </c>
      <c r="H46">
        <f>IF(A46="","",BD_Carga!O47)</f>
        <v/>
      </c>
      <c r="I46">
        <f>IF(A46="","",BD_Carga!P47)</f>
        <v/>
      </c>
      <c r="J46">
        <f>IF(A46="","",_xlfn.MAXIFS(BD_Carga!$L:$L,BD_Carga!$C:$C,A46))</f>
        <v/>
      </c>
      <c r="K46" s="11">
        <f>IF(OR(A46="",J46=0),"",F46/J46)</f>
        <v/>
      </c>
      <c r="L46">
        <f>IF(A46="","",BD_Carga!E47)</f>
        <v/>
      </c>
    </row>
    <row r="47">
      <c r="A47">
        <f>IF(BD_Carga!C48="","",BD_Carga!C48)</f>
        <v/>
      </c>
      <c r="B47">
        <f>IF(A47="","",BD_Carga!D48)</f>
        <v/>
      </c>
      <c r="C47" s="2">
        <f>IF(A47="","",BD_Carga!A48)</f>
        <v/>
      </c>
      <c r="D47">
        <f>IF(A47="","",BD_Carga!R48)</f>
        <v/>
      </c>
      <c r="E47">
        <f>IF(A47="","",BD_Carga!Q48)</f>
        <v/>
      </c>
      <c r="F47" s="5">
        <f>IF(A47="","",BD_Carga!L48)</f>
        <v/>
      </c>
      <c r="G47">
        <f>IF(A47="","",BD_Carga!N48)</f>
        <v/>
      </c>
      <c r="H47">
        <f>IF(A47="","",BD_Carga!O48)</f>
        <v/>
      </c>
      <c r="I47">
        <f>IF(A47="","",BD_Carga!P48)</f>
        <v/>
      </c>
      <c r="J47">
        <f>IF(A47="","",_xlfn.MAXIFS(BD_Carga!$L:$L,BD_Carga!$C:$C,A47))</f>
        <v/>
      </c>
      <c r="K47" s="11">
        <f>IF(OR(A47="",J47=0),"",F47/J47)</f>
        <v/>
      </c>
      <c r="L47">
        <f>IF(A47="","",BD_Carga!E48)</f>
        <v/>
      </c>
    </row>
    <row r="48">
      <c r="A48">
        <f>IF(BD_Carga!C49="","",BD_Carga!C49)</f>
        <v/>
      </c>
      <c r="B48">
        <f>IF(A48="","",BD_Carga!D49)</f>
        <v/>
      </c>
      <c r="C48" s="2">
        <f>IF(A48="","",BD_Carga!A49)</f>
        <v/>
      </c>
      <c r="D48">
        <f>IF(A48="","",BD_Carga!R49)</f>
        <v/>
      </c>
      <c r="E48">
        <f>IF(A48="","",BD_Carga!Q49)</f>
        <v/>
      </c>
      <c r="F48" s="5">
        <f>IF(A48="","",BD_Carga!L49)</f>
        <v/>
      </c>
      <c r="G48">
        <f>IF(A48="","",BD_Carga!N49)</f>
        <v/>
      </c>
      <c r="H48">
        <f>IF(A48="","",BD_Carga!O49)</f>
        <v/>
      </c>
      <c r="I48">
        <f>IF(A48="","",BD_Carga!P49)</f>
        <v/>
      </c>
      <c r="J48">
        <f>IF(A48="","",_xlfn.MAXIFS(BD_Carga!$L:$L,BD_Carga!$C:$C,A48))</f>
        <v/>
      </c>
      <c r="K48" s="11">
        <f>IF(OR(A48="",J48=0),"",F48/J48)</f>
        <v/>
      </c>
      <c r="L48">
        <f>IF(A48="","",BD_Carga!E49)</f>
        <v/>
      </c>
    </row>
    <row r="49">
      <c r="A49">
        <f>IF(BD_Carga!C50="","",BD_Carga!C50)</f>
        <v/>
      </c>
      <c r="B49">
        <f>IF(A49="","",BD_Carga!D50)</f>
        <v/>
      </c>
      <c r="C49" s="2">
        <f>IF(A49="","",BD_Carga!A50)</f>
        <v/>
      </c>
      <c r="D49">
        <f>IF(A49="","",BD_Carga!R50)</f>
        <v/>
      </c>
      <c r="E49">
        <f>IF(A49="","",BD_Carga!Q50)</f>
        <v/>
      </c>
      <c r="F49" s="5">
        <f>IF(A49="","",BD_Carga!L50)</f>
        <v/>
      </c>
      <c r="G49">
        <f>IF(A49="","",BD_Carga!N50)</f>
        <v/>
      </c>
      <c r="H49">
        <f>IF(A49="","",BD_Carga!O50)</f>
        <v/>
      </c>
      <c r="I49">
        <f>IF(A49="","",BD_Carga!P50)</f>
        <v/>
      </c>
      <c r="J49">
        <f>IF(A49="","",_xlfn.MAXIFS(BD_Carga!$L:$L,BD_Carga!$C:$C,A49))</f>
        <v/>
      </c>
      <c r="K49" s="11">
        <f>IF(OR(A49="",J49=0),"",F49/J49)</f>
        <v/>
      </c>
      <c r="L49">
        <f>IF(A49="","",BD_Carga!E50)</f>
        <v/>
      </c>
    </row>
    <row r="50">
      <c r="A50">
        <f>IF(BD_Carga!C51="","",BD_Carga!C51)</f>
        <v/>
      </c>
      <c r="B50">
        <f>IF(A50="","",BD_Carga!D51)</f>
        <v/>
      </c>
      <c r="C50" s="2">
        <f>IF(A50="","",BD_Carga!A51)</f>
        <v/>
      </c>
      <c r="D50">
        <f>IF(A50="","",BD_Carga!R51)</f>
        <v/>
      </c>
      <c r="E50">
        <f>IF(A50="","",BD_Carga!Q51)</f>
        <v/>
      </c>
      <c r="F50" s="5">
        <f>IF(A50="","",BD_Carga!L51)</f>
        <v/>
      </c>
      <c r="G50">
        <f>IF(A50="","",BD_Carga!N51)</f>
        <v/>
      </c>
      <c r="H50">
        <f>IF(A50="","",BD_Carga!O51)</f>
        <v/>
      </c>
      <c r="I50">
        <f>IF(A50="","",BD_Carga!P51)</f>
        <v/>
      </c>
      <c r="J50">
        <f>IF(A50="","",_xlfn.MAXIFS(BD_Carga!$L:$L,BD_Carga!$C:$C,A50))</f>
        <v/>
      </c>
      <c r="K50" s="11">
        <f>IF(OR(A50="",J50=0),"",F50/J50)</f>
        <v/>
      </c>
      <c r="L50">
        <f>IF(A50="","",BD_Carga!E51)</f>
        <v/>
      </c>
    </row>
    <row r="51">
      <c r="A51">
        <f>IF(BD_Carga!C52="","",BD_Carga!C52)</f>
        <v/>
      </c>
      <c r="B51">
        <f>IF(A51="","",BD_Carga!D52)</f>
        <v/>
      </c>
      <c r="C51" s="2">
        <f>IF(A51="","",BD_Carga!A52)</f>
        <v/>
      </c>
      <c r="D51">
        <f>IF(A51="","",BD_Carga!R52)</f>
        <v/>
      </c>
      <c r="E51">
        <f>IF(A51="","",BD_Carga!Q52)</f>
        <v/>
      </c>
      <c r="F51" s="5">
        <f>IF(A51="","",BD_Carga!L52)</f>
        <v/>
      </c>
      <c r="G51">
        <f>IF(A51="","",BD_Carga!N52)</f>
        <v/>
      </c>
      <c r="H51">
        <f>IF(A51="","",BD_Carga!O52)</f>
        <v/>
      </c>
      <c r="I51">
        <f>IF(A51="","",BD_Carga!P52)</f>
        <v/>
      </c>
      <c r="J51">
        <f>IF(A51="","",_xlfn.MAXIFS(BD_Carga!$L:$L,BD_Carga!$C:$C,A51))</f>
        <v/>
      </c>
      <c r="K51" s="11">
        <f>IF(OR(A51="",J51=0),"",F51/J51)</f>
        <v/>
      </c>
      <c r="L51">
        <f>IF(A51="","",BD_Carga!E52)</f>
        <v/>
      </c>
    </row>
    <row r="52">
      <c r="A52">
        <f>IF(BD_Carga!C53="","",BD_Carga!C53)</f>
        <v/>
      </c>
      <c r="B52">
        <f>IF(A52="","",BD_Carga!D53)</f>
        <v/>
      </c>
      <c r="C52" s="2">
        <f>IF(A52="","",BD_Carga!A53)</f>
        <v/>
      </c>
      <c r="D52">
        <f>IF(A52="","",BD_Carga!R53)</f>
        <v/>
      </c>
      <c r="E52">
        <f>IF(A52="","",BD_Carga!Q53)</f>
        <v/>
      </c>
      <c r="F52" s="5">
        <f>IF(A52="","",BD_Carga!L53)</f>
        <v/>
      </c>
      <c r="G52">
        <f>IF(A52="","",BD_Carga!N53)</f>
        <v/>
      </c>
      <c r="H52">
        <f>IF(A52="","",BD_Carga!O53)</f>
        <v/>
      </c>
      <c r="I52">
        <f>IF(A52="","",BD_Carga!P53)</f>
        <v/>
      </c>
      <c r="J52">
        <f>IF(A52="","",_xlfn.MAXIFS(BD_Carga!$L:$L,BD_Carga!$C:$C,A52))</f>
        <v/>
      </c>
      <c r="K52" s="11">
        <f>IF(OR(A52="",J52=0),"",F52/J52)</f>
        <v/>
      </c>
      <c r="L52">
        <f>IF(A52="","",BD_Carga!E53)</f>
        <v/>
      </c>
    </row>
    <row r="53">
      <c r="A53">
        <f>IF(BD_Carga!C54="","",BD_Carga!C54)</f>
        <v/>
      </c>
      <c r="B53">
        <f>IF(A53="","",BD_Carga!D54)</f>
        <v/>
      </c>
      <c r="C53" s="2">
        <f>IF(A53="","",BD_Carga!A54)</f>
        <v/>
      </c>
      <c r="D53">
        <f>IF(A53="","",BD_Carga!R54)</f>
        <v/>
      </c>
      <c r="E53">
        <f>IF(A53="","",BD_Carga!Q54)</f>
        <v/>
      </c>
      <c r="F53" s="5">
        <f>IF(A53="","",BD_Carga!L54)</f>
        <v/>
      </c>
      <c r="G53">
        <f>IF(A53="","",BD_Carga!N54)</f>
        <v/>
      </c>
      <c r="H53">
        <f>IF(A53="","",BD_Carga!O54)</f>
        <v/>
      </c>
      <c r="I53">
        <f>IF(A53="","",BD_Carga!P54)</f>
        <v/>
      </c>
      <c r="J53">
        <f>IF(A53="","",_xlfn.MAXIFS(BD_Carga!$L:$L,BD_Carga!$C:$C,A53))</f>
        <v/>
      </c>
      <c r="K53" s="11">
        <f>IF(OR(A53="",J53=0),"",F53/J53)</f>
        <v/>
      </c>
      <c r="L53">
        <f>IF(A53="","",BD_Carga!E54)</f>
        <v/>
      </c>
    </row>
    <row r="54">
      <c r="A54">
        <f>IF(BD_Carga!C55="","",BD_Carga!C55)</f>
        <v/>
      </c>
      <c r="B54">
        <f>IF(A54="","",BD_Carga!D55)</f>
        <v/>
      </c>
      <c r="C54" s="2">
        <f>IF(A54="","",BD_Carga!A55)</f>
        <v/>
      </c>
      <c r="D54">
        <f>IF(A54="","",BD_Carga!R55)</f>
        <v/>
      </c>
      <c r="E54">
        <f>IF(A54="","",BD_Carga!Q55)</f>
        <v/>
      </c>
      <c r="F54" s="5">
        <f>IF(A54="","",BD_Carga!L55)</f>
        <v/>
      </c>
      <c r="G54">
        <f>IF(A54="","",BD_Carga!N55)</f>
        <v/>
      </c>
      <c r="H54">
        <f>IF(A54="","",BD_Carga!O55)</f>
        <v/>
      </c>
      <c r="I54">
        <f>IF(A54="","",BD_Carga!P55)</f>
        <v/>
      </c>
      <c r="J54">
        <f>IF(A54="","",_xlfn.MAXIFS(BD_Carga!$L:$L,BD_Carga!$C:$C,A54))</f>
        <v/>
      </c>
      <c r="K54" s="11">
        <f>IF(OR(A54="",J54=0),"",F54/J54)</f>
        <v/>
      </c>
      <c r="L54">
        <f>IF(A54="","",BD_Carga!E55)</f>
        <v/>
      </c>
    </row>
    <row r="55">
      <c r="A55">
        <f>IF(BD_Carga!C56="","",BD_Carga!C56)</f>
        <v/>
      </c>
      <c r="B55">
        <f>IF(A55="","",BD_Carga!D56)</f>
        <v/>
      </c>
      <c r="C55" s="2">
        <f>IF(A55="","",BD_Carga!A56)</f>
        <v/>
      </c>
      <c r="D55">
        <f>IF(A55="","",BD_Carga!R56)</f>
        <v/>
      </c>
      <c r="E55">
        <f>IF(A55="","",BD_Carga!Q56)</f>
        <v/>
      </c>
      <c r="F55" s="5">
        <f>IF(A55="","",BD_Carga!L56)</f>
        <v/>
      </c>
      <c r="G55">
        <f>IF(A55="","",BD_Carga!N56)</f>
        <v/>
      </c>
      <c r="H55">
        <f>IF(A55="","",BD_Carga!O56)</f>
        <v/>
      </c>
      <c r="I55">
        <f>IF(A55="","",BD_Carga!P56)</f>
        <v/>
      </c>
      <c r="J55">
        <f>IF(A55="","",_xlfn.MAXIFS(BD_Carga!$L:$L,BD_Carga!$C:$C,A55))</f>
        <v/>
      </c>
      <c r="K55" s="11">
        <f>IF(OR(A55="",J55=0),"",F55/J55)</f>
        <v/>
      </c>
      <c r="L55">
        <f>IF(A55="","",BD_Carga!E56)</f>
        <v/>
      </c>
    </row>
    <row r="56">
      <c r="A56">
        <f>IF(BD_Carga!C57="","",BD_Carga!C57)</f>
        <v/>
      </c>
      <c r="B56">
        <f>IF(A56="","",BD_Carga!D57)</f>
        <v/>
      </c>
      <c r="C56" s="2">
        <f>IF(A56="","",BD_Carga!A57)</f>
        <v/>
      </c>
      <c r="D56">
        <f>IF(A56="","",BD_Carga!R57)</f>
        <v/>
      </c>
      <c r="E56">
        <f>IF(A56="","",BD_Carga!Q57)</f>
        <v/>
      </c>
      <c r="F56" s="5">
        <f>IF(A56="","",BD_Carga!L57)</f>
        <v/>
      </c>
      <c r="G56">
        <f>IF(A56="","",BD_Carga!N57)</f>
        <v/>
      </c>
      <c r="H56">
        <f>IF(A56="","",BD_Carga!O57)</f>
        <v/>
      </c>
      <c r="I56">
        <f>IF(A56="","",BD_Carga!P57)</f>
        <v/>
      </c>
      <c r="J56">
        <f>IF(A56="","",_xlfn.MAXIFS(BD_Carga!$L:$L,BD_Carga!$C:$C,A56))</f>
        <v/>
      </c>
      <c r="K56" s="11">
        <f>IF(OR(A56="",J56=0),"",F56/J56)</f>
        <v/>
      </c>
      <c r="L56">
        <f>IF(A56="","",BD_Carga!E57)</f>
        <v/>
      </c>
    </row>
    <row r="57">
      <c r="A57">
        <f>IF(BD_Carga!C58="","",BD_Carga!C58)</f>
        <v/>
      </c>
      <c r="B57">
        <f>IF(A57="","",BD_Carga!D58)</f>
        <v/>
      </c>
      <c r="C57" s="2">
        <f>IF(A57="","",BD_Carga!A58)</f>
        <v/>
      </c>
      <c r="D57">
        <f>IF(A57="","",BD_Carga!R58)</f>
        <v/>
      </c>
      <c r="E57">
        <f>IF(A57="","",BD_Carga!Q58)</f>
        <v/>
      </c>
      <c r="F57" s="5">
        <f>IF(A57="","",BD_Carga!L58)</f>
        <v/>
      </c>
      <c r="G57">
        <f>IF(A57="","",BD_Carga!N58)</f>
        <v/>
      </c>
      <c r="H57">
        <f>IF(A57="","",BD_Carga!O58)</f>
        <v/>
      </c>
      <c r="I57">
        <f>IF(A57="","",BD_Carga!P58)</f>
        <v/>
      </c>
      <c r="J57">
        <f>IF(A57="","",_xlfn.MAXIFS(BD_Carga!$L:$L,BD_Carga!$C:$C,A57))</f>
        <v/>
      </c>
      <c r="K57" s="11">
        <f>IF(OR(A57="",J57=0),"",F57/J57)</f>
        <v/>
      </c>
      <c r="L57">
        <f>IF(A57="","",BD_Carga!E58)</f>
        <v/>
      </c>
    </row>
    <row r="58">
      <c r="A58">
        <f>IF(BD_Carga!C59="","",BD_Carga!C59)</f>
        <v/>
      </c>
      <c r="B58">
        <f>IF(A58="","",BD_Carga!D59)</f>
        <v/>
      </c>
      <c r="C58" s="2">
        <f>IF(A58="","",BD_Carga!A59)</f>
        <v/>
      </c>
      <c r="D58">
        <f>IF(A58="","",BD_Carga!R59)</f>
        <v/>
      </c>
      <c r="E58">
        <f>IF(A58="","",BD_Carga!Q59)</f>
        <v/>
      </c>
      <c r="F58" s="5">
        <f>IF(A58="","",BD_Carga!L59)</f>
        <v/>
      </c>
      <c r="G58">
        <f>IF(A58="","",BD_Carga!N59)</f>
        <v/>
      </c>
      <c r="H58">
        <f>IF(A58="","",BD_Carga!O59)</f>
        <v/>
      </c>
      <c r="I58">
        <f>IF(A58="","",BD_Carga!P59)</f>
        <v/>
      </c>
      <c r="J58">
        <f>IF(A58="","",_xlfn.MAXIFS(BD_Carga!$L:$L,BD_Carga!$C:$C,A58))</f>
        <v/>
      </c>
      <c r="K58" s="11">
        <f>IF(OR(A58="",J58=0),"",F58/J58)</f>
        <v/>
      </c>
      <c r="L58">
        <f>IF(A58="","",BD_Carga!E59)</f>
        <v/>
      </c>
    </row>
    <row r="59">
      <c r="A59">
        <f>IF(BD_Carga!C60="","",BD_Carga!C60)</f>
        <v/>
      </c>
      <c r="B59">
        <f>IF(A59="","",BD_Carga!D60)</f>
        <v/>
      </c>
      <c r="C59" s="2">
        <f>IF(A59="","",BD_Carga!A60)</f>
        <v/>
      </c>
      <c r="D59">
        <f>IF(A59="","",BD_Carga!R60)</f>
        <v/>
      </c>
      <c r="E59">
        <f>IF(A59="","",BD_Carga!Q60)</f>
        <v/>
      </c>
      <c r="F59" s="5">
        <f>IF(A59="","",BD_Carga!L60)</f>
        <v/>
      </c>
      <c r="G59">
        <f>IF(A59="","",BD_Carga!N60)</f>
        <v/>
      </c>
      <c r="H59">
        <f>IF(A59="","",BD_Carga!O60)</f>
        <v/>
      </c>
      <c r="I59">
        <f>IF(A59="","",BD_Carga!P60)</f>
        <v/>
      </c>
      <c r="J59">
        <f>IF(A59="","",_xlfn.MAXIFS(BD_Carga!$L:$L,BD_Carga!$C:$C,A59))</f>
        <v/>
      </c>
      <c r="K59" s="11">
        <f>IF(OR(A59="",J59=0),"",F59/J59)</f>
        <v/>
      </c>
      <c r="L59">
        <f>IF(A59="","",BD_Carga!E60)</f>
        <v/>
      </c>
    </row>
    <row r="60">
      <c r="A60">
        <f>IF(BD_Carga!C61="","",BD_Carga!C61)</f>
        <v/>
      </c>
      <c r="B60">
        <f>IF(A60="","",BD_Carga!D61)</f>
        <v/>
      </c>
      <c r="C60" s="2">
        <f>IF(A60="","",BD_Carga!A61)</f>
        <v/>
      </c>
      <c r="D60">
        <f>IF(A60="","",BD_Carga!R61)</f>
        <v/>
      </c>
      <c r="E60">
        <f>IF(A60="","",BD_Carga!Q61)</f>
        <v/>
      </c>
      <c r="F60" s="5">
        <f>IF(A60="","",BD_Carga!L61)</f>
        <v/>
      </c>
      <c r="G60">
        <f>IF(A60="","",BD_Carga!N61)</f>
        <v/>
      </c>
      <c r="H60">
        <f>IF(A60="","",BD_Carga!O61)</f>
        <v/>
      </c>
      <c r="I60">
        <f>IF(A60="","",BD_Carga!P61)</f>
        <v/>
      </c>
      <c r="J60">
        <f>IF(A60="","",_xlfn.MAXIFS(BD_Carga!$L:$L,BD_Carga!$C:$C,A60))</f>
        <v/>
      </c>
      <c r="K60" s="11">
        <f>IF(OR(A60="",J60=0),"",F60/J60)</f>
        <v/>
      </c>
      <c r="L60">
        <f>IF(A60="","",BD_Carga!E61)</f>
        <v/>
      </c>
    </row>
    <row r="61">
      <c r="A61">
        <f>IF(BD_Carga!C62="","",BD_Carga!C62)</f>
        <v/>
      </c>
      <c r="B61">
        <f>IF(A61="","",BD_Carga!D62)</f>
        <v/>
      </c>
      <c r="C61" s="2">
        <f>IF(A61="","",BD_Carga!A62)</f>
        <v/>
      </c>
      <c r="D61">
        <f>IF(A61="","",BD_Carga!R62)</f>
        <v/>
      </c>
      <c r="E61">
        <f>IF(A61="","",BD_Carga!Q62)</f>
        <v/>
      </c>
      <c r="F61" s="5">
        <f>IF(A61="","",BD_Carga!L62)</f>
        <v/>
      </c>
      <c r="G61">
        <f>IF(A61="","",BD_Carga!N62)</f>
        <v/>
      </c>
      <c r="H61">
        <f>IF(A61="","",BD_Carga!O62)</f>
        <v/>
      </c>
      <c r="I61">
        <f>IF(A61="","",BD_Carga!P62)</f>
        <v/>
      </c>
      <c r="J61">
        <f>IF(A61="","",_xlfn.MAXIFS(BD_Carga!$L:$L,BD_Carga!$C:$C,A61))</f>
        <v/>
      </c>
      <c r="K61" s="11">
        <f>IF(OR(A61="",J61=0),"",F61/J61)</f>
        <v/>
      </c>
      <c r="L61">
        <f>IF(A61="","",BD_Carga!E62)</f>
        <v/>
      </c>
    </row>
    <row r="62">
      <c r="A62">
        <f>IF(BD_Carga!C63="","",BD_Carga!C63)</f>
        <v/>
      </c>
      <c r="B62">
        <f>IF(A62="","",BD_Carga!D63)</f>
        <v/>
      </c>
      <c r="C62" s="2">
        <f>IF(A62="","",BD_Carga!A63)</f>
        <v/>
      </c>
      <c r="D62">
        <f>IF(A62="","",BD_Carga!R63)</f>
        <v/>
      </c>
      <c r="E62">
        <f>IF(A62="","",BD_Carga!Q63)</f>
        <v/>
      </c>
      <c r="F62" s="5">
        <f>IF(A62="","",BD_Carga!L63)</f>
        <v/>
      </c>
      <c r="G62">
        <f>IF(A62="","",BD_Carga!N63)</f>
        <v/>
      </c>
      <c r="H62">
        <f>IF(A62="","",BD_Carga!O63)</f>
        <v/>
      </c>
      <c r="I62">
        <f>IF(A62="","",BD_Carga!P63)</f>
        <v/>
      </c>
      <c r="J62">
        <f>IF(A62="","",_xlfn.MAXIFS(BD_Carga!$L:$L,BD_Carga!$C:$C,A62))</f>
        <v/>
      </c>
      <c r="K62" s="11">
        <f>IF(OR(A62="",J62=0),"",F62/J62)</f>
        <v/>
      </c>
      <c r="L62">
        <f>IF(A62="","",BD_Carga!E63)</f>
        <v/>
      </c>
    </row>
    <row r="63">
      <c r="A63">
        <f>IF(BD_Carga!C64="","",BD_Carga!C64)</f>
        <v/>
      </c>
      <c r="B63">
        <f>IF(A63="","",BD_Carga!D64)</f>
        <v/>
      </c>
      <c r="C63" s="2">
        <f>IF(A63="","",BD_Carga!A64)</f>
        <v/>
      </c>
      <c r="D63">
        <f>IF(A63="","",BD_Carga!R64)</f>
        <v/>
      </c>
      <c r="E63">
        <f>IF(A63="","",BD_Carga!Q64)</f>
        <v/>
      </c>
      <c r="F63" s="5">
        <f>IF(A63="","",BD_Carga!L64)</f>
        <v/>
      </c>
      <c r="G63">
        <f>IF(A63="","",BD_Carga!N64)</f>
        <v/>
      </c>
      <c r="H63">
        <f>IF(A63="","",BD_Carga!O64)</f>
        <v/>
      </c>
      <c r="I63">
        <f>IF(A63="","",BD_Carga!P64)</f>
        <v/>
      </c>
      <c r="J63">
        <f>IF(A63="","",_xlfn.MAXIFS(BD_Carga!$L:$L,BD_Carga!$C:$C,A63))</f>
        <v/>
      </c>
      <c r="K63" s="11">
        <f>IF(OR(A63="",J63=0),"",F63/J63)</f>
        <v/>
      </c>
      <c r="L63">
        <f>IF(A63="","",BD_Carga!E64)</f>
        <v/>
      </c>
    </row>
    <row r="64">
      <c r="A64">
        <f>IF(BD_Carga!C65="","",BD_Carga!C65)</f>
        <v/>
      </c>
      <c r="B64">
        <f>IF(A64="","",BD_Carga!D65)</f>
        <v/>
      </c>
      <c r="C64" s="2">
        <f>IF(A64="","",BD_Carga!A65)</f>
        <v/>
      </c>
      <c r="D64">
        <f>IF(A64="","",BD_Carga!R65)</f>
        <v/>
      </c>
      <c r="E64">
        <f>IF(A64="","",BD_Carga!Q65)</f>
        <v/>
      </c>
      <c r="F64" s="5">
        <f>IF(A64="","",BD_Carga!L65)</f>
        <v/>
      </c>
      <c r="G64">
        <f>IF(A64="","",BD_Carga!N65)</f>
        <v/>
      </c>
      <c r="H64">
        <f>IF(A64="","",BD_Carga!O65)</f>
        <v/>
      </c>
      <c r="I64">
        <f>IF(A64="","",BD_Carga!P65)</f>
        <v/>
      </c>
      <c r="J64">
        <f>IF(A64="","",_xlfn.MAXIFS(BD_Carga!$L:$L,BD_Carga!$C:$C,A64))</f>
        <v/>
      </c>
      <c r="K64" s="11">
        <f>IF(OR(A64="",J64=0),"",F64/J64)</f>
        <v/>
      </c>
      <c r="L64">
        <f>IF(A64="","",BD_Carga!E65)</f>
        <v/>
      </c>
    </row>
    <row r="65">
      <c r="A65">
        <f>IF(BD_Carga!C66="","",BD_Carga!C66)</f>
        <v/>
      </c>
      <c r="B65">
        <f>IF(A65="","",BD_Carga!D66)</f>
        <v/>
      </c>
      <c r="C65" s="2">
        <f>IF(A65="","",BD_Carga!A66)</f>
        <v/>
      </c>
      <c r="D65">
        <f>IF(A65="","",BD_Carga!R66)</f>
        <v/>
      </c>
      <c r="E65">
        <f>IF(A65="","",BD_Carga!Q66)</f>
        <v/>
      </c>
      <c r="F65" s="5">
        <f>IF(A65="","",BD_Carga!L66)</f>
        <v/>
      </c>
      <c r="G65">
        <f>IF(A65="","",BD_Carga!N66)</f>
        <v/>
      </c>
      <c r="H65">
        <f>IF(A65="","",BD_Carga!O66)</f>
        <v/>
      </c>
      <c r="I65">
        <f>IF(A65="","",BD_Carga!P66)</f>
        <v/>
      </c>
      <c r="J65">
        <f>IF(A65="","",_xlfn.MAXIFS(BD_Carga!$L:$L,BD_Carga!$C:$C,A65))</f>
        <v/>
      </c>
      <c r="K65" s="11">
        <f>IF(OR(A65="",J65=0),"",F65/J65)</f>
        <v/>
      </c>
      <c r="L65">
        <f>IF(A65="","",BD_Carga!E66)</f>
        <v/>
      </c>
    </row>
    <row r="66">
      <c r="A66">
        <f>IF(BD_Carga!C67="","",BD_Carga!C67)</f>
        <v/>
      </c>
      <c r="B66">
        <f>IF(A66="","",BD_Carga!D67)</f>
        <v/>
      </c>
      <c r="C66" s="2">
        <f>IF(A66="","",BD_Carga!A67)</f>
        <v/>
      </c>
      <c r="D66">
        <f>IF(A66="","",BD_Carga!R67)</f>
        <v/>
      </c>
      <c r="E66">
        <f>IF(A66="","",BD_Carga!Q67)</f>
        <v/>
      </c>
      <c r="F66" s="5">
        <f>IF(A66="","",BD_Carga!L67)</f>
        <v/>
      </c>
      <c r="G66">
        <f>IF(A66="","",BD_Carga!N67)</f>
        <v/>
      </c>
      <c r="H66">
        <f>IF(A66="","",BD_Carga!O67)</f>
        <v/>
      </c>
      <c r="I66">
        <f>IF(A66="","",BD_Carga!P67)</f>
        <v/>
      </c>
      <c r="J66">
        <f>IF(A66="","",_xlfn.MAXIFS(BD_Carga!$L:$L,BD_Carga!$C:$C,A66))</f>
        <v/>
      </c>
      <c r="K66" s="11">
        <f>IF(OR(A66="",J66=0),"",F66/J66)</f>
        <v/>
      </c>
      <c r="L66">
        <f>IF(A66="","",BD_Carga!E67)</f>
        <v/>
      </c>
    </row>
    <row r="67">
      <c r="A67">
        <f>IF(BD_Carga!C68="","",BD_Carga!C68)</f>
        <v/>
      </c>
      <c r="B67">
        <f>IF(A67="","",BD_Carga!D68)</f>
        <v/>
      </c>
      <c r="C67" s="2">
        <f>IF(A67="","",BD_Carga!A68)</f>
        <v/>
      </c>
      <c r="D67">
        <f>IF(A67="","",BD_Carga!R68)</f>
        <v/>
      </c>
      <c r="E67">
        <f>IF(A67="","",BD_Carga!Q68)</f>
        <v/>
      </c>
      <c r="F67" s="5">
        <f>IF(A67="","",BD_Carga!L68)</f>
        <v/>
      </c>
      <c r="G67">
        <f>IF(A67="","",BD_Carga!N68)</f>
        <v/>
      </c>
      <c r="H67">
        <f>IF(A67="","",BD_Carga!O68)</f>
        <v/>
      </c>
      <c r="I67">
        <f>IF(A67="","",BD_Carga!P68)</f>
        <v/>
      </c>
      <c r="J67">
        <f>IF(A67="","",_xlfn.MAXIFS(BD_Carga!$L:$L,BD_Carga!$C:$C,A67))</f>
        <v/>
      </c>
      <c r="K67" s="11">
        <f>IF(OR(A67="",J67=0),"",F67/J67)</f>
        <v/>
      </c>
      <c r="L67">
        <f>IF(A67="","",BD_Carga!E68)</f>
        <v/>
      </c>
    </row>
    <row r="68">
      <c r="A68">
        <f>IF(BD_Carga!C69="","",BD_Carga!C69)</f>
        <v/>
      </c>
      <c r="B68">
        <f>IF(A68="","",BD_Carga!D69)</f>
        <v/>
      </c>
      <c r="C68" s="2">
        <f>IF(A68="","",BD_Carga!A69)</f>
        <v/>
      </c>
      <c r="D68">
        <f>IF(A68="","",BD_Carga!R69)</f>
        <v/>
      </c>
      <c r="E68">
        <f>IF(A68="","",BD_Carga!Q69)</f>
        <v/>
      </c>
      <c r="F68" s="5">
        <f>IF(A68="","",BD_Carga!L69)</f>
        <v/>
      </c>
      <c r="G68">
        <f>IF(A68="","",BD_Carga!N69)</f>
        <v/>
      </c>
      <c r="H68">
        <f>IF(A68="","",BD_Carga!O69)</f>
        <v/>
      </c>
      <c r="I68">
        <f>IF(A68="","",BD_Carga!P69)</f>
        <v/>
      </c>
      <c r="J68">
        <f>IF(A68="","",_xlfn.MAXIFS(BD_Carga!$L:$L,BD_Carga!$C:$C,A68))</f>
        <v/>
      </c>
      <c r="K68" s="11">
        <f>IF(OR(A68="",J68=0),"",F68/J68)</f>
        <v/>
      </c>
      <c r="L68">
        <f>IF(A68="","",BD_Carga!E69)</f>
        <v/>
      </c>
    </row>
    <row r="69">
      <c r="A69">
        <f>IF(BD_Carga!C70="","",BD_Carga!C70)</f>
        <v/>
      </c>
      <c r="B69">
        <f>IF(A69="","",BD_Carga!D70)</f>
        <v/>
      </c>
      <c r="C69" s="2">
        <f>IF(A69="","",BD_Carga!A70)</f>
        <v/>
      </c>
      <c r="D69">
        <f>IF(A69="","",BD_Carga!R70)</f>
        <v/>
      </c>
      <c r="E69">
        <f>IF(A69="","",BD_Carga!Q70)</f>
        <v/>
      </c>
      <c r="F69" s="5">
        <f>IF(A69="","",BD_Carga!L70)</f>
        <v/>
      </c>
      <c r="G69">
        <f>IF(A69="","",BD_Carga!N70)</f>
        <v/>
      </c>
      <c r="H69">
        <f>IF(A69="","",BD_Carga!O70)</f>
        <v/>
      </c>
      <c r="I69">
        <f>IF(A69="","",BD_Carga!P70)</f>
        <v/>
      </c>
      <c r="J69">
        <f>IF(A69="","",_xlfn.MAXIFS(BD_Carga!$L:$L,BD_Carga!$C:$C,A69))</f>
        <v/>
      </c>
      <c r="K69" s="11">
        <f>IF(OR(A69="",J69=0),"",F69/J69)</f>
        <v/>
      </c>
      <c r="L69">
        <f>IF(A69="","",BD_Carga!E70)</f>
        <v/>
      </c>
    </row>
    <row r="70">
      <c r="A70">
        <f>IF(BD_Carga!C71="","",BD_Carga!C71)</f>
        <v/>
      </c>
      <c r="B70">
        <f>IF(A70="","",BD_Carga!D71)</f>
        <v/>
      </c>
      <c r="C70" s="2">
        <f>IF(A70="","",BD_Carga!A71)</f>
        <v/>
      </c>
      <c r="D70">
        <f>IF(A70="","",BD_Carga!R71)</f>
        <v/>
      </c>
      <c r="E70">
        <f>IF(A70="","",BD_Carga!Q71)</f>
        <v/>
      </c>
      <c r="F70" s="5">
        <f>IF(A70="","",BD_Carga!L71)</f>
        <v/>
      </c>
      <c r="G70">
        <f>IF(A70="","",BD_Carga!N71)</f>
        <v/>
      </c>
      <c r="H70">
        <f>IF(A70="","",BD_Carga!O71)</f>
        <v/>
      </c>
      <c r="I70">
        <f>IF(A70="","",BD_Carga!P71)</f>
        <v/>
      </c>
      <c r="J70">
        <f>IF(A70="","",_xlfn.MAXIFS(BD_Carga!$L:$L,BD_Carga!$C:$C,A70))</f>
        <v/>
      </c>
      <c r="K70" s="11">
        <f>IF(OR(A70="",J70=0),"",F70/J70)</f>
        <v/>
      </c>
      <c r="L70">
        <f>IF(A70="","",BD_Carga!E71)</f>
        <v/>
      </c>
    </row>
    <row r="71">
      <c r="A71">
        <f>IF(BD_Carga!C72="","",BD_Carga!C72)</f>
        <v/>
      </c>
      <c r="B71">
        <f>IF(A71="","",BD_Carga!D72)</f>
        <v/>
      </c>
      <c r="C71" s="2">
        <f>IF(A71="","",BD_Carga!A72)</f>
        <v/>
      </c>
      <c r="D71">
        <f>IF(A71="","",BD_Carga!R72)</f>
        <v/>
      </c>
      <c r="E71">
        <f>IF(A71="","",BD_Carga!Q72)</f>
        <v/>
      </c>
      <c r="F71" s="5">
        <f>IF(A71="","",BD_Carga!L72)</f>
        <v/>
      </c>
      <c r="G71">
        <f>IF(A71="","",BD_Carga!N72)</f>
        <v/>
      </c>
      <c r="H71">
        <f>IF(A71="","",BD_Carga!O72)</f>
        <v/>
      </c>
      <c r="I71">
        <f>IF(A71="","",BD_Carga!P72)</f>
        <v/>
      </c>
      <c r="J71">
        <f>IF(A71="","",_xlfn.MAXIFS(BD_Carga!$L:$L,BD_Carga!$C:$C,A71))</f>
        <v/>
      </c>
      <c r="K71" s="11">
        <f>IF(OR(A71="",J71=0),"",F71/J71)</f>
        <v/>
      </c>
      <c r="L71">
        <f>IF(A71="","",BD_Carga!E72)</f>
        <v/>
      </c>
    </row>
    <row r="72">
      <c r="A72">
        <f>IF(BD_Carga!C73="","",BD_Carga!C73)</f>
        <v/>
      </c>
      <c r="B72">
        <f>IF(A72="","",BD_Carga!D73)</f>
        <v/>
      </c>
      <c r="C72" s="2">
        <f>IF(A72="","",BD_Carga!A73)</f>
        <v/>
      </c>
      <c r="D72">
        <f>IF(A72="","",BD_Carga!R73)</f>
        <v/>
      </c>
      <c r="E72">
        <f>IF(A72="","",BD_Carga!Q73)</f>
        <v/>
      </c>
      <c r="F72" s="5">
        <f>IF(A72="","",BD_Carga!L73)</f>
        <v/>
      </c>
      <c r="G72">
        <f>IF(A72="","",BD_Carga!N73)</f>
        <v/>
      </c>
      <c r="H72">
        <f>IF(A72="","",BD_Carga!O73)</f>
        <v/>
      </c>
      <c r="I72">
        <f>IF(A72="","",BD_Carga!P73)</f>
        <v/>
      </c>
      <c r="J72">
        <f>IF(A72="","",_xlfn.MAXIFS(BD_Carga!$L:$L,BD_Carga!$C:$C,A72))</f>
        <v/>
      </c>
      <c r="K72" s="11">
        <f>IF(OR(A72="",J72=0),"",F72/J72)</f>
        <v/>
      </c>
      <c r="L72">
        <f>IF(A72="","",BD_Carga!E73)</f>
        <v/>
      </c>
    </row>
    <row r="73">
      <c r="A73">
        <f>IF(BD_Carga!C74="","",BD_Carga!C74)</f>
        <v/>
      </c>
      <c r="B73">
        <f>IF(A73="","",BD_Carga!D74)</f>
        <v/>
      </c>
      <c r="C73" s="2">
        <f>IF(A73="","",BD_Carga!A74)</f>
        <v/>
      </c>
      <c r="D73">
        <f>IF(A73="","",BD_Carga!R74)</f>
        <v/>
      </c>
      <c r="E73">
        <f>IF(A73="","",BD_Carga!Q74)</f>
        <v/>
      </c>
      <c r="F73" s="5">
        <f>IF(A73="","",BD_Carga!L74)</f>
        <v/>
      </c>
      <c r="G73">
        <f>IF(A73="","",BD_Carga!N74)</f>
        <v/>
      </c>
      <c r="H73">
        <f>IF(A73="","",BD_Carga!O74)</f>
        <v/>
      </c>
      <c r="I73">
        <f>IF(A73="","",BD_Carga!P74)</f>
        <v/>
      </c>
      <c r="J73">
        <f>IF(A73="","",_xlfn.MAXIFS(BD_Carga!$L:$L,BD_Carga!$C:$C,A73))</f>
        <v/>
      </c>
      <c r="K73" s="11">
        <f>IF(OR(A73="",J73=0),"",F73/J73)</f>
        <v/>
      </c>
      <c r="L73">
        <f>IF(A73="","",BD_Carga!E74)</f>
        <v/>
      </c>
    </row>
    <row r="74">
      <c r="A74">
        <f>IF(BD_Carga!C75="","",BD_Carga!C75)</f>
        <v/>
      </c>
      <c r="B74">
        <f>IF(A74="","",BD_Carga!D75)</f>
        <v/>
      </c>
      <c r="C74" s="2">
        <f>IF(A74="","",BD_Carga!A75)</f>
        <v/>
      </c>
      <c r="D74">
        <f>IF(A74="","",BD_Carga!R75)</f>
        <v/>
      </c>
      <c r="E74">
        <f>IF(A74="","",BD_Carga!Q75)</f>
        <v/>
      </c>
      <c r="F74" s="5">
        <f>IF(A74="","",BD_Carga!L75)</f>
        <v/>
      </c>
      <c r="G74">
        <f>IF(A74="","",BD_Carga!N75)</f>
        <v/>
      </c>
      <c r="H74">
        <f>IF(A74="","",BD_Carga!O75)</f>
        <v/>
      </c>
      <c r="I74">
        <f>IF(A74="","",BD_Carga!P75)</f>
        <v/>
      </c>
      <c r="J74">
        <f>IF(A74="","",_xlfn.MAXIFS(BD_Carga!$L:$L,BD_Carga!$C:$C,A74))</f>
        <v/>
      </c>
      <c r="K74" s="11">
        <f>IF(OR(A74="",J74=0),"",F74/J74)</f>
        <v/>
      </c>
      <c r="L74">
        <f>IF(A74="","",BD_Carga!E75)</f>
        <v/>
      </c>
    </row>
    <row r="75">
      <c r="A75">
        <f>IF(BD_Carga!C76="","",BD_Carga!C76)</f>
        <v/>
      </c>
      <c r="B75">
        <f>IF(A75="","",BD_Carga!D76)</f>
        <v/>
      </c>
      <c r="C75" s="2">
        <f>IF(A75="","",BD_Carga!A76)</f>
        <v/>
      </c>
      <c r="D75">
        <f>IF(A75="","",BD_Carga!R76)</f>
        <v/>
      </c>
      <c r="E75">
        <f>IF(A75="","",BD_Carga!Q76)</f>
        <v/>
      </c>
      <c r="F75" s="5">
        <f>IF(A75="","",BD_Carga!L76)</f>
        <v/>
      </c>
      <c r="G75">
        <f>IF(A75="","",BD_Carga!N76)</f>
        <v/>
      </c>
      <c r="H75">
        <f>IF(A75="","",BD_Carga!O76)</f>
        <v/>
      </c>
      <c r="I75">
        <f>IF(A75="","",BD_Carga!P76)</f>
        <v/>
      </c>
      <c r="J75">
        <f>IF(A75="","",_xlfn.MAXIFS(BD_Carga!$L:$L,BD_Carga!$C:$C,A75))</f>
        <v/>
      </c>
      <c r="K75" s="11">
        <f>IF(OR(A75="",J75=0),"",F75/J75)</f>
        <v/>
      </c>
      <c r="L75">
        <f>IF(A75="","",BD_Carga!E76)</f>
        <v/>
      </c>
    </row>
    <row r="76">
      <c r="A76">
        <f>IF(BD_Carga!C77="","",BD_Carga!C77)</f>
        <v/>
      </c>
      <c r="B76">
        <f>IF(A76="","",BD_Carga!D77)</f>
        <v/>
      </c>
      <c r="C76" s="2">
        <f>IF(A76="","",BD_Carga!A77)</f>
        <v/>
      </c>
      <c r="D76">
        <f>IF(A76="","",BD_Carga!R77)</f>
        <v/>
      </c>
      <c r="E76">
        <f>IF(A76="","",BD_Carga!Q77)</f>
        <v/>
      </c>
      <c r="F76" s="5">
        <f>IF(A76="","",BD_Carga!L77)</f>
        <v/>
      </c>
      <c r="G76">
        <f>IF(A76="","",BD_Carga!N77)</f>
        <v/>
      </c>
      <c r="H76">
        <f>IF(A76="","",BD_Carga!O77)</f>
        <v/>
      </c>
      <c r="I76">
        <f>IF(A76="","",BD_Carga!P77)</f>
        <v/>
      </c>
      <c r="J76">
        <f>IF(A76="","",_xlfn.MAXIFS(BD_Carga!$L:$L,BD_Carga!$C:$C,A76))</f>
        <v/>
      </c>
      <c r="K76" s="11">
        <f>IF(OR(A76="",J76=0),"",F76/J76)</f>
        <v/>
      </c>
      <c r="L76">
        <f>IF(A76="","",BD_Carga!E77)</f>
        <v/>
      </c>
    </row>
    <row r="77">
      <c r="A77">
        <f>IF(BD_Carga!C78="","",BD_Carga!C78)</f>
        <v/>
      </c>
      <c r="B77">
        <f>IF(A77="","",BD_Carga!D78)</f>
        <v/>
      </c>
      <c r="C77" s="2">
        <f>IF(A77="","",BD_Carga!A78)</f>
        <v/>
      </c>
      <c r="D77">
        <f>IF(A77="","",BD_Carga!R78)</f>
        <v/>
      </c>
      <c r="E77">
        <f>IF(A77="","",BD_Carga!Q78)</f>
        <v/>
      </c>
      <c r="F77" s="5">
        <f>IF(A77="","",BD_Carga!L78)</f>
        <v/>
      </c>
      <c r="G77">
        <f>IF(A77="","",BD_Carga!N78)</f>
        <v/>
      </c>
      <c r="H77">
        <f>IF(A77="","",BD_Carga!O78)</f>
        <v/>
      </c>
      <c r="I77">
        <f>IF(A77="","",BD_Carga!P78)</f>
        <v/>
      </c>
      <c r="J77">
        <f>IF(A77="","",_xlfn.MAXIFS(BD_Carga!$L:$L,BD_Carga!$C:$C,A77))</f>
        <v/>
      </c>
      <c r="K77" s="11">
        <f>IF(OR(A77="",J77=0),"",F77/J77)</f>
        <v/>
      </c>
      <c r="L77">
        <f>IF(A77="","",BD_Carga!E78)</f>
        <v/>
      </c>
    </row>
    <row r="78">
      <c r="A78">
        <f>IF(BD_Carga!C79="","",BD_Carga!C79)</f>
        <v/>
      </c>
      <c r="B78">
        <f>IF(A78="","",BD_Carga!D79)</f>
        <v/>
      </c>
      <c r="C78" s="2">
        <f>IF(A78="","",BD_Carga!A79)</f>
        <v/>
      </c>
      <c r="D78">
        <f>IF(A78="","",BD_Carga!R79)</f>
        <v/>
      </c>
      <c r="E78">
        <f>IF(A78="","",BD_Carga!Q79)</f>
        <v/>
      </c>
      <c r="F78" s="5">
        <f>IF(A78="","",BD_Carga!L79)</f>
        <v/>
      </c>
      <c r="G78">
        <f>IF(A78="","",BD_Carga!N79)</f>
        <v/>
      </c>
      <c r="H78">
        <f>IF(A78="","",BD_Carga!O79)</f>
        <v/>
      </c>
      <c r="I78">
        <f>IF(A78="","",BD_Carga!P79)</f>
        <v/>
      </c>
      <c r="J78">
        <f>IF(A78="","",_xlfn.MAXIFS(BD_Carga!$L:$L,BD_Carga!$C:$C,A78))</f>
        <v/>
      </c>
      <c r="K78" s="11">
        <f>IF(OR(A78="",J78=0),"",F78/J78)</f>
        <v/>
      </c>
      <c r="L78">
        <f>IF(A78="","",BD_Carga!E79)</f>
        <v/>
      </c>
    </row>
    <row r="79">
      <c r="A79">
        <f>IF(BD_Carga!C80="","",BD_Carga!C80)</f>
        <v/>
      </c>
      <c r="B79">
        <f>IF(A79="","",BD_Carga!D80)</f>
        <v/>
      </c>
      <c r="C79" s="2">
        <f>IF(A79="","",BD_Carga!A80)</f>
        <v/>
      </c>
      <c r="D79">
        <f>IF(A79="","",BD_Carga!R80)</f>
        <v/>
      </c>
      <c r="E79">
        <f>IF(A79="","",BD_Carga!Q80)</f>
        <v/>
      </c>
      <c r="F79" s="5">
        <f>IF(A79="","",BD_Carga!L80)</f>
        <v/>
      </c>
      <c r="G79">
        <f>IF(A79="","",BD_Carga!N80)</f>
        <v/>
      </c>
      <c r="H79">
        <f>IF(A79="","",BD_Carga!O80)</f>
        <v/>
      </c>
      <c r="I79">
        <f>IF(A79="","",BD_Carga!P80)</f>
        <v/>
      </c>
      <c r="J79">
        <f>IF(A79="","",_xlfn.MAXIFS(BD_Carga!$L:$L,BD_Carga!$C:$C,A79))</f>
        <v/>
      </c>
      <c r="K79" s="11">
        <f>IF(OR(A79="",J79=0),"",F79/J79)</f>
        <v/>
      </c>
      <c r="L79">
        <f>IF(A79="","",BD_Carga!E80)</f>
        <v/>
      </c>
    </row>
    <row r="80">
      <c r="A80">
        <f>IF(BD_Carga!C81="","",BD_Carga!C81)</f>
        <v/>
      </c>
      <c r="B80">
        <f>IF(A80="","",BD_Carga!D81)</f>
        <v/>
      </c>
      <c r="C80" s="2">
        <f>IF(A80="","",BD_Carga!A81)</f>
        <v/>
      </c>
      <c r="D80">
        <f>IF(A80="","",BD_Carga!R81)</f>
        <v/>
      </c>
      <c r="E80">
        <f>IF(A80="","",BD_Carga!Q81)</f>
        <v/>
      </c>
      <c r="F80" s="5">
        <f>IF(A80="","",BD_Carga!L81)</f>
        <v/>
      </c>
      <c r="G80">
        <f>IF(A80="","",BD_Carga!N81)</f>
        <v/>
      </c>
      <c r="H80">
        <f>IF(A80="","",BD_Carga!O81)</f>
        <v/>
      </c>
      <c r="I80">
        <f>IF(A80="","",BD_Carga!P81)</f>
        <v/>
      </c>
      <c r="J80">
        <f>IF(A80="","",_xlfn.MAXIFS(BD_Carga!$L:$L,BD_Carga!$C:$C,A80))</f>
        <v/>
      </c>
      <c r="K80" s="11">
        <f>IF(OR(A80="",J80=0),"",F80/J80)</f>
        <v/>
      </c>
      <c r="L80">
        <f>IF(A80="","",BD_Carga!E81)</f>
        <v/>
      </c>
    </row>
    <row r="81">
      <c r="A81">
        <f>IF(BD_Carga!C82="","",BD_Carga!C82)</f>
        <v/>
      </c>
      <c r="B81">
        <f>IF(A81="","",BD_Carga!D82)</f>
        <v/>
      </c>
      <c r="C81" s="2">
        <f>IF(A81="","",BD_Carga!A82)</f>
        <v/>
      </c>
      <c r="D81">
        <f>IF(A81="","",BD_Carga!R82)</f>
        <v/>
      </c>
      <c r="E81">
        <f>IF(A81="","",BD_Carga!Q82)</f>
        <v/>
      </c>
      <c r="F81" s="5">
        <f>IF(A81="","",BD_Carga!L82)</f>
        <v/>
      </c>
      <c r="G81">
        <f>IF(A81="","",BD_Carga!N82)</f>
        <v/>
      </c>
      <c r="H81">
        <f>IF(A81="","",BD_Carga!O82)</f>
        <v/>
      </c>
      <c r="I81">
        <f>IF(A81="","",BD_Carga!P82)</f>
        <v/>
      </c>
      <c r="J81">
        <f>IF(A81="","",_xlfn.MAXIFS(BD_Carga!$L:$L,BD_Carga!$C:$C,A81))</f>
        <v/>
      </c>
      <c r="K81" s="11">
        <f>IF(OR(A81="",J81=0),"",F81/J81)</f>
        <v/>
      </c>
      <c r="L81">
        <f>IF(A81="","",BD_Carga!E82)</f>
        <v/>
      </c>
    </row>
    <row r="82">
      <c r="A82">
        <f>IF(BD_Carga!C83="","",BD_Carga!C83)</f>
        <v/>
      </c>
      <c r="B82">
        <f>IF(A82="","",BD_Carga!D83)</f>
        <v/>
      </c>
      <c r="C82" s="2">
        <f>IF(A82="","",BD_Carga!A83)</f>
        <v/>
      </c>
      <c r="D82">
        <f>IF(A82="","",BD_Carga!R83)</f>
        <v/>
      </c>
      <c r="E82">
        <f>IF(A82="","",BD_Carga!Q83)</f>
        <v/>
      </c>
      <c r="F82" s="5">
        <f>IF(A82="","",BD_Carga!L83)</f>
        <v/>
      </c>
      <c r="G82">
        <f>IF(A82="","",BD_Carga!N83)</f>
        <v/>
      </c>
      <c r="H82">
        <f>IF(A82="","",BD_Carga!O83)</f>
        <v/>
      </c>
      <c r="I82">
        <f>IF(A82="","",BD_Carga!P83)</f>
        <v/>
      </c>
      <c r="J82">
        <f>IF(A82="","",_xlfn.MAXIFS(BD_Carga!$L:$L,BD_Carga!$C:$C,A82))</f>
        <v/>
      </c>
      <c r="K82" s="11">
        <f>IF(OR(A82="",J82=0),"",F82/J82)</f>
        <v/>
      </c>
      <c r="L82">
        <f>IF(A82="","",BD_Carga!E83)</f>
        <v/>
      </c>
    </row>
    <row r="83">
      <c r="A83">
        <f>IF(BD_Carga!C84="","",BD_Carga!C84)</f>
        <v/>
      </c>
      <c r="B83">
        <f>IF(A83="","",BD_Carga!D84)</f>
        <v/>
      </c>
      <c r="C83" s="2">
        <f>IF(A83="","",BD_Carga!A84)</f>
        <v/>
      </c>
      <c r="D83">
        <f>IF(A83="","",BD_Carga!R84)</f>
        <v/>
      </c>
      <c r="E83">
        <f>IF(A83="","",BD_Carga!Q84)</f>
        <v/>
      </c>
      <c r="F83" s="5">
        <f>IF(A83="","",BD_Carga!L84)</f>
        <v/>
      </c>
      <c r="G83">
        <f>IF(A83="","",BD_Carga!N84)</f>
        <v/>
      </c>
      <c r="H83">
        <f>IF(A83="","",BD_Carga!O84)</f>
        <v/>
      </c>
      <c r="I83">
        <f>IF(A83="","",BD_Carga!P84)</f>
        <v/>
      </c>
      <c r="J83">
        <f>IF(A83="","",_xlfn.MAXIFS(BD_Carga!$L:$L,BD_Carga!$C:$C,A83))</f>
        <v/>
      </c>
      <c r="K83" s="11">
        <f>IF(OR(A83="",J83=0),"",F83/J83)</f>
        <v/>
      </c>
      <c r="L83">
        <f>IF(A83="","",BD_Carga!E84)</f>
        <v/>
      </c>
    </row>
    <row r="84">
      <c r="A84">
        <f>IF(BD_Carga!C85="","",BD_Carga!C85)</f>
        <v/>
      </c>
      <c r="B84">
        <f>IF(A84="","",BD_Carga!D85)</f>
        <v/>
      </c>
      <c r="C84" s="2">
        <f>IF(A84="","",BD_Carga!A85)</f>
        <v/>
      </c>
      <c r="D84">
        <f>IF(A84="","",BD_Carga!R85)</f>
        <v/>
      </c>
      <c r="E84">
        <f>IF(A84="","",BD_Carga!Q85)</f>
        <v/>
      </c>
      <c r="F84" s="5">
        <f>IF(A84="","",BD_Carga!L85)</f>
        <v/>
      </c>
      <c r="G84">
        <f>IF(A84="","",BD_Carga!N85)</f>
        <v/>
      </c>
      <c r="H84">
        <f>IF(A84="","",BD_Carga!O85)</f>
        <v/>
      </c>
      <c r="I84">
        <f>IF(A84="","",BD_Carga!P85)</f>
        <v/>
      </c>
      <c r="J84">
        <f>IF(A84="","",_xlfn.MAXIFS(BD_Carga!$L:$L,BD_Carga!$C:$C,A84))</f>
        <v/>
      </c>
      <c r="K84" s="11">
        <f>IF(OR(A84="",J84=0),"",F84/J84)</f>
        <v/>
      </c>
      <c r="L84">
        <f>IF(A84="","",BD_Carga!E85)</f>
        <v/>
      </c>
    </row>
    <row r="85">
      <c r="A85">
        <f>IF(BD_Carga!C86="","",BD_Carga!C86)</f>
        <v/>
      </c>
      <c r="B85">
        <f>IF(A85="","",BD_Carga!D86)</f>
        <v/>
      </c>
      <c r="C85" s="2">
        <f>IF(A85="","",BD_Carga!A86)</f>
        <v/>
      </c>
      <c r="D85">
        <f>IF(A85="","",BD_Carga!R86)</f>
        <v/>
      </c>
      <c r="E85">
        <f>IF(A85="","",BD_Carga!Q86)</f>
        <v/>
      </c>
      <c r="F85" s="5">
        <f>IF(A85="","",BD_Carga!L86)</f>
        <v/>
      </c>
      <c r="G85">
        <f>IF(A85="","",BD_Carga!N86)</f>
        <v/>
      </c>
      <c r="H85">
        <f>IF(A85="","",BD_Carga!O86)</f>
        <v/>
      </c>
      <c r="I85">
        <f>IF(A85="","",BD_Carga!P86)</f>
        <v/>
      </c>
      <c r="J85">
        <f>IF(A85="","",_xlfn.MAXIFS(BD_Carga!$L:$L,BD_Carga!$C:$C,A85))</f>
        <v/>
      </c>
      <c r="K85" s="11">
        <f>IF(OR(A85="",J85=0),"",F85/J85)</f>
        <v/>
      </c>
      <c r="L85">
        <f>IF(A85="","",BD_Carga!E86)</f>
        <v/>
      </c>
    </row>
    <row r="86">
      <c r="A86">
        <f>IF(BD_Carga!C87="","",BD_Carga!C87)</f>
        <v/>
      </c>
      <c r="B86">
        <f>IF(A86="","",BD_Carga!D87)</f>
        <v/>
      </c>
      <c r="C86" s="2">
        <f>IF(A86="","",BD_Carga!A87)</f>
        <v/>
      </c>
      <c r="D86">
        <f>IF(A86="","",BD_Carga!R87)</f>
        <v/>
      </c>
      <c r="E86">
        <f>IF(A86="","",BD_Carga!Q87)</f>
        <v/>
      </c>
      <c r="F86" s="5">
        <f>IF(A86="","",BD_Carga!L87)</f>
        <v/>
      </c>
      <c r="G86">
        <f>IF(A86="","",BD_Carga!N87)</f>
        <v/>
      </c>
      <c r="H86">
        <f>IF(A86="","",BD_Carga!O87)</f>
        <v/>
      </c>
      <c r="I86">
        <f>IF(A86="","",BD_Carga!P87)</f>
        <v/>
      </c>
      <c r="J86">
        <f>IF(A86="","",_xlfn.MAXIFS(BD_Carga!$L:$L,BD_Carga!$C:$C,A86))</f>
        <v/>
      </c>
      <c r="K86" s="11">
        <f>IF(OR(A86="",J86=0),"",F86/J86)</f>
        <v/>
      </c>
      <c r="L86">
        <f>IF(A86="","",BD_Carga!E87)</f>
        <v/>
      </c>
    </row>
    <row r="87">
      <c r="A87">
        <f>IF(BD_Carga!C88="","",BD_Carga!C88)</f>
        <v/>
      </c>
      <c r="B87">
        <f>IF(A87="","",BD_Carga!D88)</f>
        <v/>
      </c>
      <c r="C87" s="2">
        <f>IF(A87="","",BD_Carga!A88)</f>
        <v/>
      </c>
      <c r="D87">
        <f>IF(A87="","",BD_Carga!R88)</f>
        <v/>
      </c>
      <c r="E87">
        <f>IF(A87="","",BD_Carga!Q88)</f>
        <v/>
      </c>
      <c r="F87" s="5">
        <f>IF(A87="","",BD_Carga!L88)</f>
        <v/>
      </c>
      <c r="G87">
        <f>IF(A87="","",BD_Carga!N88)</f>
        <v/>
      </c>
      <c r="H87">
        <f>IF(A87="","",BD_Carga!O88)</f>
        <v/>
      </c>
      <c r="I87">
        <f>IF(A87="","",BD_Carga!P88)</f>
        <v/>
      </c>
      <c r="J87">
        <f>IF(A87="","",_xlfn.MAXIFS(BD_Carga!$L:$L,BD_Carga!$C:$C,A87))</f>
        <v/>
      </c>
      <c r="K87" s="11">
        <f>IF(OR(A87="",J87=0),"",F87/J87)</f>
        <v/>
      </c>
      <c r="L87">
        <f>IF(A87="","",BD_Carga!E88)</f>
        <v/>
      </c>
    </row>
    <row r="88">
      <c r="A88">
        <f>IF(BD_Carga!C89="","",BD_Carga!C89)</f>
        <v/>
      </c>
      <c r="B88">
        <f>IF(A88="","",BD_Carga!D89)</f>
        <v/>
      </c>
      <c r="C88" s="2">
        <f>IF(A88="","",BD_Carga!A89)</f>
        <v/>
      </c>
      <c r="D88">
        <f>IF(A88="","",BD_Carga!R89)</f>
        <v/>
      </c>
      <c r="E88">
        <f>IF(A88="","",BD_Carga!Q89)</f>
        <v/>
      </c>
      <c r="F88" s="5">
        <f>IF(A88="","",BD_Carga!L89)</f>
        <v/>
      </c>
      <c r="G88">
        <f>IF(A88="","",BD_Carga!N89)</f>
        <v/>
      </c>
      <c r="H88">
        <f>IF(A88="","",BD_Carga!O89)</f>
        <v/>
      </c>
      <c r="I88">
        <f>IF(A88="","",BD_Carga!P89)</f>
        <v/>
      </c>
      <c r="J88">
        <f>IF(A88="","",_xlfn.MAXIFS(BD_Carga!$L:$L,BD_Carga!$C:$C,A88))</f>
        <v/>
      </c>
      <c r="K88" s="11">
        <f>IF(OR(A88="",J88=0),"",F88/J88)</f>
        <v/>
      </c>
      <c r="L88">
        <f>IF(A88="","",BD_Carga!E89)</f>
        <v/>
      </c>
    </row>
    <row r="89">
      <c r="A89">
        <f>IF(BD_Carga!C90="","",BD_Carga!C90)</f>
        <v/>
      </c>
      <c r="B89">
        <f>IF(A89="","",BD_Carga!D90)</f>
        <v/>
      </c>
      <c r="C89" s="2">
        <f>IF(A89="","",BD_Carga!A90)</f>
        <v/>
      </c>
      <c r="D89">
        <f>IF(A89="","",BD_Carga!R90)</f>
        <v/>
      </c>
      <c r="E89">
        <f>IF(A89="","",BD_Carga!Q90)</f>
        <v/>
      </c>
      <c r="F89" s="5">
        <f>IF(A89="","",BD_Carga!L90)</f>
        <v/>
      </c>
      <c r="G89">
        <f>IF(A89="","",BD_Carga!N90)</f>
        <v/>
      </c>
      <c r="H89">
        <f>IF(A89="","",BD_Carga!O90)</f>
        <v/>
      </c>
      <c r="I89">
        <f>IF(A89="","",BD_Carga!P90)</f>
        <v/>
      </c>
      <c r="J89">
        <f>IF(A89="","",_xlfn.MAXIFS(BD_Carga!$L:$L,BD_Carga!$C:$C,A89))</f>
        <v/>
      </c>
      <c r="K89" s="11">
        <f>IF(OR(A89="",J89=0),"",F89/J89)</f>
        <v/>
      </c>
      <c r="L89">
        <f>IF(A89="","",BD_Carga!E90)</f>
        <v/>
      </c>
    </row>
    <row r="90">
      <c r="A90">
        <f>IF(BD_Carga!C91="","",BD_Carga!C91)</f>
        <v/>
      </c>
      <c r="B90">
        <f>IF(A90="","",BD_Carga!D91)</f>
        <v/>
      </c>
      <c r="C90" s="2">
        <f>IF(A90="","",BD_Carga!A91)</f>
        <v/>
      </c>
      <c r="D90">
        <f>IF(A90="","",BD_Carga!R91)</f>
        <v/>
      </c>
      <c r="E90">
        <f>IF(A90="","",BD_Carga!Q91)</f>
        <v/>
      </c>
      <c r="F90" s="5">
        <f>IF(A90="","",BD_Carga!L91)</f>
        <v/>
      </c>
      <c r="G90">
        <f>IF(A90="","",BD_Carga!N91)</f>
        <v/>
      </c>
      <c r="H90">
        <f>IF(A90="","",BD_Carga!O91)</f>
        <v/>
      </c>
      <c r="I90">
        <f>IF(A90="","",BD_Carga!P91)</f>
        <v/>
      </c>
      <c r="J90">
        <f>IF(A90="","",_xlfn.MAXIFS(BD_Carga!$L:$L,BD_Carga!$C:$C,A90))</f>
        <v/>
      </c>
      <c r="K90" s="11">
        <f>IF(OR(A90="",J90=0),"",F90/J90)</f>
        <v/>
      </c>
      <c r="L90">
        <f>IF(A90="","",BD_Carga!E91)</f>
        <v/>
      </c>
    </row>
    <row r="91">
      <c r="A91">
        <f>IF(BD_Carga!C92="","",BD_Carga!C92)</f>
        <v/>
      </c>
      <c r="B91">
        <f>IF(A91="","",BD_Carga!D92)</f>
        <v/>
      </c>
      <c r="C91" s="2">
        <f>IF(A91="","",BD_Carga!A92)</f>
        <v/>
      </c>
      <c r="D91">
        <f>IF(A91="","",BD_Carga!R92)</f>
        <v/>
      </c>
      <c r="E91">
        <f>IF(A91="","",BD_Carga!Q92)</f>
        <v/>
      </c>
      <c r="F91" s="5">
        <f>IF(A91="","",BD_Carga!L92)</f>
        <v/>
      </c>
      <c r="G91">
        <f>IF(A91="","",BD_Carga!N92)</f>
        <v/>
      </c>
      <c r="H91">
        <f>IF(A91="","",BD_Carga!O92)</f>
        <v/>
      </c>
      <c r="I91">
        <f>IF(A91="","",BD_Carga!P92)</f>
        <v/>
      </c>
      <c r="J91">
        <f>IF(A91="","",_xlfn.MAXIFS(BD_Carga!$L:$L,BD_Carga!$C:$C,A91))</f>
        <v/>
      </c>
      <c r="K91" s="11">
        <f>IF(OR(A91="",J91=0),"",F91/J91)</f>
        <v/>
      </c>
      <c r="L91">
        <f>IF(A91="","",BD_Carga!E92)</f>
        <v/>
      </c>
    </row>
    <row r="92">
      <c r="A92">
        <f>IF(BD_Carga!C93="","",BD_Carga!C93)</f>
        <v/>
      </c>
      <c r="B92">
        <f>IF(A92="","",BD_Carga!D93)</f>
        <v/>
      </c>
      <c r="C92" s="2">
        <f>IF(A92="","",BD_Carga!A93)</f>
        <v/>
      </c>
      <c r="D92">
        <f>IF(A92="","",BD_Carga!R93)</f>
        <v/>
      </c>
      <c r="E92">
        <f>IF(A92="","",BD_Carga!Q93)</f>
        <v/>
      </c>
      <c r="F92" s="5">
        <f>IF(A92="","",BD_Carga!L93)</f>
        <v/>
      </c>
      <c r="G92">
        <f>IF(A92="","",BD_Carga!N93)</f>
        <v/>
      </c>
      <c r="H92">
        <f>IF(A92="","",BD_Carga!O93)</f>
        <v/>
      </c>
      <c r="I92">
        <f>IF(A92="","",BD_Carga!P93)</f>
        <v/>
      </c>
      <c r="J92">
        <f>IF(A92="","",_xlfn.MAXIFS(BD_Carga!$L:$L,BD_Carga!$C:$C,A92))</f>
        <v/>
      </c>
      <c r="K92" s="11">
        <f>IF(OR(A92="",J92=0),"",F92/J92)</f>
        <v/>
      </c>
      <c r="L92">
        <f>IF(A92="","",BD_Carga!E93)</f>
        <v/>
      </c>
    </row>
    <row r="93">
      <c r="A93">
        <f>IF(BD_Carga!C94="","",BD_Carga!C94)</f>
        <v/>
      </c>
      <c r="B93">
        <f>IF(A93="","",BD_Carga!D94)</f>
        <v/>
      </c>
      <c r="C93" s="2">
        <f>IF(A93="","",BD_Carga!A94)</f>
        <v/>
      </c>
      <c r="D93">
        <f>IF(A93="","",BD_Carga!R94)</f>
        <v/>
      </c>
      <c r="E93">
        <f>IF(A93="","",BD_Carga!Q94)</f>
        <v/>
      </c>
      <c r="F93" s="5">
        <f>IF(A93="","",BD_Carga!L94)</f>
        <v/>
      </c>
      <c r="G93">
        <f>IF(A93="","",BD_Carga!N94)</f>
        <v/>
      </c>
      <c r="H93">
        <f>IF(A93="","",BD_Carga!O94)</f>
        <v/>
      </c>
      <c r="I93">
        <f>IF(A93="","",BD_Carga!P94)</f>
        <v/>
      </c>
      <c r="J93">
        <f>IF(A93="","",_xlfn.MAXIFS(BD_Carga!$L:$L,BD_Carga!$C:$C,A93))</f>
        <v/>
      </c>
      <c r="K93" s="11">
        <f>IF(OR(A93="",J93=0),"",F93/J93)</f>
        <v/>
      </c>
      <c r="L93">
        <f>IF(A93="","",BD_Carga!E94)</f>
        <v/>
      </c>
    </row>
    <row r="94">
      <c r="A94">
        <f>IF(BD_Carga!C95="","",BD_Carga!C95)</f>
        <v/>
      </c>
      <c r="B94">
        <f>IF(A94="","",BD_Carga!D95)</f>
        <v/>
      </c>
      <c r="C94" s="2">
        <f>IF(A94="","",BD_Carga!A95)</f>
        <v/>
      </c>
      <c r="D94">
        <f>IF(A94="","",BD_Carga!R95)</f>
        <v/>
      </c>
      <c r="E94">
        <f>IF(A94="","",BD_Carga!Q95)</f>
        <v/>
      </c>
      <c r="F94" s="5">
        <f>IF(A94="","",BD_Carga!L95)</f>
        <v/>
      </c>
      <c r="G94">
        <f>IF(A94="","",BD_Carga!N95)</f>
        <v/>
      </c>
      <c r="H94">
        <f>IF(A94="","",BD_Carga!O95)</f>
        <v/>
      </c>
      <c r="I94">
        <f>IF(A94="","",BD_Carga!P95)</f>
        <v/>
      </c>
      <c r="J94">
        <f>IF(A94="","",_xlfn.MAXIFS(BD_Carga!$L:$L,BD_Carga!$C:$C,A94))</f>
        <v/>
      </c>
      <c r="K94" s="11">
        <f>IF(OR(A94="",J94=0),"",F94/J94)</f>
        <v/>
      </c>
      <c r="L94">
        <f>IF(A94="","",BD_Carga!E95)</f>
        <v/>
      </c>
    </row>
    <row r="95">
      <c r="A95">
        <f>IF(BD_Carga!C96="","",BD_Carga!C96)</f>
        <v/>
      </c>
      <c r="B95">
        <f>IF(A95="","",BD_Carga!D96)</f>
        <v/>
      </c>
      <c r="C95" s="2">
        <f>IF(A95="","",BD_Carga!A96)</f>
        <v/>
      </c>
      <c r="D95">
        <f>IF(A95="","",BD_Carga!R96)</f>
        <v/>
      </c>
      <c r="E95">
        <f>IF(A95="","",BD_Carga!Q96)</f>
        <v/>
      </c>
      <c r="F95" s="5">
        <f>IF(A95="","",BD_Carga!L96)</f>
        <v/>
      </c>
      <c r="G95">
        <f>IF(A95="","",BD_Carga!N96)</f>
        <v/>
      </c>
      <c r="H95">
        <f>IF(A95="","",BD_Carga!O96)</f>
        <v/>
      </c>
      <c r="I95">
        <f>IF(A95="","",BD_Carga!P96)</f>
        <v/>
      </c>
      <c r="J95">
        <f>IF(A95="","",_xlfn.MAXIFS(BD_Carga!$L:$L,BD_Carga!$C:$C,A95))</f>
        <v/>
      </c>
      <c r="K95" s="11">
        <f>IF(OR(A95="",J95=0),"",F95/J95)</f>
        <v/>
      </c>
      <c r="L95">
        <f>IF(A95="","",BD_Carga!E96)</f>
        <v/>
      </c>
    </row>
    <row r="96">
      <c r="A96">
        <f>IF(BD_Carga!C97="","",BD_Carga!C97)</f>
        <v/>
      </c>
      <c r="B96">
        <f>IF(A96="","",BD_Carga!D97)</f>
        <v/>
      </c>
      <c r="C96" s="2">
        <f>IF(A96="","",BD_Carga!A97)</f>
        <v/>
      </c>
      <c r="D96">
        <f>IF(A96="","",BD_Carga!R97)</f>
        <v/>
      </c>
      <c r="E96">
        <f>IF(A96="","",BD_Carga!Q97)</f>
        <v/>
      </c>
      <c r="F96" s="5">
        <f>IF(A96="","",BD_Carga!L97)</f>
        <v/>
      </c>
      <c r="G96">
        <f>IF(A96="","",BD_Carga!N97)</f>
        <v/>
      </c>
      <c r="H96">
        <f>IF(A96="","",BD_Carga!O97)</f>
        <v/>
      </c>
      <c r="I96">
        <f>IF(A96="","",BD_Carga!P97)</f>
        <v/>
      </c>
      <c r="J96">
        <f>IF(A96="","",_xlfn.MAXIFS(BD_Carga!$L:$L,BD_Carga!$C:$C,A96))</f>
        <v/>
      </c>
      <c r="K96" s="11">
        <f>IF(OR(A96="",J96=0),"",F96/J96)</f>
        <v/>
      </c>
      <c r="L96">
        <f>IF(A96="","",BD_Carga!E97)</f>
        <v/>
      </c>
    </row>
    <row r="97">
      <c r="A97">
        <f>IF(BD_Carga!C98="","",BD_Carga!C98)</f>
        <v/>
      </c>
      <c r="B97">
        <f>IF(A97="","",BD_Carga!D98)</f>
        <v/>
      </c>
      <c r="C97" s="2">
        <f>IF(A97="","",BD_Carga!A98)</f>
        <v/>
      </c>
      <c r="D97">
        <f>IF(A97="","",BD_Carga!R98)</f>
        <v/>
      </c>
      <c r="E97">
        <f>IF(A97="","",BD_Carga!Q98)</f>
        <v/>
      </c>
      <c r="F97" s="5">
        <f>IF(A97="","",BD_Carga!L98)</f>
        <v/>
      </c>
      <c r="G97">
        <f>IF(A97="","",BD_Carga!N98)</f>
        <v/>
      </c>
      <c r="H97">
        <f>IF(A97="","",BD_Carga!O98)</f>
        <v/>
      </c>
      <c r="I97">
        <f>IF(A97="","",BD_Carga!P98)</f>
        <v/>
      </c>
      <c r="J97">
        <f>IF(A97="","",_xlfn.MAXIFS(BD_Carga!$L:$L,BD_Carga!$C:$C,A97))</f>
        <v/>
      </c>
      <c r="K97" s="11">
        <f>IF(OR(A97="",J97=0),"",F97/J97)</f>
        <v/>
      </c>
      <c r="L97">
        <f>IF(A97="","",BD_Carga!E98)</f>
        <v/>
      </c>
    </row>
    <row r="98">
      <c r="A98">
        <f>IF(BD_Carga!C99="","",BD_Carga!C99)</f>
        <v/>
      </c>
      <c r="B98">
        <f>IF(A98="","",BD_Carga!D99)</f>
        <v/>
      </c>
      <c r="C98" s="2">
        <f>IF(A98="","",BD_Carga!A99)</f>
        <v/>
      </c>
      <c r="D98">
        <f>IF(A98="","",BD_Carga!R99)</f>
        <v/>
      </c>
      <c r="E98">
        <f>IF(A98="","",BD_Carga!Q99)</f>
        <v/>
      </c>
      <c r="F98" s="5">
        <f>IF(A98="","",BD_Carga!L99)</f>
        <v/>
      </c>
      <c r="G98">
        <f>IF(A98="","",BD_Carga!N99)</f>
        <v/>
      </c>
      <c r="H98">
        <f>IF(A98="","",BD_Carga!O99)</f>
        <v/>
      </c>
      <c r="I98">
        <f>IF(A98="","",BD_Carga!P99)</f>
        <v/>
      </c>
      <c r="J98">
        <f>IF(A98="","",_xlfn.MAXIFS(BD_Carga!$L:$L,BD_Carga!$C:$C,A98))</f>
        <v/>
      </c>
      <c r="K98" s="11">
        <f>IF(OR(A98="",J98=0),"",F98/J98)</f>
        <v/>
      </c>
      <c r="L98">
        <f>IF(A98="","",BD_Carga!E99)</f>
        <v/>
      </c>
    </row>
    <row r="99">
      <c r="A99">
        <f>IF(BD_Carga!C100="","",BD_Carga!C100)</f>
        <v/>
      </c>
      <c r="B99">
        <f>IF(A99="","",BD_Carga!D100)</f>
        <v/>
      </c>
      <c r="C99" s="2">
        <f>IF(A99="","",BD_Carga!A100)</f>
        <v/>
      </c>
      <c r="D99">
        <f>IF(A99="","",BD_Carga!R100)</f>
        <v/>
      </c>
      <c r="E99">
        <f>IF(A99="","",BD_Carga!Q100)</f>
        <v/>
      </c>
      <c r="F99" s="5">
        <f>IF(A99="","",BD_Carga!L100)</f>
        <v/>
      </c>
      <c r="G99">
        <f>IF(A99="","",BD_Carga!N100)</f>
        <v/>
      </c>
      <c r="H99">
        <f>IF(A99="","",BD_Carga!O100)</f>
        <v/>
      </c>
      <c r="I99">
        <f>IF(A99="","",BD_Carga!P100)</f>
        <v/>
      </c>
      <c r="J99">
        <f>IF(A99="","",_xlfn.MAXIFS(BD_Carga!$L:$L,BD_Carga!$C:$C,A99))</f>
        <v/>
      </c>
      <c r="K99" s="11">
        <f>IF(OR(A99="",J99=0),"",F99/J99)</f>
        <v/>
      </c>
      <c r="L99">
        <f>IF(A99="","",BD_Carga!E100)</f>
        <v/>
      </c>
    </row>
    <row r="100">
      <c r="A100">
        <f>IF(BD_Carga!C101="","",BD_Carga!C101)</f>
        <v/>
      </c>
      <c r="B100">
        <f>IF(A100="","",BD_Carga!D101)</f>
        <v/>
      </c>
      <c r="C100" s="2">
        <f>IF(A100="","",BD_Carga!A101)</f>
        <v/>
      </c>
      <c r="D100">
        <f>IF(A100="","",BD_Carga!R101)</f>
        <v/>
      </c>
      <c r="E100">
        <f>IF(A100="","",BD_Carga!Q101)</f>
        <v/>
      </c>
      <c r="F100" s="5">
        <f>IF(A100="","",BD_Carga!L101)</f>
        <v/>
      </c>
      <c r="G100">
        <f>IF(A100="","",BD_Carga!N101)</f>
        <v/>
      </c>
      <c r="H100">
        <f>IF(A100="","",BD_Carga!O101)</f>
        <v/>
      </c>
      <c r="I100">
        <f>IF(A100="","",BD_Carga!P101)</f>
        <v/>
      </c>
      <c r="J100">
        <f>IF(A100="","",_xlfn.MAXIFS(BD_Carga!$L:$L,BD_Carga!$C:$C,A100))</f>
        <v/>
      </c>
      <c r="K100" s="11">
        <f>IF(OR(A100="",J100=0),"",F100/J100)</f>
        <v/>
      </c>
      <c r="L100">
        <f>IF(A100="","",BD_Carga!E101)</f>
        <v/>
      </c>
    </row>
    <row r="101">
      <c r="A101">
        <f>IF(BD_Carga!C102="","",BD_Carga!C102)</f>
        <v/>
      </c>
      <c r="B101">
        <f>IF(A101="","",BD_Carga!D102)</f>
        <v/>
      </c>
      <c r="C101" s="2">
        <f>IF(A101="","",BD_Carga!A102)</f>
        <v/>
      </c>
      <c r="D101">
        <f>IF(A101="","",BD_Carga!R102)</f>
        <v/>
      </c>
      <c r="E101">
        <f>IF(A101="","",BD_Carga!Q102)</f>
        <v/>
      </c>
      <c r="F101" s="5">
        <f>IF(A101="","",BD_Carga!L102)</f>
        <v/>
      </c>
      <c r="G101">
        <f>IF(A101="","",BD_Carga!N102)</f>
        <v/>
      </c>
      <c r="H101">
        <f>IF(A101="","",BD_Carga!O102)</f>
        <v/>
      </c>
      <c r="I101">
        <f>IF(A101="","",BD_Carga!P102)</f>
        <v/>
      </c>
      <c r="J101">
        <f>IF(A101="","",_xlfn.MAXIFS(BD_Carga!$L:$L,BD_Carga!$C:$C,A101))</f>
        <v/>
      </c>
      <c r="K101" s="11">
        <f>IF(OR(A101="",J101=0),"",F101/J101)</f>
        <v/>
      </c>
      <c r="L101">
        <f>IF(A101="","",BD_Carga!E102)</f>
        <v/>
      </c>
    </row>
    <row r="102">
      <c r="A102">
        <f>IF(BD_Carga!C103="","",BD_Carga!C103)</f>
        <v/>
      </c>
      <c r="B102">
        <f>IF(A102="","",BD_Carga!D103)</f>
        <v/>
      </c>
      <c r="C102" s="2">
        <f>IF(A102="","",BD_Carga!A103)</f>
        <v/>
      </c>
      <c r="D102">
        <f>IF(A102="","",BD_Carga!R103)</f>
        <v/>
      </c>
      <c r="E102">
        <f>IF(A102="","",BD_Carga!Q103)</f>
        <v/>
      </c>
      <c r="F102" s="5">
        <f>IF(A102="","",BD_Carga!L103)</f>
        <v/>
      </c>
      <c r="G102">
        <f>IF(A102="","",BD_Carga!N103)</f>
        <v/>
      </c>
      <c r="H102">
        <f>IF(A102="","",BD_Carga!O103)</f>
        <v/>
      </c>
      <c r="I102">
        <f>IF(A102="","",BD_Carga!P103)</f>
        <v/>
      </c>
      <c r="J102">
        <f>IF(A102="","",_xlfn.MAXIFS(BD_Carga!$L:$L,BD_Carga!$C:$C,A102))</f>
        <v/>
      </c>
      <c r="K102" s="11">
        <f>IF(OR(A102="",J102=0),"",F102/J102)</f>
        <v/>
      </c>
      <c r="L102">
        <f>IF(A102="","",BD_Carga!E103)</f>
        <v/>
      </c>
    </row>
    <row r="103">
      <c r="A103">
        <f>IF(BD_Carga!C104="","",BD_Carga!C104)</f>
        <v/>
      </c>
      <c r="B103">
        <f>IF(A103="","",BD_Carga!D104)</f>
        <v/>
      </c>
      <c r="C103" s="2">
        <f>IF(A103="","",BD_Carga!A104)</f>
        <v/>
      </c>
      <c r="D103">
        <f>IF(A103="","",BD_Carga!R104)</f>
        <v/>
      </c>
      <c r="E103">
        <f>IF(A103="","",BD_Carga!Q104)</f>
        <v/>
      </c>
      <c r="F103" s="5">
        <f>IF(A103="","",BD_Carga!L104)</f>
        <v/>
      </c>
      <c r="G103">
        <f>IF(A103="","",BD_Carga!N104)</f>
        <v/>
      </c>
      <c r="H103">
        <f>IF(A103="","",BD_Carga!O104)</f>
        <v/>
      </c>
      <c r="I103">
        <f>IF(A103="","",BD_Carga!P104)</f>
        <v/>
      </c>
      <c r="J103">
        <f>IF(A103="","",_xlfn.MAXIFS(BD_Carga!$L:$L,BD_Carga!$C:$C,A103))</f>
        <v/>
      </c>
      <c r="K103" s="11">
        <f>IF(OR(A103="",J103=0),"",F103/J103)</f>
        <v/>
      </c>
      <c r="L103">
        <f>IF(A103="","",BD_Carga!E104)</f>
        <v/>
      </c>
    </row>
    <row r="104">
      <c r="A104">
        <f>IF(BD_Carga!C105="","",BD_Carga!C105)</f>
        <v/>
      </c>
      <c r="B104">
        <f>IF(A104="","",BD_Carga!D105)</f>
        <v/>
      </c>
      <c r="C104" s="2">
        <f>IF(A104="","",BD_Carga!A105)</f>
        <v/>
      </c>
      <c r="D104">
        <f>IF(A104="","",BD_Carga!R105)</f>
        <v/>
      </c>
      <c r="E104">
        <f>IF(A104="","",BD_Carga!Q105)</f>
        <v/>
      </c>
      <c r="F104" s="5">
        <f>IF(A104="","",BD_Carga!L105)</f>
        <v/>
      </c>
      <c r="G104">
        <f>IF(A104="","",BD_Carga!N105)</f>
        <v/>
      </c>
      <c r="H104">
        <f>IF(A104="","",BD_Carga!O105)</f>
        <v/>
      </c>
      <c r="I104">
        <f>IF(A104="","",BD_Carga!P105)</f>
        <v/>
      </c>
      <c r="J104">
        <f>IF(A104="","",_xlfn.MAXIFS(BD_Carga!$L:$L,BD_Carga!$C:$C,A104))</f>
        <v/>
      </c>
      <c r="K104" s="11">
        <f>IF(OR(A104="",J104=0),"",F104/J104)</f>
        <v/>
      </c>
      <c r="L104">
        <f>IF(A104="","",BD_Carga!E105)</f>
        <v/>
      </c>
    </row>
    <row r="105">
      <c r="A105">
        <f>IF(BD_Carga!C106="","",BD_Carga!C106)</f>
        <v/>
      </c>
      <c r="B105">
        <f>IF(A105="","",BD_Carga!D106)</f>
        <v/>
      </c>
      <c r="C105" s="2">
        <f>IF(A105="","",BD_Carga!A106)</f>
        <v/>
      </c>
      <c r="D105">
        <f>IF(A105="","",BD_Carga!R106)</f>
        <v/>
      </c>
      <c r="E105">
        <f>IF(A105="","",BD_Carga!Q106)</f>
        <v/>
      </c>
      <c r="F105" s="5">
        <f>IF(A105="","",BD_Carga!L106)</f>
        <v/>
      </c>
      <c r="G105">
        <f>IF(A105="","",BD_Carga!N106)</f>
        <v/>
      </c>
      <c r="H105">
        <f>IF(A105="","",BD_Carga!O106)</f>
        <v/>
      </c>
      <c r="I105">
        <f>IF(A105="","",BD_Carga!P106)</f>
        <v/>
      </c>
      <c r="J105">
        <f>IF(A105="","",_xlfn.MAXIFS(BD_Carga!$L:$L,BD_Carga!$C:$C,A105))</f>
        <v/>
      </c>
      <c r="K105" s="11">
        <f>IF(OR(A105="",J105=0),"",F105/J105)</f>
        <v/>
      </c>
      <c r="L105">
        <f>IF(A105="","",BD_Carga!E106)</f>
        <v/>
      </c>
    </row>
    <row r="106">
      <c r="A106">
        <f>IF(BD_Carga!C107="","",BD_Carga!C107)</f>
        <v/>
      </c>
      <c r="B106">
        <f>IF(A106="","",BD_Carga!D107)</f>
        <v/>
      </c>
      <c r="C106" s="2">
        <f>IF(A106="","",BD_Carga!A107)</f>
        <v/>
      </c>
      <c r="D106">
        <f>IF(A106="","",BD_Carga!R107)</f>
        <v/>
      </c>
      <c r="E106">
        <f>IF(A106="","",BD_Carga!Q107)</f>
        <v/>
      </c>
      <c r="F106" s="5">
        <f>IF(A106="","",BD_Carga!L107)</f>
        <v/>
      </c>
      <c r="G106">
        <f>IF(A106="","",BD_Carga!N107)</f>
        <v/>
      </c>
      <c r="H106">
        <f>IF(A106="","",BD_Carga!O107)</f>
        <v/>
      </c>
      <c r="I106">
        <f>IF(A106="","",BD_Carga!P107)</f>
        <v/>
      </c>
      <c r="J106">
        <f>IF(A106="","",_xlfn.MAXIFS(BD_Carga!$L:$L,BD_Carga!$C:$C,A106))</f>
        <v/>
      </c>
      <c r="K106" s="11">
        <f>IF(OR(A106="",J106=0),"",F106/J106)</f>
        <v/>
      </c>
      <c r="L106">
        <f>IF(A106="","",BD_Carga!E107)</f>
        <v/>
      </c>
    </row>
    <row r="107">
      <c r="A107">
        <f>IF(BD_Carga!C108="","",BD_Carga!C108)</f>
        <v/>
      </c>
      <c r="B107">
        <f>IF(A107="","",BD_Carga!D108)</f>
        <v/>
      </c>
      <c r="C107" s="2">
        <f>IF(A107="","",BD_Carga!A108)</f>
        <v/>
      </c>
      <c r="D107">
        <f>IF(A107="","",BD_Carga!R108)</f>
        <v/>
      </c>
      <c r="E107">
        <f>IF(A107="","",BD_Carga!Q108)</f>
        <v/>
      </c>
      <c r="F107" s="5">
        <f>IF(A107="","",BD_Carga!L108)</f>
        <v/>
      </c>
      <c r="G107">
        <f>IF(A107="","",BD_Carga!N108)</f>
        <v/>
      </c>
      <c r="H107">
        <f>IF(A107="","",BD_Carga!O108)</f>
        <v/>
      </c>
      <c r="I107">
        <f>IF(A107="","",BD_Carga!P108)</f>
        <v/>
      </c>
      <c r="J107">
        <f>IF(A107="","",_xlfn.MAXIFS(BD_Carga!$L:$L,BD_Carga!$C:$C,A107))</f>
        <v/>
      </c>
      <c r="K107" s="11">
        <f>IF(OR(A107="",J107=0),"",F107/J107)</f>
        <v/>
      </c>
      <c r="L107">
        <f>IF(A107="","",BD_Carga!E108)</f>
        <v/>
      </c>
    </row>
    <row r="108">
      <c r="A108">
        <f>IF(BD_Carga!C109="","",BD_Carga!C109)</f>
        <v/>
      </c>
      <c r="B108">
        <f>IF(A108="","",BD_Carga!D109)</f>
        <v/>
      </c>
      <c r="C108" s="2">
        <f>IF(A108="","",BD_Carga!A109)</f>
        <v/>
      </c>
      <c r="D108">
        <f>IF(A108="","",BD_Carga!R109)</f>
        <v/>
      </c>
      <c r="E108">
        <f>IF(A108="","",BD_Carga!Q109)</f>
        <v/>
      </c>
      <c r="F108" s="5">
        <f>IF(A108="","",BD_Carga!L109)</f>
        <v/>
      </c>
      <c r="G108">
        <f>IF(A108="","",BD_Carga!N109)</f>
        <v/>
      </c>
      <c r="H108">
        <f>IF(A108="","",BD_Carga!O109)</f>
        <v/>
      </c>
      <c r="I108">
        <f>IF(A108="","",BD_Carga!P109)</f>
        <v/>
      </c>
      <c r="J108">
        <f>IF(A108="","",_xlfn.MAXIFS(BD_Carga!$L:$L,BD_Carga!$C:$C,A108))</f>
        <v/>
      </c>
      <c r="K108" s="11">
        <f>IF(OR(A108="",J108=0),"",F108/J108)</f>
        <v/>
      </c>
      <c r="L108">
        <f>IF(A108="","",BD_Carga!E109)</f>
        <v/>
      </c>
    </row>
    <row r="109">
      <c r="A109">
        <f>IF(BD_Carga!C110="","",BD_Carga!C110)</f>
        <v/>
      </c>
      <c r="B109">
        <f>IF(A109="","",BD_Carga!D110)</f>
        <v/>
      </c>
      <c r="C109" s="2">
        <f>IF(A109="","",BD_Carga!A110)</f>
        <v/>
      </c>
      <c r="D109">
        <f>IF(A109="","",BD_Carga!R110)</f>
        <v/>
      </c>
      <c r="E109">
        <f>IF(A109="","",BD_Carga!Q110)</f>
        <v/>
      </c>
      <c r="F109" s="5">
        <f>IF(A109="","",BD_Carga!L110)</f>
        <v/>
      </c>
      <c r="G109">
        <f>IF(A109="","",BD_Carga!N110)</f>
        <v/>
      </c>
      <c r="H109">
        <f>IF(A109="","",BD_Carga!O110)</f>
        <v/>
      </c>
      <c r="I109">
        <f>IF(A109="","",BD_Carga!P110)</f>
        <v/>
      </c>
      <c r="J109">
        <f>IF(A109="","",_xlfn.MAXIFS(BD_Carga!$L:$L,BD_Carga!$C:$C,A109))</f>
        <v/>
      </c>
      <c r="K109" s="11">
        <f>IF(OR(A109="",J109=0),"",F109/J109)</f>
        <v/>
      </c>
      <c r="L109">
        <f>IF(A109="","",BD_Carga!E110)</f>
        <v/>
      </c>
    </row>
    <row r="110">
      <c r="A110">
        <f>IF(BD_Carga!C111="","",BD_Carga!C111)</f>
        <v/>
      </c>
      <c r="B110">
        <f>IF(A110="","",BD_Carga!D111)</f>
        <v/>
      </c>
      <c r="C110" s="2">
        <f>IF(A110="","",BD_Carga!A111)</f>
        <v/>
      </c>
      <c r="D110">
        <f>IF(A110="","",BD_Carga!R111)</f>
        <v/>
      </c>
      <c r="E110">
        <f>IF(A110="","",BD_Carga!Q111)</f>
        <v/>
      </c>
      <c r="F110" s="5">
        <f>IF(A110="","",BD_Carga!L111)</f>
        <v/>
      </c>
      <c r="G110">
        <f>IF(A110="","",BD_Carga!N111)</f>
        <v/>
      </c>
      <c r="H110">
        <f>IF(A110="","",BD_Carga!O111)</f>
        <v/>
      </c>
      <c r="I110">
        <f>IF(A110="","",BD_Carga!P111)</f>
        <v/>
      </c>
      <c r="J110">
        <f>IF(A110="","",_xlfn.MAXIFS(BD_Carga!$L:$L,BD_Carga!$C:$C,A110))</f>
        <v/>
      </c>
      <c r="K110" s="11">
        <f>IF(OR(A110="",J110=0),"",F110/J110)</f>
        <v/>
      </c>
      <c r="L110">
        <f>IF(A110="","",BD_Carga!E111)</f>
        <v/>
      </c>
    </row>
    <row r="111">
      <c r="A111">
        <f>IF(BD_Carga!C112="","",BD_Carga!C112)</f>
        <v/>
      </c>
      <c r="B111">
        <f>IF(A111="","",BD_Carga!D112)</f>
        <v/>
      </c>
      <c r="C111" s="2">
        <f>IF(A111="","",BD_Carga!A112)</f>
        <v/>
      </c>
      <c r="D111">
        <f>IF(A111="","",BD_Carga!R112)</f>
        <v/>
      </c>
      <c r="E111">
        <f>IF(A111="","",BD_Carga!Q112)</f>
        <v/>
      </c>
      <c r="F111" s="5">
        <f>IF(A111="","",BD_Carga!L112)</f>
        <v/>
      </c>
      <c r="G111">
        <f>IF(A111="","",BD_Carga!N112)</f>
        <v/>
      </c>
      <c r="H111">
        <f>IF(A111="","",BD_Carga!O112)</f>
        <v/>
      </c>
      <c r="I111">
        <f>IF(A111="","",BD_Carga!P112)</f>
        <v/>
      </c>
      <c r="J111">
        <f>IF(A111="","",_xlfn.MAXIFS(BD_Carga!$L:$L,BD_Carga!$C:$C,A111))</f>
        <v/>
      </c>
      <c r="K111" s="11">
        <f>IF(OR(A111="",J111=0),"",F111/J111)</f>
        <v/>
      </c>
      <c r="L111">
        <f>IF(A111="","",BD_Carga!E112)</f>
        <v/>
      </c>
    </row>
    <row r="112">
      <c r="A112">
        <f>IF(BD_Carga!C113="","",BD_Carga!C113)</f>
        <v/>
      </c>
      <c r="B112">
        <f>IF(A112="","",BD_Carga!D113)</f>
        <v/>
      </c>
      <c r="C112" s="2">
        <f>IF(A112="","",BD_Carga!A113)</f>
        <v/>
      </c>
      <c r="D112">
        <f>IF(A112="","",BD_Carga!R113)</f>
        <v/>
      </c>
      <c r="E112">
        <f>IF(A112="","",BD_Carga!Q113)</f>
        <v/>
      </c>
      <c r="F112" s="5">
        <f>IF(A112="","",BD_Carga!L113)</f>
        <v/>
      </c>
      <c r="G112">
        <f>IF(A112="","",BD_Carga!N113)</f>
        <v/>
      </c>
      <c r="H112">
        <f>IF(A112="","",BD_Carga!O113)</f>
        <v/>
      </c>
      <c r="I112">
        <f>IF(A112="","",BD_Carga!P113)</f>
        <v/>
      </c>
      <c r="J112">
        <f>IF(A112="","",_xlfn.MAXIFS(BD_Carga!$L:$L,BD_Carga!$C:$C,A112))</f>
        <v/>
      </c>
      <c r="K112" s="11">
        <f>IF(OR(A112="",J112=0),"",F112/J112)</f>
        <v/>
      </c>
      <c r="L112">
        <f>IF(A112="","",BD_Carga!E113)</f>
        <v/>
      </c>
    </row>
    <row r="113">
      <c r="A113">
        <f>IF(BD_Carga!C114="","",BD_Carga!C114)</f>
        <v/>
      </c>
      <c r="B113">
        <f>IF(A113="","",BD_Carga!D114)</f>
        <v/>
      </c>
      <c r="C113" s="2">
        <f>IF(A113="","",BD_Carga!A114)</f>
        <v/>
      </c>
      <c r="D113">
        <f>IF(A113="","",BD_Carga!R114)</f>
        <v/>
      </c>
      <c r="E113">
        <f>IF(A113="","",BD_Carga!Q114)</f>
        <v/>
      </c>
      <c r="F113" s="5">
        <f>IF(A113="","",BD_Carga!L114)</f>
        <v/>
      </c>
      <c r="G113">
        <f>IF(A113="","",BD_Carga!N114)</f>
        <v/>
      </c>
      <c r="H113">
        <f>IF(A113="","",BD_Carga!O114)</f>
        <v/>
      </c>
      <c r="I113">
        <f>IF(A113="","",BD_Carga!P114)</f>
        <v/>
      </c>
      <c r="J113">
        <f>IF(A113="","",_xlfn.MAXIFS(BD_Carga!$L:$L,BD_Carga!$C:$C,A113))</f>
        <v/>
      </c>
      <c r="K113" s="11">
        <f>IF(OR(A113="",J113=0),"",F113/J113)</f>
        <v/>
      </c>
      <c r="L113">
        <f>IF(A113="","",BD_Carga!E114)</f>
        <v/>
      </c>
    </row>
    <row r="114">
      <c r="A114">
        <f>IF(BD_Carga!C115="","",BD_Carga!C115)</f>
        <v/>
      </c>
      <c r="B114">
        <f>IF(A114="","",BD_Carga!D115)</f>
        <v/>
      </c>
      <c r="C114" s="2">
        <f>IF(A114="","",BD_Carga!A115)</f>
        <v/>
      </c>
      <c r="D114">
        <f>IF(A114="","",BD_Carga!R115)</f>
        <v/>
      </c>
      <c r="E114">
        <f>IF(A114="","",BD_Carga!Q115)</f>
        <v/>
      </c>
      <c r="F114" s="5">
        <f>IF(A114="","",BD_Carga!L115)</f>
        <v/>
      </c>
      <c r="G114">
        <f>IF(A114="","",BD_Carga!N115)</f>
        <v/>
      </c>
      <c r="H114">
        <f>IF(A114="","",BD_Carga!O115)</f>
        <v/>
      </c>
      <c r="I114">
        <f>IF(A114="","",BD_Carga!P115)</f>
        <v/>
      </c>
      <c r="J114">
        <f>IF(A114="","",_xlfn.MAXIFS(BD_Carga!$L:$L,BD_Carga!$C:$C,A114))</f>
        <v/>
      </c>
      <c r="K114" s="11">
        <f>IF(OR(A114="",J114=0),"",F114/J114)</f>
        <v/>
      </c>
      <c r="L114">
        <f>IF(A114="","",BD_Carga!E115)</f>
        <v/>
      </c>
    </row>
    <row r="115">
      <c r="A115">
        <f>IF(BD_Carga!C116="","",BD_Carga!C116)</f>
        <v/>
      </c>
      <c r="B115">
        <f>IF(A115="","",BD_Carga!D116)</f>
        <v/>
      </c>
      <c r="C115" s="2">
        <f>IF(A115="","",BD_Carga!A116)</f>
        <v/>
      </c>
      <c r="D115">
        <f>IF(A115="","",BD_Carga!R116)</f>
        <v/>
      </c>
      <c r="E115">
        <f>IF(A115="","",BD_Carga!Q116)</f>
        <v/>
      </c>
      <c r="F115" s="5">
        <f>IF(A115="","",BD_Carga!L116)</f>
        <v/>
      </c>
      <c r="G115">
        <f>IF(A115="","",BD_Carga!N116)</f>
        <v/>
      </c>
      <c r="H115">
        <f>IF(A115="","",BD_Carga!O116)</f>
        <v/>
      </c>
      <c r="I115">
        <f>IF(A115="","",BD_Carga!P116)</f>
        <v/>
      </c>
      <c r="J115">
        <f>IF(A115="","",_xlfn.MAXIFS(BD_Carga!$L:$L,BD_Carga!$C:$C,A115))</f>
        <v/>
      </c>
      <c r="K115" s="11">
        <f>IF(OR(A115="",J115=0),"",F115/J115)</f>
        <v/>
      </c>
      <c r="L115">
        <f>IF(A115="","",BD_Carga!E116)</f>
        <v/>
      </c>
    </row>
    <row r="116">
      <c r="A116">
        <f>IF(BD_Carga!C117="","",BD_Carga!C117)</f>
        <v/>
      </c>
      <c r="B116">
        <f>IF(A116="","",BD_Carga!D117)</f>
        <v/>
      </c>
      <c r="C116" s="2">
        <f>IF(A116="","",BD_Carga!A117)</f>
        <v/>
      </c>
      <c r="D116">
        <f>IF(A116="","",BD_Carga!R117)</f>
        <v/>
      </c>
      <c r="E116">
        <f>IF(A116="","",BD_Carga!Q117)</f>
        <v/>
      </c>
      <c r="F116" s="5">
        <f>IF(A116="","",BD_Carga!L117)</f>
        <v/>
      </c>
      <c r="G116">
        <f>IF(A116="","",BD_Carga!N117)</f>
        <v/>
      </c>
      <c r="H116">
        <f>IF(A116="","",BD_Carga!O117)</f>
        <v/>
      </c>
      <c r="I116">
        <f>IF(A116="","",BD_Carga!P117)</f>
        <v/>
      </c>
      <c r="J116">
        <f>IF(A116="","",_xlfn.MAXIFS(BD_Carga!$L:$L,BD_Carga!$C:$C,A116))</f>
        <v/>
      </c>
      <c r="K116" s="11">
        <f>IF(OR(A116="",J116=0),"",F116/J116)</f>
        <v/>
      </c>
      <c r="L116">
        <f>IF(A116="","",BD_Carga!E117)</f>
        <v/>
      </c>
    </row>
    <row r="117">
      <c r="A117">
        <f>IF(BD_Carga!C118="","",BD_Carga!C118)</f>
        <v/>
      </c>
      <c r="B117">
        <f>IF(A117="","",BD_Carga!D118)</f>
        <v/>
      </c>
      <c r="C117" s="2">
        <f>IF(A117="","",BD_Carga!A118)</f>
        <v/>
      </c>
      <c r="D117">
        <f>IF(A117="","",BD_Carga!R118)</f>
        <v/>
      </c>
      <c r="E117">
        <f>IF(A117="","",BD_Carga!Q118)</f>
        <v/>
      </c>
      <c r="F117" s="5">
        <f>IF(A117="","",BD_Carga!L118)</f>
        <v/>
      </c>
      <c r="G117">
        <f>IF(A117="","",BD_Carga!N118)</f>
        <v/>
      </c>
      <c r="H117">
        <f>IF(A117="","",BD_Carga!O118)</f>
        <v/>
      </c>
      <c r="I117">
        <f>IF(A117="","",BD_Carga!P118)</f>
        <v/>
      </c>
      <c r="J117">
        <f>IF(A117="","",_xlfn.MAXIFS(BD_Carga!$L:$L,BD_Carga!$C:$C,A117))</f>
        <v/>
      </c>
      <c r="K117" s="11">
        <f>IF(OR(A117="",J117=0),"",F117/J117)</f>
        <v/>
      </c>
      <c r="L117">
        <f>IF(A117="","",BD_Carga!E118)</f>
        <v/>
      </c>
    </row>
    <row r="118">
      <c r="A118">
        <f>IF(BD_Carga!C119="","",BD_Carga!C119)</f>
        <v/>
      </c>
      <c r="B118">
        <f>IF(A118="","",BD_Carga!D119)</f>
        <v/>
      </c>
      <c r="C118" s="2">
        <f>IF(A118="","",BD_Carga!A119)</f>
        <v/>
      </c>
      <c r="D118">
        <f>IF(A118="","",BD_Carga!R119)</f>
        <v/>
      </c>
      <c r="E118">
        <f>IF(A118="","",BD_Carga!Q119)</f>
        <v/>
      </c>
      <c r="F118" s="5">
        <f>IF(A118="","",BD_Carga!L119)</f>
        <v/>
      </c>
      <c r="G118">
        <f>IF(A118="","",BD_Carga!N119)</f>
        <v/>
      </c>
      <c r="H118">
        <f>IF(A118="","",BD_Carga!O119)</f>
        <v/>
      </c>
      <c r="I118">
        <f>IF(A118="","",BD_Carga!P119)</f>
        <v/>
      </c>
      <c r="J118">
        <f>IF(A118="","",_xlfn.MAXIFS(BD_Carga!$L:$L,BD_Carga!$C:$C,A118))</f>
        <v/>
      </c>
      <c r="K118" s="11">
        <f>IF(OR(A118="",J118=0),"",F118/J118)</f>
        <v/>
      </c>
      <c r="L118">
        <f>IF(A118="","",BD_Carga!E119)</f>
        <v/>
      </c>
    </row>
    <row r="119">
      <c r="A119">
        <f>IF(BD_Carga!C120="","",BD_Carga!C120)</f>
        <v/>
      </c>
      <c r="B119">
        <f>IF(A119="","",BD_Carga!D120)</f>
        <v/>
      </c>
      <c r="C119" s="2">
        <f>IF(A119="","",BD_Carga!A120)</f>
        <v/>
      </c>
      <c r="D119">
        <f>IF(A119="","",BD_Carga!R120)</f>
        <v/>
      </c>
      <c r="E119">
        <f>IF(A119="","",BD_Carga!Q120)</f>
        <v/>
      </c>
      <c r="F119" s="5">
        <f>IF(A119="","",BD_Carga!L120)</f>
        <v/>
      </c>
      <c r="G119">
        <f>IF(A119="","",BD_Carga!N120)</f>
        <v/>
      </c>
      <c r="H119">
        <f>IF(A119="","",BD_Carga!O120)</f>
        <v/>
      </c>
      <c r="I119">
        <f>IF(A119="","",BD_Carga!P120)</f>
        <v/>
      </c>
      <c r="J119">
        <f>IF(A119="","",_xlfn.MAXIFS(BD_Carga!$L:$L,BD_Carga!$C:$C,A119))</f>
        <v/>
      </c>
      <c r="K119" s="11">
        <f>IF(OR(A119="",J119=0),"",F119/J119)</f>
        <v/>
      </c>
      <c r="L119">
        <f>IF(A119="","",BD_Carga!E120)</f>
        <v/>
      </c>
    </row>
    <row r="120">
      <c r="A120">
        <f>IF(BD_Carga!C121="","",BD_Carga!C121)</f>
        <v/>
      </c>
      <c r="B120">
        <f>IF(A120="","",BD_Carga!D121)</f>
        <v/>
      </c>
      <c r="C120" s="2">
        <f>IF(A120="","",BD_Carga!A121)</f>
        <v/>
      </c>
      <c r="D120">
        <f>IF(A120="","",BD_Carga!R121)</f>
        <v/>
      </c>
      <c r="E120">
        <f>IF(A120="","",BD_Carga!Q121)</f>
        <v/>
      </c>
      <c r="F120" s="5">
        <f>IF(A120="","",BD_Carga!L121)</f>
        <v/>
      </c>
      <c r="G120">
        <f>IF(A120="","",BD_Carga!N121)</f>
        <v/>
      </c>
      <c r="H120">
        <f>IF(A120="","",BD_Carga!O121)</f>
        <v/>
      </c>
      <c r="I120">
        <f>IF(A120="","",BD_Carga!P121)</f>
        <v/>
      </c>
      <c r="J120">
        <f>IF(A120="","",_xlfn.MAXIFS(BD_Carga!$L:$L,BD_Carga!$C:$C,A120))</f>
        <v/>
      </c>
      <c r="K120" s="11">
        <f>IF(OR(A120="",J120=0),"",F120/J120)</f>
        <v/>
      </c>
      <c r="L120">
        <f>IF(A120="","",BD_Carga!E121)</f>
        <v/>
      </c>
    </row>
    <row r="121">
      <c r="A121">
        <f>IF(BD_Carga!C122="","",BD_Carga!C122)</f>
        <v/>
      </c>
      <c r="B121">
        <f>IF(A121="","",BD_Carga!D122)</f>
        <v/>
      </c>
      <c r="C121" s="2">
        <f>IF(A121="","",BD_Carga!A122)</f>
        <v/>
      </c>
      <c r="D121">
        <f>IF(A121="","",BD_Carga!R122)</f>
        <v/>
      </c>
      <c r="E121">
        <f>IF(A121="","",BD_Carga!Q122)</f>
        <v/>
      </c>
      <c r="F121" s="5">
        <f>IF(A121="","",BD_Carga!L122)</f>
        <v/>
      </c>
      <c r="G121">
        <f>IF(A121="","",BD_Carga!N122)</f>
        <v/>
      </c>
      <c r="H121">
        <f>IF(A121="","",BD_Carga!O122)</f>
        <v/>
      </c>
      <c r="I121">
        <f>IF(A121="","",BD_Carga!P122)</f>
        <v/>
      </c>
      <c r="J121">
        <f>IF(A121="","",_xlfn.MAXIFS(BD_Carga!$L:$L,BD_Carga!$C:$C,A121))</f>
        <v/>
      </c>
      <c r="K121" s="11">
        <f>IF(OR(A121="",J121=0),"",F121/J121)</f>
        <v/>
      </c>
      <c r="L121">
        <f>IF(A121="","",BD_Carga!E122)</f>
        <v/>
      </c>
    </row>
    <row r="122">
      <c r="A122">
        <f>IF(BD_Carga!C123="","",BD_Carga!C123)</f>
        <v/>
      </c>
      <c r="B122">
        <f>IF(A122="","",BD_Carga!D123)</f>
        <v/>
      </c>
      <c r="C122" s="2">
        <f>IF(A122="","",BD_Carga!A123)</f>
        <v/>
      </c>
      <c r="D122">
        <f>IF(A122="","",BD_Carga!R123)</f>
        <v/>
      </c>
      <c r="E122">
        <f>IF(A122="","",BD_Carga!Q123)</f>
        <v/>
      </c>
      <c r="F122" s="5">
        <f>IF(A122="","",BD_Carga!L123)</f>
        <v/>
      </c>
      <c r="G122">
        <f>IF(A122="","",BD_Carga!N123)</f>
        <v/>
      </c>
      <c r="H122">
        <f>IF(A122="","",BD_Carga!O123)</f>
        <v/>
      </c>
      <c r="I122">
        <f>IF(A122="","",BD_Carga!P123)</f>
        <v/>
      </c>
      <c r="J122">
        <f>IF(A122="","",_xlfn.MAXIFS(BD_Carga!$L:$L,BD_Carga!$C:$C,A122))</f>
        <v/>
      </c>
      <c r="K122" s="11">
        <f>IF(OR(A122="",J122=0),"",F122/J122)</f>
        <v/>
      </c>
      <c r="L122">
        <f>IF(A122="","",BD_Carga!E123)</f>
        <v/>
      </c>
    </row>
    <row r="123">
      <c r="A123">
        <f>IF(BD_Carga!C124="","",BD_Carga!C124)</f>
        <v/>
      </c>
      <c r="B123">
        <f>IF(A123="","",BD_Carga!D124)</f>
        <v/>
      </c>
      <c r="C123" s="2">
        <f>IF(A123="","",BD_Carga!A124)</f>
        <v/>
      </c>
      <c r="D123">
        <f>IF(A123="","",BD_Carga!R124)</f>
        <v/>
      </c>
      <c r="E123">
        <f>IF(A123="","",BD_Carga!Q124)</f>
        <v/>
      </c>
      <c r="F123" s="5">
        <f>IF(A123="","",BD_Carga!L124)</f>
        <v/>
      </c>
      <c r="G123">
        <f>IF(A123="","",BD_Carga!N124)</f>
        <v/>
      </c>
      <c r="H123">
        <f>IF(A123="","",BD_Carga!O124)</f>
        <v/>
      </c>
      <c r="I123">
        <f>IF(A123="","",BD_Carga!P124)</f>
        <v/>
      </c>
      <c r="J123">
        <f>IF(A123="","",_xlfn.MAXIFS(BD_Carga!$L:$L,BD_Carga!$C:$C,A123))</f>
        <v/>
      </c>
      <c r="K123" s="11">
        <f>IF(OR(A123="",J123=0),"",F123/J123)</f>
        <v/>
      </c>
      <c r="L123">
        <f>IF(A123="","",BD_Carga!E124)</f>
        <v/>
      </c>
    </row>
    <row r="124">
      <c r="A124">
        <f>IF(BD_Carga!C125="","",BD_Carga!C125)</f>
        <v/>
      </c>
      <c r="B124">
        <f>IF(A124="","",BD_Carga!D125)</f>
        <v/>
      </c>
      <c r="C124" s="2">
        <f>IF(A124="","",BD_Carga!A125)</f>
        <v/>
      </c>
      <c r="D124">
        <f>IF(A124="","",BD_Carga!R125)</f>
        <v/>
      </c>
      <c r="E124">
        <f>IF(A124="","",BD_Carga!Q125)</f>
        <v/>
      </c>
      <c r="F124" s="5">
        <f>IF(A124="","",BD_Carga!L125)</f>
        <v/>
      </c>
      <c r="G124">
        <f>IF(A124="","",BD_Carga!N125)</f>
        <v/>
      </c>
      <c r="H124">
        <f>IF(A124="","",BD_Carga!O125)</f>
        <v/>
      </c>
      <c r="I124">
        <f>IF(A124="","",BD_Carga!P125)</f>
        <v/>
      </c>
      <c r="J124">
        <f>IF(A124="","",_xlfn.MAXIFS(BD_Carga!$L:$L,BD_Carga!$C:$C,A124))</f>
        <v/>
      </c>
      <c r="K124" s="11">
        <f>IF(OR(A124="",J124=0),"",F124/J124)</f>
        <v/>
      </c>
      <c r="L124">
        <f>IF(A124="","",BD_Carga!E125)</f>
        <v/>
      </c>
    </row>
    <row r="125">
      <c r="A125">
        <f>IF(BD_Carga!C126="","",BD_Carga!C126)</f>
        <v/>
      </c>
      <c r="B125">
        <f>IF(A125="","",BD_Carga!D126)</f>
        <v/>
      </c>
      <c r="C125" s="2">
        <f>IF(A125="","",BD_Carga!A126)</f>
        <v/>
      </c>
      <c r="D125">
        <f>IF(A125="","",BD_Carga!R126)</f>
        <v/>
      </c>
      <c r="E125">
        <f>IF(A125="","",BD_Carga!Q126)</f>
        <v/>
      </c>
      <c r="F125" s="5">
        <f>IF(A125="","",BD_Carga!L126)</f>
        <v/>
      </c>
      <c r="G125">
        <f>IF(A125="","",BD_Carga!N126)</f>
        <v/>
      </c>
      <c r="H125">
        <f>IF(A125="","",BD_Carga!O126)</f>
        <v/>
      </c>
      <c r="I125">
        <f>IF(A125="","",BD_Carga!P126)</f>
        <v/>
      </c>
      <c r="J125">
        <f>IF(A125="","",_xlfn.MAXIFS(BD_Carga!$L:$L,BD_Carga!$C:$C,A125))</f>
        <v/>
      </c>
      <c r="K125" s="11">
        <f>IF(OR(A125="",J125=0),"",F125/J125)</f>
        <v/>
      </c>
      <c r="L125">
        <f>IF(A125="","",BD_Carga!E126)</f>
        <v/>
      </c>
    </row>
    <row r="126">
      <c r="A126">
        <f>IF(BD_Carga!C127="","",BD_Carga!C127)</f>
        <v/>
      </c>
      <c r="B126">
        <f>IF(A126="","",BD_Carga!D127)</f>
        <v/>
      </c>
      <c r="C126" s="2">
        <f>IF(A126="","",BD_Carga!A127)</f>
        <v/>
      </c>
      <c r="D126">
        <f>IF(A126="","",BD_Carga!R127)</f>
        <v/>
      </c>
      <c r="E126">
        <f>IF(A126="","",BD_Carga!Q127)</f>
        <v/>
      </c>
      <c r="F126" s="5">
        <f>IF(A126="","",BD_Carga!L127)</f>
        <v/>
      </c>
      <c r="G126">
        <f>IF(A126="","",BD_Carga!N127)</f>
        <v/>
      </c>
      <c r="H126">
        <f>IF(A126="","",BD_Carga!O127)</f>
        <v/>
      </c>
      <c r="I126">
        <f>IF(A126="","",BD_Carga!P127)</f>
        <v/>
      </c>
      <c r="J126">
        <f>IF(A126="","",_xlfn.MAXIFS(BD_Carga!$L:$L,BD_Carga!$C:$C,A126))</f>
        <v/>
      </c>
      <c r="K126" s="11">
        <f>IF(OR(A126="",J126=0),"",F126/J126)</f>
        <v/>
      </c>
      <c r="L126">
        <f>IF(A126="","",BD_Carga!E127)</f>
        <v/>
      </c>
    </row>
    <row r="127">
      <c r="A127">
        <f>IF(BD_Carga!C128="","",BD_Carga!C128)</f>
        <v/>
      </c>
      <c r="B127">
        <f>IF(A127="","",BD_Carga!D128)</f>
        <v/>
      </c>
      <c r="C127" s="2">
        <f>IF(A127="","",BD_Carga!A128)</f>
        <v/>
      </c>
      <c r="D127">
        <f>IF(A127="","",BD_Carga!R128)</f>
        <v/>
      </c>
      <c r="E127">
        <f>IF(A127="","",BD_Carga!Q128)</f>
        <v/>
      </c>
      <c r="F127" s="5">
        <f>IF(A127="","",BD_Carga!L128)</f>
        <v/>
      </c>
      <c r="G127">
        <f>IF(A127="","",BD_Carga!N128)</f>
        <v/>
      </c>
      <c r="H127">
        <f>IF(A127="","",BD_Carga!O128)</f>
        <v/>
      </c>
      <c r="I127">
        <f>IF(A127="","",BD_Carga!P128)</f>
        <v/>
      </c>
      <c r="J127">
        <f>IF(A127="","",_xlfn.MAXIFS(BD_Carga!$L:$L,BD_Carga!$C:$C,A127))</f>
        <v/>
      </c>
      <c r="K127" s="11">
        <f>IF(OR(A127="",J127=0),"",F127/J127)</f>
        <v/>
      </c>
      <c r="L127">
        <f>IF(A127="","",BD_Carga!E128)</f>
        <v/>
      </c>
    </row>
    <row r="128">
      <c r="A128">
        <f>IF(BD_Carga!C129="","",BD_Carga!C129)</f>
        <v/>
      </c>
      <c r="B128">
        <f>IF(A128="","",BD_Carga!D129)</f>
        <v/>
      </c>
      <c r="C128" s="2">
        <f>IF(A128="","",BD_Carga!A129)</f>
        <v/>
      </c>
      <c r="D128">
        <f>IF(A128="","",BD_Carga!R129)</f>
        <v/>
      </c>
      <c r="E128">
        <f>IF(A128="","",BD_Carga!Q129)</f>
        <v/>
      </c>
      <c r="F128" s="5">
        <f>IF(A128="","",BD_Carga!L129)</f>
        <v/>
      </c>
      <c r="G128">
        <f>IF(A128="","",BD_Carga!N129)</f>
        <v/>
      </c>
      <c r="H128">
        <f>IF(A128="","",BD_Carga!O129)</f>
        <v/>
      </c>
      <c r="I128">
        <f>IF(A128="","",BD_Carga!P129)</f>
        <v/>
      </c>
      <c r="J128">
        <f>IF(A128="","",_xlfn.MAXIFS(BD_Carga!$L:$L,BD_Carga!$C:$C,A128))</f>
        <v/>
      </c>
      <c r="K128" s="11">
        <f>IF(OR(A128="",J128=0),"",F128/J128)</f>
        <v/>
      </c>
      <c r="L128">
        <f>IF(A128="","",BD_Carga!E129)</f>
        <v/>
      </c>
    </row>
    <row r="129">
      <c r="A129">
        <f>IF(BD_Carga!C130="","",BD_Carga!C130)</f>
        <v/>
      </c>
      <c r="B129">
        <f>IF(A129="","",BD_Carga!D130)</f>
        <v/>
      </c>
      <c r="C129" s="2">
        <f>IF(A129="","",BD_Carga!A130)</f>
        <v/>
      </c>
      <c r="D129">
        <f>IF(A129="","",BD_Carga!R130)</f>
        <v/>
      </c>
      <c r="E129">
        <f>IF(A129="","",BD_Carga!Q130)</f>
        <v/>
      </c>
      <c r="F129" s="5">
        <f>IF(A129="","",BD_Carga!L130)</f>
        <v/>
      </c>
      <c r="G129">
        <f>IF(A129="","",BD_Carga!N130)</f>
        <v/>
      </c>
      <c r="H129">
        <f>IF(A129="","",BD_Carga!O130)</f>
        <v/>
      </c>
      <c r="I129">
        <f>IF(A129="","",BD_Carga!P130)</f>
        <v/>
      </c>
      <c r="J129">
        <f>IF(A129="","",_xlfn.MAXIFS(BD_Carga!$L:$L,BD_Carga!$C:$C,A129))</f>
        <v/>
      </c>
      <c r="K129" s="11">
        <f>IF(OR(A129="",J129=0),"",F129/J129)</f>
        <v/>
      </c>
      <c r="L129">
        <f>IF(A129="","",BD_Carga!E130)</f>
        <v/>
      </c>
    </row>
    <row r="130">
      <c r="A130">
        <f>IF(BD_Carga!C131="","",BD_Carga!C131)</f>
        <v/>
      </c>
      <c r="B130">
        <f>IF(A130="","",BD_Carga!D131)</f>
        <v/>
      </c>
      <c r="C130" s="2">
        <f>IF(A130="","",BD_Carga!A131)</f>
        <v/>
      </c>
      <c r="D130">
        <f>IF(A130="","",BD_Carga!R131)</f>
        <v/>
      </c>
      <c r="E130">
        <f>IF(A130="","",BD_Carga!Q131)</f>
        <v/>
      </c>
      <c r="F130" s="5">
        <f>IF(A130="","",BD_Carga!L131)</f>
        <v/>
      </c>
      <c r="G130">
        <f>IF(A130="","",BD_Carga!N131)</f>
        <v/>
      </c>
      <c r="H130">
        <f>IF(A130="","",BD_Carga!O131)</f>
        <v/>
      </c>
      <c r="I130">
        <f>IF(A130="","",BD_Carga!P131)</f>
        <v/>
      </c>
      <c r="J130">
        <f>IF(A130="","",_xlfn.MAXIFS(BD_Carga!$L:$L,BD_Carga!$C:$C,A130))</f>
        <v/>
      </c>
      <c r="K130" s="11">
        <f>IF(OR(A130="",J130=0),"",F130/J130)</f>
        <v/>
      </c>
      <c r="L130">
        <f>IF(A130="","",BD_Carga!E131)</f>
        <v/>
      </c>
    </row>
    <row r="131">
      <c r="A131">
        <f>IF(BD_Carga!C132="","",BD_Carga!C132)</f>
        <v/>
      </c>
      <c r="B131">
        <f>IF(A131="","",BD_Carga!D132)</f>
        <v/>
      </c>
      <c r="C131" s="2">
        <f>IF(A131="","",BD_Carga!A132)</f>
        <v/>
      </c>
      <c r="D131">
        <f>IF(A131="","",BD_Carga!R132)</f>
        <v/>
      </c>
      <c r="E131">
        <f>IF(A131="","",BD_Carga!Q132)</f>
        <v/>
      </c>
      <c r="F131" s="5">
        <f>IF(A131="","",BD_Carga!L132)</f>
        <v/>
      </c>
      <c r="G131">
        <f>IF(A131="","",BD_Carga!N132)</f>
        <v/>
      </c>
      <c r="H131">
        <f>IF(A131="","",BD_Carga!O132)</f>
        <v/>
      </c>
      <c r="I131">
        <f>IF(A131="","",BD_Carga!P132)</f>
        <v/>
      </c>
      <c r="J131">
        <f>IF(A131="","",_xlfn.MAXIFS(BD_Carga!$L:$L,BD_Carga!$C:$C,A131))</f>
        <v/>
      </c>
      <c r="K131" s="11">
        <f>IF(OR(A131="",J131=0),"",F131/J131)</f>
        <v/>
      </c>
      <c r="L131">
        <f>IF(A131="","",BD_Carga!E132)</f>
        <v/>
      </c>
    </row>
    <row r="132">
      <c r="A132">
        <f>IF(BD_Carga!C133="","",BD_Carga!C133)</f>
        <v/>
      </c>
      <c r="B132">
        <f>IF(A132="","",BD_Carga!D133)</f>
        <v/>
      </c>
      <c r="C132" s="2">
        <f>IF(A132="","",BD_Carga!A133)</f>
        <v/>
      </c>
      <c r="D132">
        <f>IF(A132="","",BD_Carga!R133)</f>
        <v/>
      </c>
      <c r="E132">
        <f>IF(A132="","",BD_Carga!Q133)</f>
        <v/>
      </c>
      <c r="F132" s="5">
        <f>IF(A132="","",BD_Carga!L133)</f>
        <v/>
      </c>
      <c r="G132">
        <f>IF(A132="","",BD_Carga!N133)</f>
        <v/>
      </c>
      <c r="H132">
        <f>IF(A132="","",BD_Carga!O133)</f>
        <v/>
      </c>
      <c r="I132">
        <f>IF(A132="","",BD_Carga!P133)</f>
        <v/>
      </c>
      <c r="J132">
        <f>IF(A132="","",_xlfn.MAXIFS(BD_Carga!$L:$L,BD_Carga!$C:$C,A132))</f>
        <v/>
      </c>
      <c r="K132" s="11">
        <f>IF(OR(A132="",J132=0),"",F132/J132)</f>
        <v/>
      </c>
      <c r="L132">
        <f>IF(A132="","",BD_Carga!E133)</f>
        <v/>
      </c>
    </row>
    <row r="133">
      <c r="A133">
        <f>IF(BD_Carga!C134="","",BD_Carga!C134)</f>
        <v/>
      </c>
      <c r="B133">
        <f>IF(A133="","",BD_Carga!D134)</f>
        <v/>
      </c>
      <c r="C133" s="2">
        <f>IF(A133="","",BD_Carga!A134)</f>
        <v/>
      </c>
      <c r="D133">
        <f>IF(A133="","",BD_Carga!R134)</f>
        <v/>
      </c>
      <c r="E133">
        <f>IF(A133="","",BD_Carga!Q134)</f>
        <v/>
      </c>
      <c r="F133" s="5">
        <f>IF(A133="","",BD_Carga!L134)</f>
        <v/>
      </c>
      <c r="G133">
        <f>IF(A133="","",BD_Carga!N134)</f>
        <v/>
      </c>
      <c r="H133">
        <f>IF(A133="","",BD_Carga!O134)</f>
        <v/>
      </c>
      <c r="I133">
        <f>IF(A133="","",BD_Carga!P134)</f>
        <v/>
      </c>
      <c r="J133">
        <f>IF(A133="","",_xlfn.MAXIFS(BD_Carga!$L:$L,BD_Carga!$C:$C,A133))</f>
        <v/>
      </c>
      <c r="K133" s="11">
        <f>IF(OR(A133="",J133=0),"",F133/J133)</f>
        <v/>
      </c>
      <c r="L133">
        <f>IF(A133="","",BD_Carga!E134)</f>
        <v/>
      </c>
    </row>
    <row r="134">
      <c r="A134">
        <f>IF(BD_Carga!C135="","",BD_Carga!C135)</f>
        <v/>
      </c>
      <c r="B134">
        <f>IF(A134="","",BD_Carga!D135)</f>
        <v/>
      </c>
      <c r="C134" s="2">
        <f>IF(A134="","",BD_Carga!A135)</f>
        <v/>
      </c>
      <c r="D134">
        <f>IF(A134="","",BD_Carga!R135)</f>
        <v/>
      </c>
      <c r="E134">
        <f>IF(A134="","",BD_Carga!Q135)</f>
        <v/>
      </c>
      <c r="F134" s="5">
        <f>IF(A134="","",BD_Carga!L135)</f>
        <v/>
      </c>
      <c r="G134">
        <f>IF(A134="","",BD_Carga!N135)</f>
        <v/>
      </c>
      <c r="H134">
        <f>IF(A134="","",BD_Carga!O135)</f>
        <v/>
      </c>
      <c r="I134">
        <f>IF(A134="","",BD_Carga!P135)</f>
        <v/>
      </c>
      <c r="J134">
        <f>IF(A134="","",_xlfn.MAXIFS(BD_Carga!$L:$L,BD_Carga!$C:$C,A134))</f>
        <v/>
      </c>
      <c r="K134" s="11">
        <f>IF(OR(A134="",J134=0),"",F134/J134)</f>
        <v/>
      </c>
      <c r="L134">
        <f>IF(A134="","",BD_Carga!E135)</f>
        <v/>
      </c>
    </row>
    <row r="135">
      <c r="A135">
        <f>IF(BD_Carga!C136="","",BD_Carga!C136)</f>
        <v/>
      </c>
      <c r="B135">
        <f>IF(A135="","",BD_Carga!D136)</f>
        <v/>
      </c>
      <c r="C135" s="2">
        <f>IF(A135="","",BD_Carga!A136)</f>
        <v/>
      </c>
      <c r="D135">
        <f>IF(A135="","",BD_Carga!R136)</f>
        <v/>
      </c>
      <c r="E135">
        <f>IF(A135="","",BD_Carga!Q136)</f>
        <v/>
      </c>
      <c r="F135" s="5">
        <f>IF(A135="","",BD_Carga!L136)</f>
        <v/>
      </c>
      <c r="G135">
        <f>IF(A135="","",BD_Carga!N136)</f>
        <v/>
      </c>
      <c r="H135">
        <f>IF(A135="","",BD_Carga!O136)</f>
        <v/>
      </c>
      <c r="I135">
        <f>IF(A135="","",BD_Carga!P136)</f>
        <v/>
      </c>
      <c r="J135">
        <f>IF(A135="","",_xlfn.MAXIFS(BD_Carga!$L:$L,BD_Carga!$C:$C,A135))</f>
        <v/>
      </c>
      <c r="K135" s="11">
        <f>IF(OR(A135="",J135=0),"",F135/J135)</f>
        <v/>
      </c>
      <c r="L135">
        <f>IF(A135="","",BD_Carga!E136)</f>
        <v/>
      </c>
    </row>
    <row r="136">
      <c r="A136">
        <f>IF(BD_Carga!C137="","",BD_Carga!C137)</f>
        <v/>
      </c>
      <c r="B136">
        <f>IF(A136="","",BD_Carga!D137)</f>
        <v/>
      </c>
      <c r="C136" s="2">
        <f>IF(A136="","",BD_Carga!A137)</f>
        <v/>
      </c>
      <c r="D136">
        <f>IF(A136="","",BD_Carga!R137)</f>
        <v/>
      </c>
      <c r="E136">
        <f>IF(A136="","",BD_Carga!Q137)</f>
        <v/>
      </c>
      <c r="F136" s="5">
        <f>IF(A136="","",BD_Carga!L137)</f>
        <v/>
      </c>
      <c r="G136">
        <f>IF(A136="","",BD_Carga!N137)</f>
        <v/>
      </c>
      <c r="H136">
        <f>IF(A136="","",BD_Carga!O137)</f>
        <v/>
      </c>
      <c r="I136">
        <f>IF(A136="","",BD_Carga!P137)</f>
        <v/>
      </c>
      <c r="J136">
        <f>IF(A136="","",_xlfn.MAXIFS(BD_Carga!$L:$L,BD_Carga!$C:$C,A136))</f>
        <v/>
      </c>
      <c r="K136" s="11">
        <f>IF(OR(A136="",J136=0),"",F136/J136)</f>
        <v/>
      </c>
      <c r="L136">
        <f>IF(A136="","",BD_Carga!E137)</f>
        <v/>
      </c>
    </row>
    <row r="137">
      <c r="A137">
        <f>IF(BD_Carga!C138="","",BD_Carga!C138)</f>
        <v/>
      </c>
      <c r="B137">
        <f>IF(A137="","",BD_Carga!D138)</f>
        <v/>
      </c>
      <c r="C137" s="2">
        <f>IF(A137="","",BD_Carga!A138)</f>
        <v/>
      </c>
      <c r="D137">
        <f>IF(A137="","",BD_Carga!R138)</f>
        <v/>
      </c>
      <c r="E137">
        <f>IF(A137="","",BD_Carga!Q138)</f>
        <v/>
      </c>
      <c r="F137" s="5">
        <f>IF(A137="","",BD_Carga!L138)</f>
        <v/>
      </c>
      <c r="G137">
        <f>IF(A137="","",BD_Carga!N138)</f>
        <v/>
      </c>
      <c r="H137">
        <f>IF(A137="","",BD_Carga!O138)</f>
        <v/>
      </c>
      <c r="I137">
        <f>IF(A137="","",BD_Carga!P138)</f>
        <v/>
      </c>
      <c r="J137">
        <f>IF(A137="","",_xlfn.MAXIFS(BD_Carga!$L:$L,BD_Carga!$C:$C,A137))</f>
        <v/>
      </c>
      <c r="K137" s="11">
        <f>IF(OR(A137="",J137=0),"",F137/J137)</f>
        <v/>
      </c>
      <c r="L137">
        <f>IF(A137="","",BD_Carga!E138)</f>
        <v/>
      </c>
    </row>
    <row r="138">
      <c r="A138">
        <f>IF(BD_Carga!C139="","",BD_Carga!C139)</f>
        <v/>
      </c>
      <c r="B138">
        <f>IF(A138="","",BD_Carga!D139)</f>
        <v/>
      </c>
      <c r="C138" s="2">
        <f>IF(A138="","",BD_Carga!A139)</f>
        <v/>
      </c>
      <c r="D138">
        <f>IF(A138="","",BD_Carga!R139)</f>
        <v/>
      </c>
      <c r="E138">
        <f>IF(A138="","",BD_Carga!Q139)</f>
        <v/>
      </c>
      <c r="F138" s="5">
        <f>IF(A138="","",BD_Carga!L139)</f>
        <v/>
      </c>
      <c r="G138">
        <f>IF(A138="","",BD_Carga!N139)</f>
        <v/>
      </c>
      <c r="H138">
        <f>IF(A138="","",BD_Carga!O139)</f>
        <v/>
      </c>
      <c r="I138">
        <f>IF(A138="","",BD_Carga!P139)</f>
        <v/>
      </c>
      <c r="J138">
        <f>IF(A138="","",_xlfn.MAXIFS(BD_Carga!$L:$L,BD_Carga!$C:$C,A138))</f>
        <v/>
      </c>
      <c r="K138" s="11">
        <f>IF(OR(A138="",J138=0),"",F138/J138)</f>
        <v/>
      </c>
      <c r="L138">
        <f>IF(A138="","",BD_Carga!E139)</f>
        <v/>
      </c>
    </row>
    <row r="139">
      <c r="A139">
        <f>IF(BD_Carga!C140="","",BD_Carga!C140)</f>
        <v/>
      </c>
      <c r="B139">
        <f>IF(A139="","",BD_Carga!D140)</f>
        <v/>
      </c>
      <c r="C139" s="2">
        <f>IF(A139="","",BD_Carga!A140)</f>
        <v/>
      </c>
      <c r="D139">
        <f>IF(A139="","",BD_Carga!R140)</f>
        <v/>
      </c>
      <c r="E139">
        <f>IF(A139="","",BD_Carga!Q140)</f>
        <v/>
      </c>
      <c r="F139" s="5">
        <f>IF(A139="","",BD_Carga!L140)</f>
        <v/>
      </c>
      <c r="G139">
        <f>IF(A139="","",BD_Carga!N140)</f>
        <v/>
      </c>
      <c r="H139">
        <f>IF(A139="","",BD_Carga!O140)</f>
        <v/>
      </c>
      <c r="I139">
        <f>IF(A139="","",BD_Carga!P140)</f>
        <v/>
      </c>
      <c r="J139">
        <f>IF(A139="","",_xlfn.MAXIFS(BD_Carga!$L:$L,BD_Carga!$C:$C,A139))</f>
        <v/>
      </c>
      <c r="K139" s="11">
        <f>IF(OR(A139="",J139=0),"",F139/J139)</f>
        <v/>
      </c>
      <c r="L139">
        <f>IF(A139="","",BD_Carga!E140)</f>
        <v/>
      </c>
    </row>
    <row r="140">
      <c r="A140">
        <f>IF(BD_Carga!C141="","",BD_Carga!C141)</f>
        <v/>
      </c>
      <c r="B140">
        <f>IF(A140="","",BD_Carga!D141)</f>
        <v/>
      </c>
      <c r="C140" s="2">
        <f>IF(A140="","",BD_Carga!A141)</f>
        <v/>
      </c>
      <c r="D140">
        <f>IF(A140="","",BD_Carga!R141)</f>
        <v/>
      </c>
      <c r="E140">
        <f>IF(A140="","",BD_Carga!Q141)</f>
        <v/>
      </c>
      <c r="F140" s="5">
        <f>IF(A140="","",BD_Carga!L141)</f>
        <v/>
      </c>
      <c r="G140">
        <f>IF(A140="","",BD_Carga!N141)</f>
        <v/>
      </c>
      <c r="H140">
        <f>IF(A140="","",BD_Carga!O141)</f>
        <v/>
      </c>
      <c r="I140">
        <f>IF(A140="","",BD_Carga!P141)</f>
        <v/>
      </c>
      <c r="J140">
        <f>IF(A140="","",_xlfn.MAXIFS(BD_Carga!$L:$L,BD_Carga!$C:$C,A140))</f>
        <v/>
      </c>
      <c r="K140" s="11">
        <f>IF(OR(A140="",J140=0),"",F140/J140)</f>
        <v/>
      </c>
      <c r="L140">
        <f>IF(A140="","",BD_Carga!E141)</f>
        <v/>
      </c>
    </row>
    <row r="141">
      <c r="A141">
        <f>IF(BD_Carga!C142="","",BD_Carga!C142)</f>
        <v/>
      </c>
      <c r="B141">
        <f>IF(A141="","",BD_Carga!D142)</f>
        <v/>
      </c>
      <c r="C141" s="2">
        <f>IF(A141="","",BD_Carga!A142)</f>
        <v/>
      </c>
      <c r="D141">
        <f>IF(A141="","",BD_Carga!R142)</f>
        <v/>
      </c>
      <c r="E141">
        <f>IF(A141="","",BD_Carga!Q142)</f>
        <v/>
      </c>
      <c r="F141" s="5">
        <f>IF(A141="","",BD_Carga!L142)</f>
        <v/>
      </c>
      <c r="G141">
        <f>IF(A141="","",BD_Carga!N142)</f>
        <v/>
      </c>
      <c r="H141">
        <f>IF(A141="","",BD_Carga!O142)</f>
        <v/>
      </c>
      <c r="I141">
        <f>IF(A141="","",BD_Carga!P142)</f>
        <v/>
      </c>
      <c r="J141">
        <f>IF(A141="","",_xlfn.MAXIFS(BD_Carga!$L:$L,BD_Carga!$C:$C,A141))</f>
        <v/>
      </c>
      <c r="K141" s="11">
        <f>IF(OR(A141="",J141=0),"",F141/J141)</f>
        <v/>
      </c>
      <c r="L141">
        <f>IF(A141="","",BD_Carga!E142)</f>
        <v/>
      </c>
    </row>
    <row r="142">
      <c r="A142">
        <f>IF(BD_Carga!C143="","",BD_Carga!C143)</f>
        <v/>
      </c>
      <c r="B142">
        <f>IF(A142="","",BD_Carga!D143)</f>
        <v/>
      </c>
      <c r="C142" s="2">
        <f>IF(A142="","",BD_Carga!A143)</f>
        <v/>
      </c>
      <c r="D142">
        <f>IF(A142="","",BD_Carga!R143)</f>
        <v/>
      </c>
      <c r="E142">
        <f>IF(A142="","",BD_Carga!Q143)</f>
        <v/>
      </c>
      <c r="F142" s="5">
        <f>IF(A142="","",BD_Carga!L143)</f>
        <v/>
      </c>
      <c r="G142">
        <f>IF(A142="","",BD_Carga!N143)</f>
        <v/>
      </c>
      <c r="H142">
        <f>IF(A142="","",BD_Carga!O143)</f>
        <v/>
      </c>
      <c r="I142">
        <f>IF(A142="","",BD_Carga!P143)</f>
        <v/>
      </c>
      <c r="J142">
        <f>IF(A142="","",_xlfn.MAXIFS(BD_Carga!$L:$L,BD_Carga!$C:$C,A142))</f>
        <v/>
      </c>
      <c r="K142" s="11">
        <f>IF(OR(A142="",J142=0),"",F142/J142)</f>
        <v/>
      </c>
      <c r="L142">
        <f>IF(A142="","",BD_Carga!E143)</f>
        <v/>
      </c>
    </row>
    <row r="143">
      <c r="A143">
        <f>IF(BD_Carga!C144="","",BD_Carga!C144)</f>
        <v/>
      </c>
      <c r="B143">
        <f>IF(A143="","",BD_Carga!D144)</f>
        <v/>
      </c>
      <c r="C143" s="2">
        <f>IF(A143="","",BD_Carga!A144)</f>
        <v/>
      </c>
      <c r="D143">
        <f>IF(A143="","",BD_Carga!R144)</f>
        <v/>
      </c>
      <c r="E143">
        <f>IF(A143="","",BD_Carga!Q144)</f>
        <v/>
      </c>
      <c r="F143" s="5">
        <f>IF(A143="","",BD_Carga!L144)</f>
        <v/>
      </c>
      <c r="G143">
        <f>IF(A143="","",BD_Carga!N144)</f>
        <v/>
      </c>
      <c r="H143">
        <f>IF(A143="","",BD_Carga!O144)</f>
        <v/>
      </c>
      <c r="I143">
        <f>IF(A143="","",BD_Carga!P144)</f>
        <v/>
      </c>
      <c r="J143">
        <f>IF(A143="","",_xlfn.MAXIFS(BD_Carga!$L:$L,BD_Carga!$C:$C,A143))</f>
        <v/>
      </c>
      <c r="K143" s="11">
        <f>IF(OR(A143="",J143=0),"",F143/J143)</f>
        <v/>
      </c>
      <c r="L143">
        <f>IF(A143="","",BD_Carga!E144)</f>
        <v/>
      </c>
    </row>
    <row r="144">
      <c r="A144">
        <f>IF(BD_Carga!C145="","",BD_Carga!C145)</f>
        <v/>
      </c>
      <c r="B144">
        <f>IF(A144="","",BD_Carga!D145)</f>
        <v/>
      </c>
      <c r="C144" s="2">
        <f>IF(A144="","",BD_Carga!A145)</f>
        <v/>
      </c>
      <c r="D144">
        <f>IF(A144="","",BD_Carga!R145)</f>
        <v/>
      </c>
      <c r="E144">
        <f>IF(A144="","",BD_Carga!Q145)</f>
        <v/>
      </c>
      <c r="F144" s="5">
        <f>IF(A144="","",BD_Carga!L145)</f>
        <v/>
      </c>
      <c r="G144">
        <f>IF(A144="","",BD_Carga!N145)</f>
        <v/>
      </c>
      <c r="H144">
        <f>IF(A144="","",BD_Carga!O145)</f>
        <v/>
      </c>
      <c r="I144">
        <f>IF(A144="","",BD_Carga!P145)</f>
        <v/>
      </c>
      <c r="J144">
        <f>IF(A144="","",_xlfn.MAXIFS(BD_Carga!$L:$L,BD_Carga!$C:$C,A144))</f>
        <v/>
      </c>
      <c r="K144" s="11">
        <f>IF(OR(A144="",J144=0),"",F144/J144)</f>
        <v/>
      </c>
      <c r="L144">
        <f>IF(A144="","",BD_Carga!E145)</f>
        <v/>
      </c>
    </row>
    <row r="145">
      <c r="A145">
        <f>IF(BD_Carga!C146="","",BD_Carga!C146)</f>
        <v/>
      </c>
      <c r="B145">
        <f>IF(A145="","",BD_Carga!D146)</f>
        <v/>
      </c>
      <c r="C145" s="2">
        <f>IF(A145="","",BD_Carga!A146)</f>
        <v/>
      </c>
      <c r="D145">
        <f>IF(A145="","",BD_Carga!R146)</f>
        <v/>
      </c>
      <c r="E145">
        <f>IF(A145="","",BD_Carga!Q146)</f>
        <v/>
      </c>
      <c r="F145" s="5">
        <f>IF(A145="","",BD_Carga!L146)</f>
        <v/>
      </c>
      <c r="G145">
        <f>IF(A145="","",BD_Carga!N146)</f>
        <v/>
      </c>
      <c r="H145">
        <f>IF(A145="","",BD_Carga!O146)</f>
        <v/>
      </c>
      <c r="I145">
        <f>IF(A145="","",BD_Carga!P146)</f>
        <v/>
      </c>
      <c r="J145">
        <f>IF(A145="","",_xlfn.MAXIFS(BD_Carga!$L:$L,BD_Carga!$C:$C,A145))</f>
        <v/>
      </c>
      <c r="K145" s="11">
        <f>IF(OR(A145="",J145=0),"",F145/J145)</f>
        <v/>
      </c>
      <c r="L145">
        <f>IF(A145="","",BD_Carga!E146)</f>
        <v/>
      </c>
    </row>
    <row r="146">
      <c r="A146">
        <f>IF(BD_Carga!C147="","",BD_Carga!C147)</f>
        <v/>
      </c>
      <c r="B146">
        <f>IF(A146="","",BD_Carga!D147)</f>
        <v/>
      </c>
      <c r="C146" s="2">
        <f>IF(A146="","",BD_Carga!A147)</f>
        <v/>
      </c>
      <c r="D146">
        <f>IF(A146="","",BD_Carga!R147)</f>
        <v/>
      </c>
      <c r="E146">
        <f>IF(A146="","",BD_Carga!Q147)</f>
        <v/>
      </c>
      <c r="F146" s="5">
        <f>IF(A146="","",BD_Carga!L147)</f>
        <v/>
      </c>
      <c r="G146">
        <f>IF(A146="","",BD_Carga!N147)</f>
        <v/>
      </c>
      <c r="H146">
        <f>IF(A146="","",BD_Carga!O147)</f>
        <v/>
      </c>
      <c r="I146">
        <f>IF(A146="","",BD_Carga!P147)</f>
        <v/>
      </c>
      <c r="J146">
        <f>IF(A146="","",_xlfn.MAXIFS(BD_Carga!$L:$L,BD_Carga!$C:$C,A146))</f>
        <v/>
      </c>
      <c r="K146" s="11">
        <f>IF(OR(A146="",J146=0),"",F146/J146)</f>
        <v/>
      </c>
      <c r="L146">
        <f>IF(A146="","",BD_Carga!E147)</f>
        <v/>
      </c>
    </row>
    <row r="147">
      <c r="A147">
        <f>IF(BD_Carga!C148="","",BD_Carga!C148)</f>
        <v/>
      </c>
      <c r="B147">
        <f>IF(A147="","",BD_Carga!D148)</f>
        <v/>
      </c>
      <c r="C147" s="2">
        <f>IF(A147="","",BD_Carga!A148)</f>
        <v/>
      </c>
      <c r="D147">
        <f>IF(A147="","",BD_Carga!R148)</f>
        <v/>
      </c>
      <c r="E147">
        <f>IF(A147="","",BD_Carga!Q148)</f>
        <v/>
      </c>
      <c r="F147" s="5">
        <f>IF(A147="","",BD_Carga!L148)</f>
        <v/>
      </c>
      <c r="G147">
        <f>IF(A147="","",BD_Carga!N148)</f>
        <v/>
      </c>
      <c r="H147">
        <f>IF(A147="","",BD_Carga!O148)</f>
        <v/>
      </c>
      <c r="I147">
        <f>IF(A147="","",BD_Carga!P148)</f>
        <v/>
      </c>
      <c r="J147">
        <f>IF(A147="","",_xlfn.MAXIFS(BD_Carga!$L:$L,BD_Carga!$C:$C,A147))</f>
        <v/>
      </c>
      <c r="K147" s="11">
        <f>IF(OR(A147="",J147=0),"",F147/J147)</f>
        <v/>
      </c>
      <c r="L147">
        <f>IF(A147="","",BD_Carga!E148)</f>
        <v/>
      </c>
    </row>
    <row r="148">
      <c r="A148">
        <f>IF(BD_Carga!C149="","",BD_Carga!C149)</f>
        <v/>
      </c>
      <c r="B148">
        <f>IF(A148="","",BD_Carga!D149)</f>
        <v/>
      </c>
      <c r="C148" s="2">
        <f>IF(A148="","",BD_Carga!A149)</f>
        <v/>
      </c>
      <c r="D148">
        <f>IF(A148="","",BD_Carga!R149)</f>
        <v/>
      </c>
      <c r="E148">
        <f>IF(A148="","",BD_Carga!Q149)</f>
        <v/>
      </c>
      <c r="F148" s="5">
        <f>IF(A148="","",BD_Carga!L149)</f>
        <v/>
      </c>
      <c r="G148">
        <f>IF(A148="","",BD_Carga!N149)</f>
        <v/>
      </c>
      <c r="H148">
        <f>IF(A148="","",BD_Carga!O149)</f>
        <v/>
      </c>
      <c r="I148">
        <f>IF(A148="","",BD_Carga!P149)</f>
        <v/>
      </c>
      <c r="J148">
        <f>IF(A148="","",_xlfn.MAXIFS(BD_Carga!$L:$L,BD_Carga!$C:$C,A148))</f>
        <v/>
      </c>
      <c r="K148" s="11">
        <f>IF(OR(A148="",J148=0),"",F148/J148)</f>
        <v/>
      </c>
      <c r="L148">
        <f>IF(A148="","",BD_Carga!E149)</f>
        <v/>
      </c>
    </row>
    <row r="149">
      <c r="A149">
        <f>IF(BD_Carga!C150="","",BD_Carga!C150)</f>
        <v/>
      </c>
      <c r="B149">
        <f>IF(A149="","",BD_Carga!D150)</f>
        <v/>
      </c>
      <c r="C149" s="2">
        <f>IF(A149="","",BD_Carga!A150)</f>
        <v/>
      </c>
      <c r="D149">
        <f>IF(A149="","",BD_Carga!R150)</f>
        <v/>
      </c>
      <c r="E149">
        <f>IF(A149="","",BD_Carga!Q150)</f>
        <v/>
      </c>
      <c r="F149" s="5">
        <f>IF(A149="","",BD_Carga!L150)</f>
        <v/>
      </c>
      <c r="G149">
        <f>IF(A149="","",BD_Carga!N150)</f>
        <v/>
      </c>
      <c r="H149">
        <f>IF(A149="","",BD_Carga!O150)</f>
        <v/>
      </c>
      <c r="I149">
        <f>IF(A149="","",BD_Carga!P150)</f>
        <v/>
      </c>
      <c r="J149">
        <f>IF(A149="","",_xlfn.MAXIFS(BD_Carga!$L:$L,BD_Carga!$C:$C,A149))</f>
        <v/>
      </c>
      <c r="K149" s="11">
        <f>IF(OR(A149="",J149=0),"",F149/J149)</f>
        <v/>
      </c>
      <c r="L149">
        <f>IF(A149="","",BD_Carga!E150)</f>
        <v/>
      </c>
    </row>
    <row r="150">
      <c r="A150">
        <f>IF(BD_Carga!C151="","",BD_Carga!C151)</f>
        <v/>
      </c>
      <c r="B150">
        <f>IF(A150="","",BD_Carga!D151)</f>
        <v/>
      </c>
      <c r="C150" s="2">
        <f>IF(A150="","",BD_Carga!A151)</f>
        <v/>
      </c>
      <c r="D150">
        <f>IF(A150="","",BD_Carga!R151)</f>
        <v/>
      </c>
      <c r="E150">
        <f>IF(A150="","",BD_Carga!Q151)</f>
        <v/>
      </c>
      <c r="F150" s="5">
        <f>IF(A150="","",BD_Carga!L151)</f>
        <v/>
      </c>
      <c r="G150">
        <f>IF(A150="","",BD_Carga!N151)</f>
        <v/>
      </c>
      <c r="H150">
        <f>IF(A150="","",BD_Carga!O151)</f>
        <v/>
      </c>
      <c r="I150">
        <f>IF(A150="","",BD_Carga!P151)</f>
        <v/>
      </c>
      <c r="J150">
        <f>IF(A150="","",_xlfn.MAXIFS(BD_Carga!$L:$L,BD_Carga!$C:$C,A150))</f>
        <v/>
      </c>
      <c r="K150" s="11">
        <f>IF(OR(A150="",J150=0),"",F150/J150)</f>
        <v/>
      </c>
      <c r="L150">
        <f>IF(A150="","",BD_Carga!E151)</f>
        <v/>
      </c>
    </row>
    <row r="151">
      <c r="A151">
        <f>IF(BD_Carga!C152="","",BD_Carga!C152)</f>
        <v/>
      </c>
      <c r="B151">
        <f>IF(A151="","",BD_Carga!D152)</f>
        <v/>
      </c>
      <c r="C151" s="2">
        <f>IF(A151="","",BD_Carga!A152)</f>
        <v/>
      </c>
      <c r="D151">
        <f>IF(A151="","",BD_Carga!R152)</f>
        <v/>
      </c>
      <c r="E151">
        <f>IF(A151="","",BD_Carga!Q152)</f>
        <v/>
      </c>
      <c r="F151" s="5">
        <f>IF(A151="","",BD_Carga!L152)</f>
        <v/>
      </c>
      <c r="G151">
        <f>IF(A151="","",BD_Carga!N152)</f>
        <v/>
      </c>
      <c r="H151">
        <f>IF(A151="","",BD_Carga!O152)</f>
        <v/>
      </c>
      <c r="I151">
        <f>IF(A151="","",BD_Carga!P152)</f>
        <v/>
      </c>
      <c r="J151">
        <f>IF(A151="","",_xlfn.MAXIFS(BD_Carga!$L:$L,BD_Carga!$C:$C,A151))</f>
        <v/>
      </c>
      <c r="K151" s="11">
        <f>IF(OR(A151="",J151=0),"",F151/J151)</f>
        <v/>
      </c>
      <c r="L151">
        <f>IF(A151="","",BD_Carga!E152)</f>
        <v/>
      </c>
    </row>
    <row r="152">
      <c r="A152">
        <f>IF(BD_Carga!C153="","",BD_Carga!C153)</f>
        <v/>
      </c>
      <c r="B152">
        <f>IF(A152="","",BD_Carga!D153)</f>
        <v/>
      </c>
      <c r="C152" s="2">
        <f>IF(A152="","",BD_Carga!A153)</f>
        <v/>
      </c>
      <c r="D152">
        <f>IF(A152="","",BD_Carga!R153)</f>
        <v/>
      </c>
      <c r="E152">
        <f>IF(A152="","",BD_Carga!Q153)</f>
        <v/>
      </c>
      <c r="F152" s="5">
        <f>IF(A152="","",BD_Carga!L153)</f>
        <v/>
      </c>
      <c r="G152">
        <f>IF(A152="","",BD_Carga!N153)</f>
        <v/>
      </c>
      <c r="H152">
        <f>IF(A152="","",BD_Carga!O153)</f>
        <v/>
      </c>
      <c r="I152">
        <f>IF(A152="","",BD_Carga!P153)</f>
        <v/>
      </c>
      <c r="J152">
        <f>IF(A152="","",_xlfn.MAXIFS(BD_Carga!$L:$L,BD_Carga!$C:$C,A152))</f>
        <v/>
      </c>
      <c r="K152" s="11">
        <f>IF(OR(A152="",J152=0),"",F152/J152)</f>
        <v/>
      </c>
      <c r="L152">
        <f>IF(A152="","",BD_Carga!E153)</f>
        <v/>
      </c>
    </row>
    <row r="153">
      <c r="A153">
        <f>IF(BD_Carga!C154="","",BD_Carga!C154)</f>
        <v/>
      </c>
      <c r="B153">
        <f>IF(A153="","",BD_Carga!D154)</f>
        <v/>
      </c>
      <c r="C153" s="2">
        <f>IF(A153="","",BD_Carga!A154)</f>
        <v/>
      </c>
      <c r="D153">
        <f>IF(A153="","",BD_Carga!R154)</f>
        <v/>
      </c>
      <c r="E153">
        <f>IF(A153="","",BD_Carga!Q154)</f>
        <v/>
      </c>
      <c r="F153" s="5">
        <f>IF(A153="","",BD_Carga!L154)</f>
        <v/>
      </c>
      <c r="G153">
        <f>IF(A153="","",BD_Carga!N154)</f>
        <v/>
      </c>
      <c r="H153">
        <f>IF(A153="","",BD_Carga!O154)</f>
        <v/>
      </c>
      <c r="I153">
        <f>IF(A153="","",BD_Carga!P154)</f>
        <v/>
      </c>
      <c r="J153">
        <f>IF(A153="","",_xlfn.MAXIFS(BD_Carga!$L:$L,BD_Carga!$C:$C,A153))</f>
        <v/>
      </c>
      <c r="K153" s="11">
        <f>IF(OR(A153="",J153=0),"",F153/J153)</f>
        <v/>
      </c>
      <c r="L153">
        <f>IF(A153="","",BD_Carga!E154)</f>
        <v/>
      </c>
    </row>
    <row r="154">
      <c r="A154">
        <f>IF(BD_Carga!C155="","",BD_Carga!C155)</f>
        <v/>
      </c>
      <c r="B154">
        <f>IF(A154="","",BD_Carga!D155)</f>
        <v/>
      </c>
      <c r="C154" s="2">
        <f>IF(A154="","",BD_Carga!A155)</f>
        <v/>
      </c>
      <c r="D154">
        <f>IF(A154="","",BD_Carga!R155)</f>
        <v/>
      </c>
      <c r="E154">
        <f>IF(A154="","",BD_Carga!Q155)</f>
        <v/>
      </c>
      <c r="F154" s="5">
        <f>IF(A154="","",BD_Carga!L155)</f>
        <v/>
      </c>
      <c r="G154">
        <f>IF(A154="","",BD_Carga!N155)</f>
        <v/>
      </c>
      <c r="H154">
        <f>IF(A154="","",BD_Carga!O155)</f>
        <v/>
      </c>
      <c r="I154">
        <f>IF(A154="","",BD_Carga!P155)</f>
        <v/>
      </c>
      <c r="J154">
        <f>IF(A154="","",_xlfn.MAXIFS(BD_Carga!$L:$L,BD_Carga!$C:$C,A154))</f>
        <v/>
      </c>
      <c r="K154" s="11">
        <f>IF(OR(A154="",J154=0),"",F154/J154)</f>
        <v/>
      </c>
      <c r="L154">
        <f>IF(A154="","",BD_Carga!E155)</f>
        <v/>
      </c>
    </row>
    <row r="155">
      <c r="A155">
        <f>IF(BD_Carga!C156="","",BD_Carga!C156)</f>
        <v/>
      </c>
      <c r="B155">
        <f>IF(A155="","",BD_Carga!D156)</f>
        <v/>
      </c>
      <c r="C155" s="2">
        <f>IF(A155="","",BD_Carga!A156)</f>
        <v/>
      </c>
      <c r="D155">
        <f>IF(A155="","",BD_Carga!R156)</f>
        <v/>
      </c>
      <c r="E155">
        <f>IF(A155="","",BD_Carga!Q156)</f>
        <v/>
      </c>
      <c r="F155" s="5">
        <f>IF(A155="","",BD_Carga!L156)</f>
        <v/>
      </c>
      <c r="G155">
        <f>IF(A155="","",BD_Carga!N156)</f>
        <v/>
      </c>
      <c r="H155">
        <f>IF(A155="","",BD_Carga!O156)</f>
        <v/>
      </c>
      <c r="I155">
        <f>IF(A155="","",BD_Carga!P156)</f>
        <v/>
      </c>
      <c r="J155">
        <f>IF(A155="","",_xlfn.MAXIFS(BD_Carga!$L:$L,BD_Carga!$C:$C,A155))</f>
        <v/>
      </c>
      <c r="K155" s="11">
        <f>IF(OR(A155="",J155=0),"",F155/J155)</f>
        <v/>
      </c>
      <c r="L155">
        <f>IF(A155="","",BD_Carga!E156)</f>
        <v/>
      </c>
    </row>
    <row r="156">
      <c r="A156">
        <f>IF(BD_Carga!C157="","",BD_Carga!C157)</f>
        <v/>
      </c>
      <c r="B156">
        <f>IF(A156="","",BD_Carga!D157)</f>
        <v/>
      </c>
      <c r="C156" s="2">
        <f>IF(A156="","",BD_Carga!A157)</f>
        <v/>
      </c>
      <c r="D156">
        <f>IF(A156="","",BD_Carga!R157)</f>
        <v/>
      </c>
      <c r="E156">
        <f>IF(A156="","",BD_Carga!Q157)</f>
        <v/>
      </c>
      <c r="F156" s="5">
        <f>IF(A156="","",BD_Carga!L157)</f>
        <v/>
      </c>
      <c r="G156">
        <f>IF(A156="","",BD_Carga!N157)</f>
        <v/>
      </c>
      <c r="H156">
        <f>IF(A156="","",BD_Carga!O157)</f>
        <v/>
      </c>
      <c r="I156">
        <f>IF(A156="","",BD_Carga!P157)</f>
        <v/>
      </c>
      <c r="J156">
        <f>IF(A156="","",_xlfn.MAXIFS(BD_Carga!$L:$L,BD_Carga!$C:$C,A156))</f>
        <v/>
      </c>
      <c r="K156" s="11">
        <f>IF(OR(A156="",J156=0),"",F156/J156)</f>
        <v/>
      </c>
      <c r="L156">
        <f>IF(A156="","",BD_Carga!E157)</f>
        <v/>
      </c>
    </row>
    <row r="157">
      <c r="A157">
        <f>IF(BD_Carga!C158="","",BD_Carga!C158)</f>
        <v/>
      </c>
      <c r="B157">
        <f>IF(A157="","",BD_Carga!D158)</f>
        <v/>
      </c>
      <c r="C157" s="2">
        <f>IF(A157="","",BD_Carga!A158)</f>
        <v/>
      </c>
      <c r="D157">
        <f>IF(A157="","",BD_Carga!R158)</f>
        <v/>
      </c>
      <c r="E157">
        <f>IF(A157="","",BD_Carga!Q158)</f>
        <v/>
      </c>
      <c r="F157" s="5">
        <f>IF(A157="","",BD_Carga!L158)</f>
        <v/>
      </c>
      <c r="G157">
        <f>IF(A157="","",BD_Carga!N158)</f>
        <v/>
      </c>
      <c r="H157">
        <f>IF(A157="","",BD_Carga!O158)</f>
        <v/>
      </c>
      <c r="I157">
        <f>IF(A157="","",BD_Carga!P158)</f>
        <v/>
      </c>
      <c r="J157">
        <f>IF(A157="","",_xlfn.MAXIFS(BD_Carga!$L:$L,BD_Carga!$C:$C,A157))</f>
        <v/>
      </c>
      <c r="K157" s="11">
        <f>IF(OR(A157="",J157=0),"",F157/J157)</f>
        <v/>
      </c>
      <c r="L157">
        <f>IF(A157="","",BD_Carga!E158)</f>
        <v/>
      </c>
    </row>
    <row r="158">
      <c r="A158">
        <f>IF(BD_Carga!C159="","",BD_Carga!C159)</f>
        <v/>
      </c>
      <c r="B158">
        <f>IF(A158="","",BD_Carga!D159)</f>
        <v/>
      </c>
      <c r="C158" s="2">
        <f>IF(A158="","",BD_Carga!A159)</f>
        <v/>
      </c>
      <c r="D158">
        <f>IF(A158="","",BD_Carga!R159)</f>
        <v/>
      </c>
      <c r="E158">
        <f>IF(A158="","",BD_Carga!Q159)</f>
        <v/>
      </c>
      <c r="F158" s="5">
        <f>IF(A158="","",BD_Carga!L159)</f>
        <v/>
      </c>
      <c r="G158">
        <f>IF(A158="","",BD_Carga!N159)</f>
        <v/>
      </c>
      <c r="H158">
        <f>IF(A158="","",BD_Carga!O159)</f>
        <v/>
      </c>
      <c r="I158">
        <f>IF(A158="","",BD_Carga!P159)</f>
        <v/>
      </c>
      <c r="J158">
        <f>IF(A158="","",_xlfn.MAXIFS(BD_Carga!$L:$L,BD_Carga!$C:$C,A158))</f>
        <v/>
      </c>
      <c r="K158" s="11">
        <f>IF(OR(A158="",J158=0),"",F158/J158)</f>
        <v/>
      </c>
      <c r="L158">
        <f>IF(A158="","",BD_Carga!E159)</f>
        <v/>
      </c>
    </row>
    <row r="159">
      <c r="A159">
        <f>IF(BD_Carga!C160="","",BD_Carga!C160)</f>
        <v/>
      </c>
      <c r="B159">
        <f>IF(A159="","",BD_Carga!D160)</f>
        <v/>
      </c>
      <c r="C159" s="2">
        <f>IF(A159="","",BD_Carga!A160)</f>
        <v/>
      </c>
      <c r="D159">
        <f>IF(A159="","",BD_Carga!R160)</f>
        <v/>
      </c>
      <c r="E159">
        <f>IF(A159="","",BD_Carga!Q160)</f>
        <v/>
      </c>
      <c r="F159" s="5">
        <f>IF(A159="","",BD_Carga!L160)</f>
        <v/>
      </c>
      <c r="G159">
        <f>IF(A159="","",BD_Carga!N160)</f>
        <v/>
      </c>
      <c r="H159">
        <f>IF(A159="","",BD_Carga!O160)</f>
        <v/>
      </c>
      <c r="I159">
        <f>IF(A159="","",BD_Carga!P160)</f>
        <v/>
      </c>
      <c r="J159">
        <f>IF(A159="","",_xlfn.MAXIFS(BD_Carga!$L:$L,BD_Carga!$C:$C,A159))</f>
        <v/>
      </c>
      <c r="K159" s="11">
        <f>IF(OR(A159="",J159=0),"",F159/J159)</f>
        <v/>
      </c>
      <c r="L159">
        <f>IF(A159="","",BD_Carga!E160)</f>
        <v/>
      </c>
    </row>
    <row r="160">
      <c r="A160">
        <f>IF(BD_Carga!C161="","",BD_Carga!C161)</f>
        <v/>
      </c>
      <c r="B160">
        <f>IF(A160="","",BD_Carga!D161)</f>
        <v/>
      </c>
      <c r="C160" s="2">
        <f>IF(A160="","",BD_Carga!A161)</f>
        <v/>
      </c>
      <c r="D160">
        <f>IF(A160="","",BD_Carga!R161)</f>
        <v/>
      </c>
      <c r="E160">
        <f>IF(A160="","",BD_Carga!Q161)</f>
        <v/>
      </c>
      <c r="F160" s="5">
        <f>IF(A160="","",BD_Carga!L161)</f>
        <v/>
      </c>
      <c r="G160">
        <f>IF(A160="","",BD_Carga!N161)</f>
        <v/>
      </c>
      <c r="H160">
        <f>IF(A160="","",BD_Carga!O161)</f>
        <v/>
      </c>
      <c r="I160">
        <f>IF(A160="","",BD_Carga!P161)</f>
        <v/>
      </c>
      <c r="J160">
        <f>IF(A160="","",_xlfn.MAXIFS(BD_Carga!$L:$L,BD_Carga!$C:$C,A160))</f>
        <v/>
      </c>
      <c r="K160" s="11">
        <f>IF(OR(A160="",J160=0),"",F160/J160)</f>
        <v/>
      </c>
      <c r="L160">
        <f>IF(A160="","",BD_Carga!E161)</f>
        <v/>
      </c>
    </row>
    <row r="161">
      <c r="A161">
        <f>IF(BD_Carga!C162="","",BD_Carga!C162)</f>
        <v/>
      </c>
      <c r="B161">
        <f>IF(A161="","",BD_Carga!D162)</f>
        <v/>
      </c>
      <c r="C161" s="2">
        <f>IF(A161="","",BD_Carga!A162)</f>
        <v/>
      </c>
      <c r="D161">
        <f>IF(A161="","",BD_Carga!R162)</f>
        <v/>
      </c>
      <c r="E161">
        <f>IF(A161="","",BD_Carga!Q162)</f>
        <v/>
      </c>
      <c r="F161" s="5">
        <f>IF(A161="","",BD_Carga!L162)</f>
        <v/>
      </c>
      <c r="G161">
        <f>IF(A161="","",BD_Carga!N162)</f>
        <v/>
      </c>
      <c r="H161">
        <f>IF(A161="","",BD_Carga!O162)</f>
        <v/>
      </c>
      <c r="I161">
        <f>IF(A161="","",BD_Carga!P162)</f>
        <v/>
      </c>
      <c r="J161">
        <f>IF(A161="","",_xlfn.MAXIFS(BD_Carga!$L:$L,BD_Carga!$C:$C,A161))</f>
        <v/>
      </c>
      <c r="K161" s="11">
        <f>IF(OR(A161="",J161=0),"",F161/J161)</f>
        <v/>
      </c>
      <c r="L161">
        <f>IF(A161="","",BD_Carga!E162)</f>
        <v/>
      </c>
    </row>
    <row r="162">
      <c r="A162">
        <f>IF(BD_Carga!C163="","",BD_Carga!C163)</f>
        <v/>
      </c>
      <c r="B162">
        <f>IF(A162="","",BD_Carga!D163)</f>
        <v/>
      </c>
      <c r="C162" s="2">
        <f>IF(A162="","",BD_Carga!A163)</f>
        <v/>
      </c>
      <c r="D162">
        <f>IF(A162="","",BD_Carga!R163)</f>
        <v/>
      </c>
      <c r="E162">
        <f>IF(A162="","",BD_Carga!Q163)</f>
        <v/>
      </c>
      <c r="F162" s="5">
        <f>IF(A162="","",BD_Carga!L163)</f>
        <v/>
      </c>
      <c r="G162">
        <f>IF(A162="","",BD_Carga!N163)</f>
        <v/>
      </c>
      <c r="H162">
        <f>IF(A162="","",BD_Carga!O163)</f>
        <v/>
      </c>
      <c r="I162">
        <f>IF(A162="","",BD_Carga!P163)</f>
        <v/>
      </c>
      <c r="J162">
        <f>IF(A162="","",_xlfn.MAXIFS(BD_Carga!$L:$L,BD_Carga!$C:$C,A162))</f>
        <v/>
      </c>
      <c r="K162" s="11">
        <f>IF(OR(A162="",J162=0),"",F162/J162)</f>
        <v/>
      </c>
      <c r="L162">
        <f>IF(A162="","",BD_Carga!E163)</f>
        <v/>
      </c>
    </row>
    <row r="163">
      <c r="A163">
        <f>IF(BD_Carga!C164="","",BD_Carga!C164)</f>
        <v/>
      </c>
      <c r="B163">
        <f>IF(A163="","",BD_Carga!D164)</f>
        <v/>
      </c>
      <c r="C163" s="2">
        <f>IF(A163="","",BD_Carga!A164)</f>
        <v/>
      </c>
      <c r="D163">
        <f>IF(A163="","",BD_Carga!R164)</f>
        <v/>
      </c>
      <c r="E163">
        <f>IF(A163="","",BD_Carga!Q164)</f>
        <v/>
      </c>
      <c r="F163" s="5">
        <f>IF(A163="","",BD_Carga!L164)</f>
        <v/>
      </c>
      <c r="G163">
        <f>IF(A163="","",BD_Carga!N164)</f>
        <v/>
      </c>
      <c r="H163">
        <f>IF(A163="","",BD_Carga!O164)</f>
        <v/>
      </c>
      <c r="I163">
        <f>IF(A163="","",BD_Carga!P164)</f>
        <v/>
      </c>
      <c r="J163">
        <f>IF(A163="","",_xlfn.MAXIFS(BD_Carga!$L:$L,BD_Carga!$C:$C,A163))</f>
        <v/>
      </c>
      <c r="K163" s="11">
        <f>IF(OR(A163="",J163=0),"",F163/J163)</f>
        <v/>
      </c>
      <c r="L163">
        <f>IF(A163="","",BD_Carga!E164)</f>
        <v/>
      </c>
    </row>
    <row r="164">
      <c r="A164">
        <f>IF(BD_Carga!C165="","",BD_Carga!C165)</f>
        <v/>
      </c>
      <c r="B164">
        <f>IF(A164="","",BD_Carga!D165)</f>
        <v/>
      </c>
      <c r="C164" s="2">
        <f>IF(A164="","",BD_Carga!A165)</f>
        <v/>
      </c>
      <c r="D164">
        <f>IF(A164="","",BD_Carga!R165)</f>
        <v/>
      </c>
      <c r="E164">
        <f>IF(A164="","",BD_Carga!Q165)</f>
        <v/>
      </c>
      <c r="F164" s="5">
        <f>IF(A164="","",BD_Carga!L165)</f>
        <v/>
      </c>
      <c r="G164">
        <f>IF(A164="","",BD_Carga!N165)</f>
        <v/>
      </c>
      <c r="H164">
        <f>IF(A164="","",BD_Carga!O165)</f>
        <v/>
      </c>
      <c r="I164">
        <f>IF(A164="","",BD_Carga!P165)</f>
        <v/>
      </c>
      <c r="J164">
        <f>IF(A164="","",_xlfn.MAXIFS(BD_Carga!$L:$L,BD_Carga!$C:$C,A164))</f>
        <v/>
      </c>
      <c r="K164" s="11">
        <f>IF(OR(A164="",J164=0),"",F164/J164)</f>
        <v/>
      </c>
      <c r="L164">
        <f>IF(A164="","",BD_Carga!E165)</f>
        <v/>
      </c>
    </row>
    <row r="165">
      <c r="A165">
        <f>IF(BD_Carga!C166="","",BD_Carga!C166)</f>
        <v/>
      </c>
      <c r="B165">
        <f>IF(A165="","",BD_Carga!D166)</f>
        <v/>
      </c>
      <c r="C165" s="2">
        <f>IF(A165="","",BD_Carga!A166)</f>
        <v/>
      </c>
      <c r="D165">
        <f>IF(A165="","",BD_Carga!R166)</f>
        <v/>
      </c>
      <c r="E165">
        <f>IF(A165="","",BD_Carga!Q166)</f>
        <v/>
      </c>
      <c r="F165" s="5">
        <f>IF(A165="","",BD_Carga!L166)</f>
        <v/>
      </c>
      <c r="G165">
        <f>IF(A165="","",BD_Carga!N166)</f>
        <v/>
      </c>
      <c r="H165">
        <f>IF(A165="","",BD_Carga!O166)</f>
        <v/>
      </c>
      <c r="I165">
        <f>IF(A165="","",BD_Carga!P166)</f>
        <v/>
      </c>
      <c r="J165">
        <f>IF(A165="","",_xlfn.MAXIFS(BD_Carga!$L:$L,BD_Carga!$C:$C,A165))</f>
        <v/>
      </c>
      <c r="K165" s="11">
        <f>IF(OR(A165="",J165=0),"",F165/J165)</f>
        <v/>
      </c>
      <c r="L165">
        <f>IF(A165="","",BD_Carga!E166)</f>
        <v/>
      </c>
    </row>
    <row r="166">
      <c r="A166">
        <f>IF(BD_Carga!C167="","",BD_Carga!C167)</f>
        <v/>
      </c>
      <c r="B166">
        <f>IF(A166="","",BD_Carga!D167)</f>
        <v/>
      </c>
      <c r="C166" s="2">
        <f>IF(A166="","",BD_Carga!A167)</f>
        <v/>
      </c>
      <c r="D166">
        <f>IF(A166="","",BD_Carga!R167)</f>
        <v/>
      </c>
      <c r="E166">
        <f>IF(A166="","",BD_Carga!Q167)</f>
        <v/>
      </c>
      <c r="F166" s="5">
        <f>IF(A166="","",BD_Carga!L167)</f>
        <v/>
      </c>
      <c r="G166">
        <f>IF(A166="","",BD_Carga!N167)</f>
        <v/>
      </c>
      <c r="H166">
        <f>IF(A166="","",BD_Carga!O167)</f>
        <v/>
      </c>
      <c r="I166">
        <f>IF(A166="","",BD_Carga!P167)</f>
        <v/>
      </c>
      <c r="J166">
        <f>IF(A166="","",_xlfn.MAXIFS(BD_Carga!$L:$L,BD_Carga!$C:$C,A166))</f>
        <v/>
      </c>
      <c r="K166" s="11">
        <f>IF(OR(A166="",J166=0),"",F166/J166)</f>
        <v/>
      </c>
      <c r="L166">
        <f>IF(A166="","",BD_Carga!E167)</f>
        <v/>
      </c>
    </row>
    <row r="167">
      <c r="A167">
        <f>IF(BD_Carga!C168="","",BD_Carga!C168)</f>
        <v/>
      </c>
      <c r="B167">
        <f>IF(A167="","",BD_Carga!D168)</f>
        <v/>
      </c>
      <c r="C167" s="2">
        <f>IF(A167="","",BD_Carga!A168)</f>
        <v/>
      </c>
      <c r="D167">
        <f>IF(A167="","",BD_Carga!R168)</f>
        <v/>
      </c>
      <c r="E167">
        <f>IF(A167="","",BD_Carga!Q168)</f>
        <v/>
      </c>
      <c r="F167" s="5">
        <f>IF(A167="","",BD_Carga!L168)</f>
        <v/>
      </c>
      <c r="G167">
        <f>IF(A167="","",BD_Carga!N168)</f>
        <v/>
      </c>
      <c r="H167">
        <f>IF(A167="","",BD_Carga!O168)</f>
        <v/>
      </c>
      <c r="I167">
        <f>IF(A167="","",BD_Carga!P168)</f>
        <v/>
      </c>
      <c r="J167">
        <f>IF(A167="","",_xlfn.MAXIFS(BD_Carga!$L:$L,BD_Carga!$C:$C,A167))</f>
        <v/>
      </c>
      <c r="K167" s="11">
        <f>IF(OR(A167="",J167=0),"",F167/J167)</f>
        <v/>
      </c>
      <c r="L167">
        <f>IF(A167="","",BD_Carga!E168)</f>
        <v/>
      </c>
    </row>
    <row r="168">
      <c r="A168">
        <f>IF(BD_Carga!C169="","",BD_Carga!C169)</f>
        <v/>
      </c>
      <c r="B168">
        <f>IF(A168="","",BD_Carga!D169)</f>
        <v/>
      </c>
      <c r="C168" s="2">
        <f>IF(A168="","",BD_Carga!A169)</f>
        <v/>
      </c>
      <c r="D168">
        <f>IF(A168="","",BD_Carga!R169)</f>
        <v/>
      </c>
      <c r="E168">
        <f>IF(A168="","",BD_Carga!Q169)</f>
        <v/>
      </c>
      <c r="F168" s="5">
        <f>IF(A168="","",BD_Carga!L169)</f>
        <v/>
      </c>
      <c r="G168">
        <f>IF(A168="","",BD_Carga!N169)</f>
        <v/>
      </c>
      <c r="H168">
        <f>IF(A168="","",BD_Carga!O169)</f>
        <v/>
      </c>
      <c r="I168">
        <f>IF(A168="","",BD_Carga!P169)</f>
        <v/>
      </c>
      <c r="J168">
        <f>IF(A168="","",_xlfn.MAXIFS(BD_Carga!$L:$L,BD_Carga!$C:$C,A168))</f>
        <v/>
      </c>
      <c r="K168" s="11">
        <f>IF(OR(A168="",J168=0),"",F168/J168)</f>
        <v/>
      </c>
      <c r="L168">
        <f>IF(A168="","",BD_Carga!E169)</f>
        <v/>
      </c>
    </row>
    <row r="169">
      <c r="A169">
        <f>IF(BD_Carga!C170="","",BD_Carga!C170)</f>
        <v/>
      </c>
      <c r="B169">
        <f>IF(A169="","",BD_Carga!D170)</f>
        <v/>
      </c>
      <c r="C169" s="2">
        <f>IF(A169="","",BD_Carga!A170)</f>
        <v/>
      </c>
      <c r="D169">
        <f>IF(A169="","",BD_Carga!R170)</f>
        <v/>
      </c>
      <c r="E169">
        <f>IF(A169="","",BD_Carga!Q170)</f>
        <v/>
      </c>
      <c r="F169" s="5">
        <f>IF(A169="","",BD_Carga!L170)</f>
        <v/>
      </c>
      <c r="G169">
        <f>IF(A169="","",BD_Carga!N170)</f>
        <v/>
      </c>
      <c r="H169">
        <f>IF(A169="","",BD_Carga!O170)</f>
        <v/>
      </c>
      <c r="I169">
        <f>IF(A169="","",BD_Carga!P170)</f>
        <v/>
      </c>
      <c r="J169">
        <f>IF(A169="","",_xlfn.MAXIFS(BD_Carga!$L:$L,BD_Carga!$C:$C,A169))</f>
        <v/>
      </c>
      <c r="K169" s="11">
        <f>IF(OR(A169="",J169=0),"",F169/J169)</f>
        <v/>
      </c>
      <c r="L169">
        <f>IF(A169="","",BD_Carga!E170)</f>
        <v/>
      </c>
    </row>
    <row r="170">
      <c r="A170">
        <f>IF(BD_Carga!C171="","",BD_Carga!C171)</f>
        <v/>
      </c>
      <c r="B170">
        <f>IF(A170="","",BD_Carga!D171)</f>
        <v/>
      </c>
      <c r="C170" s="2">
        <f>IF(A170="","",BD_Carga!A171)</f>
        <v/>
      </c>
      <c r="D170">
        <f>IF(A170="","",BD_Carga!R171)</f>
        <v/>
      </c>
      <c r="E170">
        <f>IF(A170="","",BD_Carga!Q171)</f>
        <v/>
      </c>
      <c r="F170" s="5">
        <f>IF(A170="","",BD_Carga!L171)</f>
        <v/>
      </c>
      <c r="G170">
        <f>IF(A170="","",BD_Carga!N171)</f>
        <v/>
      </c>
      <c r="H170">
        <f>IF(A170="","",BD_Carga!O171)</f>
        <v/>
      </c>
      <c r="I170">
        <f>IF(A170="","",BD_Carga!P171)</f>
        <v/>
      </c>
      <c r="J170">
        <f>IF(A170="","",_xlfn.MAXIFS(BD_Carga!$L:$L,BD_Carga!$C:$C,A170))</f>
        <v/>
      </c>
      <c r="K170" s="11">
        <f>IF(OR(A170="",J170=0),"",F170/J170)</f>
        <v/>
      </c>
      <c r="L170">
        <f>IF(A170="","",BD_Carga!E171)</f>
        <v/>
      </c>
    </row>
    <row r="171">
      <c r="A171">
        <f>IF(BD_Carga!C172="","",BD_Carga!C172)</f>
        <v/>
      </c>
      <c r="B171">
        <f>IF(A171="","",BD_Carga!D172)</f>
        <v/>
      </c>
      <c r="C171" s="2">
        <f>IF(A171="","",BD_Carga!A172)</f>
        <v/>
      </c>
      <c r="D171">
        <f>IF(A171="","",BD_Carga!R172)</f>
        <v/>
      </c>
      <c r="E171">
        <f>IF(A171="","",BD_Carga!Q172)</f>
        <v/>
      </c>
      <c r="F171" s="5">
        <f>IF(A171="","",BD_Carga!L172)</f>
        <v/>
      </c>
      <c r="G171">
        <f>IF(A171="","",BD_Carga!N172)</f>
        <v/>
      </c>
      <c r="H171">
        <f>IF(A171="","",BD_Carga!O172)</f>
        <v/>
      </c>
      <c r="I171">
        <f>IF(A171="","",BD_Carga!P172)</f>
        <v/>
      </c>
      <c r="J171">
        <f>IF(A171="","",_xlfn.MAXIFS(BD_Carga!$L:$L,BD_Carga!$C:$C,A171))</f>
        <v/>
      </c>
      <c r="K171" s="11">
        <f>IF(OR(A171="",J171=0),"",F171/J171)</f>
        <v/>
      </c>
      <c r="L171">
        <f>IF(A171="","",BD_Carga!E172)</f>
        <v/>
      </c>
    </row>
    <row r="172">
      <c r="A172">
        <f>IF(BD_Carga!C173="","",BD_Carga!C173)</f>
        <v/>
      </c>
      <c r="B172">
        <f>IF(A172="","",BD_Carga!D173)</f>
        <v/>
      </c>
      <c r="C172" s="2">
        <f>IF(A172="","",BD_Carga!A173)</f>
        <v/>
      </c>
      <c r="D172">
        <f>IF(A172="","",BD_Carga!R173)</f>
        <v/>
      </c>
      <c r="E172">
        <f>IF(A172="","",BD_Carga!Q173)</f>
        <v/>
      </c>
      <c r="F172" s="5">
        <f>IF(A172="","",BD_Carga!L173)</f>
        <v/>
      </c>
      <c r="G172">
        <f>IF(A172="","",BD_Carga!N173)</f>
        <v/>
      </c>
      <c r="H172">
        <f>IF(A172="","",BD_Carga!O173)</f>
        <v/>
      </c>
      <c r="I172">
        <f>IF(A172="","",BD_Carga!P173)</f>
        <v/>
      </c>
      <c r="J172">
        <f>IF(A172="","",_xlfn.MAXIFS(BD_Carga!$L:$L,BD_Carga!$C:$C,A172))</f>
        <v/>
      </c>
      <c r="K172" s="11">
        <f>IF(OR(A172="",J172=0),"",F172/J172)</f>
        <v/>
      </c>
      <c r="L172">
        <f>IF(A172="","",BD_Carga!E173)</f>
        <v/>
      </c>
    </row>
    <row r="173">
      <c r="A173">
        <f>IF(BD_Carga!C174="","",BD_Carga!C174)</f>
        <v/>
      </c>
      <c r="B173">
        <f>IF(A173="","",BD_Carga!D174)</f>
        <v/>
      </c>
      <c r="C173" s="2">
        <f>IF(A173="","",BD_Carga!A174)</f>
        <v/>
      </c>
      <c r="D173">
        <f>IF(A173="","",BD_Carga!R174)</f>
        <v/>
      </c>
      <c r="E173">
        <f>IF(A173="","",BD_Carga!Q174)</f>
        <v/>
      </c>
      <c r="F173" s="5">
        <f>IF(A173="","",BD_Carga!L174)</f>
        <v/>
      </c>
      <c r="G173">
        <f>IF(A173="","",BD_Carga!N174)</f>
        <v/>
      </c>
      <c r="H173">
        <f>IF(A173="","",BD_Carga!O174)</f>
        <v/>
      </c>
      <c r="I173">
        <f>IF(A173="","",BD_Carga!P174)</f>
        <v/>
      </c>
      <c r="J173">
        <f>IF(A173="","",_xlfn.MAXIFS(BD_Carga!$L:$L,BD_Carga!$C:$C,A173))</f>
        <v/>
      </c>
      <c r="K173" s="11">
        <f>IF(OR(A173="",J173=0),"",F173/J173)</f>
        <v/>
      </c>
      <c r="L173">
        <f>IF(A173="","",BD_Carga!E174)</f>
        <v/>
      </c>
    </row>
    <row r="174">
      <c r="A174">
        <f>IF(BD_Carga!C175="","",BD_Carga!C175)</f>
        <v/>
      </c>
      <c r="B174">
        <f>IF(A174="","",BD_Carga!D175)</f>
        <v/>
      </c>
      <c r="C174" s="2">
        <f>IF(A174="","",BD_Carga!A175)</f>
        <v/>
      </c>
      <c r="D174">
        <f>IF(A174="","",BD_Carga!R175)</f>
        <v/>
      </c>
      <c r="E174">
        <f>IF(A174="","",BD_Carga!Q175)</f>
        <v/>
      </c>
      <c r="F174" s="5">
        <f>IF(A174="","",BD_Carga!L175)</f>
        <v/>
      </c>
      <c r="G174">
        <f>IF(A174="","",BD_Carga!N175)</f>
        <v/>
      </c>
      <c r="H174">
        <f>IF(A174="","",BD_Carga!O175)</f>
        <v/>
      </c>
      <c r="I174">
        <f>IF(A174="","",BD_Carga!P175)</f>
        <v/>
      </c>
      <c r="J174">
        <f>IF(A174="","",_xlfn.MAXIFS(BD_Carga!$L:$L,BD_Carga!$C:$C,A174))</f>
        <v/>
      </c>
      <c r="K174" s="11">
        <f>IF(OR(A174="",J174=0),"",F174/J174)</f>
        <v/>
      </c>
      <c r="L174">
        <f>IF(A174="","",BD_Carga!E175)</f>
        <v/>
      </c>
    </row>
    <row r="175">
      <c r="A175">
        <f>IF(BD_Carga!C176="","",BD_Carga!C176)</f>
        <v/>
      </c>
      <c r="B175">
        <f>IF(A175="","",BD_Carga!D176)</f>
        <v/>
      </c>
      <c r="C175" s="2">
        <f>IF(A175="","",BD_Carga!A176)</f>
        <v/>
      </c>
      <c r="D175">
        <f>IF(A175="","",BD_Carga!R176)</f>
        <v/>
      </c>
      <c r="E175">
        <f>IF(A175="","",BD_Carga!Q176)</f>
        <v/>
      </c>
      <c r="F175" s="5">
        <f>IF(A175="","",BD_Carga!L176)</f>
        <v/>
      </c>
      <c r="G175">
        <f>IF(A175="","",BD_Carga!N176)</f>
        <v/>
      </c>
      <c r="H175">
        <f>IF(A175="","",BD_Carga!O176)</f>
        <v/>
      </c>
      <c r="I175">
        <f>IF(A175="","",BD_Carga!P176)</f>
        <v/>
      </c>
      <c r="J175">
        <f>IF(A175="","",_xlfn.MAXIFS(BD_Carga!$L:$L,BD_Carga!$C:$C,A175))</f>
        <v/>
      </c>
      <c r="K175" s="11">
        <f>IF(OR(A175="",J175=0),"",F175/J175)</f>
        <v/>
      </c>
      <c r="L175">
        <f>IF(A175="","",BD_Carga!E176)</f>
        <v/>
      </c>
    </row>
    <row r="176">
      <c r="A176">
        <f>IF(BD_Carga!C177="","",BD_Carga!C177)</f>
        <v/>
      </c>
      <c r="B176">
        <f>IF(A176="","",BD_Carga!D177)</f>
        <v/>
      </c>
      <c r="C176" s="2">
        <f>IF(A176="","",BD_Carga!A177)</f>
        <v/>
      </c>
      <c r="D176">
        <f>IF(A176="","",BD_Carga!R177)</f>
        <v/>
      </c>
      <c r="E176">
        <f>IF(A176="","",BD_Carga!Q177)</f>
        <v/>
      </c>
      <c r="F176" s="5">
        <f>IF(A176="","",BD_Carga!L177)</f>
        <v/>
      </c>
      <c r="G176">
        <f>IF(A176="","",BD_Carga!N177)</f>
        <v/>
      </c>
      <c r="H176">
        <f>IF(A176="","",BD_Carga!O177)</f>
        <v/>
      </c>
      <c r="I176">
        <f>IF(A176="","",BD_Carga!P177)</f>
        <v/>
      </c>
      <c r="J176">
        <f>IF(A176="","",_xlfn.MAXIFS(BD_Carga!$L:$L,BD_Carga!$C:$C,A176))</f>
        <v/>
      </c>
      <c r="K176" s="11">
        <f>IF(OR(A176="",J176=0),"",F176/J176)</f>
        <v/>
      </c>
      <c r="L176">
        <f>IF(A176="","",BD_Carga!E177)</f>
        <v/>
      </c>
    </row>
    <row r="177">
      <c r="A177">
        <f>IF(BD_Carga!C178="","",BD_Carga!C178)</f>
        <v/>
      </c>
      <c r="B177">
        <f>IF(A177="","",BD_Carga!D178)</f>
        <v/>
      </c>
      <c r="C177" s="2">
        <f>IF(A177="","",BD_Carga!A178)</f>
        <v/>
      </c>
      <c r="D177">
        <f>IF(A177="","",BD_Carga!R178)</f>
        <v/>
      </c>
      <c r="E177">
        <f>IF(A177="","",BD_Carga!Q178)</f>
        <v/>
      </c>
      <c r="F177" s="5">
        <f>IF(A177="","",BD_Carga!L178)</f>
        <v/>
      </c>
      <c r="G177">
        <f>IF(A177="","",BD_Carga!N178)</f>
        <v/>
      </c>
      <c r="H177">
        <f>IF(A177="","",BD_Carga!O178)</f>
        <v/>
      </c>
      <c r="I177">
        <f>IF(A177="","",BD_Carga!P178)</f>
        <v/>
      </c>
      <c r="J177">
        <f>IF(A177="","",_xlfn.MAXIFS(BD_Carga!$L:$L,BD_Carga!$C:$C,A177))</f>
        <v/>
      </c>
      <c r="K177" s="11">
        <f>IF(OR(A177="",J177=0),"",F177/J177)</f>
        <v/>
      </c>
      <c r="L177">
        <f>IF(A177="","",BD_Carga!E178)</f>
        <v/>
      </c>
    </row>
    <row r="178">
      <c r="A178">
        <f>IF(BD_Carga!C179="","",BD_Carga!C179)</f>
        <v/>
      </c>
      <c r="B178">
        <f>IF(A178="","",BD_Carga!D179)</f>
        <v/>
      </c>
      <c r="C178" s="2">
        <f>IF(A178="","",BD_Carga!A179)</f>
        <v/>
      </c>
      <c r="D178">
        <f>IF(A178="","",BD_Carga!R179)</f>
        <v/>
      </c>
      <c r="E178">
        <f>IF(A178="","",BD_Carga!Q179)</f>
        <v/>
      </c>
      <c r="F178" s="5">
        <f>IF(A178="","",BD_Carga!L179)</f>
        <v/>
      </c>
      <c r="G178">
        <f>IF(A178="","",BD_Carga!N179)</f>
        <v/>
      </c>
      <c r="H178">
        <f>IF(A178="","",BD_Carga!O179)</f>
        <v/>
      </c>
      <c r="I178">
        <f>IF(A178="","",BD_Carga!P179)</f>
        <v/>
      </c>
      <c r="J178">
        <f>IF(A178="","",_xlfn.MAXIFS(BD_Carga!$L:$L,BD_Carga!$C:$C,A178))</f>
        <v/>
      </c>
      <c r="K178" s="11">
        <f>IF(OR(A178="",J178=0),"",F178/J178)</f>
        <v/>
      </c>
      <c r="L178">
        <f>IF(A178="","",BD_Carga!E179)</f>
        <v/>
      </c>
    </row>
    <row r="179">
      <c r="A179">
        <f>IF(BD_Carga!C180="","",BD_Carga!C180)</f>
        <v/>
      </c>
      <c r="B179">
        <f>IF(A179="","",BD_Carga!D180)</f>
        <v/>
      </c>
      <c r="C179" s="2">
        <f>IF(A179="","",BD_Carga!A180)</f>
        <v/>
      </c>
      <c r="D179">
        <f>IF(A179="","",BD_Carga!R180)</f>
        <v/>
      </c>
      <c r="E179">
        <f>IF(A179="","",BD_Carga!Q180)</f>
        <v/>
      </c>
      <c r="F179" s="5">
        <f>IF(A179="","",BD_Carga!L180)</f>
        <v/>
      </c>
      <c r="G179">
        <f>IF(A179="","",BD_Carga!N180)</f>
        <v/>
      </c>
      <c r="H179">
        <f>IF(A179="","",BD_Carga!O180)</f>
        <v/>
      </c>
      <c r="I179">
        <f>IF(A179="","",BD_Carga!P180)</f>
        <v/>
      </c>
      <c r="J179">
        <f>IF(A179="","",_xlfn.MAXIFS(BD_Carga!$L:$L,BD_Carga!$C:$C,A179))</f>
        <v/>
      </c>
      <c r="K179" s="11">
        <f>IF(OR(A179="",J179=0),"",F179/J179)</f>
        <v/>
      </c>
      <c r="L179">
        <f>IF(A179="","",BD_Carga!E180)</f>
        <v/>
      </c>
    </row>
    <row r="180">
      <c r="A180">
        <f>IF(BD_Carga!C181="","",BD_Carga!C181)</f>
        <v/>
      </c>
      <c r="B180">
        <f>IF(A180="","",BD_Carga!D181)</f>
        <v/>
      </c>
      <c r="C180" s="2">
        <f>IF(A180="","",BD_Carga!A181)</f>
        <v/>
      </c>
      <c r="D180">
        <f>IF(A180="","",BD_Carga!R181)</f>
        <v/>
      </c>
      <c r="E180">
        <f>IF(A180="","",BD_Carga!Q181)</f>
        <v/>
      </c>
      <c r="F180" s="5">
        <f>IF(A180="","",BD_Carga!L181)</f>
        <v/>
      </c>
      <c r="G180">
        <f>IF(A180="","",BD_Carga!N181)</f>
        <v/>
      </c>
      <c r="H180">
        <f>IF(A180="","",BD_Carga!O181)</f>
        <v/>
      </c>
      <c r="I180">
        <f>IF(A180="","",BD_Carga!P181)</f>
        <v/>
      </c>
      <c r="J180">
        <f>IF(A180="","",_xlfn.MAXIFS(BD_Carga!$L:$L,BD_Carga!$C:$C,A180))</f>
        <v/>
      </c>
      <c r="K180" s="11">
        <f>IF(OR(A180="",J180=0),"",F180/J180)</f>
        <v/>
      </c>
      <c r="L180">
        <f>IF(A180="","",BD_Carga!E181)</f>
        <v/>
      </c>
    </row>
    <row r="181">
      <c r="A181">
        <f>IF(BD_Carga!C182="","",BD_Carga!C182)</f>
        <v/>
      </c>
      <c r="B181">
        <f>IF(A181="","",BD_Carga!D182)</f>
        <v/>
      </c>
      <c r="C181" s="2">
        <f>IF(A181="","",BD_Carga!A182)</f>
        <v/>
      </c>
      <c r="D181">
        <f>IF(A181="","",BD_Carga!R182)</f>
        <v/>
      </c>
      <c r="E181">
        <f>IF(A181="","",BD_Carga!Q182)</f>
        <v/>
      </c>
      <c r="F181" s="5">
        <f>IF(A181="","",BD_Carga!L182)</f>
        <v/>
      </c>
      <c r="G181">
        <f>IF(A181="","",BD_Carga!N182)</f>
        <v/>
      </c>
      <c r="H181">
        <f>IF(A181="","",BD_Carga!O182)</f>
        <v/>
      </c>
      <c r="I181">
        <f>IF(A181="","",BD_Carga!P182)</f>
        <v/>
      </c>
      <c r="J181">
        <f>IF(A181="","",_xlfn.MAXIFS(BD_Carga!$L:$L,BD_Carga!$C:$C,A181))</f>
        <v/>
      </c>
      <c r="K181" s="11">
        <f>IF(OR(A181="",J181=0),"",F181/J181)</f>
        <v/>
      </c>
      <c r="L181">
        <f>IF(A181="","",BD_Carga!E182)</f>
        <v/>
      </c>
    </row>
    <row r="182">
      <c r="A182">
        <f>IF(BD_Carga!C183="","",BD_Carga!C183)</f>
        <v/>
      </c>
      <c r="B182">
        <f>IF(A182="","",BD_Carga!D183)</f>
        <v/>
      </c>
      <c r="C182" s="2">
        <f>IF(A182="","",BD_Carga!A183)</f>
        <v/>
      </c>
      <c r="D182">
        <f>IF(A182="","",BD_Carga!R183)</f>
        <v/>
      </c>
      <c r="E182">
        <f>IF(A182="","",BD_Carga!Q183)</f>
        <v/>
      </c>
      <c r="F182" s="5">
        <f>IF(A182="","",BD_Carga!L183)</f>
        <v/>
      </c>
      <c r="G182">
        <f>IF(A182="","",BD_Carga!N183)</f>
        <v/>
      </c>
      <c r="H182">
        <f>IF(A182="","",BD_Carga!O183)</f>
        <v/>
      </c>
      <c r="I182">
        <f>IF(A182="","",BD_Carga!P183)</f>
        <v/>
      </c>
      <c r="J182">
        <f>IF(A182="","",_xlfn.MAXIFS(BD_Carga!$L:$L,BD_Carga!$C:$C,A182))</f>
        <v/>
      </c>
      <c r="K182" s="11">
        <f>IF(OR(A182="",J182=0),"",F182/J182)</f>
        <v/>
      </c>
      <c r="L182">
        <f>IF(A182="","",BD_Carga!E183)</f>
        <v/>
      </c>
    </row>
    <row r="183">
      <c r="A183">
        <f>IF(BD_Carga!C184="","",BD_Carga!C184)</f>
        <v/>
      </c>
      <c r="B183">
        <f>IF(A183="","",BD_Carga!D184)</f>
        <v/>
      </c>
      <c r="C183" s="2">
        <f>IF(A183="","",BD_Carga!A184)</f>
        <v/>
      </c>
      <c r="D183">
        <f>IF(A183="","",BD_Carga!R184)</f>
        <v/>
      </c>
      <c r="E183">
        <f>IF(A183="","",BD_Carga!Q184)</f>
        <v/>
      </c>
      <c r="F183" s="5">
        <f>IF(A183="","",BD_Carga!L184)</f>
        <v/>
      </c>
      <c r="G183">
        <f>IF(A183="","",BD_Carga!N184)</f>
        <v/>
      </c>
      <c r="H183">
        <f>IF(A183="","",BD_Carga!O184)</f>
        <v/>
      </c>
      <c r="I183">
        <f>IF(A183="","",BD_Carga!P184)</f>
        <v/>
      </c>
      <c r="J183">
        <f>IF(A183="","",_xlfn.MAXIFS(BD_Carga!$L:$L,BD_Carga!$C:$C,A183))</f>
        <v/>
      </c>
      <c r="K183" s="11">
        <f>IF(OR(A183="",J183=0),"",F183/J183)</f>
        <v/>
      </c>
      <c r="L183">
        <f>IF(A183="","",BD_Carga!E184)</f>
        <v/>
      </c>
    </row>
    <row r="184">
      <c r="A184">
        <f>IF(BD_Carga!C185="","",BD_Carga!C185)</f>
        <v/>
      </c>
      <c r="B184">
        <f>IF(A184="","",BD_Carga!D185)</f>
        <v/>
      </c>
      <c r="C184" s="2">
        <f>IF(A184="","",BD_Carga!A185)</f>
        <v/>
      </c>
      <c r="D184">
        <f>IF(A184="","",BD_Carga!R185)</f>
        <v/>
      </c>
      <c r="E184">
        <f>IF(A184="","",BD_Carga!Q185)</f>
        <v/>
      </c>
      <c r="F184" s="5">
        <f>IF(A184="","",BD_Carga!L185)</f>
        <v/>
      </c>
      <c r="G184">
        <f>IF(A184="","",BD_Carga!N185)</f>
        <v/>
      </c>
      <c r="H184">
        <f>IF(A184="","",BD_Carga!O185)</f>
        <v/>
      </c>
      <c r="I184">
        <f>IF(A184="","",BD_Carga!P185)</f>
        <v/>
      </c>
      <c r="J184">
        <f>IF(A184="","",_xlfn.MAXIFS(BD_Carga!$L:$L,BD_Carga!$C:$C,A184))</f>
        <v/>
      </c>
      <c r="K184" s="11">
        <f>IF(OR(A184="",J184=0),"",F184/J184)</f>
        <v/>
      </c>
      <c r="L184">
        <f>IF(A184="","",BD_Carga!E185)</f>
        <v/>
      </c>
    </row>
    <row r="185">
      <c r="A185">
        <f>IF(BD_Carga!C186="","",BD_Carga!C186)</f>
        <v/>
      </c>
      <c r="B185">
        <f>IF(A185="","",BD_Carga!D186)</f>
        <v/>
      </c>
      <c r="C185" s="2">
        <f>IF(A185="","",BD_Carga!A186)</f>
        <v/>
      </c>
      <c r="D185">
        <f>IF(A185="","",BD_Carga!R186)</f>
        <v/>
      </c>
      <c r="E185">
        <f>IF(A185="","",BD_Carga!Q186)</f>
        <v/>
      </c>
      <c r="F185" s="5">
        <f>IF(A185="","",BD_Carga!L186)</f>
        <v/>
      </c>
      <c r="G185">
        <f>IF(A185="","",BD_Carga!N186)</f>
        <v/>
      </c>
      <c r="H185">
        <f>IF(A185="","",BD_Carga!O186)</f>
        <v/>
      </c>
      <c r="I185">
        <f>IF(A185="","",BD_Carga!P186)</f>
        <v/>
      </c>
      <c r="J185">
        <f>IF(A185="","",_xlfn.MAXIFS(BD_Carga!$L:$L,BD_Carga!$C:$C,A185))</f>
        <v/>
      </c>
      <c r="K185" s="11">
        <f>IF(OR(A185="",J185=0),"",F185/J185)</f>
        <v/>
      </c>
      <c r="L185">
        <f>IF(A185="","",BD_Carga!E186)</f>
        <v/>
      </c>
    </row>
    <row r="186">
      <c r="A186">
        <f>IF(BD_Carga!C187="","",BD_Carga!C187)</f>
        <v/>
      </c>
      <c r="B186">
        <f>IF(A186="","",BD_Carga!D187)</f>
        <v/>
      </c>
      <c r="C186" s="2">
        <f>IF(A186="","",BD_Carga!A187)</f>
        <v/>
      </c>
      <c r="D186">
        <f>IF(A186="","",BD_Carga!R187)</f>
        <v/>
      </c>
      <c r="E186">
        <f>IF(A186="","",BD_Carga!Q187)</f>
        <v/>
      </c>
      <c r="F186" s="5">
        <f>IF(A186="","",BD_Carga!L187)</f>
        <v/>
      </c>
      <c r="G186">
        <f>IF(A186="","",BD_Carga!N187)</f>
        <v/>
      </c>
      <c r="H186">
        <f>IF(A186="","",BD_Carga!O187)</f>
        <v/>
      </c>
      <c r="I186">
        <f>IF(A186="","",BD_Carga!P187)</f>
        <v/>
      </c>
      <c r="J186">
        <f>IF(A186="","",_xlfn.MAXIFS(BD_Carga!$L:$L,BD_Carga!$C:$C,A186))</f>
        <v/>
      </c>
      <c r="K186" s="11">
        <f>IF(OR(A186="",J186=0),"",F186/J186)</f>
        <v/>
      </c>
      <c r="L186">
        <f>IF(A186="","",BD_Carga!E187)</f>
        <v/>
      </c>
    </row>
    <row r="187">
      <c r="A187">
        <f>IF(BD_Carga!C188="","",BD_Carga!C188)</f>
        <v/>
      </c>
      <c r="B187">
        <f>IF(A187="","",BD_Carga!D188)</f>
        <v/>
      </c>
      <c r="C187" s="2">
        <f>IF(A187="","",BD_Carga!A188)</f>
        <v/>
      </c>
      <c r="D187">
        <f>IF(A187="","",BD_Carga!R188)</f>
        <v/>
      </c>
      <c r="E187">
        <f>IF(A187="","",BD_Carga!Q188)</f>
        <v/>
      </c>
      <c r="F187" s="5">
        <f>IF(A187="","",BD_Carga!L188)</f>
        <v/>
      </c>
      <c r="G187">
        <f>IF(A187="","",BD_Carga!N188)</f>
        <v/>
      </c>
      <c r="H187">
        <f>IF(A187="","",BD_Carga!O188)</f>
        <v/>
      </c>
      <c r="I187">
        <f>IF(A187="","",BD_Carga!P188)</f>
        <v/>
      </c>
      <c r="J187">
        <f>IF(A187="","",_xlfn.MAXIFS(BD_Carga!$L:$L,BD_Carga!$C:$C,A187))</f>
        <v/>
      </c>
      <c r="K187" s="11">
        <f>IF(OR(A187="",J187=0),"",F187/J187)</f>
        <v/>
      </c>
      <c r="L187">
        <f>IF(A187="","",BD_Carga!E188)</f>
        <v/>
      </c>
    </row>
    <row r="188">
      <c r="A188">
        <f>IF(BD_Carga!C189="","",BD_Carga!C189)</f>
        <v/>
      </c>
      <c r="B188">
        <f>IF(A188="","",BD_Carga!D189)</f>
        <v/>
      </c>
      <c r="C188" s="2">
        <f>IF(A188="","",BD_Carga!A189)</f>
        <v/>
      </c>
      <c r="D188">
        <f>IF(A188="","",BD_Carga!R189)</f>
        <v/>
      </c>
      <c r="E188">
        <f>IF(A188="","",BD_Carga!Q189)</f>
        <v/>
      </c>
      <c r="F188" s="5">
        <f>IF(A188="","",BD_Carga!L189)</f>
        <v/>
      </c>
      <c r="G188">
        <f>IF(A188="","",BD_Carga!N189)</f>
        <v/>
      </c>
      <c r="H188">
        <f>IF(A188="","",BD_Carga!O189)</f>
        <v/>
      </c>
      <c r="I188">
        <f>IF(A188="","",BD_Carga!P189)</f>
        <v/>
      </c>
      <c r="J188">
        <f>IF(A188="","",_xlfn.MAXIFS(BD_Carga!$L:$L,BD_Carga!$C:$C,A188))</f>
        <v/>
      </c>
      <c r="K188" s="11">
        <f>IF(OR(A188="",J188=0),"",F188/J188)</f>
        <v/>
      </c>
      <c r="L188">
        <f>IF(A188="","",BD_Carga!E189)</f>
        <v/>
      </c>
    </row>
    <row r="189">
      <c r="A189">
        <f>IF(BD_Carga!C190="","",BD_Carga!C190)</f>
        <v/>
      </c>
      <c r="B189">
        <f>IF(A189="","",BD_Carga!D190)</f>
        <v/>
      </c>
      <c r="C189" s="2">
        <f>IF(A189="","",BD_Carga!A190)</f>
        <v/>
      </c>
      <c r="D189">
        <f>IF(A189="","",BD_Carga!R190)</f>
        <v/>
      </c>
      <c r="E189">
        <f>IF(A189="","",BD_Carga!Q190)</f>
        <v/>
      </c>
      <c r="F189" s="5">
        <f>IF(A189="","",BD_Carga!L190)</f>
        <v/>
      </c>
      <c r="G189">
        <f>IF(A189="","",BD_Carga!N190)</f>
        <v/>
      </c>
      <c r="H189">
        <f>IF(A189="","",BD_Carga!O190)</f>
        <v/>
      </c>
      <c r="I189">
        <f>IF(A189="","",BD_Carga!P190)</f>
        <v/>
      </c>
      <c r="J189">
        <f>IF(A189="","",_xlfn.MAXIFS(BD_Carga!$L:$L,BD_Carga!$C:$C,A189))</f>
        <v/>
      </c>
      <c r="K189" s="11">
        <f>IF(OR(A189="",J189=0),"",F189/J189)</f>
        <v/>
      </c>
      <c r="L189">
        <f>IF(A189="","",BD_Carga!E190)</f>
        <v/>
      </c>
    </row>
    <row r="190">
      <c r="A190">
        <f>IF(BD_Carga!C191="","",BD_Carga!C191)</f>
        <v/>
      </c>
      <c r="B190">
        <f>IF(A190="","",BD_Carga!D191)</f>
        <v/>
      </c>
      <c r="C190" s="2">
        <f>IF(A190="","",BD_Carga!A191)</f>
        <v/>
      </c>
      <c r="D190">
        <f>IF(A190="","",BD_Carga!R191)</f>
        <v/>
      </c>
      <c r="E190">
        <f>IF(A190="","",BD_Carga!Q191)</f>
        <v/>
      </c>
      <c r="F190" s="5">
        <f>IF(A190="","",BD_Carga!L191)</f>
        <v/>
      </c>
      <c r="G190">
        <f>IF(A190="","",BD_Carga!N191)</f>
        <v/>
      </c>
      <c r="H190">
        <f>IF(A190="","",BD_Carga!O191)</f>
        <v/>
      </c>
      <c r="I190">
        <f>IF(A190="","",BD_Carga!P191)</f>
        <v/>
      </c>
      <c r="J190">
        <f>IF(A190="","",_xlfn.MAXIFS(BD_Carga!$L:$L,BD_Carga!$C:$C,A190))</f>
        <v/>
      </c>
      <c r="K190" s="11">
        <f>IF(OR(A190="",J190=0),"",F190/J190)</f>
        <v/>
      </c>
      <c r="L190">
        <f>IF(A190="","",BD_Carga!E191)</f>
        <v/>
      </c>
    </row>
    <row r="191">
      <c r="A191">
        <f>IF(BD_Carga!C192="","",BD_Carga!C192)</f>
        <v/>
      </c>
      <c r="B191">
        <f>IF(A191="","",BD_Carga!D192)</f>
        <v/>
      </c>
      <c r="C191" s="2">
        <f>IF(A191="","",BD_Carga!A192)</f>
        <v/>
      </c>
      <c r="D191">
        <f>IF(A191="","",BD_Carga!R192)</f>
        <v/>
      </c>
      <c r="E191">
        <f>IF(A191="","",BD_Carga!Q192)</f>
        <v/>
      </c>
      <c r="F191" s="5">
        <f>IF(A191="","",BD_Carga!L192)</f>
        <v/>
      </c>
      <c r="G191">
        <f>IF(A191="","",BD_Carga!N192)</f>
        <v/>
      </c>
      <c r="H191">
        <f>IF(A191="","",BD_Carga!O192)</f>
        <v/>
      </c>
      <c r="I191">
        <f>IF(A191="","",BD_Carga!P192)</f>
        <v/>
      </c>
      <c r="J191">
        <f>IF(A191="","",_xlfn.MAXIFS(BD_Carga!$L:$L,BD_Carga!$C:$C,A191))</f>
        <v/>
      </c>
      <c r="K191" s="11">
        <f>IF(OR(A191="",J191=0),"",F191/J191)</f>
        <v/>
      </c>
      <c r="L191">
        <f>IF(A191="","",BD_Carga!E192)</f>
        <v/>
      </c>
    </row>
    <row r="192">
      <c r="A192">
        <f>IF(BD_Carga!C193="","",BD_Carga!C193)</f>
        <v/>
      </c>
      <c r="B192">
        <f>IF(A192="","",BD_Carga!D193)</f>
        <v/>
      </c>
      <c r="C192" s="2">
        <f>IF(A192="","",BD_Carga!A193)</f>
        <v/>
      </c>
      <c r="D192">
        <f>IF(A192="","",BD_Carga!R193)</f>
        <v/>
      </c>
      <c r="E192">
        <f>IF(A192="","",BD_Carga!Q193)</f>
        <v/>
      </c>
      <c r="F192" s="5">
        <f>IF(A192="","",BD_Carga!L193)</f>
        <v/>
      </c>
      <c r="G192">
        <f>IF(A192="","",BD_Carga!N193)</f>
        <v/>
      </c>
      <c r="H192">
        <f>IF(A192="","",BD_Carga!O193)</f>
        <v/>
      </c>
      <c r="I192">
        <f>IF(A192="","",BD_Carga!P193)</f>
        <v/>
      </c>
      <c r="J192">
        <f>IF(A192="","",_xlfn.MAXIFS(BD_Carga!$L:$L,BD_Carga!$C:$C,A192))</f>
        <v/>
      </c>
      <c r="K192" s="11">
        <f>IF(OR(A192="",J192=0),"",F192/J192)</f>
        <v/>
      </c>
      <c r="L192">
        <f>IF(A192="","",BD_Carga!E193)</f>
        <v/>
      </c>
    </row>
    <row r="193">
      <c r="A193">
        <f>IF(BD_Carga!C194="","",BD_Carga!C194)</f>
        <v/>
      </c>
      <c r="B193">
        <f>IF(A193="","",BD_Carga!D194)</f>
        <v/>
      </c>
      <c r="C193" s="2">
        <f>IF(A193="","",BD_Carga!A194)</f>
        <v/>
      </c>
      <c r="D193">
        <f>IF(A193="","",BD_Carga!R194)</f>
        <v/>
      </c>
      <c r="E193">
        <f>IF(A193="","",BD_Carga!Q194)</f>
        <v/>
      </c>
      <c r="F193" s="5">
        <f>IF(A193="","",BD_Carga!L194)</f>
        <v/>
      </c>
      <c r="G193">
        <f>IF(A193="","",BD_Carga!N194)</f>
        <v/>
      </c>
      <c r="H193">
        <f>IF(A193="","",BD_Carga!O194)</f>
        <v/>
      </c>
      <c r="I193">
        <f>IF(A193="","",BD_Carga!P194)</f>
        <v/>
      </c>
      <c r="J193">
        <f>IF(A193="","",_xlfn.MAXIFS(BD_Carga!$L:$L,BD_Carga!$C:$C,A193))</f>
        <v/>
      </c>
      <c r="K193" s="11">
        <f>IF(OR(A193="",J193=0),"",F193/J193)</f>
        <v/>
      </c>
      <c r="L193">
        <f>IF(A193="","",BD_Carga!E194)</f>
        <v/>
      </c>
    </row>
    <row r="194">
      <c r="A194">
        <f>IF(BD_Carga!C195="","",BD_Carga!C195)</f>
        <v/>
      </c>
      <c r="B194">
        <f>IF(A194="","",BD_Carga!D195)</f>
        <v/>
      </c>
      <c r="C194" s="2">
        <f>IF(A194="","",BD_Carga!A195)</f>
        <v/>
      </c>
      <c r="D194">
        <f>IF(A194="","",BD_Carga!R195)</f>
        <v/>
      </c>
      <c r="E194">
        <f>IF(A194="","",BD_Carga!Q195)</f>
        <v/>
      </c>
      <c r="F194" s="5">
        <f>IF(A194="","",BD_Carga!L195)</f>
        <v/>
      </c>
      <c r="G194">
        <f>IF(A194="","",BD_Carga!N195)</f>
        <v/>
      </c>
      <c r="H194">
        <f>IF(A194="","",BD_Carga!O195)</f>
        <v/>
      </c>
      <c r="I194">
        <f>IF(A194="","",BD_Carga!P195)</f>
        <v/>
      </c>
      <c r="J194">
        <f>IF(A194="","",_xlfn.MAXIFS(BD_Carga!$L:$L,BD_Carga!$C:$C,A194))</f>
        <v/>
      </c>
      <c r="K194" s="11">
        <f>IF(OR(A194="",J194=0),"",F194/J194)</f>
        <v/>
      </c>
      <c r="L194">
        <f>IF(A194="","",BD_Carga!E195)</f>
        <v/>
      </c>
    </row>
    <row r="195">
      <c r="A195">
        <f>IF(BD_Carga!C196="","",BD_Carga!C196)</f>
        <v/>
      </c>
      <c r="B195">
        <f>IF(A195="","",BD_Carga!D196)</f>
        <v/>
      </c>
      <c r="C195" s="2">
        <f>IF(A195="","",BD_Carga!A196)</f>
        <v/>
      </c>
      <c r="D195">
        <f>IF(A195="","",BD_Carga!R196)</f>
        <v/>
      </c>
      <c r="E195">
        <f>IF(A195="","",BD_Carga!Q196)</f>
        <v/>
      </c>
      <c r="F195" s="5">
        <f>IF(A195="","",BD_Carga!L196)</f>
        <v/>
      </c>
      <c r="G195">
        <f>IF(A195="","",BD_Carga!N196)</f>
        <v/>
      </c>
      <c r="H195">
        <f>IF(A195="","",BD_Carga!O196)</f>
        <v/>
      </c>
      <c r="I195">
        <f>IF(A195="","",BD_Carga!P196)</f>
        <v/>
      </c>
      <c r="J195">
        <f>IF(A195="","",_xlfn.MAXIFS(BD_Carga!$L:$L,BD_Carga!$C:$C,A195))</f>
        <v/>
      </c>
      <c r="K195" s="11">
        <f>IF(OR(A195="",J195=0),"",F195/J195)</f>
        <v/>
      </c>
      <c r="L195">
        <f>IF(A195="","",BD_Carga!E196)</f>
        <v/>
      </c>
    </row>
    <row r="196">
      <c r="A196">
        <f>IF(BD_Carga!C197="","",BD_Carga!C197)</f>
        <v/>
      </c>
      <c r="B196">
        <f>IF(A196="","",BD_Carga!D197)</f>
        <v/>
      </c>
      <c r="C196" s="2">
        <f>IF(A196="","",BD_Carga!A197)</f>
        <v/>
      </c>
      <c r="D196">
        <f>IF(A196="","",BD_Carga!R197)</f>
        <v/>
      </c>
      <c r="E196">
        <f>IF(A196="","",BD_Carga!Q197)</f>
        <v/>
      </c>
      <c r="F196" s="5">
        <f>IF(A196="","",BD_Carga!L197)</f>
        <v/>
      </c>
      <c r="G196">
        <f>IF(A196="","",BD_Carga!N197)</f>
        <v/>
      </c>
      <c r="H196">
        <f>IF(A196="","",BD_Carga!O197)</f>
        <v/>
      </c>
      <c r="I196">
        <f>IF(A196="","",BD_Carga!P197)</f>
        <v/>
      </c>
      <c r="J196">
        <f>IF(A196="","",_xlfn.MAXIFS(BD_Carga!$L:$L,BD_Carga!$C:$C,A196))</f>
        <v/>
      </c>
      <c r="K196" s="11">
        <f>IF(OR(A196="",J196=0),"",F196/J196)</f>
        <v/>
      </c>
      <c r="L196">
        <f>IF(A196="","",BD_Carga!E197)</f>
        <v/>
      </c>
    </row>
    <row r="197">
      <c r="A197">
        <f>IF(BD_Carga!C198="","",BD_Carga!C198)</f>
        <v/>
      </c>
      <c r="B197">
        <f>IF(A197="","",BD_Carga!D198)</f>
        <v/>
      </c>
      <c r="C197" s="2">
        <f>IF(A197="","",BD_Carga!A198)</f>
        <v/>
      </c>
      <c r="D197">
        <f>IF(A197="","",BD_Carga!R198)</f>
        <v/>
      </c>
      <c r="E197">
        <f>IF(A197="","",BD_Carga!Q198)</f>
        <v/>
      </c>
      <c r="F197" s="5">
        <f>IF(A197="","",BD_Carga!L198)</f>
        <v/>
      </c>
      <c r="G197">
        <f>IF(A197="","",BD_Carga!N198)</f>
        <v/>
      </c>
      <c r="H197">
        <f>IF(A197="","",BD_Carga!O198)</f>
        <v/>
      </c>
      <c r="I197">
        <f>IF(A197="","",BD_Carga!P198)</f>
        <v/>
      </c>
      <c r="J197">
        <f>IF(A197="","",_xlfn.MAXIFS(BD_Carga!$L:$L,BD_Carga!$C:$C,A197))</f>
        <v/>
      </c>
      <c r="K197" s="11">
        <f>IF(OR(A197="",J197=0),"",F197/J197)</f>
        <v/>
      </c>
      <c r="L197">
        <f>IF(A197="","",BD_Carga!E198)</f>
        <v/>
      </c>
    </row>
    <row r="198">
      <c r="A198">
        <f>IF(BD_Carga!C199="","",BD_Carga!C199)</f>
        <v/>
      </c>
      <c r="B198">
        <f>IF(A198="","",BD_Carga!D199)</f>
        <v/>
      </c>
      <c r="C198" s="2">
        <f>IF(A198="","",BD_Carga!A199)</f>
        <v/>
      </c>
      <c r="D198">
        <f>IF(A198="","",BD_Carga!R199)</f>
        <v/>
      </c>
      <c r="E198">
        <f>IF(A198="","",BD_Carga!Q199)</f>
        <v/>
      </c>
      <c r="F198" s="5">
        <f>IF(A198="","",BD_Carga!L199)</f>
        <v/>
      </c>
      <c r="G198">
        <f>IF(A198="","",BD_Carga!N199)</f>
        <v/>
      </c>
      <c r="H198">
        <f>IF(A198="","",BD_Carga!O199)</f>
        <v/>
      </c>
      <c r="I198">
        <f>IF(A198="","",BD_Carga!P199)</f>
        <v/>
      </c>
      <c r="J198">
        <f>IF(A198="","",_xlfn.MAXIFS(BD_Carga!$L:$L,BD_Carga!$C:$C,A198))</f>
        <v/>
      </c>
      <c r="K198" s="11">
        <f>IF(OR(A198="",J198=0),"",F198/J198)</f>
        <v/>
      </c>
      <c r="L198">
        <f>IF(A198="","",BD_Carga!E199)</f>
        <v/>
      </c>
    </row>
    <row r="199">
      <c r="A199">
        <f>IF(BD_Carga!C200="","",BD_Carga!C200)</f>
        <v/>
      </c>
      <c r="B199">
        <f>IF(A199="","",BD_Carga!D200)</f>
        <v/>
      </c>
      <c r="C199" s="2">
        <f>IF(A199="","",BD_Carga!A200)</f>
        <v/>
      </c>
      <c r="D199">
        <f>IF(A199="","",BD_Carga!R200)</f>
        <v/>
      </c>
      <c r="E199">
        <f>IF(A199="","",BD_Carga!Q200)</f>
        <v/>
      </c>
      <c r="F199" s="5">
        <f>IF(A199="","",BD_Carga!L200)</f>
        <v/>
      </c>
      <c r="G199">
        <f>IF(A199="","",BD_Carga!N200)</f>
        <v/>
      </c>
      <c r="H199">
        <f>IF(A199="","",BD_Carga!O200)</f>
        <v/>
      </c>
      <c r="I199">
        <f>IF(A199="","",BD_Carga!P200)</f>
        <v/>
      </c>
      <c r="J199">
        <f>IF(A199="","",_xlfn.MAXIFS(BD_Carga!$L:$L,BD_Carga!$C:$C,A199))</f>
        <v/>
      </c>
      <c r="K199" s="11">
        <f>IF(OR(A199="",J199=0),"",F199/J199)</f>
        <v/>
      </c>
      <c r="L199">
        <f>IF(A199="","",BD_Carga!E200)</f>
        <v/>
      </c>
    </row>
    <row r="200">
      <c r="A200">
        <f>IF(BD_Carga!C201="","",BD_Carga!C201)</f>
        <v/>
      </c>
      <c r="B200">
        <f>IF(A200="","",BD_Carga!D201)</f>
        <v/>
      </c>
      <c r="C200" s="2">
        <f>IF(A200="","",BD_Carga!A201)</f>
        <v/>
      </c>
      <c r="D200">
        <f>IF(A200="","",BD_Carga!R201)</f>
        <v/>
      </c>
      <c r="E200">
        <f>IF(A200="","",BD_Carga!Q201)</f>
        <v/>
      </c>
      <c r="F200" s="5">
        <f>IF(A200="","",BD_Carga!L201)</f>
        <v/>
      </c>
      <c r="G200">
        <f>IF(A200="","",BD_Carga!N201)</f>
        <v/>
      </c>
      <c r="H200">
        <f>IF(A200="","",BD_Carga!O201)</f>
        <v/>
      </c>
      <c r="I200">
        <f>IF(A200="","",BD_Carga!P201)</f>
        <v/>
      </c>
      <c r="J200">
        <f>IF(A200="","",_xlfn.MAXIFS(BD_Carga!$L:$L,BD_Carga!$C:$C,A200))</f>
        <v/>
      </c>
      <c r="K200" s="11">
        <f>IF(OR(A200="",J200=0),"",F200/J200)</f>
        <v/>
      </c>
      <c r="L200">
        <f>IF(A200="","",BD_Carga!E201)</f>
        <v/>
      </c>
    </row>
    <row r="201">
      <c r="A201">
        <f>IF(BD_Carga!C202="","",BD_Carga!C202)</f>
        <v/>
      </c>
      <c r="B201">
        <f>IF(A201="","",BD_Carga!D202)</f>
        <v/>
      </c>
      <c r="C201" s="2">
        <f>IF(A201="","",BD_Carga!A202)</f>
        <v/>
      </c>
      <c r="D201">
        <f>IF(A201="","",BD_Carga!R202)</f>
        <v/>
      </c>
      <c r="E201">
        <f>IF(A201="","",BD_Carga!Q202)</f>
        <v/>
      </c>
      <c r="F201" s="5">
        <f>IF(A201="","",BD_Carga!L202)</f>
        <v/>
      </c>
      <c r="G201">
        <f>IF(A201="","",BD_Carga!N202)</f>
        <v/>
      </c>
      <c r="H201">
        <f>IF(A201="","",BD_Carga!O202)</f>
        <v/>
      </c>
      <c r="I201">
        <f>IF(A201="","",BD_Carga!P202)</f>
        <v/>
      </c>
      <c r="J201">
        <f>IF(A201="","",_xlfn.MAXIFS(BD_Carga!$L:$L,BD_Carga!$C:$C,A201))</f>
        <v/>
      </c>
      <c r="K201" s="11">
        <f>IF(OR(A201="",J201=0),"",F201/J201)</f>
        <v/>
      </c>
      <c r="L201">
        <f>IF(A201="","",BD_Carga!E202)</f>
        <v/>
      </c>
    </row>
    <row r="202">
      <c r="A202">
        <f>IF(BD_Carga!C203="","",BD_Carga!C203)</f>
        <v/>
      </c>
      <c r="B202">
        <f>IF(A202="","",BD_Carga!D203)</f>
        <v/>
      </c>
      <c r="C202" s="2">
        <f>IF(A202="","",BD_Carga!A203)</f>
        <v/>
      </c>
      <c r="D202">
        <f>IF(A202="","",BD_Carga!R203)</f>
        <v/>
      </c>
      <c r="E202">
        <f>IF(A202="","",BD_Carga!Q203)</f>
        <v/>
      </c>
      <c r="F202" s="5">
        <f>IF(A202="","",BD_Carga!L203)</f>
        <v/>
      </c>
      <c r="G202">
        <f>IF(A202="","",BD_Carga!N203)</f>
        <v/>
      </c>
      <c r="H202">
        <f>IF(A202="","",BD_Carga!O203)</f>
        <v/>
      </c>
      <c r="I202">
        <f>IF(A202="","",BD_Carga!P203)</f>
        <v/>
      </c>
      <c r="J202">
        <f>IF(A202="","",_xlfn.MAXIFS(BD_Carga!$L:$L,BD_Carga!$C:$C,A202))</f>
        <v/>
      </c>
      <c r="K202" s="11">
        <f>IF(OR(A202="",J202=0),"",F202/J202)</f>
        <v/>
      </c>
      <c r="L202">
        <f>IF(A202="","",BD_Carga!E203)</f>
        <v/>
      </c>
    </row>
    <row r="203">
      <c r="A203">
        <f>IF(BD_Carga!C204="","",BD_Carga!C204)</f>
        <v/>
      </c>
      <c r="B203">
        <f>IF(A203="","",BD_Carga!D204)</f>
        <v/>
      </c>
      <c r="C203" s="2">
        <f>IF(A203="","",BD_Carga!A204)</f>
        <v/>
      </c>
      <c r="D203">
        <f>IF(A203="","",BD_Carga!R204)</f>
        <v/>
      </c>
      <c r="E203">
        <f>IF(A203="","",BD_Carga!Q204)</f>
        <v/>
      </c>
      <c r="F203" s="5">
        <f>IF(A203="","",BD_Carga!L204)</f>
        <v/>
      </c>
      <c r="G203">
        <f>IF(A203="","",BD_Carga!N204)</f>
        <v/>
      </c>
      <c r="H203">
        <f>IF(A203="","",BD_Carga!O204)</f>
        <v/>
      </c>
      <c r="I203">
        <f>IF(A203="","",BD_Carga!P204)</f>
        <v/>
      </c>
      <c r="J203">
        <f>IF(A203="","",_xlfn.MAXIFS(BD_Carga!$L:$L,BD_Carga!$C:$C,A203))</f>
        <v/>
      </c>
      <c r="K203" s="11">
        <f>IF(OR(A203="",J203=0),"",F203/J203)</f>
        <v/>
      </c>
      <c r="L203">
        <f>IF(A203="","",BD_Carga!E204)</f>
        <v/>
      </c>
    </row>
    <row r="204">
      <c r="A204">
        <f>IF(BD_Carga!C205="","",BD_Carga!C205)</f>
        <v/>
      </c>
      <c r="B204">
        <f>IF(A204="","",BD_Carga!D205)</f>
        <v/>
      </c>
      <c r="C204" s="2">
        <f>IF(A204="","",BD_Carga!A205)</f>
        <v/>
      </c>
      <c r="D204">
        <f>IF(A204="","",BD_Carga!R205)</f>
        <v/>
      </c>
      <c r="E204">
        <f>IF(A204="","",BD_Carga!Q205)</f>
        <v/>
      </c>
      <c r="F204" s="5">
        <f>IF(A204="","",BD_Carga!L205)</f>
        <v/>
      </c>
      <c r="G204">
        <f>IF(A204="","",BD_Carga!N205)</f>
        <v/>
      </c>
      <c r="H204">
        <f>IF(A204="","",BD_Carga!O205)</f>
        <v/>
      </c>
      <c r="I204">
        <f>IF(A204="","",BD_Carga!P205)</f>
        <v/>
      </c>
      <c r="J204">
        <f>IF(A204="","",_xlfn.MAXIFS(BD_Carga!$L:$L,BD_Carga!$C:$C,A204))</f>
        <v/>
      </c>
      <c r="K204" s="11">
        <f>IF(OR(A204="",J204=0),"",F204/J204)</f>
        <v/>
      </c>
      <c r="L204">
        <f>IF(A204="","",BD_Carga!E205)</f>
        <v/>
      </c>
    </row>
    <row r="205">
      <c r="A205">
        <f>IF(BD_Carga!C206="","",BD_Carga!C206)</f>
        <v/>
      </c>
      <c r="B205">
        <f>IF(A205="","",BD_Carga!D206)</f>
        <v/>
      </c>
      <c r="C205" s="2">
        <f>IF(A205="","",BD_Carga!A206)</f>
        <v/>
      </c>
      <c r="D205">
        <f>IF(A205="","",BD_Carga!R206)</f>
        <v/>
      </c>
      <c r="E205">
        <f>IF(A205="","",BD_Carga!Q206)</f>
        <v/>
      </c>
      <c r="F205" s="5">
        <f>IF(A205="","",BD_Carga!L206)</f>
        <v/>
      </c>
      <c r="G205">
        <f>IF(A205="","",BD_Carga!N206)</f>
        <v/>
      </c>
      <c r="H205">
        <f>IF(A205="","",BD_Carga!O206)</f>
        <v/>
      </c>
      <c r="I205">
        <f>IF(A205="","",BD_Carga!P206)</f>
        <v/>
      </c>
      <c r="J205">
        <f>IF(A205="","",_xlfn.MAXIFS(BD_Carga!$L:$L,BD_Carga!$C:$C,A205))</f>
        <v/>
      </c>
      <c r="K205" s="11">
        <f>IF(OR(A205="",J205=0),"",F205/J205)</f>
        <v/>
      </c>
      <c r="L205">
        <f>IF(A205="","",BD_Carga!E206)</f>
        <v/>
      </c>
    </row>
    <row r="206">
      <c r="A206">
        <f>IF(BD_Carga!C207="","",BD_Carga!C207)</f>
        <v/>
      </c>
      <c r="B206">
        <f>IF(A206="","",BD_Carga!D207)</f>
        <v/>
      </c>
      <c r="C206" s="2">
        <f>IF(A206="","",BD_Carga!A207)</f>
        <v/>
      </c>
      <c r="D206">
        <f>IF(A206="","",BD_Carga!R207)</f>
        <v/>
      </c>
      <c r="E206">
        <f>IF(A206="","",BD_Carga!Q207)</f>
        <v/>
      </c>
      <c r="F206" s="5">
        <f>IF(A206="","",BD_Carga!L207)</f>
        <v/>
      </c>
      <c r="G206">
        <f>IF(A206="","",BD_Carga!N207)</f>
        <v/>
      </c>
      <c r="H206">
        <f>IF(A206="","",BD_Carga!O207)</f>
        <v/>
      </c>
      <c r="I206">
        <f>IF(A206="","",BD_Carga!P207)</f>
        <v/>
      </c>
      <c r="J206">
        <f>IF(A206="","",_xlfn.MAXIFS(BD_Carga!$L:$L,BD_Carga!$C:$C,A206))</f>
        <v/>
      </c>
      <c r="K206" s="11">
        <f>IF(OR(A206="",J206=0),"",F206/J206)</f>
        <v/>
      </c>
      <c r="L206">
        <f>IF(A206="","",BD_Carga!E207)</f>
        <v/>
      </c>
    </row>
    <row r="207">
      <c r="A207">
        <f>IF(BD_Carga!C208="","",BD_Carga!C208)</f>
        <v/>
      </c>
      <c r="B207">
        <f>IF(A207="","",BD_Carga!D208)</f>
        <v/>
      </c>
      <c r="C207" s="2">
        <f>IF(A207="","",BD_Carga!A208)</f>
        <v/>
      </c>
      <c r="D207">
        <f>IF(A207="","",BD_Carga!R208)</f>
        <v/>
      </c>
      <c r="E207">
        <f>IF(A207="","",BD_Carga!Q208)</f>
        <v/>
      </c>
      <c r="F207" s="5">
        <f>IF(A207="","",BD_Carga!L208)</f>
        <v/>
      </c>
      <c r="G207">
        <f>IF(A207="","",BD_Carga!N208)</f>
        <v/>
      </c>
      <c r="H207">
        <f>IF(A207="","",BD_Carga!O208)</f>
        <v/>
      </c>
      <c r="I207">
        <f>IF(A207="","",BD_Carga!P208)</f>
        <v/>
      </c>
      <c r="J207">
        <f>IF(A207="","",_xlfn.MAXIFS(BD_Carga!$L:$L,BD_Carga!$C:$C,A207))</f>
        <v/>
      </c>
      <c r="K207" s="11">
        <f>IF(OR(A207="",J207=0),"",F207/J207)</f>
        <v/>
      </c>
      <c r="L207">
        <f>IF(A207="","",BD_Carga!E208)</f>
        <v/>
      </c>
    </row>
    <row r="208">
      <c r="A208">
        <f>IF(BD_Carga!C209="","",BD_Carga!C209)</f>
        <v/>
      </c>
      <c r="B208">
        <f>IF(A208="","",BD_Carga!D209)</f>
        <v/>
      </c>
      <c r="C208" s="2">
        <f>IF(A208="","",BD_Carga!A209)</f>
        <v/>
      </c>
      <c r="D208">
        <f>IF(A208="","",BD_Carga!R209)</f>
        <v/>
      </c>
      <c r="E208">
        <f>IF(A208="","",BD_Carga!Q209)</f>
        <v/>
      </c>
      <c r="F208" s="5">
        <f>IF(A208="","",BD_Carga!L209)</f>
        <v/>
      </c>
      <c r="G208">
        <f>IF(A208="","",BD_Carga!N209)</f>
        <v/>
      </c>
      <c r="H208">
        <f>IF(A208="","",BD_Carga!O209)</f>
        <v/>
      </c>
      <c r="I208">
        <f>IF(A208="","",BD_Carga!P209)</f>
        <v/>
      </c>
      <c r="J208">
        <f>IF(A208="","",_xlfn.MAXIFS(BD_Carga!$L:$L,BD_Carga!$C:$C,A208))</f>
        <v/>
      </c>
      <c r="K208" s="11">
        <f>IF(OR(A208="",J208=0),"",F208/J208)</f>
        <v/>
      </c>
      <c r="L208">
        <f>IF(A208="","",BD_Carga!E209)</f>
        <v/>
      </c>
    </row>
    <row r="209">
      <c r="A209">
        <f>IF(BD_Carga!C210="","",BD_Carga!C210)</f>
        <v/>
      </c>
      <c r="B209">
        <f>IF(A209="","",BD_Carga!D210)</f>
        <v/>
      </c>
      <c r="C209" s="2">
        <f>IF(A209="","",BD_Carga!A210)</f>
        <v/>
      </c>
      <c r="D209">
        <f>IF(A209="","",BD_Carga!R210)</f>
        <v/>
      </c>
      <c r="E209">
        <f>IF(A209="","",BD_Carga!Q210)</f>
        <v/>
      </c>
      <c r="F209" s="5">
        <f>IF(A209="","",BD_Carga!L210)</f>
        <v/>
      </c>
      <c r="G209">
        <f>IF(A209="","",BD_Carga!N210)</f>
        <v/>
      </c>
      <c r="H209">
        <f>IF(A209="","",BD_Carga!O210)</f>
        <v/>
      </c>
      <c r="I209">
        <f>IF(A209="","",BD_Carga!P210)</f>
        <v/>
      </c>
      <c r="J209">
        <f>IF(A209="","",_xlfn.MAXIFS(BD_Carga!$L:$L,BD_Carga!$C:$C,A209))</f>
        <v/>
      </c>
      <c r="K209" s="11">
        <f>IF(OR(A209="",J209=0),"",F209/J209)</f>
        <v/>
      </c>
      <c r="L209">
        <f>IF(A209="","",BD_Carga!E210)</f>
        <v/>
      </c>
    </row>
    <row r="210">
      <c r="A210">
        <f>IF(BD_Carga!C211="","",BD_Carga!C211)</f>
        <v/>
      </c>
      <c r="B210">
        <f>IF(A210="","",BD_Carga!D211)</f>
        <v/>
      </c>
      <c r="C210" s="2">
        <f>IF(A210="","",BD_Carga!A211)</f>
        <v/>
      </c>
      <c r="D210">
        <f>IF(A210="","",BD_Carga!R211)</f>
        <v/>
      </c>
      <c r="E210">
        <f>IF(A210="","",BD_Carga!Q211)</f>
        <v/>
      </c>
      <c r="F210" s="5">
        <f>IF(A210="","",BD_Carga!L211)</f>
        <v/>
      </c>
      <c r="G210">
        <f>IF(A210="","",BD_Carga!N211)</f>
        <v/>
      </c>
      <c r="H210">
        <f>IF(A210="","",BD_Carga!O211)</f>
        <v/>
      </c>
      <c r="I210">
        <f>IF(A210="","",BD_Carga!P211)</f>
        <v/>
      </c>
      <c r="J210">
        <f>IF(A210="","",_xlfn.MAXIFS(BD_Carga!$L:$L,BD_Carga!$C:$C,A210))</f>
        <v/>
      </c>
      <c r="K210" s="11">
        <f>IF(OR(A210="",J210=0),"",F210/J210)</f>
        <v/>
      </c>
      <c r="L210">
        <f>IF(A210="","",BD_Carga!E211)</f>
        <v/>
      </c>
    </row>
    <row r="211">
      <c r="A211">
        <f>IF(BD_Carga!C212="","",BD_Carga!C212)</f>
        <v/>
      </c>
      <c r="B211">
        <f>IF(A211="","",BD_Carga!D212)</f>
        <v/>
      </c>
      <c r="C211" s="2">
        <f>IF(A211="","",BD_Carga!A212)</f>
        <v/>
      </c>
      <c r="D211">
        <f>IF(A211="","",BD_Carga!R212)</f>
        <v/>
      </c>
      <c r="E211">
        <f>IF(A211="","",BD_Carga!Q212)</f>
        <v/>
      </c>
      <c r="F211" s="5">
        <f>IF(A211="","",BD_Carga!L212)</f>
        <v/>
      </c>
      <c r="G211">
        <f>IF(A211="","",BD_Carga!N212)</f>
        <v/>
      </c>
      <c r="H211">
        <f>IF(A211="","",BD_Carga!O212)</f>
        <v/>
      </c>
      <c r="I211">
        <f>IF(A211="","",BD_Carga!P212)</f>
        <v/>
      </c>
      <c r="J211">
        <f>IF(A211="","",_xlfn.MAXIFS(BD_Carga!$L:$L,BD_Carga!$C:$C,A211))</f>
        <v/>
      </c>
      <c r="K211" s="11">
        <f>IF(OR(A211="",J211=0),"",F211/J211)</f>
        <v/>
      </c>
      <c r="L211">
        <f>IF(A211="","",BD_Carga!E212)</f>
        <v/>
      </c>
    </row>
    <row r="212">
      <c r="A212">
        <f>IF(BD_Carga!C213="","",BD_Carga!C213)</f>
        <v/>
      </c>
      <c r="B212">
        <f>IF(A212="","",BD_Carga!D213)</f>
        <v/>
      </c>
      <c r="C212" s="2">
        <f>IF(A212="","",BD_Carga!A213)</f>
        <v/>
      </c>
      <c r="D212">
        <f>IF(A212="","",BD_Carga!R213)</f>
        <v/>
      </c>
      <c r="E212">
        <f>IF(A212="","",BD_Carga!Q213)</f>
        <v/>
      </c>
      <c r="F212" s="5">
        <f>IF(A212="","",BD_Carga!L213)</f>
        <v/>
      </c>
      <c r="G212">
        <f>IF(A212="","",BD_Carga!N213)</f>
        <v/>
      </c>
      <c r="H212">
        <f>IF(A212="","",BD_Carga!O213)</f>
        <v/>
      </c>
      <c r="I212">
        <f>IF(A212="","",BD_Carga!P213)</f>
        <v/>
      </c>
      <c r="J212">
        <f>IF(A212="","",_xlfn.MAXIFS(BD_Carga!$L:$L,BD_Carga!$C:$C,A212))</f>
        <v/>
      </c>
      <c r="K212" s="11">
        <f>IF(OR(A212="",J212=0),"",F212/J212)</f>
        <v/>
      </c>
      <c r="L212">
        <f>IF(A212="","",BD_Carga!E213)</f>
        <v/>
      </c>
    </row>
    <row r="213">
      <c r="A213">
        <f>IF(BD_Carga!C214="","",BD_Carga!C214)</f>
        <v/>
      </c>
      <c r="B213">
        <f>IF(A213="","",BD_Carga!D214)</f>
        <v/>
      </c>
      <c r="C213" s="2">
        <f>IF(A213="","",BD_Carga!A214)</f>
        <v/>
      </c>
      <c r="D213">
        <f>IF(A213="","",BD_Carga!R214)</f>
        <v/>
      </c>
      <c r="E213">
        <f>IF(A213="","",BD_Carga!Q214)</f>
        <v/>
      </c>
      <c r="F213" s="5">
        <f>IF(A213="","",BD_Carga!L214)</f>
        <v/>
      </c>
      <c r="G213">
        <f>IF(A213="","",BD_Carga!N214)</f>
        <v/>
      </c>
      <c r="H213">
        <f>IF(A213="","",BD_Carga!O214)</f>
        <v/>
      </c>
      <c r="I213">
        <f>IF(A213="","",BD_Carga!P214)</f>
        <v/>
      </c>
      <c r="J213">
        <f>IF(A213="","",_xlfn.MAXIFS(BD_Carga!$L:$L,BD_Carga!$C:$C,A213))</f>
        <v/>
      </c>
      <c r="K213" s="11">
        <f>IF(OR(A213="",J213=0),"",F213/J213)</f>
        <v/>
      </c>
      <c r="L213">
        <f>IF(A213="","",BD_Carga!E214)</f>
        <v/>
      </c>
    </row>
    <row r="214">
      <c r="A214">
        <f>IF(BD_Carga!C215="","",BD_Carga!C215)</f>
        <v/>
      </c>
      <c r="B214">
        <f>IF(A214="","",BD_Carga!D215)</f>
        <v/>
      </c>
      <c r="C214" s="2">
        <f>IF(A214="","",BD_Carga!A215)</f>
        <v/>
      </c>
      <c r="D214">
        <f>IF(A214="","",BD_Carga!R215)</f>
        <v/>
      </c>
      <c r="E214">
        <f>IF(A214="","",BD_Carga!Q215)</f>
        <v/>
      </c>
      <c r="F214" s="5">
        <f>IF(A214="","",BD_Carga!L215)</f>
        <v/>
      </c>
      <c r="G214">
        <f>IF(A214="","",BD_Carga!N215)</f>
        <v/>
      </c>
      <c r="H214">
        <f>IF(A214="","",BD_Carga!O215)</f>
        <v/>
      </c>
      <c r="I214">
        <f>IF(A214="","",BD_Carga!P215)</f>
        <v/>
      </c>
      <c r="J214">
        <f>IF(A214="","",_xlfn.MAXIFS(BD_Carga!$L:$L,BD_Carga!$C:$C,A214))</f>
        <v/>
      </c>
      <c r="K214" s="11">
        <f>IF(OR(A214="",J214=0),"",F214/J214)</f>
        <v/>
      </c>
      <c r="L214">
        <f>IF(A214="","",BD_Carga!E215)</f>
        <v/>
      </c>
    </row>
    <row r="215">
      <c r="A215">
        <f>IF(BD_Carga!C216="","",BD_Carga!C216)</f>
        <v/>
      </c>
      <c r="B215">
        <f>IF(A215="","",BD_Carga!D216)</f>
        <v/>
      </c>
      <c r="C215" s="2">
        <f>IF(A215="","",BD_Carga!A216)</f>
        <v/>
      </c>
      <c r="D215">
        <f>IF(A215="","",BD_Carga!R216)</f>
        <v/>
      </c>
      <c r="E215">
        <f>IF(A215="","",BD_Carga!Q216)</f>
        <v/>
      </c>
      <c r="F215" s="5">
        <f>IF(A215="","",BD_Carga!L216)</f>
        <v/>
      </c>
      <c r="G215">
        <f>IF(A215="","",BD_Carga!N216)</f>
        <v/>
      </c>
      <c r="H215">
        <f>IF(A215="","",BD_Carga!O216)</f>
        <v/>
      </c>
      <c r="I215">
        <f>IF(A215="","",BD_Carga!P216)</f>
        <v/>
      </c>
      <c r="J215">
        <f>IF(A215="","",_xlfn.MAXIFS(BD_Carga!$L:$L,BD_Carga!$C:$C,A215))</f>
        <v/>
      </c>
      <c r="K215" s="11">
        <f>IF(OR(A215="",J215=0),"",F215/J215)</f>
        <v/>
      </c>
      <c r="L215">
        <f>IF(A215="","",BD_Carga!E216)</f>
        <v/>
      </c>
    </row>
    <row r="216">
      <c r="A216">
        <f>IF(BD_Carga!C217="","",BD_Carga!C217)</f>
        <v/>
      </c>
      <c r="B216">
        <f>IF(A216="","",BD_Carga!D217)</f>
        <v/>
      </c>
      <c r="C216" s="2">
        <f>IF(A216="","",BD_Carga!A217)</f>
        <v/>
      </c>
      <c r="D216">
        <f>IF(A216="","",BD_Carga!R217)</f>
        <v/>
      </c>
      <c r="E216">
        <f>IF(A216="","",BD_Carga!Q217)</f>
        <v/>
      </c>
      <c r="F216" s="5">
        <f>IF(A216="","",BD_Carga!L217)</f>
        <v/>
      </c>
      <c r="G216">
        <f>IF(A216="","",BD_Carga!N217)</f>
        <v/>
      </c>
      <c r="H216">
        <f>IF(A216="","",BD_Carga!O217)</f>
        <v/>
      </c>
      <c r="I216">
        <f>IF(A216="","",BD_Carga!P217)</f>
        <v/>
      </c>
      <c r="J216">
        <f>IF(A216="","",_xlfn.MAXIFS(BD_Carga!$L:$L,BD_Carga!$C:$C,A216))</f>
        <v/>
      </c>
      <c r="K216" s="11">
        <f>IF(OR(A216="",J216=0),"",F216/J216)</f>
        <v/>
      </c>
      <c r="L216">
        <f>IF(A216="","",BD_Carga!E217)</f>
        <v/>
      </c>
    </row>
    <row r="217">
      <c r="A217">
        <f>IF(BD_Carga!C218="","",BD_Carga!C218)</f>
        <v/>
      </c>
      <c r="B217">
        <f>IF(A217="","",BD_Carga!D218)</f>
        <v/>
      </c>
      <c r="C217" s="2">
        <f>IF(A217="","",BD_Carga!A218)</f>
        <v/>
      </c>
      <c r="D217">
        <f>IF(A217="","",BD_Carga!R218)</f>
        <v/>
      </c>
      <c r="E217">
        <f>IF(A217="","",BD_Carga!Q218)</f>
        <v/>
      </c>
      <c r="F217" s="5">
        <f>IF(A217="","",BD_Carga!L218)</f>
        <v/>
      </c>
      <c r="G217">
        <f>IF(A217="","",BD_Carga!N218)</f>
        <v/>
      </c>
      <c r="H217">
        <f>IF(A217="","",BD_Carga!O218)</f>
        <v/>
      </c>
      <c r="I217">
        <f>IF(A217="","",BD_Carga!P218)</f>
        <v/>
      </c>
      <c r="J217">
        <f>IF(A217="","",_xlfn.MAXIFS(BD_Carga!$L:$L,BD_Carga!$C:$C,A217))</f>
        <v/>
      </c>
      <c r="K217" s="11">
        <f>IF(OR(A217="",J217=0),"",F217/J217)</f>
        <v/>
      </c>
      <c r="L217">
        <f>IF(A217="","",BD_Carga!E218)</f>
        <v/>
      </c>
    </row>
    <row r="218">
      <c r="A218">
        <f>IF(BD_Carga!C219="","",BD_Carga!C219)</f>
        <v/>
      </c>
      <c r="B218">
        <f>IF(A218="","",BD_Carga!D219)</f>
        <v/>
      </c>
      <c r="C218" s="2">
        <f>IF(A218="","",BD_Carga!A219)</f>
        <v/>
      </c>
      <c r="D218">
        <f>IF(A218="","",BD_Carga!R219)</f>
        <v/>
      </c>
      <c r="E218">
        <f>IF(A218="","",BD_Carga!Q219)</f>
        <v/>
      </c>
      <c r="F218" s="5">
        <f>IF(A218="","",BD_Carga!L219)</f>
        <v/>
      </c>
      <c r="G218">
        <f>IF(A218="","",BD_Carga!N219)</f>
        <v/>
      </c>
      <c r="H218">
        <f>IF(A218="","",BD_Carga!O219)</f>
        <v/>
      </c>
      <c r="I218">
        <f>IF(A218="","",BD_Carga!P219)</f>
        <v/>
      </c>
      <c r="J218">
        <f>IF(A218="","",_xlfn.MAXIFS(BD_Carga!$L:$L,BD_Carga!$C:$C,A218))</f>
        <v/>
      </c>
      <c r="K218" s="11">
        <f>IF(OR(A218="",J218=0),"",F218/J218)</f>
        <v/>
      </c>
      <c r="L218">
        <f>IF(A218="","",BD_Carga!E219)</f>
        <v/>
      </c>
    </row>
    <row r="219">
      <c r="A219">
        <f>IF(BD_Carga!C220="","",BD_Carga!C220)</f>
        <v/>
      </c>
      <c r="B219">
        <f>IF(A219="","",BD_Carga!D220)</f>
        <v/>
      </c>
      <c r="C219" s="2">
        <f>IF(A219="","",BD_Carga!A220)</f>
        <v/>
      </c>
      <c r="D219">
        <f>IF(A219="","",BD_Carga!R220)</f>
        <v/>
      </c>
      <c r="E219">
        <f>IF(A219="","",BD_Carga!Q220)</f>
        <v/>
      </c>
      <c r="F219" s="5">
        <f>IF(A219="","",BD_Carga!L220)</f>
        <v/>
      </c>
      <c r="G219">
        <f>IF(A219="","",BD_Carga!N220)</f>
        <v/>
      </c>
      <c r="H219">
        <f>IF(A219="","",BD_Carga!O220)</f>
        <v/>
      </c>
      <c r="I219">
        <f>IF(A219="","",BD_Carga!P220)</f>
        <v/>
      </c>
      <c r="J219">
        <f>IF(A219="","",_xlfn.MAXIFS(BD_Carga!$L:$L,BD_Carga!$C:$C,A219))</f>
        <v/>
      </c>
      <c r="K219" s="11">
        <f>IF(OR(A219="",J219=0),"",F219/J219)</f>
        <v/>
      </c>
      <c r="L219">
        <f>IF(A219="","",BD_Carga!E220)</f>
        <v/>
      </c>
    </row>
    <row r="220">
      <c r="A220">
        <f>IF(BD_Carga!C221="","",BD_Carga!C221)</f>
        <v/>
      </c>
      <c r="B220">
        <f>IF(A220="","",BD_Carga!D221)</f>
        <v/>
      </c>
      <c r="C220" s="2">
        <f>IF(A220="","",BD_Carga!A221)</f>
        <v/>
      </c>
      <c r="D220">
        <f>IF(A220="","",BD_Carga!R221)</f>
        <v/>
      </c>
      <c r="E220">
        <f>IF(A220="","",BD_Carga!Q221)</f>
        <v/>
      </c>
      <c r="F220" s="5">
        <f>IF(A220="","",BD_Carga!L221)</f>
        <v/>
      </c>
      <c r="G220">
        <f>IF(A220="","",BD_Carga!N221)</f>
        <v/>
      </c>
      <c r="H220">
        <f>IF(A220="","",BD_Carga!O221)</f>
        <v/>
      </c>
      <c r="I220">
        <f>IF(A220="","",BD_Carga!P221)</f>
        <v/>
      </c>
      <c r="J220">
        <f>IF(A220="","",_xlfn.MAXIFS(BD_Carga!$L:$L,BD_Carga!$C:$C,A220))</f>
        <v/>
      </c>
      <c r="K220" s="11">
        <f>IF(OR(A220="",J220=0),"",F220/J220)</f>
        <v/>
      </c>
      <c r="L220">
        <f>IF(A220="","",BD_Carga!E221)</f>
        <v/>
      </c>
    </row>
    <row r="221">
      <c r="A221">
        <f>IF(BD_Carga!C222="","",BD_Carga!C222)</f>
        <v/>
      </c>
      <c r="B221">
        <f>IF(A221="","",BD_Carga!D222)</f>
        <v/>
      </c>
      <c r="C221" s="2">
        <f>IF(A221="","",BD_Carga!A222)</f>
        <v/>
      </c>
      <c r="D221">
        <f>IF(A221="","",BD_Carga!R222)</f>
        <v/>
      </c>
      <c r="E221">
        <f>IF(A221="","",BD_Carga!Q222)</f>
        <v/>
      </c>
      <c r="F221" s="5">
        <f>IF(A221="","",BD_Carga!L222)</f>
        <v/>
      </c>
      <c r="G221">
        <f>IF(A221="","",BD_Carga!N222)</f>
        <v/>
      </c>
      <c r="H221">
        <f>IF(A221="","",BD_Carga!O222)</f>
        <v/>
      </c>
      <c r="I221">
        <f>IF(A221="","",BD_Carga!P222)</f>
        <v/>
      </c>
      <c r="J221">
        <f>IF(A221="","",_xlfn.MAXIFS(BD_Carga!$L:$L,BD_Carga!$C:$C,A221))</f>
        <v/>
      </c>
      <c r="K221" s="11">
        <f>IF(OR(A221="",J221=0),"",F221/J221)</f>
        <v/>
      </c>
      <c r="L221">
        <f>IF(A221="","",BD_Carga!E222)</f>
        <v/>
      </c>
    </row>
    <row r="222">
      <c r="A222">
        <f>IF(BD_Carga!C223="","",BD_Carga!C223)</f>
        <v/>
      </c>
      <c r="B222">
        <f>IF(A222="","",BD_Carga!D223)</f>
        <v/>
      </c>
      <c r="C222" s="2">
        <f>IF(A222="","",BD_Carga!A223)</f>
        <v/>
      </c>
      <c r="D222">
        <f>IF(A222="","",BD_Carga!R223)</f>
        <v/>
      </c>
      <c r="E222">
        <f>IF(A222="","",BD_Carga!Q223)</f>
        <v/>
      </c>
      <c r="F222" s="5">
        <f>IF(A222="","",BD_Carga!L223)</f>
        <v/>
      </c>
      <c r="G222">
        <f>IF(A222="","",BD_Carga!N223)</f>
        <v/>
      </c>
      <c r="H222">
        <f>IF(A222="","",BD_Carga!O223)</f>
        <v/>
      </c>
      <c r="I222">
        <f>IF(A222="","",BD_Carga!P223)</f>
        <v/>
      </c>
      <c r="J222">
        <f>IF(A222="","",_xlfn.MAXIFS(BD_Carga!$L:$L,BD_Carga!$C:$C,A222))</f>
        <v/>
      </c>
      <c r="K222" s="11">
        <f>IF(OR(A222="",J222=0),"",F222/J222)</f>
        <v/>
      </c>
      <c r="L222">
        <f>IF(A222="","",BD_Carga!E223)</f>
        <v/>
      </c>
    </row>
    <row r="223">
      <c r="A223">
        <f>IF(BD_Carga!C224="","",BD_Carga!C224)</f>
        <v/>
      </c>
      <c r="B223">
        <f>IF(A223="","",BD_Carga!D224)</f>
        <v/>
      </c>
      <c r="C223" s="2">
        <f>IF(A223="","",BD_Carga!A224)</f>
        <v/>
      </c>
      <c r="D223">
        <f>IF(A223="","",BD_Carga!R224)</f>
        <v/>
      </c>
      <c r="E223">
        <f>IF(A223="","",BD_Carga!Q224)</f>
        <v/>
      </c>
      <c r="F223" s="5">
        <f>IF(A223="","",BD_Carga!L224)</f>
        <v/>
      </c>
      <c r="G223">
        <f>IF(A223="","",BD_Carga!N224)</f>
        <v/>
      </c>
      <c r="H223">
        <f>IF(A223="","",BD_Carga!O224)</f>
        <v/>
      </c>
      <c r="I223">
        <f>IF(A223="","",BD_Carga!P224)</f>
        <v/>
      </c>
      <c r="J223">
        <f>IF(A223="","",_xlfn.MAXIFS(BD_Carga!$L:$L,BD_Carga!$C:$C,A223))</f>
        <v/>
      </c>
      <c r="K223" s="11">
        <f>IF(OR(A223="",J223=0),"",F223/J223)</f>
        <v/>
      </c>
      <c r="L223">
        <f>IF(A223="","",BD_Carga!E224)</f>
        <v/>
      </c>
    </row>
    <row r="224">
      <c r="A224">
        <f>IF(BD_Carga!C225="","",BD_Carga!C225)</f>
        <v/>
      </c>
      <c r="B224">
        <f>IF(A224="","",BD_Carga!D225)</f>
        <v/>
      </c>
      <c r="C224" s="2">
        <f>IF(A224="","",BD_Carga!A225)</f>
        <v/>
      </c>
      <c r="D224">
        <f>IF(A224="","",BD_Carga!R225)</f>
        <v/>
      </c>
      <c r="E224">
        <f>IF(A224="","",BD_Carga!Q225)</f>
        <v/>
      </c>
      <c r="F224" s="5">
        <f>IF(A224="","",BD_Carga!L225)</f>
        <v/>
      </c>
      <c r="G224">
        <f>IF(A224="","",BD_Carga!N225)</f>
        <v/>
      </c>
      <c r="H224">
        <f>IF(A224="","",BD_Carga!O225)</f>
        <v/>
      </c>
      <c r="I224">
        <f>IF(A224="","",BD_Carga!P225)</f>
        <v/>
      </c>
      <c r="J224">
        <f>IF(A224="","",_xlfn.MAXIFS(BD_Carga!$L:$L,BD_Carga!$C:$C,A224))</f>
        <v/>
      </c>
      <c r="K224" s="11">
        <f>IF(OR(A224="",J224=0),"",F224/J224)</f>
        <v/>
      </c>
      <c r="L224">
        <f>IF(A224="","",BD_Carga!E225)</f>
        <v/>
      </c>
    </row>
    <row r="225">
      <c r="A225">
        <f>IF(BD_Carga!C226="","",BD_Carga!C226)</f>
        <v/>
      </c>
      <c r="B225">
        <f>IF(A225="","",BD_Carga!D226)</f>
        <v/>
      </c>
      <c r="C225" s="2">
        <f>IF(A225="","",BD_Carga!A226)</f>
        <v/>
      </c>
      <c r="D225">
        <f>IF(A225="","",BD_Carga!R226)</f>
        <v/>
      </c>
      <c r="E225">
        <f>IF(A225="","",BD_Carga!Q226)</f>
        <v/>
      </c>
      <c r="F225" s="5">
        <f>IF(A225="","",BD_Carga!L226)</f>
        <v/>
      </c>
      <c r="G225">
        <f>IF(A225="","",BD_Carga!N226)</f>
        <v/>
      </c>
      <c r="H225">
        <f>IF(A225="","",BD_Carga!O226)</f>
        <v/>
      </c>
      <c r="I225">
        <f>IF(A225="","",BD_Carga!P226)</f>
        <v/>
      </c>
      <c r="J225">
        <f>IF(A225="","",_xlfn.MAXIFS(BD_Carga!$L:$L,BD_Carga!$C:$C,A225))</f>
        <v/>
      </c>
      <c r="K225" s="11">
        <f>IF(OR(A225="",J225=0),"",F225/J225)</f>
        <v/>
      </c>
      <c r="L225">
        <f>IF(A225="","",BD_Carga!E226)</f>
        <v/>
      </c>
    </row>
    <row r="226">
      <c r="A226">
        <f>IF(BD_Carga!C227="","",BD_Carga!C227)</f>
        <v/>
      </c>
      <c r="B226">
        <f>IF(A226="","",BD_Carga!D227)</f>
        <v/>
      </c>
      <c r="C226" s="2">
        <f>IF(A226="","",BD_Carga!A227)</f>
        <v/>
      </c>
      <c r="D226">
        <f>IF(A226="","",BD_Carga!R227)</f>
        <v/>
      </c>
      <c r="E226">
        <f>IF(A226="","",BD_Carga!Q227)</f>
        <v/>
      </c>
      <c r="F226" s="5">
        <f>IF(A226="","",BD_Carga!L227)</f>
        <v/>
      </c>
      <c r="G226">
        <f>IF(A226="","",BD_Carga!N227)</f>
        <v/>
      </c>
      <c r="H226">
        <f>IF(A226="","",BD_Carga!O227)</f>
        <v/>
      </c>
      <c r="I226">
        <f>IF(A226="","",BD_Carga!P227)</f>
        <v/>
      </c>
      <c r="J226">
        <f>IF(A226="","",_xlfn.MAXIFS(BD_Carga!$L:$L,BD_Carga!$C:$C,A226))</f>
        <v/>
      </c>
      <c r="K226" s="11">
        <f>IF(OR(A226="",J226=0),"",F226/J226)</f>
        <v/>
      </c>
      <c r="L226">
        <f>IF(A226="","",BD_Carga!E227)</f>
        <v/>
      </c>
    </row>
    <row r="227">
      <c r="A227">
        <f>IF(BD_Carga!C228="","",BD_Carga!C228)</f>
        <v/>
      </c>
      <c r="B227">
        <f>IF(A227="","",BD_Carga!D228)</f>
        <v/>
      </c>
      <c r="C227" s="2">
        <f>IF(A227="","",BD_Carga!A228)</f>
        <v/>
      </c>
      <c r="D227">
        <f>IF(A227="","",BD_Carga!R228)</f>
        <v/>
      </c>
      <c r="E227">
        <f>IF(A227="","",BD_Carga!Q228)</f>
        <v/>
      </c>
      <c r="F227" s="5">
        <f>IF(A227="","",BD_Carga!L228)</f>
        <v/>
      </c>
      <c r="G227">
        <f>IF(A227="","",BD_Carga!N228)</f>
        <v/>
      </c>
      <c r="H227">
        <f>IF(A227="","",BD_Carga!O228)</f>
        <v/>
      </c>
      <c r="I227">
        <f>IF(A227="","",BD_Carga!P228)</f>
        <v/>
      </c>
      <c r="J227">
        <f>IF(A227="","",_xlfn.MAXIFS(BD_Carga!$L:$L,BD_Carga!$C:$C,A227))</f>
        <v/>
      </c>
      <c r="K227" s="11">
        <f>IF(OR(A227="",J227=0),"",F227/J227)</f>
        <v/>
      </c>
      <c r="L227">
        <f>IF(A227="","",BD_Carga!E228)</f>
        <v/>
      </c>
    </row>
    <row r="228">
      <c r="A228">
        <f>IF(BD_Carga!C229="","",BD_Carga!C229)</f>
        <v/>
      </c>
      <c r="B228">
        <f>IF(A228="","",BD_Carga!D229)</f>
        <v/>
      </c>
      <c r="C228" s="2">
        <f>IF(A228="","",BD_Carga!A229)</f>
        <v/>
      </c>
      <c r="D228">
        <f>IF(A228="","",BD_Carga!R229)</f>
        <v/>
      </c>
      <c r="E228">
        <f>IF(A228="","",BD_Carga!Q229)</f>
        <v/>
      </c>
      <c r="F228" s="5">
        <f>IF(A228="","",BD_Carga!L229)</f>
        <v/>
      </c>
      <c r="G228">
        <f>IF(A228="","",BD_Carga!N229)</f>
        <v/>
      </c>
      <c r="H228">
        <f>IF(A228="","",BD_Carga!O229)</f>
        <v/>
      </c>
      <c r="I228">
        <f>IF(A228="","",BD_Carga!P229)</f>
        <v/>
      </c>
      <c r="J228">
        <f>IF(A228="","",_xlfn.MAXIFS(BD_Carga!$L:$L,BD_Carga!$C:$C,A228))</f>
        <v/>
      </c>
      <c r="K228" s="11">
        <f>IF(OR(A228="",J228=0),"",F228/J228)</f>
        <v/>
      </c>
      <c r="L228">
        <f>IF(A228="","",BD_Carga!E229)</f>
        <v/>
      </c>
    </row>
    <row r="229">
      <c r="A229">
        <f>IF(BD_Carga!C230="","",BD_Carga!C230)</f>
        <v/>
      </c>
      <c r="B229">
        <f>IF(A229="","",BD_Carga!D230)</f>
        <v/>
      </c>
      <c r="C229" s="2">
        <f>IF(A229="","",BD_Carga!A230)</f>
        <v/>
      </c>
      <c r="D229">
        <f>IF(A229="","",BD_Carga!R230)</f>
        <v/>
      </c>
      <c r="E229">
        <f>IF(A229="","",BD_Carga!Q230)</f>
        <v/>
      </c>
      <c r="F229" s="5">
        <f>IF(A229="","",BD_Carga!L230)</f>
        <v/>
      </c>
      <c r="G229">
        <f>IF(A229="","",BD_Carga!N230)</f>
        <v/>
      </c>
      <c r="H229">
        <f>IF(A229="","",BD_Carga!O230)</f>
        <v/>
      </c>
      <c r="I229">
        <f>IF(A229="","",BD_Carga!P230)</f>
        <v/>
      </c>
      <c r="J229">
        <f>IF(A229="","",_xlfn.MAXIFS(BD_Carga!$L:$L,BD_Carga!$C:$C,A229))</f>
        <v/>
      </c>
      <c r="K229" s="11">
        <f>IF(OR(A229="",J229=0),"",F229/J229)</f>
        <v/>
      </c>
      <c r="L229">
        <f>IF(A229="","",BD_Carga!E230)</f>
        <v/>
      </c>
    </row>
    <row r="230">
      <c r="A230">
        <f>IF(BD_Carga!C231="","",BD_Carga!C231)</f>
        <v/>
      </c>
      <c r="B230">
        <f>IF(A230="","",BD_Carga!D231)</f>
        <v/>
      </c>
      <c r="C230" s="2">
        <f>IF(A230="","",BD_Carga!A231)</f>
        <v/>
      </c>
      <c r="D230">
        <f>IF(A230="","",BD_Carga!R231)</f>
        <v/>
      </c>
      <c r="E230">
        <f>IF(A230="","",BD_Carga!Q231)</f>
        <v/>
      </c>
      <c r="F230" s="5">
        <f>IF(A230="","",BD_Carga!L231)</f>
        <v/>
      </c>
      <c r="G230">
        <f>IF(A230="","",BD_Carga!N231)</f>
        <v/>
      </c>
      <c r="H230">
        <f>IF(A230="","",BD_Carga!O231)</f>
        <v/>
      </c>
      <c r="I230">
        <f>IF(A230="","",BD_Carga!P231)</f>
        <v/>
      </c>
      <c r="J230">
        <f>IF(A230="","",_xlfn.MAXIFS(BD_Carga!$L:$L,BD_Carga!$C:$C,A230))</f>
        <v/>
      </c>
      <c r="K230" s="11">
        <f>IF(OR(A230="",J230=0),"",F230/J230)</f>
        <v/>
      </c>
      <c r="L230">
        <f>IF(A230="","",BD_Carga!E231)</f>
        <v/>
      </c>
    </row>
    <row r="231">
      <c r="A231">
        <f>IF(BD_Carga!C232="","",BD_Carga!C232)</f>
        <v/>
      </c>
      <c r="B231">
        <f>IF(A231="","",BD_Carga!D232)</f>
        <v/>
      </c>
      <c r="C231" s="2">
        <f>IF(A231="","",BD_Carga!A232)</f>
        <v/>
      </c>
      <c r="D231">
        <f>IF(A231="","",BD_Carga!R232)</f>
        <v/>
      </c>
      <c r="E231">
        <f>IF(A231="","",BD_Carga!Q232)</f>
        <v/>
      </c>
      <c r="F231" s="5">
        <f>IF(A231="","",BD_Carga!L232)</f>
        <v/>
      </c>
      <c r="G231">
        <f>IF(A231="","",BD_Carga!N232)</f>
        <v/>
      </c>
      <c r="H231">
        <f>IF(A231="","",BD_Carga!O232)</f>
        <v/>
      </c>
      <c r="I231">
        <f>IF(A231="","",BD_Carga!P232)</f>
        <v/>
      </c>
      <c r="J231">
        <f>IF(A231="","",_xlfn.MAXIFS(BD_Carga!$L:$L,BD_Carga!$C:$C,A231))</f>
        <v/>
      </c>
      <c r="K231" s="11">
        <f>IF(OR(A231="",J231=0),"",F231/J231)</f>
        <v/>
      </c>
      <c r="L231">
        <f>IF(A231="","",BD_Carga!E232)</f>
        <v/>
      </c>
    </row>
    <row r="232">
      <c r="A232">
        <f>IF(BD_Carga!C233="","",BD_Carga!C233)</f>
        <v/>
      </c>
      <c r="B232">
        <f>IF(A232="","",BD_Carga!D233)</f>
        <v/>
      </c>
      <c r="C232" s="2">
        <f>IF(A232="","",BD_Carga!A233)</f>
        <v/>
      </c>
      <c r="D232">
        <f>IF(A232="","",BD_Carga!R233)</f>
        <v/>
      </c>
      <c r="E232">
        <f>IF(A232="","",BD_Carga!Q233)</f>
        <v/>
      </c>
      <c r="F232" s="5">
        <f>IF(A232="","",BD_Carga!L233)</f>
        <v/>
      </c>
      <c r="G232">
        <f>IF(A232="","",BD_Carga!N233)</f>
        <v/>
      </c>
      <c r="H232">
        <f>IF(A232="","",BD_Carga!O233)</f>
        <v/>
      </c>
      <c r="I232">
        <f>IF(A232="","",BD_Carga!P233)</f>
        <v/>
      </c>
      <c r="J232">
        <f>IF(A232="","",_xlfn.MAXIFS(BD_Carga!$L:$L,BD_Carga!$C:$C,A232))</f>
        <v/>
      </c>
      <c r="K232" s="11">
        <f>IF(OR(A232="",J232=0),"",F232/J232)</f>
        <v/>
      </c>
      <c r="L232">
        <f>IF(A232="","",BD_Carga!E233)</f>
        <v/>
      </c>
    </row>
    <row r="233">
      <c r="A233">
        <f>IF(BD_Carga!C234="","",BD_Carga!C234)</f>
        <v/>
      </c>
      <c r="B233">
        <f>IF(A233="","",BD_Carga!D234)</f>
        <v/>
      </c>
      <c r="C233" s="2">
        <f>IF(A233="","",BD_Carga!A234)</f>
        <v/>
      </c>
      <c r="D233">
        <f>IF(A233="","",BD_Carga!R234)</f>
        <v/>
      </c>
      <c r="E233">
        <f>IF(A233="","",BD_Carga!Q234)</f>
        <v/>
      </c>
      <c r="F233" s="5">
        <f>IF(A233="","",BD_Carga!L234)</f>
        <v/>
      </c>
      <c r="G233">
        <f>IF(A233="","",BD_Carga!N234)</f>
        <v/>
      </c>
      <c r="H233">
        <f>IF(A233="","",BD_Carga!O234)</f>
        <v/>
      </c>
      <c r="I233">
        <f>IF(A233="","",BD_Carga!P234)</f>
        <v/>
      </c>
      <c r="J233">
        <f>IF(A233="","",_xlfn.MAXIFS(BD_Carga!$L:$L,BD_Carga!$C:$C,A233))</f>
        <v/>
      </c>
      <c r="K233" s="11">
        <f>IF(OR(A233="",J233=0),"",F233/J233)</f>
        <v/>
      </c>
      <c r="L233">
        <f>IF(A233="","",BD_Carga!E234)</f>
        <v/>
      </c>
    </row>
    <row r="234">
      <c r="A234">
        <f>IF(BD_Carga!C235="","",BD_Carga!C235)</f>
        <v/>
      </c>
      <c r="B234">
        <f>IF(A234="","",BD_Carga!D235)</f>
        <v/>
      </c>
      <c r="C234" s="2">
        <f>IF(A234="","",BD_Carga!A235)</f>
        <v/>
      </c>
      <c r="D234">
        <f>IF(A234="","",BD_Carga!R235)</f>
        <v/>
      </c>
      <c r="E234">
        <f>IF(A234="","",BD_Carga!Q235)</f>
        <v/>
      </c>
      <c r="F234" s="5">
        <f>IF(A234="","",BD_Carga!L235)</f>
        <v/>
      </c>
      <c r="G234">
        <f>IF(A234="","",BD_Carga!N235)</f>
        <v/>
      </c>
      <c r="H234">
        <f>IF(A234="","",BD_Carga!O235)</f>
        <v/>
      </c>
      <c r="I234">
        <f>IF(A234="","",BD_Carga!P235)</f>
        <v/>
      </c>
      <c r="J234">
        <f>IF(A234="","",_xlfn.MAXIFS(BD_Carga!$L:$L,BD_Carga!$C:$C,A234))</f>
        <v/>
      </c>
      <c r="K234" s="11">
        <f>IF(OR(A234="",J234=0),"",F234/J234)</f>
        <v/>
      </c>
      <c r="L234">
        <f>IF(A234="","",BD_Carga!E235)</f>
        <v/>
      </c>
    </row>
    <row r="235">
      <c r="A235">
        <f>IF(BD_Carga!C236="","",BD_Carga!C236)</f>
        <v/>
      </c>
      <c r="B235">
        <f>IF(A235="","",BD_Carga!D236)</f>
        <v/>
      </c>
      <c r="C235" s="2">
        <f>IF(A235="","",BD_Carga!A236)</f>
        <v/>
      </c>
      <c r="D235">
        <f>IF(A235="","",BD_Carga!R236)</f>
        <v/>
      </c>
      <c r="E235">
        <f>IF(A235="","",BD_Carga!Q236)</f>
        <v/>
      </c>
      <c r="F235" s="5">
        <f>IF(A235="","",BD_Carga!L236)</f>
        <v/>
      </c>
      <c r="G235">
        <f>IF(A235="","",BD_Carga!N236)</f>
        <v/>
      </c>
      <c r="H235">
        <f>IF(A235="","",BD_Carga!O236)</f>
        <v/>
      </c>
      <c r="I235">
        <f>IF(A235="","",BD_Carga!P236)</f>
        <v/>
      </c>
      <c r="J235">
        <f>IF(A235="","",_xlfn.MAXIFS(BD_Carga!$L:$L,BD_Carga!$C:$C,A235))</f>
        <v/>
      </c>
      <c r="K235" s="11">
        <f>IF(OR(A235="",J235=0),"",F235/J235)</f>
        <v/>
      </c>
      <c r="L235">
        <f>IF(A235="","",BD_Carga!E236)</f>
        <v/>
      </c>
    </row>
    <row r="236">
      <c r="A236">
        <f>IF(BD_Carga!C237="","",BD_Carga!C237)</f>
        <v/>
      </c>
      <c r="B236">
        <f>IF(A236="","",BD_Carga!D237)</f>
        <v/>
      </c>
      <c r="C236" s="2">
        <f>IF(A236="","",BD_Carga!A237)</f>
        <v/>
      </c>
      <c r="D236">
        <f>IF(A236="","",BD_Carga!R237)</f>
        <v/>
      </c>
      <c r="E236">
        <f>IF(A236="","",BD_Carga!Q237)</f>
        <v/>
      </c>
      <c r="F236" s="5">
        <f>IF(A236="","",BD_Carga!L237)</f>
        <v/>
      </c>
      <c r="G236">
        <f>IF(A236="","",BD_Carga!N237)</f>
        <v/>
      </c>
      <c r="H236">
        <f>IF(A236="","",BD_Carga!O237)</f>
        <v/>
      </c>
      <c r="I236">
        <f>IF(A236="","",BD_Carga!P237)</f>
        <v/>
      </c>
      <c r="J236">
        <f>IF(A236="","",_xlfn.MAXIFS(BD_Carga!$L:$L,BD_Carga!$C:$C,A236))</f>
        <v/>
      </c>
      <c r="K236" s="11">
        <f>IF(OR(A236="",J236=0),"",F236/J236)</f>
        <v/>
      </c>
      <c r="L236">
        <f>IF(A236="","",BD_Carga!E237)</f>
        <v/>
      </c>
    </row>
    <row r="237">
      <c r="A237">
        <f>IF(BD_Carga!C238="","",BD_Carga!C238)</f>
        <v/>
      </c>
      <c r="B237">
        <f>IF(A237="","",BD_Carga!D238)</f>
        <v/>
      </c>
      <c r="C237" s="2">
        <f>IF(A237="","",BD_Carga!A238)</f>
        <v/>
      </c>
      <c r="D237">
        <f>IF(A237="","",BD_Carga!R238)</f>
        <v/>
      </c>
      <c r="E237">
        <f>IF(A237="","",BD_Carga!Q238)</f>
        <v/>
      </c>
      <c r="F237" s="5">
        <f>IF(A237="","",BD_Carga!L238)</f>
        <v/>
      </c>
      <c r="G237">
        <f>IF(A237="","",BD_Carga!N238)</f>
        <v/>
      </c>
      <c r="H237">
        <f>IF(A237="","",BD_Carga!O238)</f>
        <v/>
      </c>
      <c r="I237">
        <f>IF(A237="","",BD_Carga!P238)</f>
        <v/>
      </c>
      <c r="J237">
        <f>IF(A237="","",_xlfn.MAXIFS(BD_Carga!$L:$L,BD_Carga!$C:$C,A237))</f>
        <v/>
      </c>
      <c r="K237" s="11">
        <f>IF(OR(A237="",J237=0),"",F237/J237)</f>
        <v/>
      </c>
      <c r="L237">
        <f>IF(A237="","",BD_Carga!E238)</f>
        <v/>
      </c>
    </row>
    <row r="238">
      <c r="A238">
        <f>IF(BD_Carga!C239="","",BD_Carga!C239)</f>
        <v/>
      </c>
      <c r="B238">
        <f>IF(A238="","",BD_Carga!D239)</f>
        <v/>
      </c>
      <c r="C238" s="2">
        <f>IF(A238="","",BD_Carga!A239)</f>
        <v/>
      </c>
      <c r="D238">
        <f>IF(A238="","",BD_Carga!R239)</f>
        <v/>
      </c>
      <c r="E238">
        <f>IF(A238="","",BD_Carga!Q239)</f>
        <v/>
      </c>
      <c r="F238" s="5">
        <f>IF(A238="","",BD_Carga!L239)</f>
        <v/>
      </c>
      <c r="G238">
        <f>IF(A238="","",BD_Carga!N239)</f>
        <v/>
      </c>
      <c r="H238">
        <f>IF(A238="","",BD_Carga!O239)</f>
        <v/>
      </c>
      <c r="I238">
        <f>IF(A238="","",BD_Carga!P239)</f>
        <v/>
      </c>
      <c r="J238">
        <f>IF(A238="","",_xlfn.MAXIFS(BD_Carga!$L:$L,BD_Carga!$C:$C,A238))</f>
        <v/>
      </c>
      <c r="K238" s="11">
        <f>IF(OR(A238="",J238=0),"",F238/J238)</f>
        <v/>
      </c>
      <c r="L238">
        <f>IF(A238="","",BD_Carga!E239)</f>
        <v/>
      </c>
    </row>
    <row r="239">
      <c r="A239">
        <f>IF(BD_Carga!C240="","",BD_Carga!C240)</f>
        <v/>
      </c>
      <c r="B239">
        <f>IF(A239="","",BD_Carga!D240)</f>
        <v/>
      </c>
      <c r="C239" s="2">
        <f>IF(A239="","",BD_Carga!A240)</f>
        <v/>
      </c>
      <c r="D239">
        <f>IF(A239="","",BD_Carga!R240)</f>
        <v/>
      </c>
      <c r="E239">
        <f>IF(A239="","",BD_Carga!Q240)</f>
        <v/>
      </c>
      <c r="F239" s="5">
        <f>IF(A239="","",BD_Carga!L240)</f>
        <v/>
      </c>
      <c r="G239">
        <f>IF(A239="","",BD_Carga!N240)</f>
        <v/>
      </c>
      <c r="H239">
        <f>IF(A239="","",BD_Carga!O240)</f>
        <v/>
      </c>
      <c r="I239">
        <f>IF(A239="","",BD_Carga!P240)</f>
        <v/>
      </c>
      <c r="J239">
        <f>IF(A239="","",_xlfn.MAXIFS(BD_Carga!$L:$L,BD_Carga!$C:$C,A239))</f>
        <v/>
      </c>
      <c r="K239" s="11">
        <f>IF(OR(A239="",J239=0),"",F239/J239)</f>
        <v/>
      </c>
      <c r="L239">
        <f>IF(A239="","",BD_Carga!E240)</f>
        <v/>
      </c>
    </row>
    <row r="240">
      <c r="A240">
        <f>IF(BD_Carga!C241="","",BD_Carga!C241)</f>
        <v/>
      </c>
      <c r="B240">
        <f>IF(A240="","",BD_Carga!D241)</f>
        <v/>
      </c>
      <c r="C240" s="2">
        <f>IF(A240="","",BD_Carga!A241)</f>
        <v/>
      </c>
      <c r="D240">
        <f>IF(A240="","",BD_Carga!R241)</f>
        <v/>
      </c>
      <c r="E240">
        <f>IF(A240="","",BD_Carga!Q241)</f>
        <v/>
      </c>
      <c r="F240" s="5">
        <f>IF(A240="","",BD_Carga!L241)</f>
        <v/>
      </c>
      <c r="G240">
        <f>IF(A240="","",BD_Carga!N241)</f>
        <v/>
      </c>
      <c r="H240">
        <f>IF(A240="","",BD_Carga!O241)</f>
        <v/>
      </c>
      <c r="I240">
        <f>IF(A240="","",BD_Carga!P241)</f>
        <v/>
      </c>
      <c r="J240">
        <f>IF(A240="","",_xlfn.MAXIFS(BD_Carga!$L:$L,BD_Carga!$C:$C,A240))</f>
        <v/>
      </c>
      <c r="K240" s="11">
        <f>IF(OR(A240="",J240=0),"",F240/J240)</f>
        <v/>
      </c>
      <c r="L240">
        <f>IF(A240="","",BD_Carga!E241)</f>
        <v/>
      </c>
    </row>
    <row r="241">
      <c r="A241">
        <f>IF(BD_Carga!C242="","",BD_Carga!C242)</f>
        <v/>
      </c>
      <c r="B241">
        <f>IF(A241="","",BD_Carga!D242)</f>
        <v/>
      </c>
      <c r="C241" s="2">
        <f>IF(A241="","",BD_Carga!A242)</f>
        <v/>
      </c>
      <c r="D241">
        <f>IF(A241="","",BD_Carga!R242)</f>
        <v/>
      </c>
      <c r="E241">
        <f>IF(A241="","",BD_Carga!Q242)</f>
        <v/>
      </c>
      <c r="F241" s="5">
        <f>IF(A241="","",BD_Carga!L242)</f>
        <v/>
      </c>
      <c r="G241">
        <f>IF(A241="","",BD_Carga!N242)</f>
        <v/>
      </c>
      <c r="H241">
        <f>IF(A241="","",BD_Carga!O242)</f>
        <v/>
      </c>
      <c r="I241">
        <f>IF(A241="","",BD_Carga!P242)</f>
        <v/>
      </c>
      <c r="J241">
        <f>IF(A241="","",_xlfn.MAXIFS(BD_Carga!$L:$L,BD_Carga!$C:$C,A241))</f>
        <v/>
      </c>
      <c r="K241" s="11">
        <f>IF(OR(A241="",J241=0),"",F241/J241)</f>
        <v/>
      </c>
      <c r="L241">
        <f>IF(A241="","",BD_Carga!E242)</f>
        <v/>
      </c>
    </row>
    <row r="242">
      <c r="A242">
        <f>IF(BD_Carga!C243="","",BD_Carga!C243)</f>
        <v/>
      </c>
      <c r="B242">
        <f>IF(A242="","",BD_Carga!D243)</f>
        <v/>
      </c>
      <c r="C242" s="2">
        <f>IF(A242="","",BD_Carga!A243)</f>
        <v/>
      </c>
      <c r="D242">
        <f>IF(A242="","",BD_Carga!R243)</f>
        <v/>
      </c>
      <c r="E242">
        <f>IF(A242="","",BD_Carga!Q243)</f>
        <v/>
      </c>
      <c r="F242" s="5">
        <f>IF(A242="","",BD_Carga!L243)</f>
        <v/>
      </c>
      <c r="G242">
        <f>IF(A242="","",BD_Carga!N243)</f>
        <v/>
      </c>
      <c r="H242">
        <f>IF(A242="","",BD_Carga!O243)</f>
        <v/>
      </c>
      <c r="I242">
        <f>IF(A242="","",BD_Carga!P243)</f>
        <v/>
      </c>
      <c r="J242">
        <f>IF(A242="","",_xlfn.MAXIFS(BD_Carga!$L:$L,BD_Carga!$C:$C,A242))</f>
        <v/>
      </c>
      <c r="K242" s="11">
        <f>IF(OR(A242="",J242=0),"",F242/J242)</f>
        <v/>
      </c>
      <c r="L242">
        <f>IF(A242="","",BD_Carga!E243)</f>
        <v/>
      </c>
    </row>
    <row r="243">
      <c r="A243">
        <f>IF(BD_Carga!C244="","",BD_Carga!C244)</f>
        <v/>
      </c>
      <c r="B243">
        <f>IF(A243="","",BD_Carga!D244)</f>
        <v/>
      </c>
      <c r="C243" s="2">
        <f>IF(A243="","",BD_Carga!A244)</f>
        <v/>
      </c>
      <c r="D243">
        <f>IF(A243="","",BD_Carga!R244)</f>
        <v/>
      </c>
      <c r="E243">
        <f>IF(A243="","",BD_Carga!Q244)</f>
        <v/>
      </c>
      <c r="F243" s="5">
        <f>IF(A243="","",BD_Carga!L244)</f>
        <v/>
      </c>
      <c r="G243">
        <f>IF(A243="","",BD_Carga!N244)</f>
        <v/>
      </c>
      <c r="H243">
        <f>IF(A243="","",BD_Carga!O244)</f>
        <v/>
      </c>
      <c r="I243">
        <f>IF(A243="","",BD_Carga!P244)</f>
        <v/>
      </c>
      <c r="J243">
        <f>IF(A243="","",_xlfn.MAXIFS(BD_Carga!$L:$L,BD_Carga!$C:$C,A243))</f>
        <v/>
      </c>
      <c r="K243" s="11">
        <f>IF(OR(A243="",J243=0),"",F243/J243)</f>
        <v/>
      </c>
      <c r="L243">
        <f>IF(A243="","",BD_Carga!E244)</f>
        <v/>
      </c>
    </row>
    <row r="244">
      <c r="A244">
        <f>IF(BD_Carga!C245="","",BD_Carga!C245)</f>
        <v/>
      </c>
      <c r="B244">
        <f>IF(A244="","",BD_Carga!D245)</f>
        <v/>
      </c>
      <c r="C244" s="2">
        <f>IF(A244="","",BD_Carga!A245)</f>
        <v/>
      </c>
      <c r="D244">
        <f>IF(A244="","",BD_Carga!R245)</f>
        <v/>
      </c>
      <c r="E244">
        <f>IF(A244="","",BD_Carga!Q245)</f>
        <v/>
      </c>
      <c r="F244" s="5">
        <f>IF(A244="","",BD_Carga!L245)</f>
        <v/>
      </c>
      <c r="G244">
        <f>IF(A244="","",BD_Carga!N245)</f>
        <v/>
      </c>
      <c r="H244">
        <f>IF(A244="","",BD_Carga!O245)</f>
        <v/>
      </c>
      <c r="I244">
        <f>IF(A244="","",BD_Carga!P245)</f>
        <v/>
      </c>
      <c r="J244">
        <f>IF(A244="","",_xlfn.MAXIFS(BD_Carga!$L:$L,BD_Carga!$C:$C,A244))</f>
        <v/>
      </c>
      <c r="K244" s="11">
        <f>IF(OR(A244="",J244=0),"",F244/J244)</f>
        <v/>
      </c>
      <c r="L244">
        <f>IF(A244="","",BD_Carga!E245)</f>
        <v/>
      </c>
    </row>
    <row r="245">
      <c r="A245">
        <f>IF(BD_Carga!C246="","",BD_Carga!C246)</f>
        <v/>
      </c>
      <c r="B245">
        <f>IF(A245="","",BD_Carga!D246)</f>
        <v/>
      </c>
      <c r="C245" s="2">
        <f>IF(A245="","",BD_Carga!A246)</f>
        <v/>
      </c>
      <c r="D245">
        <f>IF(A245="","",BD_Carga!R246)</f>
        <v/>
      </c>
      <c r="E245">
        <f>IF(A245="","",BD_Carga!Q246)</f>
        <v/>
      </c>
      <c r="F245" s="5">
        <f>IF(A245="","",BD_Carga!L246)</f>
        <v/>
      </c>
      <c r="G245">
        <f>IF(A245="","",BD_Carga!N246)</f>
        <v/>
      </c>
      <c r="H245">
        <f>IF(A245="","",BD_Carga!O246)</f>
        <v/>
      </c>
      <c r="I245">
        <f>IF(A245="","",BD_Carga!P246)</f>
        <v/>
      </c>
      <c r="J245">
        <f>IF(A245="","",_xlfn.MAXIFS(BD_Carga!$L:$L,BD_Carga!$C:$C,A245))</f>
        <v/>
      </c>
      <c r="K245" s="11">
        <f>IF(OR(A245="",J245=0),"",F245/J245)</f>
        <v/>
      </c>
      <c r="L245">
        <f>IF(A245="","",BD_Carga!E246)</f>
        <v/>
      </c>
    </row>
    <row r="246">
      <c r="A246">
        <f>IF(BD_Carga!C247="","",BD_Carga!C247)</f>
        <v/>
      </c>
      <c r="B246">
        <f>IF(A246="","",BD_Carga!D247)</f>
        <v/>
      </c>
      <c r="C246" s="2">
        <f>IF(A246="","",BD_Carga!A247)</f>
        <v/>
      </c>
      <c r="D246">
        <f>IF(A246="","",BD_Carga!R247)</f>
        <v/>
      </c>
      <c r="E246">
        <f>IF(A246="","",BD_Carga!Q247)</f>
        <v/>
      </c>
      <c r="F246" s="5">
        <f>IF(A246="","",BD_Carga!L247)</f>
        <v/>
      </c>
      <c r="G246">
        <f>IF(A246="","",BD_Carga!N247)</f>
        <v/>
      </c>
      <c r="H246">
        <f>IF(A246="","",BD_Carga!O247)</f>
        <v/>
      </c>
      <c r="I246">
        <f>IF(A246="","",BD_Carga!P247)</f>
        <v/>
      </c>
      <c r="J246">
        <f>IF(A246="","",_xlfn.MAXIFS(BD_Carga!$L:$L,BD_Carga!$C:$C,A246))</f>
        <v/>
      </c>
      <c r="K246" s="11">
        <f>IF(OR(A246="",J246=0),"",F246/J246)</f>
        <v/>
      </c>
      <c r="L246">
        <f>IF(A246="","",BD_Carga!E247)</f>
        <v/>
      </c>
    </row>
    <row r="247">
      <c r="A247">
        <f>IF(BD_Carga!C248="","",BD_Carga!C248)</f>
        <v/>
      </c>
      <c r="B247">
        <f>IF(A247="","",BD_Carga!D248)</f>
        <v/>
      </c>
      <c r="C247" s="2">
        <f>IF(A247="","",BD_Carga!A248)</f>
        <v/>
      </c>
      <c r="D247">
        <f>IF(A247="","",BD_Carga!R248)</f>
        <v/>
      </c>
      <c r="E247">
        <f>IF(A247="","",BD_Carga!Q248)</f>
        <v/>
      </c>
      <c r="F247" s="5">
        <f>IF(A247="","",BD_Carga!L248)</f>
        <v/>
      </c>
      <c r="G247">
        <f>IF(A247="","",BD_Carga!N248)</f>
        <v/>
      </c>
      <c r="H247">
        <f>IF(A247="","",BD_Carga!O248)</f>
        <v/>
      </c>
      <c r="I247">
        <f>IF(A247="","",BD_Carga!P248)</f>
        <v/>
      </c>
      <c r="J247">
        <f>IF(A247="","",_xlfn.MAXIFS(BD_Carga!$L:$L,BD_Carga!$C:$C,A247))</f>
        <v/>
      </c>
      <c r="K247" s="11">
        <f>IF(OR(A247="",J247=0),"",F247/J247)</f>
        <v/>
      </c>
      <c r="L247">
        <f>IF(A247="","",BD_Carga!E248)</f>
        <v/>
      </c>
    </row>
    <row r="248">
      <c r="A248">
        <f>IF(BD_Carga!C249="","",BD_Carga!C249)</f>
        <v/>
      </c>
      <c r="B248">
        <f>IF(A248="","",BD_Carga!D249)</f>
        <v/>
      </c>
      <c r="C248" s="2">
        <f>IF(A248="","",BD_Carga!A249)</f>
        <v/>
      </c>
      <c r="D248">
        <f>IF(A248="","",BD_Carga!R249)</f>
        <v/>
      </c>
      <c r="E248">
        <f>IF(A248="","",BD_Carga!Q249)</f>
        <v/>
      </c>
      <c r="F248" s="5">
        <f>IF(A248="","",BD_Carga!L249)</f>
        <v/>
      </c>
      <c r="G248">
        <f>IF(A248="","",BD_Carga!N249)</f>
        <v/>
      </c>
      <c r="H248">
        <f>IF(A248="","",BD_Carga!O249)</f>
        <v/>
      </c>
      <c r="I248">
        <f>IF(A248="","",BD_Carga!P249)</f>
        <v/>
      </c>
      <c r="J248">
        <f>IF(A248="","",_xlfn.MAXIFS(BD_Carga!$L:$L,BD_Carga!$C:$C,A248))</f>
        <v/>
      </c>
      <c r="K248" s="11">
        <f>IF(OR(A248="",J248=0),"",F248/J248)</f>
        <v/>
      </c>
      <c r="L248">
        <f>IF(A248="","",BD_Carga!E249)</f>
        <v/>
      </c>
    </row>
    <row r="249">
      <c r="A249">
        <f>IF(BD_Carga!C250="","",BD_Carga!C250)</f>
        <v/>
      </c>
      <c r="B249">
        <f>IF(A249="","",BD_Carga!D250)</f>
        <v/>
      </c>
      <c r="C249" s="2">
        <f>IF(A249="","",BD_Carga!A250)</f>
        <v/>
      </c>
      <c r="D249">
        <f>IF(A249="","",BD_Carga!R250)</f>
        <v/>
      </c>
      <c r="E249">
        <f>IF(A249="","",BD_Carga!Q250)</f>
        <v/>
      </c>
      <c r="F249" s="5">
        <f>IF(A249="","",BD_Carga!L250)</f>
        <v/>
      </c>
      <c r="G249">
        <f>IF(A249="","",BD_Carga!N250)</f>
        <v/>
      </c>
      <c r="H249">
        <f>IF(A249="","",BD_Carga!O250)</f>
        <v/>
      </c>
      <c r="I249">
        <f>IF(A249="","",BD_Carga!P250)</f>
        <v/>
      </c>
      <c r="J249">
        <f>IF(A249="","",_xlfn.MAXIFS(BD_Carga!$L:$L,BD_Carga!$C:$C,A249))</f>
        <v/>
      </c>
      <c r="K249" s="11">
        <f>IF(OR(A249="",J249=0),"",F249/J249)</f>
        <v/>
      </c>
      <c r="L249">
        <f>IF(A249="","",BD_Carga!E250)</f>
        <v/>
      </c>
    </row>
    <row r="250">
      <c r="A250">
        <f>IF(BD_Carga!C251="","",BD_Carga!C251)</f>
        <v/>
      </c>
      <c r="B250">
        <f>IF(A250="","",BD_Carga!D251)</f>
        <v/>
      </c>
      <c r="C250" s="2">
        <f>IF(A250="","",BD_Carga!A251)</f>
        <v/>
      </c>
      <c r="D250">
        <f>IF(A250="","",BD_Carga!R251)</f>
        <v/>
      </c>
      <c r="E250">
        <f>IF(A250="","",BD_Carga!Q251)</f>
        <v/>
      </c>
      <c r="F250" s="5">
        <f>IF(A250="","",BD_Carga!L251)</f>
        <v/>
      </c>
      <c r="G250">
        <f>IF(A250="","",BD_Carga!N251)</f>
        <v/>
      </c>
      <c r="H250">
        <f>IF(A250="","",BD_Carga!O251)</f>
        <v/>
      </c>
      <c r="I250">
        <f>IF(A250="","",BD_Carga!P251)</f>
        <v/>
      </c>
      <c r="J250">
        <f>IF(A250="","",_xlfn.MAXIFS(BD_Carga!$L:$L,BD_Carga!$C:$C,A250))</f>
        <v/>
      </c>
      <c r="K250" s="11">
        <f>IF(OR(A250="",J250=0),"",F250/J250)</f>
        <v/>
      </c>
      <c r="L250">
        <f>IF(A250="","",BD_Carga!E251)</f>
        <v/>
      </c>
    </row>
    <row r="251">
      <c r="A251">
        <f>IF(BD_Carga!C252="","",BD_Carga!C252)</f>
        <v/>
      </c>
      <c r="B251">
        <f>IF(A251="","",BD_Carga!D252)</f>
        <v/>
      </c>
      <c r="C251" s="2">
        <f>IF(A251="","",BD_Carga!A252)</f>
        <v/>
      </c>
      <c r="D251">
        <f>IF(A251="","",BD_Carga!R252)</f>
        <v/>
      </c>
      <c r="E251">
        <f>IF(A251="","",BD_Carga!Q252)</f>
        <v/>
      </c>
      <c r="F251" s="5">
        <f>IF(A251="","",BD_Carga!L252)</f>
        <v/>
      </c>
      <c r="G251">
        <f>IF(A251="","",BD_Carga!N252)</f>
        <v/>
      </c>
      <c r="H251">
        <f>IF(A251="","",BD_Carga!O252)</f>
        <v/>
      </c>
      <c r="I251">
        <f>IF(A251="","",BD_Carga!P252)</f>
        <v/>
      </c>
      <c r="J251">
        <f>IF(A251="","",_xlfn.MAXIFS(BD_Carga!$L:$L,BD_Carga!$C:$C,A251))</f>
        <v/>
      </c>
      <c r="K251" s="11">
        <f>IF(OR(A251="",J251=0),"",F251/J251)</f>
        <v/>
      </c>
      <c r="L251">
        <f>IF(A251="","",BD_Carga!E252)</f>
        <v/>
      </c>
    </row>
    <row r="252">
      <c r="A252">
        <f>IF(BD_Carga!C253="","",BD_Carga!C253)</f>
        <v/>
      </c>
      <c r="B252">
        <f>IF(A252="","",BD_Carga!D253)</f>
        <v/>
      </c>
      <c r="C252" s="2">
        <f>IF(A252="","",BD_Carga!A253)</f>
        <v/>
      </c>
      <c r="D252">
        <f>IF(A252="","",BD_Carga!R253)</f>
        <v/>
      </c>
      <c r="E252">
        <f>IF(A252="","",BD_Carga!Q253)</f>
        <v/>
      </c>
      <c r="F252" s="5">
        <f>IF(A252="","",BD_Carga!L253)</f>
        <v/>
      </c>
      <c r="G252">
        <f>IF(A252="","",BD_Carga!N253)</f>
        <v/>
      </c>
      <c r="H252">
        <f>IF(A252="","",BD_Carga!O253)</f>
        <v/>
      </c>
      <c r="I252">
        <f>IF(A252="","",BD_Carga!P253)</f>
        <v/>
      </c>
      <c r="J252">
        <f>IF(A252="","",_xlfn.MAXIFS(BD_Carga!$L:$L,BD_Carga!$C:$C,A252))</f>
        <v/>
      </c>
      <c r="K252" s="11">
        <f>IF(OR(A252="",J252=0),"",F252/J252)</f>
        <v/>
      </c>
      <c r="L252">
        <f>IF(A252="","",BD_Carga!E253)</f>
        <v/>
      </c>
    </row>
    <row r="253">
      <c r="A253">
        <f>IF(BD_Carga!C254="","",BD_Carga!C254)</f>
        <v/>
      </c>
      <c r="B253">
        <f>IF(A253="","",BD_Carga!D254)</f>
        <v/>
      </c>
      <c r="C253" s="2">
        <f>IF(A253="","",BD_Carga!A254)</f>
        <v/>
      </c>
      <c r="D253">
        <f>IF(A253="","",BD_Carga!R254)</f>
        <v/>
      </c>
      <c r="E253">
        <f>IF(A253="","",BD_Carga!Q254)</f>
        <v/>
      </c>
      <c r="F253" s="5">
        <f>IF(A253="","",BD_Carga!L254)</f>
        <v/>
      </c>
      <c r="G253">
        <f>IF(A253="","",BD_Carga!N254)</f>
        <v/>
      </c>
      <c r="H253">
        <f>IF(A253="","",BD_Carga!O254)</f>
        <v/>
      </c>
      <c r="I253">
        <f>IF(A253="","",BD_Carga!P254)</f>
        <v/>
      </c>
      <c r="J253">
        <f>IF(A253="","",_xlfn.MAXIFS(BD_Carga!$L:$L,BD_Carga!$C:$C,A253))</f>
        <v/>
      </c>
      <c r="K253" s="11">
        <f>IF(OR(A253="",J253=0),"",F253/J253)</f>
        <v/>
      </c>
      <c r="L253">
        <f>IF(A253="","",BD_Carga!E254)</f>
        <v/>
      </c>
    </row>
    <row r="254">
      <c r="A254">
        <f>IF(BD_Carga!C255="","",BD_Carga!C255)</f>
        <v/>
      </c>
      <c r="B254">
        <f>IF(A254="","",BD_Carga!D255)</f>
        <v/>
      </c>
      <c r="C254" s="2">
        <f>IF(A254="","",BD_Carga!A255)</f>
        <v/>
      </c>
      <c r="D254">
        <f>IF(A254="","",BD_Carga!R255)</f>
        <v/>
      </c>
      <c r="E254">
        <f>IF(A254="","",BD_Carga!Q255)</f>
        <v/>
      </c>
      <c r="F254" s="5">
        <f>IF(A254="","",BD_Carga!L255)</f>
        <v/>
      </c>
      <c r="G254">
        <f>IF(A254="","",BD_Carga!N255)</f>
        <v/>
      </c>
      <c r="H254">
        <f>IF(A254="","",BD_Carga!O255)</f>
        <v/>
      </c>
      <c r="I254">
        <f>IF(A254="","",BD_Carga!P255)</f>
        <v/>
      </c>
      <c r="J254">
        <f>IF(A254="","",_xlfn.MAXIFS(BD_Carga!$L:$L,BD_Carga!$C:$C,A254))</f>
        <v/>
      </c>
      <c r="K254" s="11">
        <f>IF(OR(A254="",J254=0),"",F254/J254)</f>
        <v/>
      </c>
      <c r="L254">
        <f>IF(A254="","",BD_Carga!E255)</f>
        <v/>
      </c>
    </row>
    <row r="255">
      <c r="A255">
        <f>IF(BD_Carga!C256="","",BD_Carga!C256)</f>
        <v/>
      </c>
      <c r="B255">
        <f>IF(A255="","",BD_Carga!D256)</f>
        <v/>
      </c>
      <c r="C255" s="2">
        <f>IF(A255="","",BD_Carga!A256)</f>
        <v/>
      </c>
      <c r="D255">
        <f>IF(A255="","",BD_Carga!R256)</f>
        <v/>
      </c>
      <c r="E255">
        <f>IF(A255="","",BD_Carga!Q256)</f>
        <v/>
      </c>
      <c r="F255" s="5">
        <f>IF(A255="","",BD_Carga!L256)</f>
        <v/>
      </c>
      <c r="G255">
        <f>IF(A255="","",BD_Carga!N256)</f>
        <v/>
      </c>
      <c r="H255">
        <f>IF(A255="","",BD_Carga!O256)</f>
        <v/>
      </c>
      <c r="I255">
        <f>IF(A255="","",BD_Carga!P256)</f>
        <v/>
      </c>
      <c r="J255">
        <f>IF(A255="","",_xlfn.MAXIFS(BD_Carga!$L:$L,BD_Carga!$C:$C,A255))</f>
        <v/>
      </c>
      <c r="K255" s="11">
        <f>IF(OR(A255="",J255=0),"",F255/J255)</f>
        <v/>
      </c>
      <c r="L255">
        <f>IF(A255="","",BD_Carga!E256)</f>
        <v/>
      </c>
    </row>
    <row r="256">
      <c r="A256">
        <f>IF(BD_Carga!C257="","",BD_Carga!C257)</f>
        <v/>
      </c>
      <c r="B256">
        <f>IF(A256="","",BD_Carga!D257)</f>
        <v/>
      </c>
      <c r="C256" s="2">
        <f>IF(A256="","",BD_Carga!A257)</f>
        <v/>
      </c>
      <c r="D256">
        <f>IF(A256="","",BD_Carga!R257)</f>
        <v/>
      </c>
      <c r="E256">
        <f>IF(A256="","",BD_Carga!Q257)</f>
        <v/>
      </c>
      <c r="F256" s="5">
        <f>IF(A256="","",BD_Carga!L257)</f>
        <v/>
      </c>
      <c r="G256">
        <f>IF(A256="","",BD_Carga!N257)</f>
        <v/>
      </c>
      <c r="H256">
        <f>IF(A256="","",BD_Carga!O257)</f>
        <v/>
      </c>
      <c r="I256">
        <f>IF(A256="","",BD_Carga!P257)</f>
        <v/>
      </c>
      <c r="J256">
        <f>IF(A256="","",_xlfn.MAXIFS(BD_Carga!$L:$L,BD_Carga!$C:$C,A256))</f>
        <v/>
      </c>
      <c r="K256" s="11">
        <f>IF(OR(A256="",J256=0),"",F256/J256)</f>
        <v/>
      </c>
      <c r="L256">
        <f>IF(A256="","",BD_Carga!E257)</f>
        <v/>
      </c>
    </row>
    <row r="257">
      <c r="A257">
        <f>IF(BD_Carga!C258="","",BD_Carga!C258)</f>
        <v/>
      </c>
      <c r="B257">
        <f>IF(A257="","",BD_Carga!D258)</f>
        <v/>
      </c>
      <c r="C257" s="2">
        <f>IF(A257="","",BD_Carga!A258)</f>
        <v/>
      </c>
      <c r="D257">
        <f>IF(A257="","",BD_Carga!R258)</f>
        <v/>
      </c>
      <c r="E257">
        <f>IF(A257="","",BD_Carga!Q258)</f>
        <v/>
      </c>
      <c r="F257" s="5">
        <f>IF(A257="","",BD_Carga!L258)</f>
        <v/>
      </c>
      <c r="G257">
        <f>IF(A257="","",BD_Carga!N258)</f>
        <v/>
      </c>
      <c r="H257">
        <f>IF(A257="","",BD_Carga!O258)</f>
        <v/>
      </c>
      <c r="I257">
        <f>IF(A257="","",BD_Carga!P258)</f>
        <v/>
      </c>
      <c r="J257">
        <f>IF(A257="","",_xlfn.MAXIFS(BD_Carga!$L:$L,BD_Carga!$C:$C,A257))</f>
        <v/>
      </c>
      <c r="K257" s="11">
        <f>IF(OR(A257="",J257=0),"",F257/J257)</f>
        <v/>
      </c>
      <c r="L257">
        <f>IF(A257="","",BD_Carga!E258)</f>
        <v/>
      </c>
    </row>
    <row r="258">
      <c r="A258">
        <f>IF(BD_Carga!C259="","",BD_Carga!C259)</f>
        <v/>
      </c>
      <c r="B258">
        <f>IF(A258="","",BD_Carga!D259)</f>
        <v/>
      </c>
      <c r="C258" s="2">
        <f>IF(A258="","",BD_Carga!A259)</f>
        <v/>
      </c>
      <c r="D258">
        <f>IF(A258="","",BD_Carga!R259)</f>
        <v/>
      </c>
      <c r="E258">
        <f>IF(A258="","",BD_Carga!Q259)</f>
        <v/>
      </c>
      <c r="F258" s="5">
        <f>IF(A258="","",BD_Carga!L259)</f>
        <v/>
      </c>
      <c r="G258">
        <f>IF(A258="","",BD_Carga!N259)</f>
        <v/>
      </c>
      <c r="H258">
        <f>IF(A258="","",BD_Carga!O259)</f>
        <v/>
      </c>
      <c r="I258">
        <f>IF(A258="","",BD_Carga!P259)</f>
        <v/>
      </c>
      <c r="J258">
        <f>IF(A258="","",_xlfn.MAXIFS(BD_Carga!$L:$L,BD_Carga!$C:$C,A258))</f>
        <v/>
      </c>
      <c r="K258" s="11">
        <f>IF(OR(A258="",J258=0),"",F258/J258)</f>
        <v/>
      </c>
      <c r="L258">
        <f>IF(A258="","",BD_Carga!E259)</f>
        <v/>
      </c>
    </row>
    <row r="259">
      <c r="A259">
        <f>IF(BD_Carga!C260="","",BD_Carga!C260)</f>
        <v/>
      </c>
      <c r="B259">
        <f>IF(A259="","",BD_Carga!D260)</f>
        <v/>
      </c>
      <c r="C259" s="2">
        <f>IF(A259="","",BD_Carga!A260)</f>
        <v/>
      </c>
      <c r="D259">
        <f>IF(A259="","",BD_Carga!R260)</f>
        <v/>
      </c>
      <c r="E259">
        <f>IF(A259="","",BD_Carga!Q260)</f>
        <v/>
      </c>
      <c r="F259" s="5">
        <f>IF(A259="","",BD_Carga!L260)</f>
        <v/>
      </c>
      <c r="G259">
        <f>IF(A259="","",BD_Carga!N260)</f>
        <v/>
      </c>
      <c r="H259">
        <f>IF(A259="","",BD_Carga!O260)</f>
        <v/>
      </c>
      <c r="I259">
        <f>IF(A259="","",BD_Carga!P260)</f>
        <v/>
      </c>
      <c r="J259">
        <f>IF(A259="","",_xlfn.MAXIFS(BD_Carga!$L:$L,BD_Carga!$C:$C,A259))</f>
        <v/>
      </c>
      <c r="K259" s="11">
        <f>IF(OR(A259="",J259=0),"",F259/J259)</f>
        <v/>
      </c>
      <c r="L259">
        <f>IF(A259="","",BD_Carga!E260)</f>
        <v/>
      </c>
    </row>
    <row r="260">
      <c r="A260">
        <f>IF(BD_Carga!C261="","",BD_Carga!C261)</f>
        <v/>
      </c>
      <c r="B260">
        <f>IF(A260="","",BD_Carga!D261)</f>
        <v/>
      </c>
      <c r="C260" s="2">
        <f>IF(A260="","",BD_Carga!A261)</f>
        <v/>
      </c>
      <c r="D260">
        <f>IF(A260="","",BD_Carga!R261)</f>
        <v/>
      </c>
      <c r="E260">
        <f>IF(A260="","",BD_Carga!Q261)</f>
        <v/>
      </c>
      <c r="F260" s="5">
        <f>IF(A260="","",BD_Carga!L261)</f>
        <v/>
      </c>
      <c r="G260">
        <f>IF(A260="","",BD_Carga!N261)</f>
        <v/>
      </c>
      <c r="H260">
        <f>IF(A260="","",BD_Carga!O261)</f>
        <v/>
      </c>
      <c r="I260">
        <f>IF(A260="","",BD_Carga!P261)</f>
        <v/>
      </c>
      <c r="J260">
        <f>IF(A260="","",_xlfn.MAXIFS(BD_Carga!$L:$L,BD_Carga!$C:$C,A260))</f>
        <v/>
      </c>
      <c r="K260" s="11">
        <f>IF(OR(A260="",J260=0),"",F260/J260)</f>
        <v/>
      </c>
      <c r="L260">
        <f>IF(A260="","",BD_Carga!E261)</f>
        <v/>
      </c>
    </row>
    <row r="261">
      <c r="A261">
        <f>IF(BD_Carga!C262="","",BD_Carga!C262)</f>
        <v/>
      </c>
      <c r="B261">
        <f>IF(A261="","",BD_Carga!D262)</f>
        <v/>
      </c>
      <c r="C261" s="2">
        <f>IF(A261="","",BD_Carga!A262)</f>
        <v/>
      </c>
      <c r="D261">
        <f>IF(A261="","",BD_Carga!R262)</f>
        <v/>
      </c>
      <c r="E261">
        <f>IF(A261="","",BD_Carga!Q262)</f>
        <v/>
      </c>
      <c r="F261" s="5">
        <f>IF(A261="","",BD_Carga!L262)</f>
        <v/>
      </c>
      <c r="G261">
        <f>IF(A261="","",BD_Carga!N262)</f>
        <v/>
      </c>
      <c r="H261">
        <f>IF(A261="","",BD_Carga!O262)</f>
        <v/>
      </c>
      <c r="I261">
        <f>IF(A261="","",BD_Carga!P262)</f>
        <v/>
      </c>
      <c r="J261">
        <f>IF(A261="","",_xlfn.MAXIFS(BD_Carga!$L:$L,BD_Carga!$C:$C,A261))</f>
        <v/>
      </c>
      <c r="K261" s="11">
        <f>IF(OR(A261="",J261=0),"",F261/J261)</f>
        <v/>
      </c>
      <c r="L261">
        <f>IF(A261="","",BD_Carga!E262)</f>
        <v/>
      </c>
    </row>
    <row r="262">
      <c r="A262">
        <f>IF(BD_Carga!C263="","",BD_Carga!C263)</f>
        <v/>
      </c>
      <c r="B262">
        <f>IF(A262="","",BD_Carga!D263)</f>
        <v/>
      </c>
      <c r="C262" s="2">
        <f>IF(A262="","",BD_Carga!A263)</f>
        <v/>
      </c>
      <c r="D262">
        <f>IF(A262="","",BD_Carga!R263)</f>
        <v/>
      </c>
      <c r="E262">
        <f>IF(A262="","",BD_Carga!Q263)</f>
        <v/>
      </c>
      <c r="F262" s="5">
        <f>IF(A262="","",BD_Carga!L263)</f>
        <v/>
      </c>
      <c r="G262">
        <f>IF(A262="","",BD_Carga!N263)</f>
        <v/>
      </c>
      <c r="H262">
        <f>IF(A262="","",BD_Carga!O263)</f>
        <v/>
      </c>
      <c r="I262">
        <f>IF(A262="","",BD_Carga!P263)</f>
        <v/>
      </c>
      <c r="J262">
        <f>IF(A262="","",_xlfn.MAXIFS(BD_Carga!$L:$L,BD_Carga!$C:$C,A262))</f>
        <v/>
      </c>
      <c r="K262" s="11">
        <f>IF(OR(A262="",J262=0),"",F262/J262)</f>
        <v/>
      </c>
      <c r="L262">
        <f>IF(A262="","",BD_Carga!E263)</f>
        <v/>
      </c>
    </row>
    <row r="263">
      <c r="A263">
        <f>IF(BD_Carga!C264="","",BD_Carga!C264)</f>
        <v/>
      </c>
      <c r="B263">
        <f>IF(A263="","",BD_Carga!D264)</f>
        <v/>
      </c>
      <c r="C263" s="2">
        <f>IF(A263="","",BD_Carga!A264)</f>
        <v/>
      </c>
      <c r="D263">
        <f>IF(A263="","",BD_Carga!R264)</f>
        <v/>
      </c>
      <c r="E263">
        <f>IF(A263="","",BD_Carga!Q264)</f>
        <v/>
      </c>
      <c r="F263" s="5">
        <f>IF(A263="","",BD_Carga!L264)</f>
        <v/>
      </c>
      <c r="G263">
        <f>IF(A263="","",BD_Carga!N264)</f>
        <v/>
      </c>
      <c r="H263">
        <f>IF(A263="","",BD_Carga!O264)</f>
        <v/>
      </c>
      <c r="I263">
        <f>IF(A263="","",BD_Carga!P264)</f>
        <v/>
      </c>
      <c r="J263">
        <f>IF(A263="","",_xlfn.MAXIFS(BD_Carga!$L:$L,BD_Carga!$C:$C,A263))</f>
        <v/>
      </c>
      <c r="K263" s="11">
        <f>IF(OR(A263="",J263=0),"",F263/J263)</f>
        <v/>
      </c>
      <c r="L263">
        <f>IF(A263="","",BD_Carga!E264)</f>
        <v/>
      </c>
    </row>
    <row r="264">
      <c r="A264">
        <f>IF(BD_Carga!C265="","",BD_Carga!C265)</f>
        <v/>
      </c>
      <c r="B264">
        <f>IF(A264="","",BD_Carga!D265)</f>
        <v/>
      </c>
      <c r="C264" s="2">
        <f>IF(A264="","",BD_Carga!A265)</f>
        <v/>
      </c>
      <c r="D264">
        <f>IF(A264="","",BD_Carga!R265)</f>
        <v/>
      </c>
      <c r="E264">
        <f>IF(A264="","",BD_Carga!Q265)</f>
        <v/>
      </c>
      <c r="F264" s="5">
        <f>IF(A264="","",BD_Carga!L265)</f>
        <v/>
      </c>
      <c r="G264">
        <f>IF(A264="","",BD_Carga!N265)</f>
        <v/>
      </c>
      <c r="H264">
        <f>IF(A264="","",BD_Carga!O265)</f>
        <v/>
      </c>
      <c r="I264">
        <f>IF(A264="","",BD_Carga!P265)</f>
        <v/>
      </c>
      <c r="J264">
        <f>IF(A264="","",_xlfn.MAXIFS(BD_Carga!$L:$L,BD_Carga!$C:$C,A264))</f>
        <v/>
      </c>
      <c r="K264" s="11">
        <f>IF(OR(A264="",J264=0),"",F264/J264)</f>
        <v/>
      </c>
      <c r="L264">
        <f>IF(A264="","",BD_Carga!E265)</f>
        <v/>
      </c>
    </row>
    <row r="265">
      <c r="A265">
        <f>IF(BD_Carga!C266="","",BD_Carga!C266)</f>
        <v/>
      </c>
      <c r="B265">
        <f>IF(A265="","",BD_Carga!D266)</f>
        <v/>
      </c>
      <c r="C265" s="2">
        <f>IF(A265="","",BD_Carga!A266)</f>
        <v/>
      </c>
      <c r="D265">
        <f>IF(A265="","",BD_Carga!R266)</f>
        <v/>
      </c>
      <c r="E265">
        <f>IF(A265="","",BD_Carga!Q266)</f>
        <v/>
      </c>
      <c r="F265" s="5">
        <f>IF(A265="","",BD_Carga!L266)</f>
        <v/>
      </c>
      <c r="G265">
        <f>IF(A265="","",BD_Carga!N266)</f>
        <v/>
      </c>
      <c r="H265">
        <f>IF(A265="","",BD_Carga!O266)</f>
        <v/>
      </c>
      <c r="I265">
        <f>IF(A265="","",BD_Carga!P266)</f>
        <v/>
      </c>
      <c r="J265">
        <f>IF(A265="","",_xlfn.MAXIFS(BD_Carga!$L:$L,BD_Carga!$C:$C,A265))</f>
        <v/>
      </c>
      <c r="K265" s="11">
        <f>IF(OR(A265="",J265=0),"",F265/J265)</f>
        <v/>
      </c>
      <c r="L265">
        <f>IF(A265="","",BD_Carga!E266)</f>
        <v/>
      </c>
    </row>
    <row r="266">
      <c r="A266">
        <f>IF(BD_Carga!C267="","",BD_Carga!C267)</f>
        <v/>
      </c>
      <c r="B266">
        <f>IF(A266="","",BD_Carga!D267)</f>
        <v/>
      </c>
      <c r="C266" s="2">
        <f>IF(A266="","",BD_Carga!A267)</f>
        <v/>
      </c>
      <c r="D266">
        <f>IF(A266="","",BD_Carga!R267)</f>
        <v/>
      </c>
      <c r="E266">
        <f>IF(A266="","",BD_Carga!Q267)</f>
        <v/>
      </c>
      <c r="F266" s="5">
        <f>IF(A266="","",BD_Carga!L267)</f>
        <v/>
      </c>
      <c r="G266">
        <f>IF(A266="","",BD_Carga!N267)</f>
        <v/>
      </c>
      <c r="H266">
        <f>IF(A266="","",BD_Carga!O267)</f>
        <v/>
      </c>
      <c r="I266">
        <f>IF(A266="","",BD_Carga!P267)</f>
        <v/>
      </c>
      <c r="J266">
        <f>IF(A266="","",_xlfn.MAXIFS(BD_Carga!$L:$L,BD_Carga!$C:$C,A266))</f>
        <v/>
      </c>
      <c r="K266" s="11">
        <f>IF(OR(A266="",J266=0),"",F266/J266)</f>
        <v/>
      </c>
      <c r="L266">
        <f>IF(A266="","",BD_Carga!E267)</f>
        <v/>
      </c>
    </row>
    <row r="267">
      <c r="A267">
        <f>IF(BD_Carga!C268="","",BD_Carga!C268)</f>
        <v/>
      </c>
      <c r="B267">
        <f>IF(A267="","",BD_Carga!D268)</f>
        <v/>
      </c>
      <c r="C267" s="2">
        <f>IF(A267="","",BD_Carga!A268)</f>
        <v/>
      </c>
      <c r="D267">
        <f>IF(A267="","",BD_Carga!R268)</f>
        <v/>
      </c>
      <c r="E267">
        <f>IF(A267="","",BD_Carga!Q268)</f>
        <v/>
      </c>
      <c r="F267" s="5">
        <f>IF(A267="","",BD_Carga!L268)</f>
        <v/>
      </c>
      <c r="G267">
        <f>IF(A267="","",BD_Carga!N268)</f>
        <v/>
      </c>
      <c r="H267">
        <f>IF(A267="","",BD_Carga!O268)</f>
        <v/>
      </c>
      <c r="I267">
        <f>IF(A267="","",BD_Carga!P268)</f>
        <v/>
      </c>
      <c r="J267">
        <f>IF(A267="","",_xlfn.MAXIFS(BD_Carga!$L:$L,BD_Carga!$C:$C,A267))</f>
        <v/>
      </c>
      <c r="K267" s="11">
        <f>IF(OR(A267="",J267=0),"",F267/J267)</f>
        <v/>
      </c>
      <c r="L267">
        <f>IF(A267="","",BD_Carga!E268)</f>
        <v/>
      </c>
    </row>
    <row r="268">
      <c r="A268">
        <f>IF(BD_Carga!C269="","",BD_Carga!C269)</f>
        <v/>
      </c>
      <c r="B268">
        <f>IF(A268="","",BD_Carga!D269)</f>
        <v/>
      </c>
      <c r="C268" s="2">
        <f>IF(A268="","",BD_Carga!A269)</f>
        <v/>
      </c>
      <c r="D268">
        <f>IF(A268="","",BD_Carga!R269)</f>
        <v/>
      </c>
      <c r="E268">
        <f>IF(A268="","",BD_Carga!Q269)</f>
        <v/>
      </c>
      <c r="F268" s="5">
        <f>IF(A268="","",BD_Carga!L269)</f>
        <v/>
      </c>
      <c r="G268">
        <f>IF(A268="","",BD_Carga!N269)</f>
        <v/>
      </c>
      <c r="H268">
        <f>IF(A268="","",BD_Carga!O269)</f>
        <v/>
      </c>
      <c r="I268">
        <f>IF(A268="","",BD_Carga!P269)</f>
        <v/>
      </c>
      <c r="J268">
        <f>IF(A268="","",_xlfn.MAXIFS(BD_Carga!$L:$L,BD_Carga!$C:$C,A268))</f>
        <v/>
      </c>
      <c r="K268" s="11">
        <f>IF(OR(A268="",J268=0),"",F268/J268)</f>
        <v/>
      </c>
      <c r="L268">
        <f>IF(A268="","",BD_Carga!E269)</f>
        <v/>
      </c>
    </row>
    <row r="269">
      <c r="A269">
        <f>IF(BD_Carga!C270="","",BD_Carga!C270)</f>
        <v/>
      </c>
      <c r="B269">
        <f>IF(A269="","",BD_Carga!D270)</f>
        <v/>
      </c>
      <c r="C269" s="2">
        <f>IF(A269="","",BD_Carga!A270)</f>
        <v/>
      </c>
      <c r="D269">
        <f>IF(A269="","",BD_Carga!R270)</f>
        <v/>
      </c>
      <c r="E269">
        <f>IF(A269="","",BD_Carga!Q270)</f>
        <v/>
      </c>
      <c r="F269" s="5">
        <f>IF(A269="","",BD_Carga!L270)</f>
        <v/>
      </c>
      <c r="G269">
        <f>IF(A269="","",BD_Carga!N270)</f>
        <v/>
      </c>
      <c r="H269">
        <f>IF(A269="","",BD_Carga!O270)</f>
        <v/>
      </c>
      <c r="I269">
        <f>IF(A269="","",BD_Carga!P270)</f>
        <v/>
      </c>
      <c r="J269">
        <f>IF(A269="","",_xlfn.MAXIFS(BD_Carga!$L:$L,BD_Carga!$C:$C,A269))</f>
        <v/>
      </c>
      <c r="K269" s="11">
        <f>IF(OR(A269="",J269=0),"",F269/J269)</f>
        <v/>
      </c>
      <c r="L269">
        <f>IF(A269="","",BD_Carga!E270)</f>
        <v/>
      </c>
    </row>
    <row r="270">
      <c r="A270">
        <f>IF(BD_Carga!C271="","",BD_Carga!C271)</f>
        <v/>
      </c>
      <c r="B270">
        <f>IF(A270="","",BD_Carga!D271)</f>
        <v/>
      </c>
      <c r="C270" s="2">
        <f>IF(A270="","",BD_Carga!A271)</f>
        <v/>
      </c>
      <c r="D270">
        <f>IF(A270="","",BD_Carga!R271)</f>
        <v/>
      </c>
      <c r="E270">
        <f>IF(A270="","",BD_Carga!Q271)</f>
        <v/>
      </c>
      <c r="F270" s="5">
        <f>IF(A270="","",BD_Carga!L271)</f>
        <v/>
      </c>
      <c r="G270">
        <f>IF(A270="","",BD_Carga!N271)</f>
        <v/>
      </c>
      <c r="H270">
        <f>IF(A270="","",BD_Carga!O271)</f>
        <v/>
      </c>
      <c r="I270">
        <f>IF(A270="","",BD_Carga!P271)</f>
        <v/>
      </c>
      <c r="J270">
        <f>IF(A270="","",_xlfn.MAXIFS(BD_Carga!$L:$L,BD_Carga!$C:$C,A270))</f>
        <v/>
      </c>
      <c r="K270" s="11">
        <f>IF(OR(A270="",J270=0),"",F270/J270)</f>
        <v/>
      </c>
      <c r="L270">
        <f>IF(A270="","",BD_Carga!E271)</f>
        <v/>
      </c>
    </row>
    <row r="271">
      <c r="A271">
        <f>IF(BD_Carga!C272="","",BD_Carga!C272)</f>
        <v/>
      </c>
      <c r="B271">
        <f>IF(A271="","",BD_Carga!D272)</f>
        <v/>
      </c>
      <c r="C271" s="2">
        <f>IF(A271="","",BD_Carga!A272)</f>
        <v/>
      </c>
      <c r="D271">
        <f>IF(A271="","",BD_Carga!R272)</f>
        <v/>
      </c>
      <c r="E271">
        <f>IF(A271="","",BD_Carga!Q272)</f>
        <v/>
      </c>
      <c r="F271" s="5">
        <f>IF(A271="","",BD_Carga!L272)</f>
        <v/>
      </c>
      <c r="G271">
        <f>IF(A271="","",BD_Carga!N272)</f>
        <v/>
      </c>
      <c r="H271">
        <f>IF(A271="","",BD_Carga!O272)</f>
        <v/>
      </c>
      <c r="I271">
        <f>IF(A271="","",BD_Carga!P272)</f>
        <v/>
      </c>
      <c r="J271">
        <f>IF(A271="","",_xlfn.MAXIFS(BD_Carga!$L:$L,BD_Carga!$C:$C,A271))</f>
        <v/>
      </c>
      <c r="K271" s="11">
        <f>IF(OR(A271="",J271=0),"",F271/J271)</f>
        <v/>
      </c>
      <c r="L271">
        <f>IF(A271="","",BD_Carga!E272)</f>
        <v/>
      </c>
    </row>
    <row r="272">
      <c r="A272">
        <f>IF(BD_Carga!C273="","",BD_Carga!C273)</f>
        <v/>
      </c>
      <c r="B272">
        <f>IF(A272="","",BD_Carga!D273)</f>
        <v/>
      </c>
      <c r="C272" s="2">
        <f>IF(A272="","",BD_Carga!A273)</f>
        <v/>
      </c>
      <c r="D272">
        <f>IF(A272="","",BD_Carga!R273)</f>
        <v/>
      </c>
      <c r="E272">
        <f>IF(A272="","",BD_Carga!Q273)</f>
        <v/>
      </c>
      <c r="F272" s="5">
        <f>IF(A272="","",BD_Carga!L273)</f>
        <v/>
      </c>
      <c r="G272">
        <f>IF(A272="","",BD_Carga!N273)</f>
        <v/>
      </c>
      <c r="H272">
        <f>IF(A272="","",BD_Carga!O273)</f>
        <v/>
      </c>
      <c r="I272">
        <f>IF(A272="","",BD_Carga!P273)</f>
        <v/>
      </c>
      <c r="J272">
        <f>IF(A272="","",_xlfn.MAXIFS(BD_Carga!$L:$L,BD_Carga!$C:$C,A272))</f>
        <v/>
      </c>
      <c r="K272" s="11">
        <f>IF(OR(A272="",J272=0),"",F272/J272)</f>
        <v/>
      </c>
      <c r="L272">
        <f>IF(A272="","",BD_Carga!E273)</f>
        <v/>
      </c>
    </row>
    <row r="273">
      <c r="A273">
        <f>IF(BD_Carga!C274="","",BD_Carga!C274)</f>
        <v/>
      </c>
      <c r="B273">
        <f>IF(A273="","",BD_Carga!D274)</f>
        <v/>
      </c>
      <c r="C273" s="2">
        <f>IF(A273="","",BD_Carga!A274)</f>
        <v/>
      </c>
      <c r="D273">
        <f>IF(A273="","",BD_Carga!R274)</f>
        <v/>
      </c>
      <c r="E273">
        <f>IF(A273="","",BD_Carga!Q274)</f>
        <v/>
      </c>
      <c r="F273" s="5">
        <f>IF(A273="","",BD_Carga!L274)</f>
        <v/>
      </c>
      <c r="G273">
        <f>IF(A273="","",BD_Carga!N274)</f>
        <v/>
      </c>
      <c r="H273">
        <f>IF(A273="","",BD_Carga!O274)</f>
        <v/>
      </c>
      <c r="I273">
        <f>IF(A273="","",BD_Carga!P274)</f>
        <v/>
      </c>
      <c r="J273">
        <f>IF(A273="","",_xlfn.MAXIFS(BD_Carga!$L:$L,BD_Carga!$C:$C,A273))</f>
        <v/>
      </c>
      <c r="K273" s="11">
        <f>IF(OR(A273="",J273=0),"",F273/J273)</f>
        <v/>
      </c>
      <c r="L273">
        <f>IF(A273="","",BD_Carga!E274)</f>
        <v/>
      </c>
    </row>
    <row r="274">
      <c r="A274">
        <f>IF(BD_Carga!C275="","",BD_Carga!C275)</f>
        <v/>
      </c>
      <c r="B274">
        <f>IF(A274="","",BD_Carga!D275)</f>
        <v/>
      </c>
      <c r="C274" s="2">
        <f>IF(A274="","",BD_Carga!A275)</f>
        <v/>
      </c>
      <c r="D274">
        <f>IF(A274="","",BD_Carga!R275)</f>
        <v/>
      </c>
      <c r="E274">
        <f>IF(A274="","",BD_Carga!Q275)</f>
        <v/>
      </c>
      <c r="F274" s="5">
        <f>IF(A274="","",BD_Carga!L275)</f>
        <v/>
      </c>
      <c r="G274">
        <f>IF(A274="","",BD_Carga!N275)</f>
        <v/>
      </c>
      <c r="H274">
        <f>IF(A274="","",BD_Carga!O275)</f>
        <v/>
      </c>
      <c r="I274">
        <f>IF(A274="","",BD_Carga!P275)</f>
        <v/>
      </c>
      <c r="J274">
        <f>IF(A274="","",_xlfn.MAXIFS(BD_Carga!$L:$L,BD_Carga!$C:$C,A274))</f>
        <v/>
      </c>
      <c r="K274" s="11">
        <f>IF(OR(A274="",J274=0),"",F274/J274)</f>
        <v/>
      </c>
      <c r="L274">
        <f>IF(A274="","",BD_Carga!E275)</f>
        <v/>
      </c>
    </row>
    <row r="275">
      <c r="A275">
        <f>IF(BD_Carga!C276="","",BD_Carga!C276)</f>
        <v/>
      </c>
      <c r="B275">
        <f>IF(A275="","",BD_Carga!D276)</f>
        <v/>
      </c>
      <c r="C275" s="2">
        <f>IF(A275="","",BD_Carga!A276)</f>
        <v/>
      </c>
      <c r="D275">
        <f>IF(A275="","",BD_Carga!R276)</f>
        <v/>
      </c>
      <c r="E275">
        <f>IF(A275="","",BD_Carga!Q276)</f>
        <v/>
      </c>
      <c r="F275" s="5">
        <f>IF(A275="","",BD_Carga!L276)</f>
        <v/>
      </c>
      <c r="G275">
        <f>IF(A275="","",BD_Carga!N276)</f>
        <v/>
      </c>
      <c r="H275">
        <f>IF(A275="","",BD_Carga!O276)</f>
        <v/>
      </c>
      <c r="I275">
        <f>IF(A275="","",BD_Carga!P276)</f>
        <v/>
      </c>
      <c r="J275">
        <f>IF(A275="","",_xlfn.MAXIFS(BD_Carga!$L:$L,BD_Carga!$C:$C,A275))</f>
        <v/>
      </c>
      <c r="K275" s="11">
        <f>IF(OR(A275="",J275=0),"",F275/J275)</f>
        <v/>
      </c>
      <c r="L275">
        <f>IF(A275="","",BD_Carga!E276)</f>
        <v/>
      </c>
    </row>
    <row r="276">
      <c r="A276">
        <f>IF(BD_Carga!C277="","",BD_Carga!C277)</f>
        <v/>
      </c>
      <c r="B276">
        <f>IF(A276="","",BD_Carga!D277)</f>
        <v/>
      </c>
      <c r="C276" s="2">
        <f>IF(A276="","",BD_Carga!A277)</f>
        <v/>
      </c>
      <c r="D276">
        <f>IF(A276="","",BD_Carga!R277)</f>
        <v/>
      </c>
      <c r="E276">
        <f>IF(A276="","",BD_Carga!Q277)</f>
        <v/>
      </c>
      <c r="F276" s="5">
        <f>IF(A276="","",BD_Carga!L277)</f>
        <v/>
      </c>
      <c r="G276">
        <f>IF(A276="","",BD_Carga!N277)</f>
        <v/>
      </c>
      <c r="H276">
        <f>IF(A276="","",BD_Carga!O277)</f>
        <v/>
      </c>
      <c r="I276">
        <f>IF(A276="","",BD_Carga!P277)</f>
        <v/>
      </c>
      <c r="J276">
        <f>IF(A276="","",_xlfn.MAXIFS(BD_Carga!$L:$L,BD_Carga!$C:$C,A276))</f>
        <v/>
      </c>
      <c r="K276" s="11">
        <f>IF(OR(A276="",J276=0),"",F276/J276)</f>
        <v/>
      </c>
      <c r="L276">
        <f>IF(A276="","",BD_Carga!E277)</f>
        <v/>
      </c>
    </row>
    <row r="277">
      <c r="A277">
        <f>IF(BD_Carga!C278="","",BD_Carga!C278)</f>
        <v/>
      </c>
      <c r="B277">
        <f>IF(A277="","",BD_Carga!D278)</f>
        <v/>
      </c>
      <c r="C277" s="2">
        <f>IF(A277="","",BD_Carga!A278)</f>
        <v/>
      </c>
      <c r="D277">
        <f>IF(A277="","",BD_Carga!R278)</f>
        <v/>
      </c>
      <c r="E277">
        <f>IF(A277="","",BD_Carga!Q278)</f>
        <v/>
      </c>
      <c r="F277" s="5">
        <f>IF(A277="","",BD_Carga!L278)</f>
        <v/>
      </c>
      <c r="G277">
        <f>IF(A277="","",BD_Carga!N278)</f>
        <v/>
      </c>
      <c r="H277">
        <f>IF(A277="","",BD_Carga!O278)</f>
        <v/>
      </c>
      <c r="I277">
        <f>IF(A277="","",BD_Carga!P278)</f>
        <v/>
      </c>
      <c r="J277">
        <f>IF(A277="","",_xlfn.MAXIFS(BD_Carga!$L:$L,BD_Carga!$C:$C,A277))</f>
        <v/>
      </c>
      <c r="K277" s="11">
        <f>IF(OR(A277="",J277=0),"",F277/J277)</f>
        <v/>
      </c>
      <c r="L277">
        <f>IF(A277="","",BD_Carga!E278)</f>
        <v/>
      </c>
    </row>
    <row r="278">
      <c r="A278">
        <f>IF(BD_Carga!C279="","",BD_Carga!C279)</f>
        <v/>
      </c>
      <c r="B278">
        <f>IF(A278="","",BD_Carga!D279)</f>
        <v/>
      </c>
      <c r="C278" s="2">
        <f>IF(A278="","",BD_Carga!A279)</f>
        <v/>
      </c>
      <c r="D278">
        <f>IF(A278="","",BD_Carga!R279)</f>
        <v/>
      </c>
      <c r="E278">
        <f>IF(A278="","",BD_Carga!Q279)</f>
        <v/>
      </c>
      <c r="F278" s="5">
        <f>IF(A278="","",BD_Carga!L279)</f>
        <v/>
      </c>
      <c r="G278">
        <f>IF(A278="","",BD_Carga!N279)</f>
        <v/>
      </c>
      <c r="H278">
        <f>IF(A278="","",BD_Carga!O279)</f>
        <v/>
      </c>
      <c r="I278">
        <f>IF(A278="","",BD_Carga!P279)</f>
        <v/>
      </c>
      <c r="J278">
        <f>IF(A278="","",_xlfn.MAXIFS(BD_Carga!$L:$L,BD_Carga!$C:$C,A278))</f>
        <v/>
      </c>
      <c r="K278" s="11">
        <f>IF(OR(A278="",J278=0),"",F278/J278)</f>
        <v/>
      </c>
      <c r="L278">
        <f>IF(A278="","",BD_Carga!E279)</f>
        <v/>
      </c>
    </row>
    <row r="279">
      <c r="A279">
        <f>IF(BD_Carga!C280="","",BD_Carga!C280)</f>
        <v/>
      </c>
      <c r="B279">
        <f>IF(A279="","",BD_Carga!D280)</f>
        <v/>
      </c>
      <c r="C279" s="2">
        <f>IF(A279="","",BD_Carga!A280)</f>
        <v/>
      </c>
      <c r="D279">
        <f>IF(A279="","",BD_Carga!R280)</f>
        <v/>
      </c>
      <c r="E279">
        <f>IF(A279="","",BD_Carga!Q280)</f>
        <v/>
      </c>
      <c r="F279" s="5">
        <f>IF(A279="","",BD_Carga!L280)</f>
        <v/>
      </c>
      <c r="G279">
        <f>IF(A279="","",BD_Carga!N280)</f>
        <v/>
      </c>
      <c r="H279">
        <f>IF(A279="","",BD_Carga!O280)</f>
        <v/>
      </c>
      <c r="I279">
        <f>IF(A279="","",BD_Carga!P280)</f>
        <v/>
      </c>
      <c r="J279">
        <f>IF(A279="","",_xlfn.MAXIFS(BD_Carga!$L:$L,BD_Carga!$C:$C,A279))</f>
        <v/>
      </c>
      <c r="K279" s="11">
        <f>IF(OR(A279="",J279=0),"",F279/J279)</f>
        <v/>
      </c>
      <c r="L279">
        <f>IF(A279="","",BD_Carga!E280)</f>
        <v/>
      </c>
    </row>
    <row r="280">
      <c r="A280">
        <f>IF(BD_Carga!C281="","",BD_Carga!C281)</f>
        <v/>
      </c>
      <c r="B280">
        <f>IF(A280="","",BD_Carga!D281)</f>
        <v/>
      </c>
      <c r="C280" s="2">
        <f>IF(A280="","",BD_Carga!A281)</f>
        <v/>
      </c>
      <c r="D280">
        <f>IF(A280="","",BD_Carga!R281)</f>
        <v/>
      </c>
      <c r="E280">
        <f>IF(A280="","",BD_Carga!Q281)</f>
        <v/>
      </c>
      <c r="F280" s="5">
        <f>IF(A280="","",BD_Carga!L281)</f>
        <v/>
      </c>
      <c r="G280">
        <f>IF(A280="","",BD_Carga!N281)</f>
        <v/>
      </c>
      <c r="H280">
        <f>IF(A280="","",BD_Carga!O281)</f>
        <v/>
      </c>
      <c r="I280">
        <f>IF(A280="","",BD_Carga!P281)</f>
        <v/>
      </c>
      <c r="J280">
        <f>IF(A280="","",_xlfn.MAXIFS(BD_Carga!$L:$L,BD_Carga!$C:$C,A280))</f>
        <v/>
      </c>
      <c r="K280" s="11">
        <f>IF(OR(A280="",J280=0),"",F280/J280)</f>
        <v/>
      </c>
      <c r="L280">
        <f>IF(A280="","",BD_Carga!E281)</f>
        <v/>
      </c>
    </row>
    <row r="281">
      <c r="A281">
        <f>IF(BD_Carga!C282="","",BD_Carga!C282)</f>
        <v/>
      </c>
      <c r="B281">
        <f>IF(A281="","",BD_Carga!D282)</f>
        <v/>
      </c>
      <c r="C281" s="2">
        <f>IF(A281="","",BD_Carga!A282)</f>
        <v/>
      </c>
      <c r="D281">
        <f>IF(A281="","",BD_Carga!R282)</f>
        <v/>
      </c>
      <c r="E281">
        <f>IF(A281="","",BD_Carga!Q282)</f>
        <v/>
      </c>
      <c r="F281" s="5">
        <f>IF(A281="","",BD_Carga!L282)</f>
        <v/>
      </c>
      <c r="G281">
        <f>IF(A281="","",BD_Carga!N282)</f>
        <v/>
      </c>
      <c r="H281">
        <f>IF(A281="","",BD_Carga!O282)</f>
        <v/>
      </c>
      <c r="I281">
        <f>IF(A281="","",BD_Carga!P282)</f>
        <v/>
      </c>
      <c r="J281">
        <f>IF(A281="","",_xlfn.MAXIFS(BD_Carga!$L:$L,BD_Carga!$C:$C,A281))</f>
        <v/>
      </c>
      <c r="K281" s="11">
        <f>IF(OR(A281="",J281=0),"",F281/J281)</f>
        <v/>
      </c>
      <c r="L281">
        <f>IF(A281="","",BD_Carga!E282)</f>
        <v/>
      </c>
    </row>
    <row r="282">
      <c r="A282">
        <f>IF(BD_Carga!C283="","",BD_Carga!C283)</f>
        <v/>
      </c>
      <c r="B282">
        <f>IF(A282="","",BD_Carga!D283)</f>
        <v/>
      </c>
      <c r="C282" s="2">
        <f>IF(A282="","",BD_Carga!A283)</f>
        <v/>
      </c>
      <c r="D282">
        <f>IF(A282="","",BD_Carga!R283)</f>
        <v/>
      </c>
      <c r="E282">
        <f>IF(A282="","",BD_Carga!Q283)</f>
        <v/>
      </c>
      <c r="F282" s="5">
        <f>IF(A282="","",BD_Carga!L283)</f>
        <v/>
      </c>
      <c r="G282">
        <f>IF(A282="","",BD_Carga!N283)</f>
        <v/>
      </c>
      <c r="H282">
        <f>IF(A282="","",BD_Carga!O283)</f>
        <v/>
      </c>
      <c r="I282">
        <f>IF(A282="","",BD_Carga!P283)</f>
        <v/>
      </c>
      <c r="J282">
        <f>IF(A282="","",_xlfn.MAXIFS(BD_Carga!$L:$L,BD_Carga!$C:$C,A282))</f>
        <v/>
      </c>
      <c r="K282" s="11">
        <f>IF(OR(A282="",J282=0),"",F282/J282)</f>
        <v/>
      </c>
      <c r="L282">
        <f>IF(A282="","",BD_Carga!E283)</f>
        <v/>
      </c>
    </row>
    <row r="283">
      <c r="A283">
        <f>IF(BD_Carga!C284="","",BD_Carga!C284)</f>
        <v/>
      </c>
      <c r="B283">
        <f>IF(A283="","",BD_Carga!D284)</f>
        <v/>
      </c>
      <c r="C283" s="2">
        <f>IF(A283="","",BD_Carga!A284)</f>
        <v/>
      </c>
      <c r="D283">
        <f>IF(A283="","",BD_Carga!R284)</f>
        <v/>
      </c>
      <c r="E283">
        <f>IF(A283="","",BD_Carga!Q284)</f>
        <v/>
      </c>
      <c r="F283" s="5">
        <f>IF(A283="","",BD_Carga!L284)</f>
        <v/>
      </c>
      <c r="G283">
        <f>IF(A283="","",BD_Carga!N284)</f>
        <v/>
      </c>
      <c r="H283">
        <f>IF(A283="","",BD_Carga!O284)</f>
        <v/>
      </c>
      <c r="I283">
        <f>IF(A283="","",BD_Carga!P284)</f>
        <v/>
      </c>
      <c r="J283">
        <f>IF(A283="","",_xlfn.MAXIFS(BD_Carga!$L:$L,BD_Carga!$C:$C,A283))</f>
        <v/>
      </c>
      <c r="K283" s="11">
        <f>IF(OR(A283="",J283=0),"",F283/J283)</f>
        <v/>
      </c>
      <c r="L283">
        <f>IF(A283="","",BD_Carga!E284)</f>
        <v/>
      </c>
    </row>
    <row r="284">
      <c r="A284">
        <f>IF(BD_Carga!C285="","",BD_Carga!C285)</f>
        <v/>
      </c>
      <c r="B284">
        <f>IF(A284="","",BD_Carga!D285)</f>
        <v/>
      </c>
      <c r="C284" s="2">
        <f>IF(A284="","",BD_Carga!A285)</f>
        <v/>
      </c>
      <c r="D284">
        <f>IF(A284="","",BD_Carga!R285)</f>
        <v/>
      </c>
      <c r="E284">
        <f>IF(A284="","",BD_Carga!Q285)</f>
        <v/>
      </c>
      <c r="F284" s="5">
        <f>IF(A284="","",BD_Carga!L285)</f>
        <v/>
      </c>
      <c r="G284">
        <f>IF(A284="","",BD_Carga!N285)</f>
        <v/>
      </c>
      <c r="H284">
        <f>IF(A284="","",BD_Carga!O285)</f>
        <v/>
      </c>
      <c r="I284">
        <f>IF(A284="","",BD_Carga!P285)</f>
        <v/>
      </c>
      <c r="J284">
        <f>IF(A284="","",_xlfn.MAXIFS(BD_Carga!$L:$L,BD_Carga!$C:$C,A284))</f>
        <v/>
      </c>
      <c r="K284" s="11">
        <f>IF(OR(A284="",J284=0),"",F284/J284)</f>
        <v/>
      </c>
      <c r="L284">
        <f>IF(A284="","",BD_Carga!E285)</f>
        <v/>
      </c>
    </row>
    <row r="285">
      <c r="A285">
        <f>IF(BD_Carga!C286="","",BD_Carga!C286)</f>
        <v/>
      </c>
      <c r="B285">
        <f>IF(A285="","",BD_Carga!D286)</f>
        <v/>
      </c>
      <c r="C285" s="2">
        <f>IF(A285="","",BD_Carga!A286)</f>
        <v/>
      </c>
      <c r="D285">
        <f>IF(A285="","",BD_Carga!R286)</f>
        <v/>
      </c>
      <c r="E285">
        <f>IF(A285="","",BD_Carga!Q286)</f>
        <v/>
      </c>
      <c r="F285" s="5">
        <f>IF(A285="","",BD_Carga!L286)</f>
        <v/>
      </c>
      <c r="G285">
        <f>IF(A285="","",BD_Carga!N286)</f>
        <v/>
      </c>
      <c r="H285">
        <f>IF(A285="","",BD_Carga!O286)</f>
        <v/>
      </c>
      <c r="I285">
        <f>IF(A285="","",BD_Carga!P286)</f>
        <v/>
      </c>
      <c r="J285">
        <f>IF(A285="","",_xlfn.MAXIFS(BD_Carga!$L:$L,BD_Carga!$C:$C,A285))</f>
        <v/>
      </c>
      <c r="K285" s="11">
        <f>IF(OR(A285="",J285=0),"",F285/J285)</f>
        <v/>
      </c>
      <c r="L285">
        <f>IF(A285="","",BD_Carga!E286)</f>
        <v/>
      </c>
    </row>
    <row r="286">
      <c r="A286">
        <f>IF(BD_Carga!C287="","",BD_Carga!C287)</f>
        <v/>
      </c>
      <c r="B286">
        <f>IF(A286="","",BD_Carga!D287)</f>
        <v/>
      </c>
      <c r="C286" s="2">
        <f>IF(A286="","",BD_Carga!A287)</f>
        <v/>
      </c>
      <c r="D286">
        <f>IF(A286="","",BD_Carga!R287)</f>
        <v/>
      </c>
      <c r="E286">
        <f>IF(A286="","",BD_Carga!Q287)</f>
        <v/>
      </c>
      <c r="F286" s="5">
        <f>IF(A286="","",BD_Carga!L287)</f>
        <v/>
      </c>
      <c r="G286">
        <f>IF(A286="","",BD_Carga!N287)</f>
        <v/>
      </c>
      <c r="H286">
        <f>IF(A286="","",BD_Carga!O287)</f>
        <v/>
      </c>
      <c r="I286">
        <f>IF(A286="","",BD_Carga!P287)</f>
        <v/>
      </c>
      <c r="J286">
        <f>IF(A286="","",_xlfn.MAXIFS(BD_Carga!$L:$L,BD_Carga!$C:$C,A286))</f>
        <v/>
      </c>
      <c r="K286" s="11">
        <f>IF(OR(A286="",J286=0),"",F286/J286)</f>
        <v/>
      </c>
      <c r="L286">
        <f>IF(A286="","",BD_Carga!E287)</f>
        <v/>
      </c>
    </row>
    <row r="287">
      <c r="A287">
        <f>IF(BD_Carga!C288="","",BD_Carga!C288)</f>
        <v/>
      </c>
      <c r="B287">
        <f>IF(A287="","",BD_Carga!D288)</f>
        <v/>
      </c>
      <c r="C287" s="2">
        <f>IF(A287="","",BD_Carga!A288)</f>
        <v/>
      </c>
      <c r="D287">
        <f>IF(A287="","",BD_Carga!R288)</f>
        <v/>
      </c>
      <c r="E287">
        <f>IF(A287="","",BD_Carga!Q288)</f>
        <v/>
      </c>
      <c r="F287" s="5">
        <f>IF(A287="","",BD_Carga!L288)</f>
        <v/>
      </c>
      <c r="G287">
        <f>IF(A287="","",BD_Carga!N288)</f>
        <v/>
      </c>
      <c r="H287">
        <f>IF(A287="","",BD_Carga!O288)</f>
        <v/>
      </c>
      <c r="I287">
        <f>IF(A287="","",BD_Carga!P288)</f>
        <v/>
      </c>
      <c r="J287">
        <f>IF(A287="","",_xlfn.MAXIFS(BD_Carga!$L:$L,BD_Carga!$C:$C,A287))</f>
        <v/>
      </c>
      <c r="K287" s="11">
        <f>IF(OR(A287="",J287=0),"",F287/J287)</f>
        <v/>
      </c>
      <c r="L287">
        <f>IF(A287="","",BD_Carga!E288)</f>
        <v/>
      </c>
    </row>
    <row r="288">
      <c r="A288">
        <f>IF(BD_Carga!C289="","",BD_Carga!C289)</f>
        <v/>
      </c>
      <c r="B288">
        <f>IF(A288="","",BD_Carga!D289)</f>
        <v/>
      </c>
      <c r="C288" s="2">
        <f>IF(A288="","",BD_Carga!A289)</f>
        <v/>
      </c>
      <c r="D288">
        <f>IF(A288="","",BD_Carga!R289)</f>
        <v/>
      </c>
      <c r="E288">
        <f>IF(A288="","",BD_Carga!Q289)</f>
        <v/>
      </c>
      <c r="F288" s="5">
        <f>IF(A288="","",BD_Carga!L289)</f>
        <v/>
      </c>
      <c r="G288">
        <f>IF(A288="","",BD_Carga!N289)</f>
        <v/>
      </c>
      <c r="H288">
        <f>IF(A288="","",BD_Carga!O289)</f>
        <v/>
      </c>
      <c r="I288">
        <f>IF(A288="","",BD_Carga!P289)</f>
        <v/>
      </c>
      <c r="J288">
        <f>IF(A288="","",_xlfn.MAXIFS(BD_Carga!$L:$L,BD_Carga!$C:$C,A288))</f>
        <v/>
      </c>
      <c r="K288" s="11">
        <f>IF(OR(A288="",J288=0),"",F288/J288)</f>
        <v/>
      </c>
      <c r="L288">
        <f>IF(A288="","",BD_Carga!E289)</f>
        <v/>
      </c>
    </row>
    <row r="289">
      <c r="A289">
        <f>IF(BD_Carga!C290="","",BD_Carga!C290)</f>
        <v/>
      </c>
      <c r="B289">
        <f>IF(A289="","",BD_Carga!D290)</f>
        <v/>
      </c>
      <c r="C289" s="2">
        <f>IF(A289="","",BD_Carga!A290)</f>
        <v/>
      </c>
      <c r="D289">
        <f>IF(A289="","",BD_Carga!R290)</f>
        <v/>
      </c>
      <c r="E289">
        <f>IF(A289="","",BD_Carga!Q290)</f>
        <v/>
      </c>
      <c r="F289" s="5">
        <f>IF(A289="","",BD_Carga!L290)</f>
        <v/>
      </c>
      <c r="G289">
        <f>IF(A289="","",BD_Carga!N290)</f>
        <v/>
      </c>
      <c r="H289">
        <f>IF(A289="","",BD_Carga!O290)</f>
        <v/>
      </c>
      <c r="I289">
        <f>IF(A289="","",BD_Carga!P290)</f>
        <v/>
      </c>
      <c r="J289">
        <f>IF(A289="","",_xlfn.MAXIFS(BD_Carga!$L:$L,BD_Carga!$C:$C,A289))</f>
        <v/>
      </c>
      <c r="K289" s="11">
        <f>IF(OR(A289="",J289=0),"",F289/J289)</f>
        <v/>
      </c>
      <c r="L289">
        <f>IF(A289="","",BD_Carga!E290)</f>
        <v/>
      </c>
    </row>
    <row r="290">
      <c r="A290">
        <f>IF(BD_Carga!C291="","",BD_Carga!C291)</f>
        <v/>
      </c>
      <c r="B290">
        <f>IF(A290="","",BD_Carga!D291)</f>
        <v/>
      </c>
      <c r="C290" s="2">
        <f>IF(A290="","",BD_Carga!A291)</f>
        <v/>
      </c>
      <c r="D290">
        <f>IF(A290="","",BD_Carga!R291)</f>
        <v/>
      </c>
      <c r="E290">
        <f>IF(A290="","",BD_Carga!Q291)</f>
        <v/>
      </c>
      <c r="F290" s="5">
        <f>IF(A290="","",BD_Carga!L291)</f>
        <v/>
      </c>
      <c r="G290">
        <f>IF(A290="","",BD_Carga!N291)</f>
        <v/>
      </c>
      <c r="H290">
        <f>IF(A290="","",BD_Carga!O291)</f>
        <v/>
      </c>
      <c r="I290">
        <f>IF(A290="","",BD_Carga!P291)</f>
        <v/>
      </c>
      <c r="J290">
        <f>IF(A290="","",_xlfn.MAXIFS(BD_Carga!$L:$L,BD_Carga!$C:$C,A290))</f>
        <v/>
      </c>
      <c r="K290" s="11">
        <f>IF(OR(A290="",J290=0),"",F290/J290)</f>
        <v/>
      </c>
      <c r="L290">
        <f>IF(A290="","",BD_Carga!E291)</f>
        <v/>
      </c>
    </row>
    <row r="291">
      <c r="A291">
        <f>IF(BD_Carga!C292="","",BD_Carga!C292)</f>
        <v/>
      </c>
      <c r="B291">
        <f>IF(A291="","",BD_Carga!D292)</f>
        <v/>
      </c>
      <c r="C291" s="2">
        <f>IF(A291="","",BD_Carga!A292)</f>
        <v/>
      </c>
      <c r="D291">
        <f>IF(A291="","",BD_Carga!R292)</f>
        <v/>
      </c>
      <c r="E291">
        <f>IF(A291="","",BD_Carga!Q292)</f>
        <v/>
      </c>
      <c r="F291" s="5">
        <f>IF(A291="","",BD_Carga!L292)</f>
        <v/>
      </c>
      <c r="G291">
        <f>IF(A291="","",BD_Carga!N292)</f>
        <v/>
      </c>
      <c r="H291">
        <f>IF(A291="","",BD_Carga!O292)</f>
        <v/>
      </c>
      <c r="I291">
        <f>IF(A291="","",BD_Carga!P292)</f>
        <v/>
      </c>
      <c r="J291">
        <f>IF(A291="","",_xlfn.MAXIFS(BD_Carga!$L:$L,BD_Carga!$C:$C,A291))</f>
        <v/>
      </c>
      <c r="K291" s="11">
        <f>IF(OR(A291="",J291=0),"",F291/J291)</f>
        <v/>
      </c>
      <c r="L291">
        <f>IF(A291="","",BD_Carga!E292)</f>
        <v/>
      </c>
    </row>
    <row r="292">
      <c r="A292">
        <f>IF(BD_Carga!C293="","",BD_Carga!C293)</f>
        <v/>
      </c>
      <c r="B292">
        <f>IF(A292="","",BD_Carga!D293)</f>
        <v/>
      </c>
      <c r="C292" s="2">
        <f>IF(A292="","",BD_Carga!A293)</f>
        <v/>
      </c>
      <c r="D292">
        <f>IF(A292="","",BD_Carga!R293)</f>
        <v/>
      </c>
      <c r="E292">
        <f>IF(A292="","",BD_Carga!Q293)</f>
        <v/>
      </c>
      <c r="F292" s="5">
        <f>IF(A292="","",BD_Carga!L293)</f>
        <v/>
      </c>
      <c r="G292">
        <f>IF(A292="","",BD_Carga!N293)</f>
        <v/>
      </c>
      <c r="H292">
        <f>IF(A292="","",BD_Carga!O293)</f>
        <v/>
      </c>
      <c r="I292">
        <f>IF(A292="","",BD_Carga!P293)</f>
        <v/>
      </c>
      <c r="J292">
        <f>IF(A292="","",_xlfn.MAXIFS(BD_Carga!$L:$L,BD_Carga!$C:$C,A292))</f>
        <v/>
      </c>
      <c r="K292" s="11">
        <f>IF(OR(A292="",J292=0),"",F292/J292)</f>
        <v/>
      </c>
      <c r="L292">
        <f>IF(A292="","",BD_Carga!E293)</f>
        <v/>
      </c>
    </row>
    <row r="293">
      <c r="A293">
        <f>IF(BD_Carga!C294="","",BD_Carga!C294)</f>
        <v/>
      </c>
      <c r="B293">
        <f>IF(A293="","",BD_Carga!D294)</f>
        <v/>
      </c>
      <c r="C293" s="2">
        <f>IF(A293="","",BD_Carga!A294)</f>
        <v/>
      </c>
      <c r="D293">
        <f>IF(A293="","",BD_Carga!R294)</f>
        <v/>
      </c>
      <c r="E293">
        <f>IF(A293="","",BD_Carga!Q294)</f>
        <v/>
      </c>
      <c r="F293" s="5">
        <f>IF(A293="","",BD_Carga!L294)</f>
        <v/>
      </c>
      <c r="G293">
        <f>IF(A293="","",BD_Carga!N294)</f>
        <v/>
      </c>
      <c r="H293">
        <f>IF(A293="","",BD_Carga!O294)</f>
        <v/>
      </c>
      <c r="I293">
        <f>IF(A293="","",BD_Carga!P294)</f>
        <v/>
      </c>
      <c r="J293">
        <f>IF(A293="","",_xlfn.MAXIFS(BD_Carga!$L:$L,BD_Carga!$C:$C,A293))</f>
        <v/>
      </c>
      <c r="K293" s="11">
        <f>IF(OR(A293="",J293=0),"",F293/J293)</f>
        <v/>
      </c>
      <c r="L293">
        <f>IF(A293="","",BD_Carga!E294)</f>
        <v/>
      </c>
    </row>
    <row r="294">
      <c r="A294">
        <f>IF(BD_Carga!C295="","",BD_Carga!C295)</f>
        <v/>
      </c>
      <c r="B294">
        <f>IF(A294="","",BD_Carga!D295)</f>
        <v/>
      </c>
      <c r="C294" s="2">
        <f>IF(A294="","",BD_Carga!A295)</f>
        <v/>
      </c>
      <c r="D294">
        <f>IF(A294="","",BD_Carga!R295)</f>
        <v/>
      </c>
      <c r="E294">
        <f>IF(A294="","",BD_Carga!Q295)</f>
        <v/>
      </c>
      <c r="F294" s="5">
        <f>IF(A294="","",BD_Carga!L295)</f>
        <v/>
      </c>
      <c r="G294">
        <f>IF(A294="","",BD_Carga!N295)</f>
        <v/>
      </c>
      <c r="H294">
        <f>IF(A294="","",BD_Carga!O295)</f>
        <v/>
      </c>
      <c r="I294">
        <f>IF(A294="","",BD_Carga!P295)</f>
        <v/>
      </c>
      <c r="J294">
        <f>IF(A294="","",_xlfn.MAXIFS(BD_Carga!$L:$L,BD_Carga!$C:$C,A294))</f>
        <v/>
      </c>
      <c r="K294" s="11">
        <f>IF(OR(A294="",J294=0),"",F294/J294)</f>
        <v/>
      </c>
      <c r="L294">
        <f>IF(A294="","",BD_Carga!E295)</f>
        <v/>
      </c>
    </row>
    <row r="295">
      <c r="A295">
        <f>IF(BD_Carga!C296="","",BD_Carga!C296)</f>
        <v/>
      </c>
      <c r="B295">
        <f>IF(A295="","",BD_Carga!D296)</f>
        <v/>
      </c>
      <c r="C295" s="2">
        <f>IF(A295="","",BD_Carga!A296)</f>
        <v/>
      </c>
      <c r="D295">
        <f>IF(A295="","",BD_Carga!R296)</f>
        <v/>
      </c>
      <c r="E295">
        <f>IF(A295="","",BD_Carga!Q296)</f>
        <v/>
      </c>
      <c r="F295" s="5">
        <f>IF(A295="","",BD_Carga!L296)</f>
        <v/>
      </c>
      <c r="G295">
        <f>IF(A295="","",BD_Carga!N296)</f>
        <v/>
      </c>
      <c r="H295">
        <f>IF(A295="","",BD_Carga!O296)</f>
        <v/>
      </c>
      <c r="I295">
        <f>IF(A295="","",BD_Carga!P296)</f>
        <v/>
      </c>
      <c r="J295">
        <f>IF(A295="","",_xlfn.MAXIFS(BD_Carga!$L:$L,BD_Carga!$C:$C,A295))</f>
        <v/>
      </c>
      <c r="K295" s="11">
        <f>IF(OR(A295="",J295=0),"",F295/J295)</f>
        <v/>
      </c>
      <c r="L295">
        <f>IF(A295="","",BD_Carga!E296)</f>
        <v/>
      </c>
    </row>
    <row r="296">
      <c r="A296">
        <f>IF(BD_Carga!C297="","",BD_Carga!C297)</f>
        <v/>
      </c>
      <c r="B296">
        <f>IF(A296="","",BD_Carga!D297)</f>
        <v/>
      </c>
      <c r="C296" s="2">
        <f>IF(A296="","",BD_Carga!A297)</f>
        <v/>
      </c>
      <c r="D296">
        <f>IF(A296="","",BD_Carga!R297)</f>
        <v/>
      </c>
      <c r="E296">
        <f>IF(A296="","",BD_Carga!Q297)</f>
        <v/>
      </c>
      <c r="F296" s="5">
        <f>IF(A296="","",BD_Carga!L297)</f>
        <v/>
      </c>
      <c r="G296">
        <f>IF(A296="","",BD_Carga!N297)</f>
        <v/>
      </c>
      <c r="H296">
        <f>IF(A296="","",BD_Carga!O297)</f>
        <v/>
      </c>
      <c r="I296">
        <f>IF(A296="","",BD_Carga!P297)</f>
        <v/>
      </c>
      <c r="J296">
        <f>IF(A296="","",_xlfn.MAXIFS(BD_Carga!$L:$L,BD_Carga!$C:$C,A296))</f>
        <v/>
      </c>
      <c r="K296" s="11">
        <f>IF(OR(A296="",J296=0),"",F296/J296)</f>
        <v/>
      </c>
      <c r="L296">
        <f>IF(A296="","",BD_Carga!E297)</f>
        <v/>
      </c>
    </row>
    <row r="297">
      <c r="A297">
        <f>IF(BD_Carga!C298="","",BD_Carga!C298)</f>
        <v/>
      </c>
      <c r="B297">
        <f>IF(A297="","",BD_Carga!D298)</f>
        <v/>
      </c>
      <c r="C297" s="2">
        <f>IF(A297="","",BD_Carga!A298)</f>
        <v/>
      </c>
      <c r="D297">
        <f>IF(A297="","",BD_Carga!R298)</f>
        <v/>
      </c>
      <c r="E297">
        <f>IF(A297="","",BD_Carga!Q298)</f>
        <v/>
      </c>
      <c r="F297" s="5">
        <f>IF(A297="","",BD_Carga!L298)</f>
        <v/>
      </c>
      <c r="G297">
        <f>IF(A297="","",BD_Carga!N298)</f>
        <v/>
      </c>
      <c r="H297">
        <f>IF(A297="","",BD_Carga!O298)</f>
        <v/>
      </c>
      <c r="I297">
        <f>IF(A297="","",BD_Carga!P298)</f>
        <v/>
      </c>
      <c r="J297">
        <f>IF(A297="","",_xlfn.MAXIFS(BD_Carga!$L:$L,BD_Carga!$C:$C,A297))</f>
        <v/>
      </c>
      <c r="K297" s="11">
        <f>IF(OR(A297="",J297=0),"",F297/J297)</f>
        <v/>
      </c>
      <c r="L297">
        <f>IF(A297="","",BD_Carga!E298)</f>
        <v/>
      </c>
    </row>
    <row r="298">
      <c r="A298">
        <f>IF(BD_Carga!C299="","",BD_Carga!C299)</f>
        <v/>
      </c>
      <c r="B298">
        <f>IF(A298="","",BD_Carga!D299)</f>
        <v/>
      </c>
      <c r="C298" s="2">
        <f>IF(A298="","",BD_Carga!A299)</f>
        <v/>
      </c>
      <c r="D298">
        <f>IF(A298="","",BD_Carga!R299)</f>
        <v/>
      </c>
      <c r="E298">
        <f>IF(A298="","",BD_Carga!Q299)</f>
        <v/>
      </c>
      <c r="F298" s="5">
        <f>IF(A298="","",BD_Carga!L299)</f>
        <v/>
      </c>
      <c r="G298">
        <f>IF(A298="","",BD_Carga!N299)</f>
        <v/>
      </c>
      <c r="H298">
        <f>IF(A298="","",BD_Carga!O299)</f>
        <v/>
      </c>
      <c r="I298">
        <f>IF(A298="","",BD_Carga!P299)</f>
        <v/>
      </c>
      <c r="J298">
        <f>IF(A298="","",_xlfn.MAXIFS(BD_Carga!$L:$L,BD_Carga!$C:$C,A298))</f>
        <v/>
      </c>
      <c r="K298" s="11">
        <f>IF(OR(A298="",J298=0),"",F298/J298)</f>
        <v/>
      </c>
      <c r="L298">
        <f>IF(A298="","",BD_Carga!E299)</f>
        <v/>
      </c>
    </row>
    <row r="299">
      <c r="A299">
        <f>IF(BD_Carga!C300="","",BD_Carga!C300)</f>
        <v/>
      </c>
      <c r="B299">
        <f>IF(A299="","",BD_Carga!D300)</f>
        <v/>
      </c>
      <c r="C299" s="2">
        <f>IF(A299="","",BD_Carga!A300)</f>
        <v/>
      </c>
      <c r="D299">
        <f>IF(A299="","",BD_Carga!R300)</f>
        <v/>
      </c>
      <c r="E299">
        <f>IF(A299="","",BD_Carga!Q300)</f>
        <v/>
      </c>
      <c r="F299" s="5">
        <f>IF(A299="","",BD_Carga!L300)</f>
        <v/>
      </c>
      <c r="G299">
        <f>IF(A299="","",BD_Carga!N300)</f>
        <v/>
      </c>
      <c r="H299">
        <f>IF(A299="","",BD_Carga!O300)</f>
        <v/>
      </c>
      <c r="I299">
        <f>IF(A299="","",BD_Carga!P300)</f>
        <v/>
      </c>
      <c r="J299">
        <f>IF(A299="","",_xlfn.MAXIFS(BD_Carga!$L:$L,BD_Carga!$C:$C,A299))</f>
        <v/>
      </c>
      <c r="K299" s="11">
        <f>IF(OR(A299="",J299=0),"",F299/J299)</f>
        <v/>
      </c>
      <c r="L299">
        <f>IF(A299="","",BD_Carga!E300)</f>
        <v/>
      </c>
    </row>
    <row r="300">
      <c r="A300">
        <f>IF(BD_Carga!C301="","",BD_Carga!C301)</f>
        <v/>
      </c>
      <c r="B300">
        <f>IF(A300="","",BD_Carga!D301)</f>
        <v/>
      </c>
      <c r="C300" s="2">
        <f>IF(A300="","",BD_Carga!A301)</f>
        <v/>
      </c>
      <c r="D300">
        <f>IF(A300="","",BD_Carga!R301)</f>
        <v/>
      </c>
      <c r="E300">
        <f>IF(A300="","",BD_Carga!Q301)</f>
        <v/>
      </c>
      <c r="F300" s="5">
        <f>IF(A300="","",BD_Carga!L301)</f>
        <v/>
      </c>
      <c r="G300">
        <f>IF(A300="","",BD_Carga!N301)</f>
        <v/>
      </c>
      <c r="H300">
        <f>IF(A300="","",BD_Carga!O301)</f>
        <v/>
      </c>
      <c r="I300">
        <f>IF(A300="","",BD_Carga!P301)</f>
        <v/>
      </c>
      <c r="J300">
        <f>IF(A300="","",_xlfn.MAXIFS(BD_Carga!$L:$L,BD_Carga!$C:$C,A300))</f>
        <v/>
      </c>
      <c r="K300" s="11">
        <f>IF(OR(A300="",J300=0),"",F300/J300)</f>
        <v/>
      </c>
      <c r="L300">
        <f>IF(A300="","",BD_Carga!E301)</f>
        <v/>
      </c>
    </row>
    <row r="301">
      <c r="A301">
        <f>IF(BD_Carga!C302="","",BD_Carga!C302)</f>
        <v/>
      </c>
      <c r="B301">
        <f>IF(A301="","",BD_Carga!D302)</f>
        <v/>
      </c>
      <c r="C301" s="2">
        <f>IF(A301="","",BD_Carga!A302)</f>
        <v/>
      </c>
      <c r="D301">
        <f>IF(A301="","",BD_Carga!R302)</f>
        <v/>
      </c>
      <c r="E301">
        <f>IF(A301="","",BD_Carga!Q302)</f>
        <v/>
      </c>
      <c r="F301" s="5">
        <f>IF(A301="","",BD_Carga!L302)</f>
        <v/>
      </c>
      <c r="G301">
        <f>IF(A301="","",BD_Carga!N302)</f>
        <v/>
      </c>
      <c r="H301">
        <f>IF(A301="","",BD_Carga!O302)</f>
        <v/>
      </c>
      <c r="I301">
        <f>IF(A301="","",BD_Carga!P302)</f>
        <v/>
      </c>
      <c r="J301">
        <f>IF(A301="","",_xlfn.MAXIFS(BD_Carga!$L:$L,BD_Carga!$C:$C,A301))</f>
        <v/>
      </c>
      <c r="K301" s="11">
        <f>IF(OR(A301="",J301=0),"",F301/J301)</f>
        <v/>
      </c>
      <c r="L301">
        <f>IF(A301="","",BD_Carga!E302)</f>
        <v/>
      </c>
    </row>
    <row r="302">
      <c r="A302">
        <f>IF(BD_Carga!C303="","",BD_Carga!C303)</f>
        <v/>
      </c>
      <c r="B302">
        <f>IF(A302="","",BD_Carga!D303)</f>
        <v/>
      </c>
      <c r="C302" s="2">
        <f>IF(A302="","",BD_Carga!A303)</f>
        <v/>
      </c>
      <c r="D302">
        <f>IF(A302="","",BD_Carga!R303)</f>
        <v/>
      </c>
      <c r="E302">
        <f>IF(A302="","",BD_Carga!Q303)</f>
        <v/>
      </c>
      <c r="F302" s="5">
        <f>IF(A302="","",BD_Carga!L303)</f>
        <v/>
      </c>
      <c r="G302">
        <f>IF(A302="","",BD_Carga!N303)</f>
        <v/>
      </c>
      <c r="H302">
        <f>IF(A302="","",BD_Carga!O303)</f>
        <v/>
      </c>
      <c r="I302">
        <f>IF(A302="","",BD_Carga!P303)</f>
        <v/>
      </c>
      <c r="J302">
        <f>IF(A302="","",_xlfn.MAXIFS(BD_Carga!$L:$L,BD_Carga!$C:$C,A302))</f>
        <v/>
      </c>
      <c r="K302" s="11">
        <f>IF(OR(A302="",J302=0),"",F302/J302)</f>
        <v/>
      </c>
      <c r="L302">
        <f>IF(A302="","",BD_Carga!E303)</f>
        <v/>
      </c>
    </row>
    <row r="303">
      <c r="A303">
        <f>IF(BD_Carga!C304="","",BD_Carga!C304)</f>
        <v/>
      </c>
      <c r="B303">
        <f>IF(A303="","",BD_Carga!D304)</f>
        <v/>
      </c>
      <c r="C303" s="2">
        <f>IF(A303="","",BD_Carga!A304)</f>
        <v/>
      </c>
      <c r="D303">
        <f>IF(A303="","",BD_Carga!R304)</f>
        <v/>
      </c>
      <c r="E303">
        <f>IF(A303="","",BD_Carga!Q304)</f>
        <v/>
      </c>
      <c r="F303" s="5">
        <f>IF(A303="","",BD_Carga!L304)</f>
        <v/>
      </c>
      <c r="G303">
        <f>IF(A303="","",BD_Carga!N304)</f>
        <v/>
      </c>
      <c r="H303">
        <f>IF(A303="","",BD_Carga!O304)</f>
        <v/>
      </c>
      <c r="I303">
        <f>IF(A303="","",BD_Carga!P304)</f>
        <v/>
      </c>
      <c r="J303">
        <f>IF(A303="","",_xlfn.MAXIFS(BD_Carga!$L:$L,BD_Carga!$C:$C,A303))</f>
        <v/>
      </c>
      <c r="K303" s="11">
        <f>IF(OR(A303="",J303=0),"",F303/J303)</f>
        <v/>
      </c>
      <c r="L303">
        <f>IF(A303="","",BD_Carga!E304)</f>
        <v/>
      </c>
    </row>
    <row r="304">
      <c r="A304">
        <f>IF(BD_Carga!C305="","",BD_Carga!C305)</f>
        <v/>
      </c>
      <c r="B304">
        <f>IF(A304="","",BD_Carga!D305)</f>
        <v/>
      </c>
      <c r="C304" s="2">
        <f>IF(A304="","",BD_Carga!A305)</f>
        <v/>
      </c>
      <c r="D304">
        <f>IF(A304="","",BD_Carga!R305)</f>
        <v/>
      </c>
      <c r="E304">
        <f>IF(A304="","",BD_Carga!Q305)</f>
        <v/>
      </c>
      <c r="F304" s="5">
        <f>IF(A304="","",BD_Carga!L305)</f>
        <v/>
      </c>
      <c r="G304">
        <f>IF(A304="","",BD_Carga!N305)</f>
        <v/>
      </c>
      <c r="H304">
        <f>IF(A304="","",BD_Carga!O305)</f>
        <v/>
      </c>
      <c r="I304">
        <f>IF(A304="","",BD_Carga!P305)</f>
        <v/>
      </c>
      <c r="J304">
        <f>IF(A304="","",_xlfn.MAXIFS(BD_Carga!$L:$L,BD_Carga!$C:$C,A304))</f>
        <v/>
      </c>
      <c r="K304" s="11">
        <f>IF(OR(A304="",J304=0),"",F304/J304)</f>
        <v/>
      </c>
      <c r="L304">
        <f>IF(A304="","",BD_Carga!E305)</f>
        <v/>
      </c>
    </row>
    <row r="305">
      <c r="A305">
        <f>IF(BD_Carga!C306="","",BD_Carga!C306)</f>
        <v/>
      </c>
      <c r="B305">
        <f>IF(A305="","",BD_Carga!D306)</f>
        <v/>
      </c>
      <c r="C305" s="2">
        <f>IF(A305="","",BD_Carga!A306)</f>
        <v/>
      </c>
      <c r="D305">
        <f>IF(A305="","",BD_Carga!R306)</f>
        <v/>
      </c>
      <c r="E305">
        <f>IF(A305="","",BD_Carga!Q306)</f>
        <v/>
      </c>
      <c r="F305" s="5">
        <f>IF(A305="","",BD_Carga!L306)</f>
        <v/>
      </c>
      <c r="G305">
        <f>IF(A305="","",BD_Carga!N306)</f>
        <v/>
      </c>
      <c r="H305">
        <f>IF(A305="","",BD_Carga!O306)</f>
        <v/>
      </c>
      <c r="I305">
        <f>IF(A305="","",BD_Carga!P306)</f>
        <v/>
      </c>
      <c r="J305">
        <f>IF(A305="","",_xlfn.MAXIFS(BD_Carga!$L:$L,BD_Carga!$C:$C,A305))</f>
        <v/>
      </c>
      <c r="K305" s="11">
        <f>IF(OR(A305="",J305=0),"",F305/J305)</f>
        <v/>
      </c>
      <c r="L305">
        <f>IF(A305="","",BD_Carga!E306)</f>
        <v/>
      </c>
    </row>
    <row r="306">
      <c r="A306">
        <f>IF(BD_Carga!C307="","",BD_Carga!C307)</f>
        <v/>
      </c>
      <c r="B306">
        <f>IF(A306="","",BD_Carga!D307)</f>
        <v/>
      </c>
      <c r="C306" s="2">
        <f>IF(A306="","",BD_Carga!A307)</f>
        <v/>
      </c>
      <c r="D306">
        <f>IF(A306="","",BD_Carga!R307)</f>
        <v/>
      </c>
      <c r="E306">
        <f>IF(A306="","",BD_Carga!Q307)</f>
        <v/>
      </c>
      <c r="F306" s="5">
        <f>IF(A306="","",BD_Carga!L307)</f>
        <v/>
      </c>
      <c r="G306">
        <f>IF(A306="","",BD_Carga!N307)</f>
        <v/>
      </c>
      <c r="H306">
        <f>IF(A306="","",BD_Carga!O307)</f>
        <v/>
      </c>
      <c r="I306">
        <f>IF(A306="","",BD_Carga!P307)</f>
        <v/>
      </c>
      <c r="J306">
        <f>IF(A306="","",_xlfn.MAXIFS(BD_Carga!$L:$L,BD_Carga!$C:$C,A306))</f>
        <v/>
      </c>
      <c r="K306" s="11">
        <f>IF(OR(A306="",J306=0),"",F306/J306)</f>
        <v/>
      </c>
      <c r="L306">
        <f>IF(A306="","",BD_Carga!E307)</f>
        <v/>
      </c>
    </row>
    <row r="307">
      <c r="A307">
        <f>IF(BD_Carga!C308="","",BD_Carga!C308)</f>
        <v/>
      </c>
      <c r="B307">
        <f>IF(A307="","",BD_Carga!D308)</f>
        <v/>
      </c>
      <c r="C307" s="2">
        <f>IF(A307="","",BD_Carga!A308)</f>
        <v/>
      </c>
      <c r="D307">
        <f>IF(A307="","",BD_Carga!R308)</f>
        <v/>
      </c>
      <c r="E307">
        <f>IF(A307="","",BD_Carga!Q308)</f>
        <v/>
      </c>
      <c r="F307" s="5">
        <f>IF(A307="","",BD_Carga!L308)</f>
        <v/>
      </c>
      <c r="G307">
        <f>IF(A307="","",BD_Carga!N308)</f>
        <v/>
      </c>
      <c r="H307">
        <f>IF(A307="","",BD_Carga!O308)</f>
        <v/>
      </c>
      <c r="I307">
        <f>IF(A307="","",BD_Carga!P308)</f>
        <v/>
      </c>
      <c r="J307">
        <f>IF(A307="","",_xlfn.MAXIFS(BD_Carga!$L:$L,BD_Carga!$C:$C,A307))</f>
        <v/>
      </c>
      <c r="K307" s="11">
        <f>IF(OR(A307="",J307=0),"",F307/J307)</f>
        <v/>
      </c>
      <c r="L307">
        <f>IF(A307="","",BD_Carga!E308)</f>
        <v/>
      </c>
    </row>
    <row r="308">
      <c r="A308">
        <f>IF(BD_Carga!C309="","",BD_Carga!C309)</f>
        <v/>
      </c>
      <c r="B308">
        <f>IF(A308="","",BD_Carga!D309)</f>
        <v/>
      </c>
      <c r="C308" s="2">
        <f>IF(A308="","",BD_Carga!A309)</f>
        <v/>
      </c>
      <c r="D308">
        <f>IF(A308="","",BD_Carga!R309)</f>
        <v/>
      </c>
      <c r="E308">
        <f>IF(A308="","",BD_Carga!Q309)</f>
        <v/>
      </c>
      <c r="F308" s="5">
        <f>IF(A308="","",BD_Carga!L309)</f>
        <v/>
      </c>
      <c r="G308">
        <f>IF(A308="","",BD_Carga!N309)</f>
        <v/>
      </c>
      <c r="H308">
        <f>IF(A308="","",BD_Carga!O309)</f>
        <v/>
      </c>
      <c r="I308">
        <f>IF(A308="","",BD_Carga!P309)</f>
        <v/>
      </c>
      <c r="J308">
        <f>IF(A308="","",_xlfn.MAXIFS(BD_Carga!$L:$L,BD_Carga!$C:$C,A308))</f>
        <v/>
      </c>
      <c r="K308" s="11">
        <f>IF(OR(A308="",J308=0),"",F308/J308)</f>
        <v/>
      </c>
      <c r="L308">
        <f>IF(A308="","",BD_Carga!E309)</f>
        <v/>
      </c>
    </row>
    <row r="309">
      <c r="A309">
        <f>IF(BD_Carga!C310="","",BD_Carga!C310)</f>
        <v/>
      </c>
      <c r="B309">
        <f>IF(A309="","",BD_Carga!D310)</f>
        <v/>
      </c>
      <c r="C309" s="2">
        <f>IF(A309="","",BD_Carga!A310)</f>
        <v/>
      </c>
      <c r="D309">
        <f>IF(A309="","",BD_Carga!R310)</f>
        <v/>
      </c>
      <c r="E309">
        <f>IF(A309="","",BD_Carga!Q310)</f>
        <v/>
      </c>
      <c r="F309" s="5">
        <f>IF(A309="","",BD_Carga!L310)</f>
        <v/>
      </c>
      <c r="G309">
        <f>IF(A309="","",BD_Carga!N310)</f>
        <v/>
      </c>
      <c r="H309">
        <f>IF(A309="","",BD_Carga!O310)</f>
        <v/>
      </c>
      <c r="I309">
        <f>IF(A309="","",BD_Carga!P310)</f>
        <v/>
      </c>
      <c r="J309">
        <f>IF(A309="","",_xlfn.MAXIFS(BD_Carga!$L:$L,BD_Carga!$C:$C,A309))</f>
        <v/>
      </c>
      <c r="K309" s="11">
        <f>IF(OR(A309="",J309=0),"",F309/J309)</f>
        <v/>
      </c>
      <c r="L309">
        <f>IF(A309="","",BD_Carga!E310)</f>
        <v/>
      </c>
    </row>
    <row r="310">
      <c r="A310">
        <f>IF(BD_Carga!C311="","",BD_Carga!C311)</f>
        <v/>
      </c>
      <c r="B310">
        <f>IF(A310="","",BD_Carga!D311)</f>
        <v/>
      </c>
      <c r="C310" s="2">
        <f>IF(A310="","",BD_Carga!A311)</f>
        <v/>
      </c>
      <c r="D310">
        <f>IF(A310="","",BD_Carga!R311)</f>
        <v/>
      </c>
      <c r="E310">
        <f>IF(A310="","",BD_Carga!Q311)</f>
        <v/>
      </c>
      <c r="F310" s="5">
        <f>IF(A310="","",BD_Carga!L311)</f>
        <v/>
      </c>
      <c r="G310">
        <f>IF(A310="","",BD_Carga!N311)</f>
        <v/>
      </c>
      <c r="H310">
        <f>IF(A310="","",BD_Carga!O311)</f>
        <v/>
      </c>
      <c r="I310">
        <f>IF(A310="","",BD_Carga!P311)</f>
        <v/>
      </c>
      <c r="J310">
        <f>IF(A310="","",_xlfn.MAXIFS(BD_Carga!$L:$L,BD_Carga!$C:$C,A310))</f>
        <v/>
      </c>
      <c r="K310" s="11">
        <f>IF(OR(A310="",J310=0),"",F310/J310)</f>
        <v/>
      </c>
      <c r="L310">
        <f>IF(A310="","",BD_Carga!E311)</f>
        <v/>
      </c>
    </row>
    <row r="311">
      <c r="A311">
        <f>IF(BD_Carga!C312="","",BD_Carga!C312)</f>
        <v/>
      </c>
      <c r="B311">
        <f>IF(A311="","",BD_Carga!D312)</f>
        <v/>
      </c>
      <c r="C311" s="2">
        <f>IF(A311="","",BD_Carga!A312)</f>
        <v/>
      </c>
      <c r="D311">
        <f>IF(A311="","",BD_Carga!R312)</f>
        <v/>
      </c>
      <c r="E311">
        <f>IF(A311="","",BD_Carga!Q312)</f>
        <v/>
      </c>
      <c r="F311" s="5">
        <f>IF(A311="","",BD_Carga!L312)</f>
        <v/>
      </c>
      <c r="G311">
        <f>IF(A311="","",BD_Carga!N312)</f>
        <v/>
      </c>
      <c r="H311">
        <f>IF(A311="","",BD_Carga!O312)</f>
        <v/>
      </c>
      <c r="I311">
        <f>IF(A311="","",BD_Carga!P312)</f>
        <v/>
      </c>
      <c r="J311">
        <f>IF(A311="","",_xlfn.MAXIFS(BD_Carga!$L:$L,BD_Carga!$C:$C,A311))</f>
        <v/>
      </c>
      <c r="K311" s="11">
        <f>IF(OR(A311="",J311=0),"",F311/J311)</f>
        <v/>
      </c>
      <c r="L311">
        <f>IF(A311="","",BD_Carga!E312)</f>
        <v/>
      </c>
    </row>
    <row r="312">
      <c r="A312">
        <f>IF(BD_Carga!C313="","",BD_Carga!C313)</f>
        <v/>
      </c>
      <c r="B312">
        <f>IF(A312="","",BD_Carga!D313)</f>
        <v/>
      </c>
      <c r="C312" s="2">
        <f>IF(A312="","",BD_Carga!A313)</f>
        <v/>
      </c>
      <c r="D312">
        <f>IF(A312="","",BD_Carga!R313)</f>
        <v/>
      </c>
      <c r="E312">
        <f>IF(A312="","",BD_Carga!Q313)</f>
        <v/>
      </c>
      <c r="F312" s="5">
        <f>IF(A312="","",BD_Carga!L313)</f>
        <v/>
      </c>
      <c r="G312">
        <f>IF(A312="","",BD_Carga!N313)</f>
        <v/>
      </c>
      <c r="H312">
        <f>IF(A312="","",BD_Carga!O313)</f>
        <v/>
      </c>
      <c r="I312">
        <f>IF(A312="","",BD_Carga!P313)</f>
        <v/>
      </c>
      <c r="J312">
        <f>IF(A312="","",_xlfn.MAXIFS(BD_Carga!$L:$L,BD_Carga!$C:$C,A312))</f>
        <v/>
      </c>
      <c r="K312" s="11">
        <f>IF(OR(A312="",J312=0),"",F312/J312)</f>
        <v/>
      </c>
      <c r="L312">
        <f>IF(A312="","",BD_Carga!E313)</f>
        <v/>
      </c>
    </row>
    <row r="313">
      <c r="A313">
        <f>IF(BD_Carga!C314="","",BD_Carga!C314)</f>
        <v/>
      </c>
      <c r="B313">
        <f>IF(A313="","",BD_Carga!D314)</f>
        <v/>
      </c>
      <c r="C313" s="2">
        <f>IF(A313="","",BD_Carga!A314)</f>
        <v/>
      </c>
      <c r="D313">
        <f>IF(A313="","",BD_Carga!R314)</f>
        <v/>
      </c>
      <c r="E313">
        <f>IF(A313="","",BD_Carga!Q314)</f>
        <v/>
      </c>
      <c r="F313" s="5">
        <f>IF(A313="","",BD_Carga!L314)</f>
        <v/>
      </c>
      <c r="G313">
        <f>IF(A313="","",BD_Carga!N314)</f>
        <v/>
      </c>
      <c r="H313">
        <f>IF(A313="","",BD_Carga!O314)</f>
        <v/>
      </c>
      <c r="I313">
        <f>IF(A313="","",BD_Carga!P314)</f>
        <v/>
      </c>
      <c r="J313">
        <f>IF(A313="","",_xlfn.MAXIFS(BD_Carga!$L:$L,BD_Carga!$C:$C,A313))</f>
        <v/>
      </c>
      <c r="K313" s="11">
        <f>IF(OR(A313="",J313=0),"",F313/J313)</f>
        <v/>
      </c>
      <c r="L313">
        <f>IF(A313="","",BD_Carga!E314)</f>
        <v/>
      </c>
    </row>
    <row r="314">
      <c r="A314">
        <f>IF(BD_Carga!C315="","",BD_Carga!C315)</f>
        <v/>
      </c>
      <c r="B314">
        <f>IF(A314="","",BD_Carga!D315)</f>
        <v/>
      </c>
      <c r="C314" s="2">
        <f>IF(A314="","",BD_Carga!A315)</f>
        <v/>
      </c>
      <c r="D314">
        <f>IF(A314="","",BD_Carga!R315)</f>
        <v/>
      </c>
      <c r="E314">
        <f>IF(A314="","",BD_Carga!Q315)</f>
        <v/>
      </c>
      <c r="F314" s="5">
        <f>IF(A314="","",BD_Carga!L315)</f>
        <v/>
      </c>
      <c r="G314">
        <f>IF(A314="","",BD_Carga!N315)</f>
        <v/>
      </c>
      <c r="H314">
        <f>IF(A314="","",BD_Carga!O315)</f>
        <v/>
      </c>
      <c r="I314">
        <f>IF(A314="","",BD_Carga!P315)</f>
        <v/>
      </c>
      <c r="J314">
        <f>IF(A314="","",_xlfn.MAXIFS(BD_Carga!$L:$L,BD_Carga!$C:$C,A314))</f>
        <v/>
      </c>
      <c r="K314" s="11">
        <f>IF(OR(A314="",J314=0),"",F314/J314)</f>
        <v/>
      </c>
      <c r="L314">
        <f>IF(A314="","",BD_Carga!E315)</f>
        <v/>
      </c>
    </row>
    <row r="315">
      <c r="A315">
        <f>IF(BD_Carga!C316="","",BD_Carga!C316)</f>
        <v/>
      </c>
      <c r="B315">
        <f>IF(A315="","",BD_Carga!D316)</f>
        <v/>
      </c>
      <c r="C315" s="2">
        <f>IF(A315="","",BD_Carga!A316)</f>
        <v/>
      </c>
      <c r="D315">
        <f>IF(A315="","",BD_Carga!R316)</f>
        <v/>
      </c>
      <c r="E315">
        <f>IF(A315="","",BD_Carga!Q316)</f>
        <v/>
      </c>
      <c r="F315" s="5">
        <f>IF(A315="","",BD_Carga!L316)</f>
        <v/>
      </c>
      <c r="G315">
        <f>IF(A315="","",BD_Carga!N316)</f>
        <v/>
      </c>
      <c r="H315">
        <f>IF(A315="","",BD_Carga!O316)</f>
        <v/>
      </c>
      <c r="I315">
        <f>IF(A315="","",BD_Carga!P316)</f>
        <v/>
      </c>
      <c r="J315">
        <f>IF(A315="","",_xlfn.MAXIFS(BD_Carga!$L:$L,BD_Carga!$C:$C,A315))</f>
        <v/>
      </c>
      <c r="K315" s="11">
        <f>IF(OR(A315="",J315=0),"",F315/J315)</f>
        <v/>
      </c>
      <c r="L315">
        <f>IF(A315="","",BD_Carga!E316)</f>
        <v/>
      </c>
    </row>
    <row r="316">
      <c r="A316">
        <f>IF(BD_Carga!C317="","",BD_Carga!C317)</f>
        <v/>
      </c>
      <c r="B316">
        <f>IF(A316="","",BD_Carga!D317)</f>
        <v/>
      </c>
      <c r="C316" s="2">
        <f>IF(A316="","",BD_Carga!A317)</f>
        <v/>
      </c>
      <c r="D316">
        <f>IF(A316="","",BD_Carga!R317)</f>
        <v/>
      </c>
      <c r="E316">
        <f>IF(A316="","",BD_Carga!Q317)</f>
        <v/>
      </c>
      <c r="F316" s="5">
        <f>IF(A316="","",BD_Carga!L317)</f>
        <v/>
      </c>
      <c r="G316">
        <f>IF(A316="","",BD_Carga!N317)</f>
        <v/>
      </c>
      <c r="H316">
        <f>IF(A316="","",BD_Carga!O317)</f>
        <v/>
      </c>
      <c r="I316">
        <f>IF(A316="","",BD_Carga!P317)</f>
        <v/>
      </c>
      <c r="J316">
        <f>IF(A316="","",_xlfn.MAXIFS(BD_Carga!$L:$L,BD_Carga!$C:$C,A316))</f>
        <v/>
      </c>
      <c r="K316" s="11">
        <f>IF(OR(A316="",J316=0),"",F316/J316)</f>
        <v/>
      </c>
      <c r="L316">
        <f>IF(A316="","",BD_Carga!E317)</f>
        <v/>
      </c>
    </row>
    <row r="317">
      <c r="A317">
        <f>IF(BD_Carga!C318="","",BD_Carga!C318)</f>
        <v/>
      </c>
      <c r="B317">
        <f>IF(A317="","",BD_Carga!D318)</f>
        <v/>
      </c>
      <c r="C317" s="2">
        <f>IF(A317="","",BD_Carga!A318)</f>
        <v/>
      </c>
      <c r="D317">
        <f>IF(A317="","",BD_Carga!R318)</f>
        <v/>
      </c>
      <c r="E317">
        <f>IF(A317="","",BD_Carga!Q318)</f>
        <v/>
      </c>
      <c r="F317" s="5">
        <f>IF(A317="","",BD_Carga!L318)</f>
        <v/>
      </c>
      <c r="G317">
        <f>IF(A317="","",BD_Carga!N318)</f>
        <v/>
      </c>
      <c r="H317">
        <f>IF(A317="","",BD_Carga!O318)</f>
        <v/>
      </c>
      <c r="I317">
        <f>IF(A317="","",BD_Carga!P318)</f>
        <v/>
      </c>
      <c r="J317">
        <f>IF(A317="","",_xlfn.MAXIFS(BD_Carga!$L:$L,BD_Carga!$C:$C,A317))</f>
        <v/>
      </c>
      <c r="K317" s="11">
        <f>IF(OR(A317="",J317=0),"",F317/J317)</f>
        <v/>
      </c>
      <c r="L317">
        <f>IF(A317="","",BD_Carga!E318)</f>
        <v/>
      </c>
    </row>
    <row r="318">
      <c r="A318">
        <f>IF(BD_Carga!C319="","",BD_Carga!C319)</f>
        <v/>
      </c>
      <c r="B318">
        <f>IF(A318="","",BD_Carga!D319)</f>
        <v/>
      </c>
      <c r="C318" s="2">
        <f>IF(A318="","",BD_Carga!A319)</f>
        <v/>
      </c>
      <c r="D318">
        <f>IF(A318="","",BD_Carga!R319)</f>
        <v/>
      </c>
      <c r="E318">
        <f>IF(A318="","",BD_Carga!Q319)</f>
        <v/>
      </c>
      <c r="F318" s="5">
        <f>IF(A318="","",BD_Carga!L319)</f>
        <v/>
      </c>
      <c r="G318">
        <f>IF(A318="","",BD_Carga!N319)</f>
        <v/>
      </c>
      <c r="H318">
        <f>IF(A318="","",BD_Carga!O319)</f>
        <v/>
      </c>
      <c r="I318">
        <f>IF(A318="","",BD_Carga!P319)</f>
        <v/>
      </c>
      <c r="J318">
        <f>IF(A318="","",_xlfn.MAXIFS(BD_Carga!$L:$L,BD_Carga!$C:$C,A318))</f>
        <v/>
      </c>
      <c r="K318" s="11">
        <f>IF(OR(A318="",J318=0),"",F318/J318)</f>
        <v/>
      </c>
      <c r="L318">
        <f>IF(A318="","",BD_Carga!E319)</f>
        <v/>
      </c>
    </row>
    <row r="319">
      <c r="A319">
        <f>IF(BD_Carga!C320="","",BD_Carga!C320)</f>
        <v/>
      </c>
      <c r="B319">
        <f>IF(A319="","",BD_Carga!D320)</f>
        <v/>
      </c>
      <c r="C319" s="2">
        <f>IF(A319="","",BD_Carga!A320)</f>
        <v/>
      </c>
      <c r="D319">
        <f>IF(A319="","",BD_Carga!R320)</f>
        <v/>
      </c>
      <c r="E319">
        <f>IF(A319="","",BD_Carga!Q320)</f>
        <v/>
      </c>
      <c r="F319" s="5">
        <f>IF(A319="","",BD_Carga!L320)</f>
        <v/>
      </c>
      <c r="G319">
        <f>IF(A319="","",BD_Carga!N320)</f>
        <v/>
      </c>
      <c r="H319">
        <f>IF(A319="","",BD_Carga!O320)</f>
        <v/>
      </c>
      <c r="I319">
        <f>IF(A319="","",BD_Carga!P320)</f>
        <v/>
      </c>
      <c r="J319">
        <f>IF(A319="","",_xlfn.MAXIFS(BD_Carga!$L:$L,BD_Carga!$C:$C,A319))</f>
        <v/>
      </c>
      <c r="K319" s="11">
        <f>IF(OR(A319="",J319=0),"",F319/J319)</f>
        <v/>
      </c>
      <c r="L319">
        <f>IF(A319="","",BD_Carga!E320)</f>
        <v/>
      </c>
    </row>
    <row r="320">
      <c r="A320">
        <f>IF(BD_Carga!C321="","",BD_Carga!C321)</f>
        <v/>
      </c>
      <c r="B320">
        <f>IF(A320="","",BD_Carga!D321)</f>
        <v/>
      </c>
      <c r="C320" s="2">
        <f>IF(A320="","",BD_Carga!A321)</f>
        <v/>
      </c>
      <c r="D320">
        <f>IF(A320="","",BD_Carga!R321)</f>
        <v/>
      </c>
      <c r="E320">
        <f>IF(A320="","",BD_Carga!Q321)</f>
        <v/>
      </c>
      <c r="F320" s="5">
        <f>IF(A320="","",BD_Carga!L321)</f>
        <v/>
      </c>
      <c r="G320">
        <f>IF(A320="","",BD_Carga!N321)</f>
        <v/>
      </c>
      <c r="H320">
        <f>IF(A320="","",BD_Carga!O321)</f>
        <v/>
      </c>
      <c r="I320">
        <f>IF(A320="","",BD_Carga!P321)</f>
        <v/>
      </c>
      <c r="J320">
        <f>IF(A320="","",_xlfn.MAXIFS(BD_Carga!$L:$L,BD_Carga!$C:$C,A320))</f>
        <v/>
      </c>
      <c r="K320" s="11">
        <f>IF(OR(A320="",J320=0),"",F320/J320)</f>
        <v/>
      </c>
      <c r="L320">
        <f>IF(A320="","",BD_Carga!E321)</f>
        <v/>
      </c>
    </row>
    <row r="321">
      <c r="A321">
        <f>IF(BD_Carga!C322="","",BD_Carga!C322)</f>
        <v/>
      </c>
      <c r="B321">
        <f>IF(A321="","",BD_Carga!D322)</f>
        <v/>
      </c>
      <c r="C321" s="2">
        <f>IF(A321="","",BD_Carga!A322)</f>
        <v/>
      </c>
      <c r="D321">
        <f>IF(A321="","",BD_Carga!R322)</f>
        <v/>
      </c>
      <c r="E321">
        <f>IF(A321="","",BD_Carga!Q322)</f>
        <v/>
      </c>
      <c r="F321" s="5">
        <f>IF(A321="","",BD_Carga!L322)</f>
        <v/>
      </c>
      <c r="G321">
        <f>IF(A321="","",BD_Carga!N322)</f>
        <v/>
      </c>
      <c r="H321">
        <f>IF(A321="","",BD_Carga!O322)</f>
        <v/>
      </c>
      <c r="I321">
        <f>IF(A321="","",BD_Carga!P322)</f>
        <v/>
      </c>
      <c r="J321">
        <f>IF(A321="","",_xlfn.MAXIFS(BD_Carga!$L:$L,BD_Carga!$C:$C,A321))</f>
        <v/>
      </c>
      <c r="K321" s="11">
        <f>IF(OR(A321="",J321=0),"",F321/J321)</f>
        <v/>
      </c>
      <c r="L321">
        <f>IF(A321="","",BD_Carga!E322)</f>
        <v/>
      </c>
    </row>
    <row r="322">
      <c r="A322">
        <f>IF(BD_Carga!C323="","",BD_Carga!C323)</f>
        <v/>
      </c>
      <c r="B322">
        <f>IF(A322="","",BD_Carga!D323)</f>
        <v/>
      </c>
      <c r="C322" s="2">
        <f>IF(A322="","",BD_Carga!A323)</f>
        <v/>
      </c>
      <c r="D322">
        <f>IF(A322="","",BD_Carga!R323)</f>
        <v/>
      </c>
      <c r="E322">
        <f>IF(A322="","",BD_Carga!Q323)</f>
        <v/>
      </c>
      <c r="F322" s="5">
        <f>IF(A322="","",BD_Carga!L323)</f>
        <v/>
      </c>
      <c r="G322">
        <f>IF(A322="","",BD_Carga!N323)</f>
        <v/>
      </c>
      <c r="H322">
        <f>IF(A322="","",BD_Carga!O323)</f>
        <v/>
      </c>
      <c r="I322">
        <f>IF(A322="","",BD_Carga!P323)</f>
        <v/>
      </c>
      <c r="J322">
        <f>IF(A322="","",_xlfn.MAXIFS(BD_Carga!$L:$L,BD_Carga!$C:$C,A322))</f>
        <v/>
      </c>
      <c r="K322" s="11">
        <f>IF(OR(A322="",J322=0),"",F322/J322)</f>
        <v/>
      </c>
      <c r="L322">
        <f>IF(A322="","",BD_Carga!E323)</f>
        <v/>
      </c>
    </row>
    <row r="323">
      <c r="A323">
        <f>IF(BD_Carga!C324="","",BD_Carga!C324)</f>
        <v/>
      </c>
      <c r="B323">
        <f>IF(A323="","",BD_Carga!D324)</f>
        <v/>
      </c>
      <c r="C323" s="2">
        <f>IF(A323="","",BD_Carga!A324)</f>
        <v/>
      </c>
      <c r="D323">
        <f>IF(A323="","",BD_Carga!R324)</f>
        <v/>
      </c>
      <c r="E323">
        <f>IF(A323="","",BD_Carga!Q324)</f>
        <v/>
      </c>
      <c r="F323" s="5">
        <f>IF(A323="","",BD_Carga!L324)</f>
        <v/>
      </c>
      <c r="G323">
        <f>IF(A323="","",BD_Carga!N324)</f>
        <v/>
      </c>
      <c r="H323">
        <f>IF(A323="","",BD_Carga!O324)</f>
        <v/>
      </c>
      <c r="I323">
        <f>IF(A323="","",BD_Carga!P324)</f>
        <v/>
      </c>
      <c r="J323">
        <f>IF(A323="","",_xlfn.MAXIFS(BD_Carga!$L:$L,BD_Carga!$C:$C,A323))</f>
        <v/>
      </c>
      <c r="K323" s="11">
        <f>IF(OR(A323="",J323=0),"",F323/J323)</f>
        <v/>
      </c>
      <c r="L323">
        <f>IF(A323="","",BD_Carga!E324)</f>
        <v/>
      </c>
    </row>
    <row r="324">
      <c r="A324">
        <f>IF(BD_Carga!C325="","",BD_Carga!C325)</f>
        <v/>
      </c>
      <c r="B324">
        <f>IF(A324="","",BD_Carga!D325)</f>
        <v/>
      </c>
      <c r="C324" s="2">
        <f>IF(A324="","",BD_Carga!A325)</f>
        <v/>
      </c>
      <c r="D324">
        <f>IF(A324="","",BD_Carga!R325)</f>
        <v/>
      </c>
      <c r="E324">
        <f>IF(A324="","",BD_Carga!Q325)</f>
        <v/>
      </c>
      <c r="F324" s="5">
        <f>IF(A324="","",BD_Carga!L325)</f>
        <v/>
      </c>
      <c r="G324">
        <f>IF(A324="","",BD_Carga!N325)</f>
        <v/>
      </c>
      <c r="H324">
        <f>IF(A324="","",BD_Carga!O325)</f>
        <v/>
      </c>
      <c r="I324">
        <f>IF(A324="","",BD_Carga!P325)</f>
        <v/>
      </c>
      <c r="J324">
        <f>IF(A324="","",_xlfn.MAXIFS(BD_Carga!$L:$L,BD_Carga!$C:$C,A324))</f>
        <v/>
      </c>
      <c r="K324" s="11">
        <f>IF(OR(A324="",J324=0),"",F324/J324)</f>
        <v/>
      </c>
      <c r="L324">
        <f>IF(A324="","",BD_Carga!E325)</f>
        <v/>
      </c>
    </row>
    <row r="325">
      <c r="A325">
        <f>IF(BD_Carga!C326="","",BD_Carga!C326)</f>
        <v/>
      </c>
      <c r="B325">
        <f>IF(A325="","",BD_Carga!D326)</f>
        <v/>
      </c>
      <c r="C325" s="2">
        <f>IF(A325="","",BD_Carga!A326)</f>
        <v/>
      </c>
      <c r="D325">
        <f>IF(A325="","",BD_Carga!R326)</f>
        <v/>
      </c>
      <c r="E325">
        <f>IF(A325="","",BD_Carga!Q326)</f>
        <v/>
      </c>
      <c r="F325" s="5">
        <f>IF(A325="","",BD_Carga!L326)</f>
        <v/>
      </c>
      <c r="G325">
        <f>IF(A325="","",BD_Carga!N326)</f>
        <v/>
      </c>
      <c r="H325">
        <f>IF(A325="","",BD_Carga!O326)</f>
        <v/>
      </c>
      <c r="I325">
        <f>IF(A325="","",BD_Carga!P326)</f>
        <v/>
      </c>
      <c r="J325">
        <f>IF(A325="","",_xlfn.MAXIFS(BD_Carga!$L:$L,BD_Carga!$C:$C,A325))</f>
        <v/>
      </c>
      <c r="K325" s="11">
        <f>IF(OR(A325="",J325=0),"",F325/J325)</f>
        <v/>
      </c>
      <c r="L325">
        <f>IF(A325="","",BD_Carga!E326)</f>
        <v/>
      </c>
    </row>
    <row r="326">
      <c r="A326">
        <f>IF(BD_Carga!C327="","",BD_Carga!C327)</f>
        <v/>
      </c>
      <c r="B326">
        <f>IF(A326="","",BD_Carga!D327)</f>
        <v/>
      </c>
      <c r="C326" s="2">
        <f>IF(A326="","",BD_Carga!A327)</f>
        <v/>
      </c>
      <c r="D326">
        <f>IF(A326="","",BD_Carga!R327)</f>
        <v/>
      </c>
      <c r="E326">
        <f>IF(A326="","",BD_Carga!Q327)</f>
        <v/>
      </c>
      <c r="F326" s="5">
        <f>IF(A326="","",BD_Carga!L327)</f>
        <v/>
      </c>
      <c r="G326">
        <f>IF(A326="","",BD_Carga!N327)</f>
        <v/>
      </c>
      <c r="H326">
        <f>IF(A326="","",BD_Carga!O327)</f>
        <v/>
      </c>
      <c r="I326">
        <f>IF(A326="","",BD_Carga!P327)</f>
        <v/>
      </c>
      <c r="J326">
        <f>IF(A326="","",_xlfn.MAXIFS(BD_Carga!$L:$L,BD_Carga!$C:$C,A326))</f>
        <v/>
      </c>
      <c r="K326" s="11">
        <f>IF(OR(A326="",J326=0),"",F326/J326)</f>
        <v/>
      </c>
      <c r="L326">
        <f>IF(A326="","",BD_Carga!E327)</f>
        <v/>
      </c>
    </row>
    <row r="327">
      <c r="A327">
        <f>IF(BD_Carga!C328="","",BD_Carga!C328)</f>
        <v/>
      </c>
      <c r="B327">
        <f>IF(A327="","",BD_Carga!D328)</f>
        <v/>
      </c>
      <c r="C327" s="2">
        <f>IF(A327="","",BD_Carga!A328)</f>
        <v/>
      </c>
      <c r="D327">
        <f>IF(A327="","",BD_Carga!R328)</f>
        <v/>
      </c>
      <c r="E327">
        <f>IF(A327="","",BD_Carga!Q328)</f>
        <v/>
      </c>
      <c r="F327" s="5">
        <f>IF(A327="","",BD_Carga!L328)</f>
        <v/>
      </c>
      <c r="G327">
        <f>IF(A327="","",BD_Carga!N328)</f>
        <v/>
      </c>
      <c r="H327">
        <f>IF(A327="","",BD_Carga!O328)</f>
        <v/>
      </c>
      <c r="I327">
        <f>IF(A327="","",BD_Carga!P328)</f>
        <v/>
      </c>
      <c r="J327">
        <f>IF(A327="","",_xlfn.MAXIFS(BD_Carga!$L:$L,BD_Carga!$C:$C,A327))</f>
        <v/>
      </c>
      <c r="K327" s="11">
        <f>IF(OR(A327="",J327=0),"",F327/J327)</f>
        <v/>
      </c>
      <c r="L327">
        <f>IF(A327="","",BD_Carga!E328)</f>
        <v/>
      </c>
    </row>
    <row r="328">
      <c r="A328">
        <f>IF(BD_Carga!C329="","",BD_Carga!C329)</f>
        <v/>
      </c>
      <c r="B328">
        <f>IF(A328="","",BD_Carga!D329)</f>
        <v/>
      </c>
      <c r="C328" s="2">
        <f>IF(A328="","",BD_Carga!A329)</f>
        <v/>
      </c>
      <c r="D328">
        <f>IF(A328="","",BD_Carga!R329)</f>
        <v/>
      </c>
      <c r="E328">
        <f>IF(A328="","",BD_Carga!Q329)</f>
        <v/>
      </c>
      <c r="F328" s="5">
        <f>IF(A328="","",BD_Carga!L329)</f>
        <v/>
      </c>
      <c r="G328">
        <f>IF(A328="","",BD_Carga!N329)</f>
        <v/>
      </c>
      <c r="H328">
        <f>IF(A328="","",BD_Carga!O329)</f>
        <v/>
      </c>
      <c r="I328">
        <f>IF(A328="","",BD_Carga!P329)</f>
        <v/>
      </c>
      <c r="J328">
        <f>IF(A328="","",_xlfn.MAXIFS(BD_Carga!$L:$L,BD_Carga!$C:$C,A328))</f>
        <v/>
      </c>
      <c r="K328" s="11">
        <f>IF(OR(A328="",J328=0),"",F328/J328)</f>
        <v/>
      </c>
      <c r="L328">
        <f>IF(A328="","",BD_Carga!E329)</f>
        <v/>
      </c>
    </row>
    <row r="329">
      <c r="A329">
        <f>IF(BD_Carga!C330="","",BD_Carga!C330)</f>
        <v/>
      </c>
      <c r="B329">
        <f>IF(A329="","",BD_Carga!D330)</f>
        <v/>
      </c>
      <c r="C329" s="2">
        <f>IF(A329="","",BD_Carga!A330)</f>
        <v/>
      </c>
      <c r="D329">
        <f>IF(A329="","",BD_Carga!R330)</f>
        <v/>
      </c>
      <c r="E329">
        <f>IF(A329="","",BD_Carga!Q330)</f>
        <v/>
      </c>
      <c r="F329" s="5">
        <f>IF(A329="","",BD_Carga!L330)</f>
        <v/>
      </c>
      <c r="G329">
        <f>IF(A329="","",BD_Carga!N330)</f>
        <v/>
      </c>
      <c r="H329">
        <f>IF(A329="","",BD_Carga!O330)</f>
        <v/>
      </c>
      <c r="I329">
        <f>IF(A329="","",BD_Carga!P330)</f>
        <v/>
      </c>
      <c r="J329">
        <f>IF(A329="","",_xlfn.MAXIFS(BD_Carga!$L:$L,BD_Carga!$C:$C,A329))</f>
        <v/>
      </c>
      <c r="K329" s="11">
        <f>IF(OR(A329="",J329=0),"",F329/J329)</f>
        <v/>
      </c>
      <c r="L329">
        <f>IF(A329="","",BD_Carga!E330)</f>
        <v/>
      </c>
    </row>
    <row r="330">
      <c r="A330">
        <f>IF(BD_Carga!C331="","",BD_Carga!C331)</f>
        <v/>
      </c>
      <c r="B330">
        <f>IF(A330="","",BD_Carga!D331)</f>
        <v/>
      </c>
      <c r="C330" s="2">
        <f>IF(A330="","",BD_Carga!A331)</f>
        <v/>
      </c>
      <c r="D330">
        <f>IF(A330="","",BD_Carga!R331)</f>
        <v/>
      </c>
      <c r="E330">
        <f>IF(A330="","",BD_Carga!Q331)</f>
        <v/>
      </c>
      <c r="F330" s="5">
        <f>IF(A330="","",BD_Carga!L331)</f>
        <v/>
      </c>
      <c r="G330">
        <f>IF(A330="","",BD_Carga!N331)</f>
        <v/>
      </c>
      <c r="H330">
        <f>IF(A330="","",BD_Carga!O331)</f>
        <v/>
      </c>
      <c r="I330">
        <f>IF(A330="","",BD_Carga!P331)</f>
        <v/>
      </c>
      <c r="J330">
        <f>IF(A330="","",_xlfn.MAXIFS(BD_Carga!$L:$L,BD_Carga!$C:$C,A330))</f>
        <v/>
      </c>
      <c r="K330" s="11">
        <f>IF(OR(A330="",J330=0),"",F330/J330)</f>
        <v/>
      </c>
      <c r="L330">
        <f>IF(A330="","",BD_Carga!E331)</f>
        <v/>
      </c>
    </row>
    <row r="331">
      <c r="A331">
        <f>IF(BD_Carga!C332="","",BD_Carga!C332)</f>
        <v/>
      </c>
      <c r="B331">
        <f>IF(A331="","",BD_Carga!D332)</f>
        <v/>
      </c>
      <c r="C331" s="2">
        <f>IF(A331="","",BD_Carga!A332)</f>
        <v/>
      </c>
      <c r="D331">
        <f>IF(A331="","",BD_Carga!R332)</f>
        <v/>
      </c>
      <c r="E331">
        <f>IF(A331="","",BD_Carga!Q332)</f>
        <v/>
      </c>
      <c r="F331" s="5">
        <f>IF(A331="","",BD_Carga!L332)</f>
        <v/>
      </c>
      <c r="G331">
        <f>IF(A331="","",BD_Carga!N332)</f>
        <v/>
      </c>
      <c r="H331">
        <f>IF(A331="","",BD_Carga!O332)</f>
        <v/>
      </c>
      <c r="I331">
        <f>IF(A331="","",BD_Carga!P332)</f>
        <v/>
      </c>
      <c r="J331">
        <f>IF(A331="","",_xlfn.MAXIFS(BD_Carga!$L:$L,BD_Carga!$C:$C,A331))</f>
        <v/>
      </c>
      <c r="K331" s="11">
        <f>IF(OR(A331="",J331=0),"",F331/J331)</f>
        <v/>
      </c>
      <c r="L331">
        <f>IF(A331="","",BD_Carga!E332)</f>
        <v/>
      </c>
    </row>
    <row r="332">
      <c r="A332">
        <f>IF(BD_Carga!C333="","",BD_Carga!C333)</f>
        <v/>
      </c>
      <c r="B332">
        <f>IF(A332="","",BD_Carga!D333)</f>
        <v/>
      </c>
      <c r="C332" s="2">
        <f>IF(A332="","",BD_Carga!A333)</f>
        <v/>
      </c>
      <c r="D332">
        <f>IF(A332="","",BD_Carga!R333)</f>
        <v/>
      </c>
      <c r="E332">
        <f>IF(A332="","",BD_Carga!Q333)</f>
        <v/>
      </c>
      <c r="F332" s="5">
        <f>IF(A332="","",BD_Carga!L333)</f>
        <v/>
      </c>
      <c r="G332">
        <f>IF(A332="","",BD_Carga!N333)</f>
        <v/>
      </c>
      <c r="H332">
        <f>IF(A332="","",BD_Carga!O333)</f>
        <v/>
      </c>
      <c r="I332">
        <f>IF(A332="","",BD_Carga!P333)</f>
        <v/>
      </c>
      <c r="J332">
        <f>IF(A332="","",_xlfn.MAXIFS(BD_Carga!$L:$L,BD_Carga!$C:$C,A332))</f>
        <v/>
      </c>
      <c r="K332" s="11">
        <f>IF(OR(A332="",J332=0),"",F332/J332)</f>
        <v/>
      </c>
      <c r="L332">
        <f>IF(A332="","",BD_Carga!E333)</f>
        <v/>
      </c>
    </row>
    <row r="333">
      <c r="A333">
        <f>IF(BD_Carga!C334="","",BD_Carga!C334)</f>
        <v/>
      </c>
      <c r="B333">
        <f>IF(A333="","",BD_Carga!D334)</f>
        <v/>
      </c>
      <c r="C333" s="2">
        <f>IF(A333="","",BD_Carga!A334)</f>
        <v/>
      </c>
      <c r="D333">
        <f>IF(A333="","",BD_Carga!R334)</f>
        <v/>
      </c>
      <c r="E333">
        <f>IF(A333="","",BD_Carga!Q334)</f>
        <v/>
      </c>
      <c r="F333" s="5">
        <f>IF(A333="","",BD_Carga!L334)</f>
        <v/>
      </c>
      <c r="G333">
        <f>IF(A333="","",BD_Carga!N334)</f>
        <v/>
      </c>
      <c r="H333">
        <f>IF(A333="","",BD_Carga!O334)</f>
        <v/>
      </c>
      <c r="I333">
        <f>IF(A333="","",BD_Carga!P334)</f>
        <v/>
      </c>
      <c r="J333">
        <f>IF(A333="","",_xlfn.MAXIFS(BD_Carga!$L:$L,BD_Carga!$C:$C,A333))</f>
        <v/>
      </c>
      <c r="K333" s="11">
        <f>IF(OR(A333="",J333=0),"",F333/J333)</f>
        <v/>
      </c>
      <c r="L333">
        <f>IF(A333="","",BD_Carga!E334)</f>
        <v/>
      </c>
    </row>
    <row r="334">
      <c r="A334">
        <f>IF(BD_Carga!C335="","",BD_Carga!C335)</f>
        <v/>
      </c>
      <c r="B334">
        <f>IF(A334="","",BD_Carga!D335)</f>
        <v/>
      </c>
      <c r="C334" s="2">
        <f>IF(A334="","",BD_Carga!A335)</f>
        <v/>
      </c>
      <c r="D334">
        <f>IF(A334="","",BD_Carga!R335)</f>
        <v/>
      </c>
      <c r="E334">
        <f>IF(A334="","",BD_Carga!Q335)</f>
        <v/>
      </c>
      <c r="F334" s="5">
        <f>IF(A334="","",BD_Carga!L335)</f>
        <v/>
      </c>
      <c r="G334">
        <f>IF(A334="","",BD_Carga!N335)</f>
        <v/>
      </c>
      <c r="H334">
        <f>IF(A334="","",BD_Carga!O335)</f>
        <v/>
      </c>
      <c r="I334">
        <f>IF(A334="","",BD_Carga!P335)</f>
        <v/>
      </c>
      <c r="J334">
        <f>IF(A334="","",_xlfn.MAXIFS(BD_Carga!$L:$L,BD_Carga!$C:$C,A334))</f>
        <v/>
      </c>
      <c r="K334" s="11">
        <f>IF(OR(A334="",J334=0),"",F334/J334)</f>
        <v/>
      </c>
      <c r="L334">
        <f>IF(A334="","",BD_Carga!E335)</f>
        <v/>
      </c>
    </row>
    <row r="335">
      <c r="A335">
        <f>IF(BD_Carga!C336="","",BD_Carga!C336)</f>
        <v/>
      </c>
      <c r="B335">
        <f>IF(A335="","",BD_Carga!D336)</f>
        <v/>
      </c>
      <c r="C335" s="2">
        <f>IF(A335="","",BD_Carga!A336)</f>
        <v/>
      </c>
      <c r="D335">
        <f>IF(A335="","",BD_Carga!R336)</f>
        <v/>
      </c>
      <c r="E335">
        <f>IF(A335="","",BD_Carga!Q336)</f>
        <v/>
      </c>
      <c r="F335" s="5">
        <f>IF(A335="","",BD_Carga!L336)</f>
        <v/>
      </c>
      <c r="G335">
        <f>IF(A335="","",BD_Carga!N336)</f>
        <v/>
      </c>
      <c r="H335">
        <f>IF(A335="","",BD_Carga!O336)</f>
        <v/>
      </c>
      <c r="I335">
        <f>IF(A335="","",BD_Carga!P336)</f>
        <v/>
      </c>
      <c r="J335">
        <f>IF(A335="","",_xlfn.MAXIFS(BD_Carga!$L:$L,BD_Carga!$C:$C,A335))</f>
        <v/>
      </c>
      <c r="K335" s="11">
        <f>IF(OR(A335="",J335=0),"",F335/J335)</f>
        <v/>
      </c>
      <c r="L335">
        <f>IF(A335="","",BD_Carga!E336)</f>
        <v/>
      </c>
    </row>
    <row r="336">
      <c r="A336">
        <f>IF(BD_Carga!C337="","",BD_Carga!C337)</f>
        <v/>
      </c>
      <c r="B336">
        <f>IF(A336="","",BD_Carga!D337)</f>
        <v/>
      </c>
      <c r="C336" s="2">
        <f>IF(A336="","",BD_Carga!A337)</f>
        <v/>
      </c>
      <c r="D336">
        <f>IF(A336="","",BD_Carga!R337)</f>
        <v/>
      </c>
      <c r="E336">
        <f>IF(A336="","",BD_Carga!Q337)</f>
        <v/>
      </c>
      <c r="F336" s="5">
        <f>IF(A336="","",BD_Carga!L337)</f>
        <v/>
      </c>
      <c r="G336">
        <f>IF(A336="","",BD_Carga!N337)</f>
        <v/>
      </c>
      <c r="H336">
        <f>IF(A336="","",BD_Carga!O337)</f>
        <v/>
      </c>
      <c r="I336">
        <f>IF(A336="","",BD_Carga!P337)</f>
        <v/>
      </c>
      <c r="J336">
        <f>IF(A336="","",_xlfn.MAXIFS(BD_Carga!$L:$L,BD_Carga!$C:$C,A336))</f>
        <v/>
      </c>
      <c r="K336" s="11">
        <f>IF(OR(A336="",J336=0),"",F336/J336)</f>
        <v/>
      </c>
      <c r="L336">
        <f>IF(A336="","",BD_Carga!E337)</f>
        <v/>
      </c>
    </row>
    <row r="337">
      <c r="A337">
        <f>IF(BD_Carga!C338="","",BD_Carga!C338)</f>
        <v/>
      </c>
      <c r="B337">
        <f>IF(A337="","",BD_Carga!D338)</f>
        <v/>
      </c>
      <c r="C337" s="2">
        <f>IF(A337="","",BD_Carga!A338)</f>
        <v/>
      </c>
      <c r="D337">
        <f>IF(A337="","",BD_Carga!R338)</f>
        <v/>
      </c>
      <c r="E337">
        <f>IF(A337="","",BD_Carga!Q338)</f>
        <v/>
      </c>
      <c r="F337" s="5">
        <f>IF(A337="","",BD_Carga!L338)</f>
        <v/>
      </c>
      <c r="G337">
        <f>IF(A337="","",BD_Carga!N338)</f>
        <v/>
      </c>
      <c r="H337">
        <f>IF(A337="","",BD_Carga!O338)</f>
        <v/>
      </c>
      <c r="I337">
        <f>IF(A337="","",BD_Carga!P338)</f>
        <v/>
      </c>
      <c r="J337">
        <f>IF(A337="","",_xlfn.MAXIFS(BD_Carga!$L:$L,BD_Carga!$C:$C,A337))</f>
        <v/>
      </c>
      <c r="K337" s="11">
        <f>IF(OR(A337="",J337=0),"",F337/J337)</f>
        <v/>
      </c>
      <c r="L337">
        <f>IF(A337="","",BD_Carga!E338)</f>
        <v/>
      </c>
    </row>
    <row r="338">
      <c r="A338">
        <f>IF(BD_Carga!C339="","",BD_Carga!C339)</f>
        <v/>
      </c>
      <c r="B338">
        <f>IF(A338="","",BD_Carga!D339)</f>
        <v/>
      </c>
      <c r="C338" s="2">
        <f>IF(A338="","",BD_Carga!A339)</f>
        <v/>
      </c>
      <c r="D338">
        <f>IF(A338="","",BD_Carga!R339)</f>
        <v/>
      </c>
      <c r="E338">
        <f>IF(A338="","",BD_Carga!Q339)</f>
        <v/>
      </c>
      <c r="F338" s="5">
        <f>IF(A338="","",BD_Carga!L339)</f>
        <v/>
      </c>
      <c r="G338">
        <f>IF(A338="","",BD_Carga!N339)</f>
        <v/>
      </c>
      <c r="H338">
        <f>IF(A338="","",BD_Carga!O339)</f>
        <v/>
      </c>
      <c r="I338">
        <f>IF(A338="","",BD_Carga!P339)</f>
        <v/>
      </c>
      <c r="J338">
        <f>IF(A338="","",_xlfn.MAXIFS(BD_Carga!$L:$L,BD_Carga!$C:$C,A338))</f>
        <v/>
      </c>
      <c r="K338" s="11">
        <f>IF(OR(A338="",J338=0),"",F338/J338)</f>
        <v/>
      </c>
      <c r="L338">
        <f>IF(A338="","",BD_Carga!E339)</f>
        <v/>
      </c>
    </row>
    <row r="339">
      <c r="A339">
        <f>IF(BD_Carga!C340="","",BD_Carga!C340)</f>
        <v/>
      </c>
      <c r="B339">
        <f>IF(A339="","",BD_Carga!D340)</f>
        <v/>
      </c>
      <c r="C339" s="2">
        <f>IF(A339="","",BD_Carga!A340)</f>
        <v/>
      </c>
      <c r="D339">
        <f>IF(A339="","",BD_Carga!R340)</f>
        <v/>
      </c>
      <c r="E339">
        <f>IF(A339="","",BD_Carga!Q340)</f>
        <v/>
      </c>
      <c r="F339" s="5">
        <f>IF(A339="","",BD_Carga!L340)</f>
        <v/>
      </c>
      <c r="G339">
        <f>IF(A339="","",BD_Carga!N340)</f>
        <v/>
      </c>
      <c r="H339">
        <f>IF(A339="","",BD_Carga!O340)</f>
        <v/>
      </c>
      <c r="I339">
        <f>IF(A339="","",BD_Carga!P340)</f>
        <v/>
      </c>
      <c r="J339">
        <f>IF(A339="","",_xlfn.MAXIFS(BD_Carga!$L:$L,BD_Carga!$C:$C,A339))</f>
        <v/>
      </c>
      <c r="K339" s="11">
        <f>IF(OR(A339="",J339=0),"",F339/J339)</f>
        <v/>
      </c>
      <c r="L339">
        <f>IF(A339="","",BD_Carga!E340)</f>
        <v/>
      </c>
    </row>
    <row r="340">
      <c r="A340">
        <f>IF(BD_Carga!C341="","",BD_Carga!C341)</f>
        <v/>
      </c>
      <c r="B340">
        <f>IF(A340="","",BD_Carga!D341)</f>
        <v/>
      </c>
      <c r="C340" s="2">
        <f>IF(A340="","",BD_Carga!A341)</f>
        <v/>
      </c>
      <c r="D340">
        <f>IF(A340="","",BD_Carga!R341)</f>
        <v/>
      </c>
      <c r="E340">
        <f>IF(A340="","",BD_Carga!Q341)</f>
        <v/>
      </c>
      <c r="F340" s="5">
        <f>IF(A340="","",BD_Carga!L341)</f>
        <v/>
      </c>
      <c r="G340">
        <f>IF(A340="","",BD_Carga!N341)</f>
        <v/>
      </c>
      <c r="H340">
        <f>IF(A340="","",BD_Carga!O341)</f>
        <v/>
      </c>
      <c r="I340">
        <f>IF(A340="","",BD_Carga!P341)</f>
        <v/>
      </c>
      <c r="J340">
        <f>IF(A340="","",_xlfn.MAXIFS(BD_Carga!$L:$L,BD_Carga!$C:$C,A340))</f>
        <v/>
      </c>
      <c r="K340" s="11">
        <f>IF(OR(A340="",J340=0),"",F340/J340)</f>
        <v/>
      </c>
      <c r="L340">
        <f>IF(A340="","",BD_Carga!E341)</f>
        <v/>
      </c>
    </row>
    <row r="341">
      <c r="A341">
        <f>IF(BD_Carga!C342="","",BD_Carga!C342)</f>
        <v/>
      </c>
      <c r="B341">
        <f>IF(A341="","",BD_Carga!D342)</f>
        <v/>
      </c>
      <c r="C341" s="2">
        <f>IF(A341="","",BD_Carga!A342)</f>
        <v/>
      </c>
      <c r="D341">
        <f>IF(A341="","",BD_Carga!R342)</f>
        <v/>
      </c>
      <c r="E341">
        <f>IF(A341="","",BD_Carga!Q342)</f>
        <v/>
      </c>
      <c r="F341" s="5">
        <f>IF(A341="","",BD_Carga!L342)</f>
        <v/>
      </c>
      <c r="G341">
        <f>IF(A341="","",BD_Carga!N342)</f>
        <v/>
      </c>
      <c r="H341">
        <f>IF(A341="","",BD_Carga!O342)</f>
        <v/>
      </c>
      <c r="I341">
        <f>IF(A341="","",BD_Carga!P342)</f>
        <v/>
      </c>
      <c r="J341">
        <f>IF(A341="","",_xlfn.MAXIFS(BD_Carga!$L:$L,BD_Carga!$C:$C,A341))</f>
        <v/>
      </c>
      <c r="K341" s="11">
        <f>IF(OR(A341="",J341=0),"",F341/J341)</f>
        <v/>
      </c>
      <c r="L341">
        <f>IF(A341="","",BD_Carga!E342)</f>
        <v/>
      </c>
    </row>
    <row r="342">
      <c r="A342">
        <f>IF(BD_Carga!C343="","",BD_Carga!C343)</f>
        <v/>
      </c>
      <c r="B342">
        <f>IF(A342="","",BD_Carga!D343)</f>
        <v/>
      </c>
      <c r="C342" s="2">
        <f>IF(A342="","",BD_Carga!A343)</f>
        <v/>
      </c>
      <c r="D342">
        <f>IF(A342="","",BD_Carga!R343)</f>
        <v/>
      </c>
      <c r="E342">
        <f>IF(A342="","",BD_Carga!Q343)</f>
        <v/>
      </c>
      <c r="F342" s="5">
        <f>IF(A342="","",BD_Carga!L343)</f>
        <v/>
      </c>
      <c r="G342">
        <f>IF(A342="","",BD_Carga!N343)</f>
        <v/>
      </c>
      <c r="H342">
        <f>IF(A342="","",BD_Carga!O343)</f>
        <v/>
      </c>
      <c r="I342">
        <f>IF(A342="","",BD_Carga!P343)</f>
        <v/>
      </c>
      <c r="J342">
        <f>IF(A342="","",_xlfn.MAXIFS(BD_Carga!$L:$L,BD_Carga!$C:$C,A342))</f>
        <v/>
      </c>
      <c r="K342" s="11">
        <f>IF(OR(A342="",J342=0),"",F342/J342)</f>
        <v/>
      </c>
      <c r="L342">
        <f>IF(A342="","",BD_Carga!E343)</f>
        <v/>
      </c>
    </row>
    <row r="343">
      <c r="A343">
        <f>IF(BD_Carga!C344="","",BD_Carga!C344)</f>
        <v/>
      </c>
      <c r="B343">
        <f>IF(A343="","",BD_Carga!D344)</f>
        <v/>
      </c>
      <c r="C343" s="2">
        <f>IF(A343="","",BD_Carga!A344)</f>
        <v/>
      </c>
      <c r="D343">
        <f>IF(A343="","",BD_Carga!R344)</f>
        <v/>
      </c>
      <c r="E343">
        <f>IF(A343="","",BD_Carga!Q344)</f>
        <v/>
      </c>
      <c r="F343" s="5">
        <f>IF(A343="","",BD_Carga!L344)</f>
        <v/>
      </c>
      <c r="G343">
        <f>IF(A343="","",BD_Carga!N344)</f>
        <v/>
      </c>
      <c r="H343">
        <f>IF(A343="","",BD_Carga!O344)</f>
        <v/>
      </c>
      <c r="I343">
        <f>IF(A343="","",BD_Carga!P344)</f>
        <v/>
      </c>
      <c r="J343">
        <f>IF(A343="","",_xlfn.MAXIFS(BD_Carga!$L:$L,BD_Carga!$C:$C,A343))</f>
        <v/>
      </c>
      <c r="K343" s="11">
        <f>IF(OR(A343="",J343=0),"",F343/J343)</f>
        <v/>
      </c>
      <c r="L343">
        <f>IF(A343="","",BD_Carga!E344)</f>
        <v/>
      </c>
    </row>
    <row r="344">
      <c r="A344">
        <f>IF(BD_Carga!C345="","",BD_Carga!C345)</f>
        <v/>
      </c>
      <c r="B344">
        <f>IF(A344="","",BD_Carga!D345)</f>
        <v/>
      </c>
      <c r="C344" s="2">
        <f>IF(A344="","",BD_Carga!A345)</f>
        <v/>
      </c>
      <c r="D344">
        <f>IF(A344="","",BD_Carga!R345)</f>
        <v/>
      </c>
      <c r="E344">
        <f>IF(A344="","",BD_Carga!Q345)</f>
        <v/>
      </c>
      <c r="F344" s="5">
        <f>IF(A344="","",BD_Carga!L345)</f>
        <v/>
      </c>
      <c r="G344">
        <f>IF(A344="","",BD_Carga!N345)</f>
        <v/>
      </c>
      <c r="H344">
        <f>IF(A344="","",BD_Carga!O345)</f>
        <v/>
      </c>
      <c r="I344">
        <f>IF(A344="","",BD_Carga!P345)</f>
        <v/>
      </c>
      <c r="J344">
        <f>IF(A344="","",_xlfn.MAXIFS(BD_Carga!$L:$L,BD_Carga!$C:$C,A344))</f>
        <v/>
      </c>
      <c r="K344" s="11">
        <f>IF(OR(A344="",J344=0),"",F344/J344)</f>
        <v/>
      </c>
      <c r="L344">
        <f>IF(A344="","",BD_Carga!E345)</f>
        <v/>
      </c>
    </row>
    <row r="345">
      <c r="A345">
        <f>IF(BD_Carga!C346="","",BD_Carga!C346)</f>
        <v/>
      </c>
      <c r="B345">
        <f>IF(A345="","",BD_Carga!D346)</f>
        <v/>
      </c>
      <c r="C345" s="2">
        <f>IF(A345="","",BD_Carga!A346)</f>
        <v/>
      </c>
      <c r="D345">
        <f>IF(A345="","",BD_Carga!R346)</f>
        <v/>
      </c>
      <c r="E345">
        <f>IF(A345="","",BD_Carga!Q346)</f>
        <v/>
      </c>
      <c r="F345" s="5">
        <f>IF(A345="","",BD_Carga!L346)</f>
        <v/>
      </c>
      <c r="G345">
        <f>IF(A345="","",BD_Carga!N346)</f>
        <v/>
      </c>
      <c r="H345">
        <f>IF(A345="","",BD_Carga!O346)</f>
        <v/>
      </c>
      <c r="I345">
        <f>IF(A345="","",BD_Carga!P346)</f>
        <v/>
      </c>
      <c r="J345">
        <f>IF(A345="","",_xlfn.MAXIFS(BD_Carga!$L:$L,BD_Carga!$C:$C,A345))</f>
        <v/>
      </c>
      <c r="K345" s="11">
        <f>IF(OR(A345="",J345=0),"",F345/J345)</f>
        <v/>
      </c>
      <c r="L345">
        <f>IF(A345="","",BD_Carga!E346)</f>
        <v/>
      </c>
    </row>
    <row r="346">
      <c r="A346">
        <f>IF(BD_Carga!C347="","",BD_Carga!C347)</f>
        <v/>
      </c>
      <c r="B346">
        <f>IF(A346="","",BD_Carga!D347)</f>
        <v/>
      </c>
      <c r="C346" s="2">
        <f>IF(A346="","",BD_Carga!A347)</f>
        <v/>
      </c>
      <c r="D346">
        <f>IF(A346="","",BD_Carga!R347)</f>
        <v/>
      </c>
      <c r="E346">
        <f>IF(A346="","",BD_Carga!Q347)</f>
        <v/>
      </c>
      <c r="F346" s="5">
        <f>IF(A346="","",BD_Carga!L347)</f>
        <v/>
      </c>
      <c r="G346">
        <f>IF(A346="","",BD_Carga!N347)</f>
        <v/>
      </c>
      <c r="H346">
        <f>IF(A346="","",BD_Carga!O347)</f>
        <v/>
      </c>
      <c r="I346">
        <f>IF(A346="","",BD_Carga!P347)</f>
        <v/>
      </c>
      <c r="J346">
        <f>IF(A346="","",_xlfn.MAXIFS(BD_Carga!$L:$L,BD_Carga!$C:$C,A346))</f>
        <v/>
      </c>
      <c r="K346" s="11">
        <f>IF(OR(A346="",J346=0),"",F346/J346)</f>
        <v/>
      </c>
      <c r="L346">
        <f>IF(A346="","",BD_Carga!E347)</f>
        <v/>
      </c>
    </row>
    <row r="347">
      <c r="A347">
        <f>IF(BD_Carga!C348="","",BD_Carga!C348)</f>
        <v/>
      </c>
      <c r="B347">
        <f>IF(A347="","",BD_Carga!D348)</f>
        <v/>
      </c>
      <c r="C347" s="2">
        <f>IF(A347="","",BD_Carga!A348)</f>
        <v/>
      </c>
      <c r="D347">
        <f>IF(A347="","",BD_Carga!R348)</f>
        <v/>
      </c>
      <c r="E347">
        <f>IF(A347="","",BD_Carga!Q348)</f>
        <v/>
      </c>
      <c r="F347" s="5">
        <f>IF(A347="","",BD_Carga!L348)</f>
        <v/>
      </c>
      <c r="G347">
        <f>IF(A347="","",BD_Carga!N348)</f>
        <v/>
      </c>
      <c r="H347">
        <f>IF(A347="","",BD_Carga!O348)</f>
        <v/>
      </c>
      <c r="I347">
        <f>IF(A347="","",BD_Carga!P348)</f>
        <v/>
      </c>
      <c r="J347">
        <f>IF(A347="","",_xlfn.MAXIFS(BD_Carga!$L:$L,BD_Carga!$C:$C,A347))</f>
        <v/>
      </c>
      <c r="K347" s="11">
        <f>IF(OR(A347="",J347=0),"",F347/J347)</f>
        <v/>
      </c>
      <c r="L347">
        <f>IF(A347="","",BD_Carga!E348)</f>
        <v/>
      </c>
    </row>
    <row r="348">
      <c r="A348">
        <f>IF(BD_Carga!C349="","",BD_Carga!C349)</f>
        <v/>
      </c>
      <c r="B348">
        <f>IF(A348="","",BD_Carga!D349)</f>
        <v/>
      </c>
      <c r="C348" s="2">
        <f>IF(A348="","",BD_Carga!A349)</f>
        <v/>
      </c>
      <c r="D348">
        <f>IF(A348="","",BD_Carga!R349)</f>
        <v/>
      </c>
      <c r="E348">
        <f>IF(A348="","",BD_Carga!Q349)</f>
        <v/>
      </c>
      <c r="F348" s="5">
        <f>IF(A348="","",BD_Carga!L349)</f>
        <v/>
      </c>
      <c r="G348">
        <f>IF(A348="","",BD_Carga!N349)</f>
        <v/>
      </c>
      <c r="H348">
        <f>IF(A348="","",BD_Carga!O349)</f>
        <v/>
      </c>
      <c r="I348">
        <f>IF(A348="","",BD_Carga!P349)</f>
        <v/>
      </c>
      <c r="J348">
        <f>IF(A348="","",_xlfn.MAXIFS(BD_Carga!$L:$L,BD_Carga!$C:$C,A348))</f>
        <v/>
      </c>
      <c r="K348" s="11">
        <f>IF(OR(A348="",J348=0),"",F348/J348)</f>
        <v/>
      </c>
      <c r="L348">
        <f>IF(A348="","",BD_Carga!E349)</f>
        <v/>
      </c>
    </row>
    <row r="349">
      <c r="A349">
        <f>IF(BD_Carga!C350="","",BD_Carga!C350)</f>
        <v/>
      </c>
      <c r="B349">
        <f>IF(A349="","",BD_Carga!D350)</f>
        <v/>
      </c>
      <c r="C349" s="2">
        <f>IF(A349="","",BD_Carga!A350)</f>
        <v/>
      </c>
      <c r="D349">
        <f>IF(A349="","",BD_Carga!R350)</f>
        <v/>
      </c>
      <c r="E349">
        <f>IF(A349="","",BD_Carga!Q350)</f>
        <v/>
      </c>
      <c r="F349" s="5">
        <f>IF(A349="","",BD_Carga!L350)</f>
        <v/>
      </c>
      <c r="G349">
        <f>IF(A349="","",BD_Carga!N350)</f>
        <v/>
      </c>
      <c r="H349">
        <f>IF(A349="","",BD_Carga!O350)</f>
        <v/>
      </c>
      <c r="I349">
        <f>IF(A349="","",BD_Carga!P350)</f>
        <v/>
      </c>
      <c r="J349">
        <f>IF(A349="","",_xlfn.MAXIFS(BD_Carga!$L:$L,BD_Carga!$C:$C,A349))</f>
        <v/>
      </c>
      <c r="K349" s="11">
        <f>IF(OR(A349="",J349=0),"",F349/J349)</f>
        <v/>
      </c>
      <c r="L349">
        <f>IF(A349="","",BD_Carga!E350)</f>
        <v/>
      </c>
    </row>
    <row r="350">
      <c r="A350">
        <f>IF(BD_Carga!C351="","",BD_Carga!C351)</f>
        <v/>
      </c>
      <c r="B350">
        <f>IF(A350="","",BD_Carga!D351)</f>
        <v/>
      </c>
      <c r="C350" s="2">
        <f>IF(A350="","",BD_Carga!A351)</f>
        <v/>
      </c>
      <c r="D350">
        <f>IF(A350="","",BD_Carga!R351)</f>
        <v/>
      </c>
      <c r="E350">
        <f>IF(A350="","",BD_Carga!Q351)</f>
        <v/>
      </c>
      <c r="F350" s="5">
        <f>IF(A350="","",BD_Carga!L351)</f>
        <v/>
      </c>
      <c r="G350">
        <f>IF(A350="","",BD_Carga!N351)</f>
        <v/>
      </c>
      <c r="H350">
        <f>IF(A350="","",BD_Carga!O351)</f>
        <v/>
      </c>
      <c r="I350">
        <f>IF(A350="","",BD_Carga!P351)</f>
        <v/>
      </c>
      <c r="J350">
        <f>IF(A350="","",_xlfn.MAXIFS(BD_Carga!$L:$L,BD_Carga!$C:$C,A350))</f>
        <v/>
      </c>
      <c r="K350" s="11">
        <f>IF(OR(A350="",J350=0),"",F350/J350)</f>
        <v/>
      </c>
      <c r="L350">
        <f>IF(A350="","",BD_Carga!E351)</f>
        <v/>
      </c>
    </row>
    <row r="351">
      <c r="A351">
        <f>IF(BD_Carga!C352="","",BD_Carga!C352)</f>
        <v/>
      </c>
      <c r="B351">
        <f>IF(A351="","",BD_Carga!D352)</f>
        <v/>
      </c>
      <c r="C351" s="2">
        <f>IF(A351="","",BD_Carga!A352)</f>
        <v/>
      </c>
      <c r="D351">
        <f>IF(A351="","",BD_Carga!R352)</f>
        <v/>
      </c>
      <c r="E351">
        <f>IF(A351="","",BD_Carga!Q352)</f>
        <v/>
      </c>
      <c r="F351" s="5">
        <f>IF(A351="","",BD_Carga!L352)</f>
        <v/>
      </c>
      <c r="G351">
        <f>IF(A351="","",BD_Carga!N352)</f>
        <v/>
      </c>
      <c r="H351">
        <f>IF(A351="","",BD_Carga!O352)</f>
        <v/>
      </c>
      <c r="I351">
        <f>IF(A351="","",BD_Carga!P352)</f>
        <v/>
      </c>
      <c r="J351">
        <f>IF(A351="","",_xlfn.MAXIFS(BD_Carga!$L:$L,BD_Carga!$C:$C,A351))</f>
        <v/>
      </c>
      <c r="K351" s="11">
        <f>IF(OR(A351="",J351=0),"",F351/J351)</f>
        <v/>
      </c>
      <c r="L351">
        <f>IF(A351="","",BD_Carga!E352)</f>
        <v/>
      </c>
    </row>
    <row r="352">
      <c r="A352">
        <f>IF(BD_Carga!C353="","",BD_Carga!C353)</f>
        <v/>
      </c>
      <c r="B352">
        <f>IF(A352="","",BD_Carga!D353)</f>
        <v/>
      </c>
      <c r="C352" s="2">
        <f>IF(A352="","",BD_Carga!A353)</f>
        <v/>
      </c>
      <c r="D352">
        <f>IF(A352="","",BD_Carga!R353)</f>
        <v/>
      </c>
      <c r="E352">
        <f>IF(A352="","",BD_Carga!Q353)</f>
        <v/>
      </c>
      <c r="F352" s="5">
        <f>IF(A352="","",BD_Carga!L353)</f>
        <v/>
      </c>
      <c r="G352">
        <f>IF(A352="","",BD_Carga!N353)</f>
        <v/>
      </c>
      <c r="H352">
        <f>IF(A352="","",BD_Carga!O353)</f>
        <v/>
      </c>
      <c r="I352">
        <f>IF(A352="","",BD_Carga!P353)</f>
        <v/>
      </c>
      <c r="J352">
        <f>IF(A352="","",_xlfn.MAXIFS(BD_Carga!$L:$L,BD_Carga!$C:$C,A352))</f>
        <v/>
      </c>
      <c r="K352" s="11">
        <f>IF(OR(A352="",J352=0),"",F352/J352)</f>
        <v/>
      </c>
      <c r="L352">
        <f>IF(A352="","",BD_Carga!E353)</f>
        <v/>
      </c>
    </row>
    <row r="353">
      <c r="A353">
        <f>IF(BD_Carga!C354="","",BD_Carga!C354)</f>
        <v/>
      </c>
      <c r="B353">
        <f>IF(A353="","",BD_Carga!D354)</f>
        <v/>
      </c>
      <c r="C353" s="2">
        <f>IF(A353="","",BD_Carga!A354)</f>
        <v/>
      </c>
      <c r="D353">
        <f>IF(A353="","",BD_Carga!R354)</f>
        <v/>
      </c>
      <c r="E353">
        <f>IF(A353="","",BD_Carga!Q354)</f>
        <v/>
      </c>
      <c r="F353" s="5">
        <f>IF(A353="","",BD_Carga!L354)</f>
        <v/>
      </c>
      <c r="G353">
        <f>IF(A353="","",BD_Carga!N354)</f>
        <v/>
      </c>
      <c r="H353">
        <f>IF(A353="","",BD_Carga!O354)</f>
        <v/>
      </c>
      <c r="I353">
        <f>IF(A353="","",BD_Carga!P354)</f>
        <v/>
      </c>
      <c r="J353">
        <f>IF(A353="","",_xlfn.MAXIFS(BD_Carga!$L:$L,BD_Carga!$C:$C,A353))</f>
        <v/>
      </c>
      <c r="K353" s="11">
        <f>IF(OR(A353="",J353=0),"",F353/J353)</f>
        <v/>
      </c>
      <c r="L353">
        <f>IF(A353="","",BD_Carga!E354)</f>
        <v/>
      </c>
    </row>
    <row r="354">
      <c r="A354">
        <f>IF(BD_Carga!C355="","",BD_Carga!C355)</f>
        <v/>
      </c>
      <c r="B354">
        <f>IF(A354="","",BD_Carga!D355)</f>
        <v/>
      </c>
      <c r="C354" s="2">
        <f>IF(A354="","",BD_Carga!A355)</f>
        <v/>
      </c>
      <c r="D354">
        <f>IF(A354="","",BD_Carga!R355)</f>
        <v/>
      </c>
      <c r="E354">
        <f>IF(A354="","",BD_Carga!Q355)</f>
        <v/>
      </c>
      <c r="F354" s="5">
        <f>IF(A354="","",BD_Carga!L355)</f>
        <v/>
      </c>
      <c r="G354">
        <f>IF(A354="","",BD_Carga!N355)</f>
        <v/>
      </c>
      <c r="H354">
        <f>IF(A354="","",BD_Carga!O355)</f>
        <v/>
      </c>
      <c r="I354">
        <f>IF(A354="","",BD_Carga!P355)</f>
        <v/>
      </c>
      <c r="J354">
        <f>IF(A354="","",_xlfn.MAXIFS(BD_Carga!$L:$L,BD_Carga!$C:$C,A354))</f>
        <v/>
      </c>
      <c r="K354" s="11">
        <f>IF(OR(A354="",J354=0),"",F354/J354)</f>
        <v/>
      </c>
      <c r="L354">
        <f>IF(A354="","",BD_Carga!E355)</f>
        <v/>
      </c>
    </row>
    <row r="355">
      <c r="A355">
        <f>IF(BD_Carga!C356="","",BD_Carga!C356)</f>
        <v/>
      </c>
      <c r="B355">
        <f>IF(A355="","",BD_Carga!D356)</f>
        <v/>
      </c>
      <c r="C355" s="2">
        <f>IF(A355="","",BD_Carga!A356)</f>
        <v/>
      </c>
      <c r="D355">
        <f>IF(A355="","",BD_Carga!R356)</f>
        <v/>
      </c>
      <c r="E355">
        <f>IF(A355="","",BD_Carga!Q356)</f>
        <v/>
      </c>
      <c r="F355" s="5">
        <f>IF(A355="","",BD_Carga!L356)</f>
        <v/>
      </c>
      <c r="G355">
        <f>IF(A355="","",BD_Carga!N356)</f>
        <v/>
      </c>
      <c r="H355">
        <f>IF(A355="","",BD_Carga!O356)</f>
        <v/>
      </c>
      <c r="I355">
        <f>IF(A355="","",BD_Carga!P356)</f>
        <v/>
      </c>
      <c r="J355">
        <f>IF(A355="","",_xlfn.MAXIFS(BD_Carga!$L:$L,BD_Carga!$C:$C,A355))</f>
        <v/>
      </c>
      <c r="K355" s="11">
        <f>IF(OR(A355="",J355=0),"",F355/J355)</f>
        <v/>
      </c>
      <c r="L355">
        <f>IF(A355="","",BD_Carga!E356)</f>
        <v/>
      </c>
    </row>
    <row r="356">
      <c r="A356">
        <f>IF(BD_Carga!C357="","",BD_Carga!C357)</f>
        <v/>
      </c>
      <c r="B356">
        <f>IF(A356="","",BD_Carga!D357)</f>
        <v/>
      </c>
      <c r="C356" s="2">
        <f>IF(A356="","",BD_Carga!A357)</f>
        <v/>
      </c>
      <c r="D356">
        <f>IF(A356="","",BD_Carga!R357)</f>
        <v/>
      </c>
      <c r="E356">
        <f>IF(A356="","",BD_Carga!Q357)</f>
        <v/>
      </c>
      <c r="F356" s="5">
        <f>IF(A356="","",BD_Carga!L357)</f>
        <v/>
      </c>
      <c r="G356">
        <f>IF(A356="","",BD_Carga!N357)</f>
        <v/>
      </c>
      <c r="H356">
        <f>IF(A356="","",BD_Carga!O357)</f>
        <v/>
      </c>
      <c r="I356">
        <f>IF(A356="","",BD_Carga!P357)</f>
        <v/>
      </c>
      <c r="J356">
        <f>IF(A356="","",_xlfn.MAXIFS(BD_Carga!$L:$L,BD_Carga!$C:$C,A356))</f>
        <v/>
      </c>
      <c r="K356" s="11">
        <f>IF(OR(A356="",J356=0),"",F356/J356)</f>
        <v/>
      </c>
      <c r="L356">
        <f>IF(A356="","",BD_Carga!E357)</f>
        <v/>
      </c>
    </row>
    <row r="357">
      <c r="A357">
        <f>IF(BD_Carga!C358="","",BD_Carga!C358)</f>
        <v/>
      </c>
      <c r="B357">
        <f>IF(A357="","",BD_Carga!D358)</f>
        <v/>
      </c>
      <c r="C357" s="2">
        <f>IF(A357="","",BD_Carga!A358)</f>
        <v/>
      </c>
      <c r="D357">
        <f>IF(A357="","",BD_Carga!R358)</f>
        <v/>
      </c>
      <c r="E357">
        <f>IF(A357="","",BD_Carga!Q358)</f>
        <v/>
      </c>
      <c r="F357" s="5">
        <f>IF(A357="","",BD_Carga!L358)</f>
        <v/>
      </c>
      <c r="G357">
        <f>IF(A357="","",BD_Carga!N358)</f>
        <v/>
      </c>
      <c r="H357">
        <f>IF(A357="","",BD_Carga!O358)</f>
        <v/>
      </c>
      <c r="I357">
        <f>IF(A357="","",BD_Carga!P358)</f>
        <v/>
      </c>
      <c r="J357">
        <f>IF(A357="","",_xlfn.MAXIFS(BD_Carga!$L:$L,BD_Carga!$C:$C,A357))</f>
        <v/>
      </c>
      <c r="K357" s="11">
        <f>IF(OR(A357="",J357=0),"",F357/J357)</f>
        <v/>
      </c>
      <c r="L357">
        <f>IF(A357="","",BD_Carga!E358)</f>
        <v/>
      </c>
    </row>
    <row r="358">
      <c r="A358">
        <f>IF(BD_Carga!C359="","",BD_Carga!C359)</f>
        <v/>
      </c>
      <c r="B358">
        <f>IF(A358="","",BD_Carga!D359)</f>
        <v/>
      </c>
      <c r="C358" s="2">
        <f>IF(A358="","",BD_Carga!A359)</f>
        <v/>
      </c>
      <c r="D358">
        <f>IF(A358="","",BD_Carga!R359)</f>
        <v/>
      </c>
      <c r="E358">
        <f>IF(A358="","",BD_Carga!Q359)</f>
        <v/>
      </c>
      <c r="F358" s="5">
        <f>IF(A358="","",BD_Carga!L359)</f>
        <v/>
      </c>
      <c r="G358">
        <f>IF(A358="","",BD_Carga!N359)</f>
        <v/>
      </c>
      <c r="H358">
        <f>IF(A358="","",BD_Carga!O359)</f>
        <v/>
      </c>
      <c r="I358">
        <f>IF(A358="","",BD_Carga!P359)</f>
        <v/>
      </c>
      <c r="J358">
        <f>IF(A358="","",_xlfn.MAXIFS(BD_Carga!$L:$L,BD_Carga!$C:$C,A358))</f>
        <v/>
      </c>
      <c r="K358" s="11">
        <f>IF(OR(A358="",J358=0),"",F358/J358)</f>
        <v/>
      </c>
      <c r="L358">
        <f>IF(A358="","",BD_Carga!E359)</f>
        <v/>
      </c>
    </row>
    <row r="359">
      <c r="A359">
        <f>IF(BD_Carga!C360="","",BD_Carga!C360)</f>
        <v/>
      </c>
      <c r="B359">
        <f>IF(A359="","",BD_Carga!D360)</f>
        <v/>
      </c>
      <c r="C359" s="2">
        <f>IF(A359="","",BD_Carga!A360)</f>
        <v/>
      </c>
      <c r="D359">
        <f>IF(A359="","",BD_Carga!R360)</f>
        <v/>
      </c>
      <c r="E359">
        <f>IF(A359="","",BD_Carga!Q360)</f>
        <v/>
      </c>
      <c r="F359" s="5">
        <f>IF(A359="","",BD_Carga!L360)</f>
        <v/>
      </c>
      <c r="G359">
        <f>IF(A359="","",BD_Carga!N360)</f>
        <v/>
      </c>
      <c r="H359">
        <f>IF(A359="","",BD_Carga!O360)</f>
        <v/>
      </c>
      <c r="I359">
        <f>IF(A359="","",BD_Carga!P360)</f>
        <v/>
      </c>
      <c r="J359">
        <f>IF(A359="","",_xlfn.MAXIFS(BD_Carga!$L:$L,BD_Carga!$C:$C,A359))</f>
        <v/>
      </c>
      <c r="K359" s="11">
        <f>IF(OR(A359="",J359=0),"",F359/J359)</f>
        <v/>
      </c>
      <c r="L359">
        <f>IF(A359="","",BD_Carga!E360)</f>
        <v/>
      </c>
    </row>
    <row r="360">
      <c r="A360">
        <f>IF(BD_Carga!C361="","",BD_Carga!C361)</f>
        <v/>
      </c>
      <c r="B360">
        <f>IF(A360="","",BD_Carga!D361)</f>
        <v/>
      </c>
      <c r="C360" s="2">
        <f>IF(A360="","",BD_Carga!A361)</f>
        <v/>
      </c>
      <c r="D360">
        <f>IF(A360="","",BD_Carga!R361)</f>
        <v/>
      </c>
      <c r="E360">
        <f>IF(A360="","",BD_Carga!Q361)</f>
        <v/>
      </c>
      <c r="F360" s="5">
        <f>IF(A360="","",BD_Carga!L361)</f>
        <v/>
      </c>
      <c r="G360">
        <f>IF(A360="","",BD_Carga!N361)</f>
        <v/>
      </c>
      <c r="H360">
        <f>IF(A360="","",BD_Carga!O361)</f>
        <v/>
      </c>
      <c r="I360">
        <f>IF(A360="","",BD_Carga!P361)</f>
        <v/>
      </c>
      <c r="J360">
        <f>IF(A360="","",_xlfn.MAXIFS(BD_Carga!$L:$L,BD_Carga!$C:$C,A360))</f>
        <v/>
      </c>
      <c r="K360" s="11">
        <f>IF(OR(A360="",J360=0),"",F360/J360)</f>
        <v/>
      </c>
      <c r="L360">
        <f>IF(A360="","",BD_Carga!E361)</f>
        <v/>
      </c>
    </row>
    <row r="361">
      <c r="A361">
        <f>IF(BD_Carga!C362="","",BD_Carga!C362)</f>
        <v/>
      </c>
      <c r="B361">
        <f>IF(A361="","",BD_Carga!D362)</f>
        <v/>
      </c>
      <c r="C361" s="2">
        <f>IF(A361="","",BD_Carga!A362)</f>
        <v/>
      </c>
      <c r="D361">
        <f>IF(A361="","",BD_Carga!R362)</f>
        <v/>
      </c>
      <c r="E361">
        <f>IF(A361="","",BD_Carga!Q362)</f>
        <v/>
      </c>
      <c r="F361" s="5">
        <f>IF(A361="","",BD_Carga!L362)</f>
        <v/>
      </c>
      <c r="G361">
        <f>IF(A361="","",BD_Carga!N362)</f>
        <v/>
      </c>
      <c r="H361">
        <f>IF(A361="","",BD_Carga!O362)</f>
        <v/>
      </c>
      <c r="I361">
        <f>IF(A361="","",BD_Carga!P362)</f>
        <v/>
      </c>
      <c r="J361">
        <f>IF(A361="","",_xlfn.MAXIFS(BD_Carga!$L:$L,BD_Carga!$C:$C,A361))</f>
        <v/>
      </c>
      <c r="K361" s="11">
        <f>IF(OR(A361="",J361=0),"",F361/J361)</f>
        <v/>
      </c>
      <c r="L361">
        <f>IF(A361="","",BD_Carga!E362)</f>
        <v/>
      </c>
    </row>
    <row r="362">
      <c r="A362">
        <f>IF(BD_Carga!C363="","",BD_Carga!C363)</f>
        <v/>
      </c>
      <c r="B362">
        <f>IF(A362="","",BD_Carga!D363)</f>
        <v/>
      </c>
      <c r="C362" s="2">
        <f>IF(A362="","",BD_Carga!A363)</f>
        <v/>
      </c>
      <c r="D362">
        <f>IF(A362="","",BD_Carga!R363)</f>
        <v/>
      </c>
      <c r="E362">
        <f>IF(A362="","",BD_Carga!Q363)</f>
        <v/>
      </c>
      <c r="F362" s="5">
        <f>IF(A362="","",BD_Carga!L363)</f>
        <v/>
      </c>
      <c r="G362">
        <f>IF(A362="","",BD_Carga!N363)</f>
        <v/>
      </c>
      <c r="H362">
        <f>IF(A362="","",BD_Carga!O363)</f>
        <v/>
      </c>
      <c r="I362">
        <f>IF(A362="","",BD_Carga!P363)</f>
        <v/>
      </c>
      <c r="J362">
        <f>IF(A362="","",_xlfn.MAXIFS(BD_Carga!$L:$L,BD_Carga!$C:$C,A362))</f>
        <v/>
      </c>
      <c r="K362" s="11">
        <f>IF(OR(A362="",J362=0),"",F362/J362)</f>
        <v/>
      </c>
      <c r="L362">
        <f>IF(A362="","",BD_Carga!E363)</f>
        <v/>
      </c>
    </row>
    <row r="363">
      <c r="A363">
        <f>IF(BD_Carga!C364="","",BD_Carga!C364)</f>
        <v/>
      </c>
      <c r="B363">
        <f>IF(A363="","",BD_Carga!D364)</f>
        <v/>
      </c>
      <c r="C363" s="2">
        <f>IF(A363="","",BD_Carga!A364)</f>
        <v/>
      </c>
      <c r="D363">
        <f>IF(A363="","",BD_Carga!R364)</f>
        <v/>
      </c>
      <c r="E363">
        <f>IF(A363="","",BD_Carga!Q364)</f>
        <v/>
      </c>
      <c r="F363" s="5">
        <f>IF(A363="","",BD_Carga!L364)</f>
        <v/>
      </c>
      <c r="G363">
        <f>IF(A363="","",BD_Carga!N364)</f>
        <v/>
      </c>
      <c r="H363">
        <f>IF(A363="","",BD_Carga!O364)</f>
        <v/>
      </c>
      <c r="I363">
        <f>IF(A363="","",BD_Carga!P364)</f>
        <v/>
      </c>
      <c r="J363">
        <f>IF(A363="","",_xlfn.MAXIFS(BD_Carga!$L:$L,BD_Carga!$C:$C,A363))</f>
        <v/>
      </c>
      <c r="K363" s="11">
        <f>IF(OR(A363="",J363=0),"",F363/J363)</f>
        <v/>
      </c>
      <c r="L363">
        <f>IF(A363="","",BD_Carga!E364)</f>
        <v/>
      </c>
    </row>
    <row r="364">
      <c r="A364">
        <f>IF(BD_Carga!C365="","",BD_Carga!C365)</f>
        <v/>
      </c>
      <c r="B364">
        <f>IF(A364="","",BD_Carga!D365)</f>
        <v/>
      </c>
      <c r="C364" s="2">
        <f>IF(A364="","",BD_Carga!A365)</f>
        <v/>
      </c>
      <c r="D364">
        <f>IF(A364="","",BD_Carga!R365)</f>
        <v/>
      </c>
      <c r="E364">
        <f>IF(A364="","",BD_Carga!Q365)</f>
        <v/>
      </c>
      <c r="F364" s="5">
        <f>IF(A364="","",BD_Carga!L365)</f>
        <v/>
      </c>
      <c r="G364">
        <f>IF(A364="","",BD_Carga!N365)</f>
        <v/>
      </c>
      <c r="H364">
        <f>IF(A364="","",BD_Carga!O365)</f>
        <v/>
      </c>
      <c r="I364">
        <f>IF(A364="","",BD_Carga!P365)</f>
        <v/>
      </c>
      <c r="J364">
        <f>IF(A364="","",_xlfn.MAXIFS(BD_Carga!$L:$L,BD_Carga!$C:$C,A364))</f>
        <v/>
      </c>
      <c r="K364" s="11">
        <f>IF(OR(A364="",J364=0),"",F364/J364)</f>
        <v/>
      </c>
      <c r="L364">
        <f>IF(A364="","",BD_Carga!E365)</f>
        <v/>
      </c>
    </row>
    <row r="365">
      <c r="A365">
        <f>IF(BD_Carga!C366="","",BD_Carga!C366)</f>
        <v/>
      </c>
      <c r="B365">
        <f>IF(A365="","",BD_Carga!D366)</f>
        <v/>
      </c>
      <c r="C365" s="2">
        <f>IF(A365="","",BD_Carga!A366)</f>
        <v/>
      </c>
      <c r="D365">
        <f>IF(A365="","",BD_Carga!R366)</f>
        <v/>
      </c>
      <c r="E365">
        <f>IF(A365="","",BD_Carga!Q366)</f>
        <v/>
      </c>
      <c r="F365" s="5">
        <f>IF(A365="","",BD_Carga!L366)</f>
        <v/>
      </c>
      <c r="G365">
        <f>IF(A365="","",BD_Carga!N366)</f>
        <v/>
      </c>
      <c r="H365">
        <f>IF(A365="","",BD_Carga!O366)</f>
        <v/>
      </c>
      <c r="I365">
        <f>IF(A365="","",BD_Carga!P366)</f>
        <v/>
      </c>
      <c r="J365">
        <f>IF(A365="","",_xlfn.MAXIFS(BD_Carga!$L:$L,BD_Carga!$C:$C,A365))</f>
        <v/>
      </c>
      <c r="K365" s="11">
        <f>IF(OR(A365="",J365=0),"",F365/J365)</f>
        <v/>
      </c>
      <c r="L365">
        <f>IF(A365="","",BD_Carga!E366)</f>
        <v/>
      </c>
    </row>
    <row r="366">
      <c r="A366">
        <f>IF(BD_Carga!C367="","",BD_Carga!C367)</f>
        <v/>
      </c>
      <c r="B366">
        <f>IF(A366="","",BD_Carga!D367)</f>
        <v/>
      </c>
      <c r="C366" s="2">
        <f>IF(A366="","",BD_Carga!A367)</f>
        <v/>
      </c>
      <c r="D366">
        <f>IF(A366="","",BD_Carga!R367)</f>
        <v/>
      </c>
      <c r="E366">
        <f>IF(A366="","",BD_Carga!Q367)</f>
        <v/>
      </c>
      <c r="F366" s="5">
        <f>IF(A366="","",BD_Carga!L367)</f>
        <v/>
      </c>
      <c r="G366">
        <f>IF(A366="","",BD_Carga!N367)</f>
        <v/>
      </c>
      <c r="H366">
        <f>IF(A366="","",BD_Carga!O367)</f>
        <v/>
      </c>
      <c r="I366">
        <f>IF(A366="","",BD_Carga!P367)</f>
        <v/>
      </c>
      <c r="J366">
        <f>IF(A366="","",_xlfn.MAXIFS(BD_Carga!$L:$L,BD_Carga!$C:$C,A366))</f>
        <v/>
      </c>
      <c r="K366" s="11">
        <f>IF(OR(A366="",J366=0),"",F366/J366)</f>
        <v/>
      </c>
      <c r="L366">
        <f>IF(A366="","",BD_Carga!E367)</f>
        <v/>
      </c>
    </row>
    <row r="367">
      <c r="A367">
        <f>IF(BD_Carga!C368="","",BD_Carga!C368)</f>
        <v/>
      </c>
      <c r="B367">
        <f>IF(A367="","",BD_Carga!D368)</f>
        <v/>
      </c>
      <c r="C367" s="2">
        <f>IF(A367="","",BD_Carga!A368)</f>
        <v/>
      </c>
      <c r="D367">
        <f>IF(A367="","",BD_Carga!R368)</f>
        <v/>
      </c>
      <c r="E367">
        <f>IF(A367="","",BD_Carga!Q368)</f>
        <v/>
      </c>
      <c r="F367" s="5">
        <f>IF(A367="","",BD_Carga!L368)</f>
        <v/>
      </c>
      <c r="G367">
        <f>IF(A367="","",BD_Carga!N368)</f>
        <v/>
      </c>
      <c r="H367">
        <f>IF(A367="","",BD_Carga!O368)</f>
        <v/>
      </c>
      <c r="I367">
        <f>IF(A367="","",BD_Carga!P368)</f>
        <v/>
      </c>
      <c r="J367">
        <f>IF(A367="","",_xlfn.MAXIFS(BD_Carga!$L:$L,BD_Carga!$C:$C,A367))</f>
        <v/>
      </c>
      <c r="K367" s="11">
        <f>IF(OR(A367="",J367=0),"",F367/J367)</f>
        <v/>
      </c>
      <c r="L367">
        <f>IF(A367="","",BD_Carga!E368)</f>
        <v/>
      </c>
    </row>
    <row r="368">
      <c r="A368">
        <f>IF(BD_Carga!C369="","",BD_Carga!C369)</f>
        <v/>
      </c>
      <c r="B368">
        <f>IF(A368="","",BD_Carga!D369)</f>
        <v/>
      </c>
      <c r="C368" s="2">
        <f>IF(A368="","",BD_Carga!A369)</f>
        <v/>
      </c>
      <c r="D368">
        <f>IF(A368="","",BD_Carga!R369)</f>
        <v/>
      </c>
      <c r="E368">
        <f>IF(A368="","",BD_Carga!Q369)</f>
        <v/>
      </c>
      <c r="F368" s="5">
        <f>IF(A368="","",BD_Carga!L369)</f>
        <v/>
      </c>
      <c r="G368">
        <f>IF(A368="","",BD_Carga!N369)</f>
        <v/>
      </c>
      <c r="H368">
        <f>IF(A368="","",BD_Carga!O369)</f>
        <v/>
      </c>
      <c r="I368">
        <f>IF(A368="","",BD_Carga!P369)</f>
        <v/>
      </c>
      <c r="J368">
        <f>IF(A368="","",_xlfn.MAXIFS(BD_Carga!$L:$L,BD_Carga!$C:$C,A368))</f>
        <v/>
      </c>
      <c r="K368" s="11">
        <f>IF(OR(A368="",J368=0),"",F368/J368)</f>
        <v/>
      </c>
      <c r="L368">
        <f>IF(A368="","",BD_Carga!E369)</f>
        <v/>
      </c>
    </row>
    <row r="369">
      <c r="A369">
        <f>IF(BD_Carga!C370="","",BD_Carga!C370)</f>
        <v/>
      </c>
      <c r="B369">
        <f>IF(A369="","",BD_Carga!D370)</f>
        <v/>
      </c>
      <c r="C369" s="2">
        <f>IF(A369="","",BD_Carga!A370)</f>
        <v/>
      </c>
      <c r="D369">
        <f>IF(A369="","",BD_Carga!R370)</f>
        <v/>
      </c>
      <c r="E369">
        <f>IF(A369="","",BD_Carga!Q370)</f>
        <v/>
      </c>
      <c r="F369" s="5">
        <f>IF(A369="","",BD_Carga!L370)</f>
        <v/>
      </c>
      <c r="G369">
        <f>IF(A369="","",BD_Carga!N370)</f>
        <v/>
      </c>
      <c r="H369">
        <f>IF(A369="","",BD_Carga!O370)</f>
        <v/>
      </c>
      <c r="I369">
        <f>IF(A369="","",BD_Carga!P370)</f>
        <v/>
      </c>
      <c r="J369">
        <f>IF(A369="","",_xlfn.MAXIFS(BD_Carga!$L:$L,BD_Carga!$C:$C,A369))</f>
        <v/>
      </c>
      <c r="K369" s="11">
        <f>IF(OR(A369="",J369=0),"",F369/J369)</f>
        <v/>
      </c>
      <c r="L369">
        <f>IF(A369="","",BD_Carga!E370)</f>
        <v/>
      </c>
    </row>
    <row r="370">
      <c r="A370">
        <f>IF(BD_Carga!C371="","",BD_Carga!C371)</f>
        <v/>
      </c>
      <c r="B370">
        <f>IF(A370="","",BD_Carga!D371)</f>
        <v/>
      </c>
      <c r="C370" s="2">
        <f>IF(A370="","",BD_Carga!A371)</f>
        <v/>
      </c>
      <c r="D370">
        <f>IF(A370="","",BD_Carga!R371)</f>
        <v/>
      </c>
      <c r="E370">
        <f>IF(A370="","",BD_Carga!Q371)</f>
        <v/>
      </c>
      <c r="F370" s="5">
        <f>IF(A370="","",BD_Carga!L371)</f>
        <v/>
      </c>
      <c r="G370">
        <f>IF(A370="","",BD_Carga!N371)</f>
        <v/>
      </c>
      <c r="H370">
        <f>IF(A370="","",BD_Carga!O371)</f>
        <v/>
      </c>
      <c r="I370">
        <f>IF(A370="","",BD_Carga!P371)</f>
        <v/>
      </c>
      <c r="J370">
        <f>IF(A370="","",_xlfn.MAXIFS(BD_Carga!$L:$L,BD_Carga!$C:$C,A370))</f>
        <v/>
      </c>
      <c r="K370" s="11">
        <f>IF(OR(A370="",J370=0),"",F370/J370)</f>
        <v/>
      </c>
      <c r="L370">
        <f>IF(A370="","",BD_Carga!E371)</f>
        <v/>
      </c>
    </row>
    <row r="371">
      <c r="A371">
        <f>IF(BD_Carga!C372="","",BD_Carga!C372)</f>
        <v/>
      </c>
      <c r="B371">
        <f>IF(A371="","",BD_Carga!D372)</f>
        <v/>
      </c>
      <c r="C371" s="2">
        <f>IF(A371="","",BD_Carga!A372)</f>
        <v/>
      </c>
      <c r="D371">
        <f>IF(A371="","",BD_Carga!R372)</f>
        <v/>
      </c>
      <c r="E371">
        <f>IF(A371="","",BD_Carga!Q372)</f>
        <v/>
      </c>
      <c r="F371" s="5">
        <f>IF(A371="","",BD_Carga!L372)</f>
        <v/>
      </c>
      <c r="G371">
        <f>IF(A371="","",BD_Carga!N372)</f>
        <v/>
      </c>
      <c r="H371">
        <f>IF(A371="","",BD_Carga!O372)</f>
        <v/>
      </c>
      <c r="I371">
        <f>IF(A371="","",BD_Carga!P372)</f>
        <v/>
      </c>
      <c r="J371">
        <f>IF(A371="","",_xlfn.MAXIFS(BD_Carga!$L:$L,BD_Carga!$C:$C,A371))</f>
        <v/>
      </c>
      <c r="K371" s="11">
        <f>IF(OR(A371="",J371=0),"",F371/J371)</f>
        <v/>
      </c>
      <c r="L371">
        <f>IF(A371="","",BD_Carga!E372)</f>
        <v/>
      </c>
    </row>
    <row r="372">
      <c r="A372">
        <f>IF(BD_Carga!C373="","",BD_Carga!C373)</f>
        <v/>
      </c>
      <c r="B372">
        <f>IF(A372="","",BD_Carga!D373)</f>
        <v/>
      </c>
      <c r="C372" s="2">
        <f>IF(A372="","",BD_Carga!A373)</f>
        <v/>
      </c>
      <c r="D372">
        <f>IF(A372="","",BD_Carga!R373)</f>
        <v/>
      </c>
      <c r="E372">
        <f>IF(A372="","",BD_Carga!Q373)</f>
        <v/>
      </c>
      <c r="F372" s="5">
        <f>IF(A372="","",BD_Carga!L373)</f>
        <v/>
      </c>
      <c r="G372">
        <f>IF(A372="","",BD_Carga!N373)</f>
        <v/>
      </c>
      <c r="H372">
        <f>IF(A372="","",BD_Carga!O373)</f>
        <v/>
      </c>
      <c r="I372">
        <f>IF(A372="","",BD_Carga!P373)</f>
        <v/>
      </c>
      <c r="J372">
        <f>IF(A372="","",_xlfn.MAXIFS(BD_Carga!$L:$L,BD_Carga!$C:$C,A372))</f>
        <v/>
      </c>
      <c r="K372" s="11">
        <f>IF(OR(A372="",J372=0),"",F372/J372)</f>
        <v/>
      </c>
      <c r="L372">
        <f>IF(A372="","",BD_Carga!E373)</f>
        <v/>
      </c>
    </row>
    <row r="373">
      <c r="A373">
        <f>IF(BD_Carga!C374="","",BD_Carga!C374)</f>
        <v/>
      </c>
      <c r="B373">
        <f>IF(A373="","",BD_Carga!D374)</f>
        <v/>
      </c>
      <c r="C373" s="2">
        <f>IF(A373="","",BD_Carga!A374)</f>
        <v/>
      </c>
      <c r="D373">
        <f>IF(A373="","",BD_Carga!R374)</f>
        <v/>
      </c>
      <c r="E373">
        <f>IF(A373="","",BD_Carga!Q374)</f>
        <v/>
      </c>
      <c r="F373" s="5">
        <f>IF(A373="","",BD_Carga!L374)</f>
        <v/>
      </c>
      <c r="G373">
        <f>IF(A373="","",BD_Carga!N374)</f>
        <v/>
      </c>
      <c r="H373">
        <f>IF(A373="","",BD_Carga!O374)</f>
        <v/>
      </c>
      <c r="I373">
        <f>IF(A373="","",BD_Carga!P374)</f>
        <v/>
      </c>
      <c r="J373">
        <f>IF(A373="","",_xlfn.MAXIFS(BD_Carga!$L:$L,BD_Carga!$C:$C,A373))</f>
        <v/>
      </c>
      <c r="K373" s="11">
        <f>IF(OR(A373="",J373=0),"",F373/J373)</f>
        <v/>
      </c>
      <c r="L373">
        <f>IF(A373="","",BD_Carga!E374)</f>
        <v/>
      </c>
    </row>
    <row r="374">
      <c r="A374">
        <f>IF(BD_Carga!C375="","",BD_Carga!C375)</f>
        <v/>
      </c>
      <c r="B374">
        <f>IF(A374="","",BD_Carga!D375)</f>
        <v/>
      </c>
      <c r="C374" s="2">
        <f>IF(A374="","",BD_Carga!A375)</f>
        <v/>
      </c>
      <c r="D374">
        <f>IF(A374="","",BD_Carga!R375)</f>
        <v/>
      </c>
      <c r="E374">
        <f>IF(A374="","",BD_Carga!Q375)</f>
        <v/>
      </c>
      <c r="F374" s="5">
        <f>IF(A374="","",BD_Carga!L375)</f>
        <v/>
      </c>
      <c r="G374">
        <f>IF(A374="","",BD_Carga!N375)</f>
        <v/>
      </c>
      <c r="H374">
        <f>IF(A374="","",BD_Carga!O375)</f>
        <v/>
      </c>
      <c r="I374">
        <f>IF(A374="","",BD_Carga!P375)</f>
        <v/>
      </c>
      <c r="J374">
        <f>IF(A374="","",_xlfn.MAXIFS(BD_Carga!$L:$L,BD_Carga!$C:$C,A374))</f>
        <v/>
      </c>
      <c r="K374" s="11">
        <f>IF(OR(A374="",J374=0),"",F374/J374)</f>
        <v/>
      </c>
      <c r="L374">
        <f>IF(A374="","",BD_Carga!E375)</f>
        <v/>
      </c>
    </row>
    <row r="375">
      <c r="A375">
        <f>IF(BD_Carga!C376="","",BD_Carga!C376)</f>
        <v/>
      </c>
      <c r="B375">
        <f>IF(A375="","",BD_Carga!D376)</f>
        <v/>
      </c>
      <c r="C375" s="2">
        <f>IF(A375="","",BD_Carga!A376)</f>
        <v/>
      </c>
      <c r="D375">
        <f>IF(A375="","",BD_Carga!R376)</f>
        <v/>
      </c>
      <c r="E375">
        <f>IF(A375="","",BD_Carga!Q376)</f>
        <v/>
      </c>
      <c r="F375" s="5">
        <f>IF(A375="","",BD_Carga!L376)</f>
        <v/>
      </c>
      <c r="G375">
        <f>IF(A375="","",BD_Carga!N376)</f>
        <v/>
      </c>
      <c r="H375">
        <f>IF(A375="","",BD_Carga!O376)</f>
        <v/>
      </c>
      <c r="I375">
        <f>IF(A375="","",BD_Carga!P376)</f>
        <v/>
      </c>
      <c r="J375">
        <f>IF(A375="","",_xlfn.MAXIFS(BD_Carga!$L:$L,BD_Carga!$C:$C,A375))</f>
        <v/>
      </c>
      <c r="K375" s="11">
        <f>IF(OR(A375="",J375=0),"",F375/J375)</f>
        <v/>
      </c>
      <c r="L375">
        <f>IF(A375="","",BD_Carga!E376)</f>
        <v/>
      </c>
    </row>
    <row r="376">
      <c r="A376">
        <f>IF(BD_Carga!C377="","",BD_Carga!C377)</f>
        <v/>
      </c>
      <c r="B376">
        <f>IF(A376="","",BD_Carga!D377)</f>
        <v/>
      </c>
      <c r="C376" s="2">
        <f>IF(A376="","",BD_Carga!A377)</f>
        <v/>
      </c>
      <c r="D376">
        <f>IF(A376="","",BD_Carga!R377)</f>
        <v/>
      </c>
      <c r="E376">
        <f>IF(A376="","",BD_Carga!Q377)</f>
        <v/>
      </c>
      <c r="F376" s="5">
        <f>IF(A376="","",BD_Carga!L377)</f>
        <v/>
      </c>
      <c r="G376">
        <f>IF(A376="","",BD_Carga!N377)</f>
        <v/>
      </c>
      <c r="H376">
        <f>IF(A376="","",BD_Carga!O377)</f>
        <v/>
      </c>
      <c r="I376">
        <f>IF(A376="","",BD_Carga!P377)</f>
        <v/>
      </c>
      <c r="J376">
        <f>IF(A376="","",_xlfn.MAXIFS(BD_Carga!$L:$L,BD_Carga!$C:$C,A376))</f>
        <v/>
      </c>
      <c r="K376" s="11">
        <f>IF(OR(A376="",J376=0),"",F376/J376)</f>
        <v/>
      </c>
      <c r="L376">
        <f>IF(A376="","",BD_Carga!E377)</f>
        <v/>
      </c>
    </row>
    <row r="377">
      <c r="A377">
        <f>IF(BD_Carga!C378="","",BD_Carga!C378)</f>
        <v/>
      </c>
      <c r="B377">
        <f>IF(A377="","",BD_Carga!D378)</f>
        <v/>
      </c>
      <c r="C377" s="2">
        <f>IF(A377="","",BD_Carga!A378)</f>
        <v/>
      </c>
      <c r="D377">
        <f>IF(A377="","",BD_Carga!R378)</f>
        <v/>
      </c>
      <c r="E377">
        <f>IF(A377="","",BD_Carga!Q378)</f>
        <v/>
      </c>
      <c r="F377" s="5">
        <f>IF(A377="","",BD_Carga!L378)</f>
        <v/>
      </c>
      <c r="G377">
        <f>IF(A377="","",BD_Carga!N378)</f>
        <v/>
      </c>
      <c r="H377">
        <f>IF(A377="","",BD_Carga!O378)</f>
        <v/>
      </c>
      <c r="I377">
        <f>IF(A377="","",BD_Carga!P378)</f>
        <v/>
      </c>
      <c r="J377">
        <f>IF(A377="","",_xlfn.MAXIFS(BD_Carga!$L:$L,BD_Carga!$C:$C,A377))</f>
        <v/>
      </c>
      <c r="K377" s="11">
        <f>IF(OR(A377="",J377=0),"",F377/J377)</f>
        <v/>
      </c>
      <c r="L377">
        <f>IF(A377="","",BD_Carga!E378)</f>
        <v/>
      </c>
    </row>
    <row r="378">
      <c r="A378">
        <f>IF(BD_Carga!C379="","",BD_Carga!C379)</f>
        <v/>
      </c>
      <c r="B378">
        <f>IF(A378="","",BD_Carga!D379)</f>
        <v/>
      </c>
      <c r="C378" s="2">
        <f>IF(A378="","",BD_Carga!A379)</f>
        <v/>
      </c>
      <c r="D378">
        <f>IF(A378="","",BD_Carga!R379)</f>
        <v/>
      </c>
      <c r="E378">
        <f>IF(A378="","",BD_Carga!Q379)</f>
        <v/>
      </c>
      <c r="F378" s="5">
        <f>IF(A378="","",BD_Carga!L379)</f>
        <v/>
      </c>
      <c r="G378">
        <f>IF(A378="","",BD_Carga!N379)</f>
        <v/>
      </c>
      <c r="H378">
        <f>IF(A378="","",BD_Carga!O379)</f>
        <v/>
      </c>
      <c r="I378">
        <f>IF(A378="","",BD_Carga!P379)</f>
        <v/>
      </c>
      <c r="J378">
        <f>IF(A378="","",_xlfn.MAXIFS(BD_Carga!$L:$L,BD_Carga!$C:$C,A378))</f>
        <v/>
      </c>
      <c r="K378" s="11">
        <f>IF(OR(A378="",J378=0),"",F378/J378)</f>
        <v/>
      </c>
      <c r="L378">
        <f>IF(A378="","",BD_Carga!E379)</f>
        <v/>
      </c>
    </row>
    <row r="379">
      <c r="A379">
        <f>IF(BD_Carga!C380="","",BD_Carga!C380)</f>
        <v/>
      </c>
      <c r="B379">
        <f>IF(A379="","",BD_Carga!D380)</f>
        <v/>
      </c>
      <c r="C379" s="2">
        <f>IF(A379="","",BD_Carga!A380)</f>
        <v/>
      </c>
      <c r="D379">
        <f>IF(A379="","",BD_Carga!R380)</f>
        <v/>
      </c>
      <c r="E379">
        <f>IF(A379="","",BD_Carga!Q380)</f>
        <v/>
      </c>
      <c r="F379" s="5">
        <f>IF(A379="","",BD_Carga!L380)</f>
        <v/>
      </c>
      <c r="G379">
        <f>IF(A379="","",BD_Carga!N380)</f>
        <v/>
      </c>
      <c r="H379">
        <f>IF(A379="","",BD_Carga!O380)</f>
        <v/>
      </c>
      <c r="I379">
        <f>IF(A379="","",BD_Carga!P380)</f>
        <v/>
      </c>
      <c r="J379">
        <f>IF(A379="","",_xlfn.MAXIFS(BD_Carga!$L:$L,BD_Carga!$C:$C,A379))</f>
        <v/>
      </c>
      <c r="K379" s="11">
        <f>IF(OR(A379="",J379=0),"",F379/J379)</f>
        <v/>
      </c>
      <c r="L379">
        <f>IF(A379="","",BD_Carga!E380)</f>
        <v/>
      </c>
    </row>
    <row r="380">
      <c r="A380">
        <f>IF(BD_Carga!C381="","",BD_Carga!C381)</f>
        <v/>
      </c>
      <c r="B380">
        <f>IF(A380="","",BD_Carga!D381)</f>
        <v/>
      </c>
      <c r="C380" s="2">
        <f>IF(A380="","",BD_Carga!A381)</f>
        <v/>
      </c>
      <c r="D380">
        <f>IF(A380="","",BD_Carga!R381)</f>
        <v/>
      </c>
      <c r="E380">
        <f>IF(A380="","",BD_Carga!Q381)</f>
        <v/>
      </c>
      <c r="F380" s="5">
        <f>IF(A380="","",BD_Carga!L381)</f>
        <v/>
      </c>
      <c r="G380">
        <f>IF(A380="","",BD_Carga!N381)</f>
        <v/>
      </c>
      <c r="H380">
        <f>IF(A380="","",BD_Carga!O381)</f>
        <v/>
      </c>
      <c r="I380">
        <f>IF(A380="","",BD_Carga!P381)</f>
        <v/>
      </c>
      <c r="J380">
        <f>IF(A380="","",_xlfn.MAXIFS(BD_Carga!$L:$L,BD_Carga!$C:$C,A380))</f>
        <v/>
      </c>
      <c r="K380" s="11">
        <f>IF(OR(A380="",J380=0),"",F380/J380)</f>
        <v/>
      </c>
      <c r="L380">
        <f>IF(A380="","",BD_Carga!E381)</f>
        <v/>
      </c>
    </row>
    <row r="381">
      <c r="A381">
        <f>IF(BD_Carga!C382="","",BD_Carga!C382)</f>
        <v/>
      </c>
      <c r="B381">
        <f>IF(A381="","",BD_Carga!D382)</f>
        <v/>
      </c>
      <c r="C381" s="2">
        <f>IF(A381="","",BD_Carga!A382)</f>
        <v/>
      </c>
      <c r="D381">
        <f>IF(A381="","",BD_Carga!R382)</f>
        <v/>
      </c>
      <c r="E381">
        <f>IF(A381="","",BD_Carga!Q382)</f>
        <v/>
      </c>
      <c r="F381" s="5">
        <f>IF(A381="","",BD_Carga!L382)</f>
        <v/>
      </c>
      <c r="G381">
        <f>IF(A381="","",BD_Carga!N382)</f>
        <v/>
      </c>
      <c r="H381">
        <f>IF(A381="","",BD_Carga!O382)</f>
        <v/>
      </c>
      <c r="I381">
        <f>IF(A381="","",BD_Carga!P382)</f>
        <v/>
      </c>
      <c r="J381">
        <f>IF(A381="","",_xlfn.MAXIFS(BD_Carga!$L:$L,BD_Carga!$C:$C,A381))</f>
        <v/>
      </c>
      <c r="K381" s="11">
        <f>IF(OR(A381="",J381=0),"",F381/J381)</f>
        <v/>
      </c>
      <c r="L381">
        <f>IF(A381="","",BD_Carga!E382)</f>
        <v/>
      </c>
    </row>
    <row r="382">
      <c r="A382">
        <f>IF(BD_Carga!C383="","",BD_Carga!C383)</f>
        <v/>
      </c>
      <c r="B382">
        <f>IF(A382="","",BD_Carga!D383)</f>
        <v/>
      </c>
      <c r="C382" s="2">
        <f>IF(A382="","",BD_Carga!A383)</f>
        <v/>
      </c>
      <c r="D382">
        <f>IF(A382="","",BD_Carga!R383)</f>
        <v/>
      </c>
      <c r="E382">
        <f>IF(A382="","",BD_Carga!Q383)</f>
        <v/>
      </c>
      <c r="F382" s="5">
        <f>IF(A382="","",BD_Carga!L383)</f>
        <v/>
      </c>
      <c r="G382">
        <f>IF(A382="","",BD_Carga!N383)</f>
        <v/>
      </c>
      <c r="H382">
        <f>IF(A382="","",BD_Carga!O383)</f>
        <v/>
      </c>
      <c r="I382">
        <f>IF(A382="","",BD_Carga!P383)</f>
        <v/>
      </c>
      <c r="J382">
        <f>IF(A382="","",_xlfn.MAXIFS(BD_Carga!$L:$L,BD_Carga!$C:$C,A382))</f>
        <v/>
      </c>
      <c r="K382" s="11">
        <f>IF(OR(A382="",J382=0),"",F382/J382)</f>
        <v/>
      </c>
      <c r="L382">
        <f>IF(A382="","",BD_Carga!E383)</f>
        <v/>
      </c>
    </row>
    <row r="383">
      <c r="A383">
        <f>IF(BD_Carga!C384="","",BD_Carga!C384)</f>
        <v/>
      </c>
      <c r="B383">
        <f>IF(A383="","",BD_Carga!D384)</f>
        <v/>
      </c>
      <c r="C383" s="2">
        <f>IF(A383="","",BD_Carga!A384)</f>
        <v/>
      </c>
      <c r="D383">
        <f>IF(A383="","",BD_Carga!R384)</f>
        <v/>
      </c>
      <c r="E383">
        <f>IF(A383="","",BD_Carga!Q384)</f>
        <v/>
      </c>
      <c r="F383" s="5">
        <f>IF(A383="","",BD_Carga!L384)</f>
        <v/>
      </c>
      <c r="G383">
        <f>IF(A383="","",BD_Carga!N384)</f>
        <v/>
      </c>
      <c r="H383">
        <f>IF(A383="","",BD_Carga!O384)</f>
        <v/>
      </c>
      <c r="I383">
        <f>IF(A383="","",BD_Carga!P384)</f>
        <v/>
      </c>
      <c r="J383">
        <f>IF(A383="","",_xlfn.MAXIFS(BD_Carga!$L:$L,BD_Carga!$C:$C,A383))</f>
        <v/>
      </c>
      <c r="K383" s="11">
        <f>IF(OR(A383="",J383=0),"",F383/J383)</f>
        <v/>
      </c>
      <c r="L383">
        <f>IF(A383="","",BD_Carga!E384)</f>
        <v/>
      </c>
    </row>
    <row r="384">
      <c r="A384">
        <f>IF(BD_Carga!C385="","",BD_Carga!C385)</f>
        <v/>
      </c>
      <c r="B384">
        <f>IF(A384="","",BD_Carga!D385)</f>
        <v/>
      </c>
      <c r="C384" s="2">
        <f>IF(A384="","",BD_Carga!A385)</f>
        <v/>
      </c>
      <c r="D384">
        <f>IF(A384="","",BD_Carga!R385)</f>
        <v/>
      </c>
      <c r="E384">
        <f>IF(A384="","",BD_Carga!Q385)</f>
        <v/>
      </c>
      <c r="F384" s="5">
        <f>IF(A384="","",BD_Carga!L385)</f>
        <v/>
      </c>
      <c r="G384">
        <f>IF(A384="","",BD_Carga!N385)</f>
        <v/>
      </c>
      <c r="H384">
        <f>IF(A384="","",BD_Carga!O385)</f>
        <v/>
      </c>
      <c r="I384">
        <f>IF(A384="","",BD_Carga!P385)</f>
        <v/>
      </c>
      <c r="J384">
        <f>IF(A384="","",_xlfn.MAXIFS(BD_Carga!$L:$L,BD_Carga!$C:$C,A384))</f>
        <v/>
      </c>
      <c r="K384" s="11">
        <f>IF(OR(A384="",J384=0),"",F384/J384)</f>
        <v/>
      </c>
      <c r="L384">
        <f>IF(A384="","",BD_Carga!E385)</f>
        <v/>
      </c>
    </row>
    <row r="385">
      <c r="A385">
        <f>IF(BD_Carga!C386="","",BD_Carga!C386)</f>
        <v/>
      </c>
      <c r="B385">
        <f>IF(A385="","",BD_Carga!D386)</f>
        <v/>
      </c>
      <c r="C385" s="2">
        <f>IF(A385="","",BD_Carga!A386)</f>
        <v/>
      </c>
      <c r="D385">
        <f>IF(A385="","",BD_Carga!R386)</f>
        <v/>
      </c>
      <c r="E385">
        <f>IF(A385="","",BD_Carga!Q386)</f>
        <v/>
      </c>
      <c r="F385" s="5">
        <f>IF(A385="","",BD_Carga!L386)</f>
        <v/>
      </c>
      <c r="G385">
        <f>IF(A385="","",BD_Carga!N386)</f>
        <v/>
      </c>
      <c r="H385">
        <f>IF(A385="","",BD_Carga!O386)</f>
        <v/>
      </c>
      <c r="I385">
        <f>IF(A385="","",BD_Carga!P386)</f>
        <v/>
      </c>
      <c r="J385">
        <f>IF(A385="","",_xlfn.MAXIFS(BD_Carga!$L:$L,BD_Carga!$C:$C,A385))</f>
        <v/>
      </c>
      <c r="K385" s="11">
        <f>IF(OR(A385="",J385=0),"",F385/J385)</f>
        <v/>
      </c>
      <c r="L385">
        <f>IF(A385="","",BD_Carga!E386)</f>
        <v/>
      </c>
    </row>
    <row r="386">
      <c r="A386">
        <f>IF(BD_Carga!C387="","",BD_Carga!C387)</f>
        <v/>
      </c>
      <c r="B386">
        <f>IF(A386="","",BD_Carga!D387)</f>
        <v/>
      </c>
      <c r="C386" s="2">
        <f>IF(A386="","",BD_Carga!A387)</f>
        <v/>
      </c>
      <c r="D386">
        <f>IF(A386="","",BD_Carga!R387)</f>
        <v/>
      </c>
      <c r="E386">
        <f>IF(A386="","",BD_Carga!Q387)</f>
        <v/>
      </c>
      <c r="F386" s="5">
        <f>IF(A386="","",BD_Carga!L387)</f>
        <v/>
      </c>
      <c r="G386">
        <f>IF(A386="","",BD_Carga!N387)</f>
        <v/>
      </c>
      <c r="H386">
        <f>IF(A386="","",BD_Carga!O387)</f>
        <v/>
      </c>
      <c r="I386">
        <f>IF(A386="","",BD_Carga!P387)</f>
        <v/>
      </c>
      <c r="J386">
        <f>IF(A386="","",_xlfn.MAXIFS(BD_Carga!$L:$L,BD_Carga!$C:$C,A386))</f>
        <v/>
      </c>
      <c r="K386" s="11">
        <f>IF(OR(A386="",J386=0),"",F386/J386)</f>
        <v/>
      </c>
      <c r="L386">
        <f>IF(A386="","",BD_Carga!E387)</f>
        <v/>
      </c>
    </row>
    <row r="387">
      <c r="A387">
        <f>IF(BD_Carga!C388="","",BD_Carga!C388)</f>
        <v/>
      </c>
      <c r="B387">
        <f>IF(A387="","",BD_Carga!D388)</f>
        <v/>
      </c>
      <c r="C387" s="2">
        <f>IF(A387="","",BD_Carga!A388)</f>
        <v/>
      </c>
      <c r="D387">
        <f>IF(A387="","",BD_Carga!R388)</f>
        <v/>
      </c>
      <c r="E387">
        <f>IF(A387="","",BD_Carga!Q388)</f>
        <v/>
      </c>
      <c r="F387" s="5">
        <f>IF(A387="","",BD_Carga!L388)</f>
        <v/>
      </c>
      <c r="G387">
        <f>IF(A387="","",BD_Carga!N388)</f>
        <v/>
      </c>
      <c r="H387">
        <f>IF(A387="","",BD_Carga!O388)</f>
        <v/>
      </c>
      <c r="I387">
        <f>IF(A387="","",BD_Carga!P388)</f>
        <v/>
      </c>
      <c r="J387">
        <f>IF(A387="","",_xlfn.MAXIFS(BD_Carga!$L:$L,BD_Carga!$C:$C,A387))</f>
        <v/>
      </c>
      <c r="K387" s="11">
        <f>IF(OR(A387="",J387=0),"",F387/J387)</f>
        <v/>
      </c>
      <c r="L387">
        <f>IF(A387="","",BD_Carga!E388)</f>
        <v/>
      </c>
    </row>
    <row r="388">
      <c r="A388">
        <f>IF(BD_Carga!C389="","",BD_Carga!C389)</f>
        <v/>
      </c>
      <c r="B388">
        <f>IF(A388="","",BD_Carga!D389)</f>
        <v/>
      </c>
      <c r="C388" s="2">
        <f>IF(A388="","",BD_Carga!A389)</f>
        <v/>
      </c>
      <c r="D388">
        <f>IF(A388="","",BD_Carga!R389)</f>
        <v/>
      </c>
      <c r="E388">
        <f>IF(A388="","",BD_Carga!Q389)</f>
        <v/>
      </c>
      <c r="F388" s="5">
        <f>IF(A388="","",BD_Carga!L389)</f>
        <v/>
      </c>
      <c r="G388">
        <f>IF(A388="","",BD_Carga!N389)</f>
        <v/>
      </c>
      <c r="H388">
        <f>IF(A388="","",BD_Carga!O389)</f>
        <v/>
      </c>
      <c r="I388">
        <f>IF(A388="","",BD_Carga!P389)</f>
        <v/>
      </c>
      <c r="J388">
        <f>IF(A388="","",_xlfn.MAXIFS(BD_Carga!$L:$L,BD_Carga!$C:$C,A388))</f>
        <v/>
      </c>
      <c r="K388" s="11">
        <f>IF(OR(A388="",J388=0),"",F388/J388)</f>
        <v/>
      </c>
      <c r="L388">
        <f>IF(A388="","",BD_Carga!E389)</f>
        <v/>
      </c>
    </row>
    <row r="389">
      <c r="A389">
        <f>IF(BD_Carga!C390="","",BD_Carga!C390)</f>
        <v/>
      </c>
      <c r="B389">
        <f>IF(A389="","",BD_Carga!D390)</f>
        <v/>
      </c>
      <c r="C389" s="2">
        <f>IF(A389="","",BD_Carga!A390)</f>
        <v/>
      </c>
      <c r="D389">
        <f>IF(A389="","",BD_Carga!R390)</f>
        <v/>
      </c>
      <c r="E389">
        <f>IF(A389="","",BD_Carga!Q390)</f>
        <v/>
      </c>
      <c r="F389" s="5">
        <f>IF(A389="","",BD_Carga!L390)</f>
        <v/>
      </c>
      <c r="G389">
        <f>IF(A389="","",BD_Carga!N390)</f>
        <v/>
      </c>
      <c r="H389">
        <f>IF(A389="","",BD_Carga!O390)</f>
        <v/>
      </c>
      <c r="I389">
        <f>IF(A389="","",BD_Carga!P390)</f>
        <v/>
      </c>
      <c r="J389">
        <f>IF(A389="","",_xlfn.MAXIFS(BD_Carga!$L:$L,BD_Carga!$C:$C,A389))</f>
        <v/>
      </c>
      <c r="K389" s="11">
        <f>IF(OR(A389="",J389=0),"",F389/J389)</f>
        <v/>
      </c>
      <c r="L389">
        <f>IF(A389="","",BD_Carga!E390)</f>
        <v/>
      </c>
    </row>
    <row r="390">
      <c r="A390">
        <f>IF(BD_Carga!C391="","",BD_Carga!C391)</f>
        <v/>
      </c>
      <c r="B390">
        <f>IF(A390="","",BD_Carga!D391)</f>
        <v/>
      </c>
      <c r="C390" s="2">
        <f>IF(A390="","",BD_Carga!A391)</f>
        <v/>
      </c>
      <c r="D390">
        <f>IF(A390="","",BD_Carga!R391)</f>
        <v/>
      </c>
      <c r="E390">
        <f>IF(A390="","",BD_Carga!Q391)</f>
        <v/>
      </c>
      <c r="F390" s="5">
        <f>IF(A390="","",BD_Carga!L391)</f>
        <v/>
      </c>
      <c r="G390">
        <f>IF(A390="","",BD_Carga!N391)</f>
        <v/>
      </c>
      <c r="H390">
        <f>IF(A390="","",BD_Carga!O391)</f>
        <v/>
      </c>
      <c r="I390">
        <f>IF(A390="","",BD_Carga!P391)</f>
        <v/>
      </c>
      <c r="J390">
        <f>IF(A390="","",_xlfn.MAXIFS(BD_Carga!$L:$L,BD_Carga!$C:$C,A390))</f>
        <v/>
      </c>
      <c r="K390" s="11">
        <f>IF(OR(A390="",J390=0),"",F390/J390)</f>
        <v/>
      </c>
      <c r="L390">
        <f>IF(A390="","",BD_Carga!E391)</f>
        <v/>
      </c>
    </row>
    <row r="391">
      <c r="A391">
        <f>IF(BD_Carga!C392="","",BD_Carga!C392)</f>
        <v/>
      </c>
      <c r="B391">
        <f>IF(A391="","",BD_Carga!D392)</f>
        <v/>
      </c>
      <c r="C391" s="2">
        <f>IF(A391="","",BD_Carga!A392)</f>
        <v/>
      </c>
      <c r="D391">
        <f>IF(A391="","",BD_Carga!R392)</f>
        <v/>
      </c>
      <c r="E391">
        <f>IF(A391="","",BD_Carga!Q392)</f>
        <v/>
      </c>
      <c r="F391" s="5">
        <f>IF(A391="","",BD_Carga!L392)</f>
        <v/>
      </c>
      <c r="G391">
        <f>IF(A391="","",BD_Carga!N392)</f>
        <v/>
      </c>
      <c r="H391">
        <f>IF(A391="","",BD_Carga!O392)</f>
        <v/>
      </c>
      <c r="I391">
        <f>IF(A391="","",BD_Carga!P392)</f>
        <v/>
      </c>
      <c r="J391">
        <f>IF(A391="","",_xlfn.MAXIFS(BD_Carga!$L:$L,BD_Carga!$C:$C,A391))</f>
        <v/>
      </c>
      <c r="K391" s="11">
        <f>IF(OR(A391="",J391=0),"",F391/J391)</f>
        <v/>
      </c>
      <c r="L391">
        <f>IF(A391="","",BD_Carga!E392)</f>
        <v/>
      </c>
    </row>
    <row r="392">
      <c r="A392">
        <f>IF(BD_Carga!C393="","",BD_Carga!C393)</f>
        <v/>
      </c>
      <c r="B392">
        <f>IF(A392="","",BD_Carga!D393)</f>
        <v/>
      </c>
      <c r="C392" s="2">
        <f>IF(A392="","",BD_Carga!A393)</f>
        <v/>
      </c>
      <c r="D392">
        <f>IF(A392="","",BD_Carga!R393)</f>
        <v/>
      </c>
      <c r="E392">
        <f>IF(A392="","",BD_Carga!Q393)</f>
        <v/>
      </c>
      <c r="F392" s="5">
        <f>IF(A392="","",BD_Carga!L393)</f>
        <v/>
      </c>
      <c r="G392">
        <f>IF(A392="","",BD_Carga!N393)</f>
        <v/>
      </c>
      <c r="H392">
        <f>IF(A392="","",BD_Carga!O393)</f>
        <v/>
      </c>
      <c r="I392">
        <f>IF(A392="","",BD_Carga!P393)</f>
        <v/>
      </c>
      <c r="J392">
        <f>IF(A392="","",_xlfn.MAXIFS(BD_Carga!$L:$L,BD_Carga!$C:$C,A392))</f>
        <v/>
      </c>
      <c r="K392" s="11">
        <f>IF(OR(A392="",J392=0),"",F392/J392)</f>
        <v/>
      </c>
      <c r="L392">
        <f>IF(A392="","",BD_Carga!E393)</f>
        <v/>
      </c>
    </row>
    <row r="393">
      <c r="A393">
        <f>IF(BD_Carga!C394="","",BD_Carga!C394)</f>
        <v/>
      </c>
      <c r="B393">
        <f>IF(A393="","",BD_Carga!D394)</f>
        <v/>
      </c>
      <c r="C393" s="2">
        <f>IF(A393="","",BD_Carga!A394)</f>
        <v/>
      </c>
      <c r="D393">
        <f>IF(A393="","",BD_Carga!R394)</f>
        <v/>
      </c>
      <c r="E393">
        <f>IF(A393="","",BD_Carga!Q394)</f>
        <v/>
      </c>
      <c r="F393" s="5">
        <f>IF(A393="","",BD_Carga!L394)</f>
        <v/>
      </c>
      <c r="G393">
        <f>IF(A393="","",BD_Carga!N394)</f>
        <v/>
      </c>
      <c r="H393">
        <f>IF(A393="","",BD_Carga!O394)</f>
        <v/>
      </c>
      <c r="I393">
        <f>IF(A393="","",BD_Carga!P394)</f>
        <v/>
      </c>
      <c r="J393">
        <f>IF(A393="","",_xlfn.MAXIFS(BD_Carga!$L:$L,BD_Carga!$C:$C,A393))</f>
        <v/>
      </c>
      <c r="K393" s="11">
        <f>IF(OR(A393="",J393=0),"",F393/J393)</f>
        <v/>
      </c>
      <c r="L393">
        <f>IF(A393="","",BD_Carga!E394)</f>
        <v/>
      </c>
    </row>
    <row r="394">
      <c r="A394">
        <f>IF(BD_Carga!C395="","",BD_Carga!C395)</f>
        <v/>
      </c>
      <c r="B394">
        <f>IF(A394="","",BD_Carga!D395)</f>
        <v/>
      </c>
      <c r="C394" s="2">
        <f>IF(A394="","",BD_Carga!A395)</f>
        <v/>
      </c>
      <c r="D394">
        <f>IF(A394="","",BD_Carga!R395)</f>
        <v/>
      </c>
      <c r="E394">
        <f>IF(A394="","",BD_Carga!Q395)</f>
        <v/>
      </c>
      <c r="F394" s="5">
        <f>IF(A394="","",BD_Carga!L395)</f>
        <v/>
      </c>
      <c r="G394">
        <f>IF(A394="","",BD_Carga!N395)</f>
        <v/>
      </c>
      <c r="H394">
        <f>IF(A394="","",BD_Carga!O395)</f>
        <v/>
      </c>
      <c r="I394">
        <f>IF(A394="","",BD_Carga!P395)</f>
        <v/>
      </c>
      <c r="J394">
        <f>IF(A394="","",_xlfn.MAXIFS(BD_Carga!$L:$L,BD_Carga!$C:$C,A394))</f>
        <v/>
      </c>
      <c r="K394" s="11">
        <f>IF(OR(A394="",J394=0),"",F394/J394)</f>
        <v/>
      </c>
      <c r="L394">
        <f>IF(A394="","",BD_Carga!E395)</f>
        <v/>
      </c>
    </row>
    <row r="395">
      <c r="A395">
        <f>IF(BD_Carga!C396="","",BD_Carga!C396)</f>
        <v/>
      </c>
      <c r="B395">
        <f>IF(A395="","",BD_Carga!D396)</f>
        <v/>
      </c>
      <c r="C395" s="2">
        <f>IF(A395="","",BD_Carga!A396)</f>
        <v/>
      </c>
      <c r="D395">
        <f>IF(A395="","",BD_Carga!R396)</f>
        <v/>
      </c>
      <c r="E395">
        <f>IF(A395="","",BD_Carga!Q396)</f>
        <v/>
      </c>
      <c r="F395" s="5">
        <f>IF(A395="","",BD_Carga!L396)</f>
        <v/>
      </c>
      <c r="G395">
        <f>IF(A395="","",BD_Carga!N396)</f>
        <v/>
      </c>
      <c r="H395">
        <f>IF(A395="","",BD_Carga!O396)</f>
        <v/>
      </c>
      <c r="I395">
        <f>IF(A395="","",BD_Carga!P396)</f>
        <v/>
      </c>
      <c r="J395">
        <f>IF(A395="","",_xlfn.MAXIFS(BD_Carga!$L:$L,BD_Carga!$C:$C,A395))</f>
        <v/>
      </c>
      <c r="K395" s="11">
        <f>IF(OR(A395="",J395=0),"",F395/J395)</f>
        <v/>
      </c>
      <c r="L395">
        <f>IF(A395="","",BD_Carga!E396)</f>
        <v/>
      </c>
    </row>
    <row r="396">
      <c r="A396">
        <f>IF(BD_Carga!C397="","",BD_Carga!C397)</f>
        <v/>
      </c>
      <c r="B396">
        <f>IF(A396="","",BD_Carga!D397)</f>
        <v/>
      </c>
      <c r="C396" s="2">
        <f>IF(A396="","",BD_Carga!A397)</f>
        <v/>
      </c>
      <c r="D396">
        <f>IF(A396="","",BD_Carga!R397)</f>
        <v/>
      </c>
      <c r="E396">
        <f>IF(A396="","",BD_Carga!Q397)</f>
        <v/>
      </c>
      <c r="F396" s="5">
        <f>IF(A396="","",BD_Carga!L397)</f>
        <v/>
      </c>
      <c r="G396">
        <f>IF(A396="","",BD_Carga!N397)</f>
        <v/>
      </c>
      <c r="H396">
        <f>IF(A396="","",BD_Carga!O397)</f>
        <v/>
      </c>
      <c r="I396">
        <f>IF(A396="","",BD_Carga!P397)</f>
        <v/>
      </c>
      <c r="J396">
        <f>IF(A396="","",_xlfn.MAXIFS(BD_Carga!$L:$L,BD_Carga!$C:$C,A396))</f>
        <v/>
      </c>
      <c r="K396" s="11">
        <f>IF(OR(A396="",J396=0),"",F396/J396)</f>
        <v/>
      </c>
      <c r="L396">
        <f>IF(A396="","",BD_Carga!E397)</f>
        <v/>
      </c>
    </row>
    <row r="397">
      <c r="A397">
        <f>IF(BD_Carga!C398="","",BD_Carga!C398)</f>
        <v/>
      </c>
      <c r="B397">
        <f>IF(A397="","",BD_Carga!D398)</f>
        <v/>
      </c>
      <c r="C397" s="2">
        <f>IF(A397="","",BD_Carga!A398)</f>
        <v/>
      </c>
      <c r="D397">
        <f>IF(A397="","",BD_Carga!R398)</f>
        <v/>
      </c>
      <c r="E397">
        <f>IF(A397="","",BD_Carga!Q398)</f>
        <v/>
      </c>
      <c r="F397" s="5">
        <f>IF(A397="","",BD_Carga!L398)</f>
        <v/>
      </c>
      <c r="G397">
        <f>IF(A397="","",BD_Carga!N398)</f>
        <v/>
      </c>
      <c r="H397">
        <f>IF(A397="","",BD_Carga!O398)</f>
        <v/>
      </c>
      <c r="I397">
        <f>IF(A397="","",BD_Carga!P398)</f>
        <v/>
      </c>
      <c r="J397">
        <f>IF(A397="","",_xlfn.MAXIFS(BD_Carga!$L:$L,BD_Carga!$C:$C,A397))</f>
        <v/>
      </c>
      <c r="K397" s="11">
        <f>IF(OR(A397="",J397=0),"",F397/J397)</f>
        <v/>
      </c>
      <c r="L397">
        <f>IF(A397="","",BD_Carga!E398)</f>
        <v/>
      </c>
    </row>
    <row r="398">
      <c r="A398">
        <f>IF(BD_Carga!C399="","",BD_Carga!C399)</f>
        <v/>
      </c>
      <c r="B398">
        <f>IF(A398="","",BD_Carga!D399)</f>
        <v/>
      </c>
      <c r="C398" s="2">
        <f>IF(A398="","",BD_Carga!A399)</f>
        <v/>
      </c>
      <c r="D398">
        <f>IF(A398="","",BD_Carga!R399)</f>
        <v/>
      </c>
      <c r="E398">
        <f>IF(A398="","",BD_Carga!Q399)</f>
        <v/>
      </c>
      <c r="F398" s="5">
        <f>IF(A398="","",BD_Carga!L399)</f>
        <v/>
      </c>
      <c r="G398">
        <f>IF(A398="","",BD_Carga!N399)</f>
        <v/>
      </c>
      <c r="H398">
        <f>IF(A398="","",BD_Carga!O399)</f>
        <v/>
      </c>
      <c r="I398">
        <f>IF(A398="","",BD_Carga!P399)</f>
        <v/>
      </c>
      <c r="J398">
        <f>IF(A398="","",_xlfn.MAXIFS(BD_Carga!$L:$L,BD_Carga!$C:$C,A398))</f>
        <v/>
      </c>
      <c r="K398" s="11">
        <f>IF(OR(A398="",J398=0),"",F398/J398)</f>
        <v/>
      </c>
      <c r="L398">
        <f>IF(A398="","",BD_Carga!E399)</f>
        <v/>
      </c>
    </row>
    <row r="399">
      <c r="A399">
        <f>IF(BD_Carga!C400="","",BD_Carga!C400)</f>
        <v/>
      </c>
      <c r="B399">
        <f>IF(A399="","",BD_Carga!D400)</f>
        <v/>
      </c>
      <c r="C399" s="2">
        <f>IF(A399="","",BD_Carga!A400)</f>
        <v/>
      </c>
      <c r="D399">
        <f>IF(A399="","",BD_Carga!R400)</f>
        <v/>
      </c>
      <c r="E399">
        <f>IF(A399="","",BD_Carga!Q400)</f>
        <v/>
      </c>
      <c r="F399" s="5">
        <f>IF(A399="","",BD_Carga!L400)</f>
        <v/>
      </c>
      <c r="G399">
        <f>IF(A399="","",BD_Carga!N400)</f>
        <v/>
      </c>
      <c r="H399">
        <f>IF(A399="","",BD_Carga!O400)</f>
        <v/>
      </c>
      <c r="I399">
        <f>IF(A399="","",BD_Carga!P400)</f>
        <v/>
      </c>
      <c r="J399">
        <f>IF(A399="","",_xlfn.MAXIFS(BD_Carga!$L:$L,BD_Carga!$C:$C,A399))</f>
        <v/>
      </c>
      <c r="K399" s="11">
        <f>IF(OR(A399="",J399=0),"",F399/J399)</f>
        <v/>
      </c>
      <c r="L399">
        <f>IF(A399="","",BD_Carga!E400)</f>
        <v/>
      </c>
    </row>
    <row r="400">
      <c r="A400">
        <f>IF(BD_Carga!C401="","",BD_Carga!C401)</f>
        <v/>
      </c>
      <c r="B400">
        <f>IF(A400="","",BD_Carga!D401)</f>
        <v/>
      </c>
      <c r="C400" s="2">
        <f>IF(A400="","",BD_Carga!A401)</f>
        <v/>
      </c>
      <c r="D400">
        <f>IF(A400="","",BD_Carga!R401)</f>
        <v/>
      </c>
      <c r="E400">
        <f>IF(A400="","",BD_Carga!Q401)</f>
        <v/>
      </c>
      <c r="F400" s="5">
        <f>IF(A400="","",BD_Carga!L401)</f>
        <v/>
      </c>
      <c r="G400">
        <f>IF(A400="","",BD_Carga!N401)</f>
        <v/>
      </c>
      <c r="H400">
        <f>IF(A400="","",BD_Carga!O401)</f>
        <v/>
      </c>
      <c r="I400">
        <f>IF(A400="","",BD_Carga!P401)</f>
        <v/>
      </c>
      <c r="J400">
        <f>IF(A400="","",_xlfn.MAXIFS(BD_Carga!$L:$L,BD_Carga!$C:$C,A400))</f>
        <v/>
      </c>
      <c r="K400" s="11">
        <f>IF(OR(A400="",J400=0),"",F400/J400)</f>
        <v/>
      </c>
      <c r="L400">
        <f>IF(A400="","",BD_Carga!E401)</f>
        <v/>
      </c>
    </row>
    <row r="401">
      <c r="A401">
        <f>IF(BD_Carga!C402="","",BD_Carga!C402)</f>
        <v/>
      </c>
      <c r="B401">
        <f>IF(A401="","",BD_Carga!D402)</f>
        <v/>
      </c>
      <c r="C401" s="2">
        <f>IF(A401="","",BD_Carga!A402)</f>
        <v/>
      </c>
      <c r="D401">
        <f>IF(A401="","",BD_Carga!R402)</f>
        <v/>
      </c>
      <c r="E401">
        <f>IF(A401="","",BD_Carga!Q402)</f>
        <v/>
      </c>
      <c r="F401" s="5">
        <f>IF(A401="","",BD_Carga!L402)</f>
        <v/>
      </c>
      <c r="G401">
        <f>IF(A401="","",BD_Carga!N402)</f>
        <v/>
      </c>
      <c r="H401">
        <f>IF(A401="","",BD_Carga!O402)</f>
        <v/>
      </c>
      <c r="I401">
        <f>IF(A401="","",BD_Carga!P402)</f>
        <v/>
      </c>
      <c r="J401">
        <f>IF(A401="","",_xlfn.MAXIFS(BD_Carga!$L:$L,BD_Carga!$C:$C,A401))</f>
        <v/>
      </c>
      <c r="K401" s="11">
        <f>IF(OR(A401="",J401=0),"",F401/J401)</f>
        <v/>
      </c>
      <c r="L401">
        <f>IF(A401="","",BD_Carga!E402)</f>
        <v/>
      </c>
    </row>
    <row r="402">
      <c r="A402">
        <f>IF(BD_Carga!C403="","",BD_Carga!C403)</f>
        <v/>
      </c>
      <c r="B402">
        <f>IF(A402="","",BD_Carga!D403)</f>
        <v/>
      </c>
      <c r="C402" s="2">
        <f>IF(A402="","",BD_Carga!A403)</f>
        <v/>
      </c>
      <c r="D402">
        <f>IF(A402="","",BD_Carga!R403)</f>
        <v/>
      </c>
      <c r="E402">
        <f>IF(A402="","",BD_Carga!Q403)</f>
        <v/>
      </c>
      <c r="F402" s="5">
        <f>IF(A402="","",BD_Carga!L403)</f>
        <v/>
      </c>
      <c r="G402">
        <f>IF(A402="","",BD_Carga!N403)</f>
        <v/>
      </c>
      <c r="H402">
        <f>IF(A402="","",BD_Carga!O403)</f>
        <v/>
      </c>
      <c r="I402">
        <f>IF(A402="","",BD_Carga!P403)</f>
        <v/>
      </c>
      <c r="J402">
        <f>IF(A402="","",_xlfn.MAXIFS(BD_Carga!$L:$L,BD_Carga!$C:$C,A402))</f>
        <v/>
      </c>
      <c r="K402" s="11">
        <f>IF(OR(A402="",J402=0),"",F402/J402)</f>
        <v/>
      </c>
      <c r="L402">
        <f>IF(A402="","",BD_Carga!E403)</f>
        <v/>
      </c>
    </row>
    <row r="403">
      <c r="A403">
        <f>IF(BD_Carga!C404="","",BD_Carga!C404)</f>
        <v/>
      </c>
      <c r="B403">
        <f>IF(A403="","",BD_Carga!D404)</f>
        <v/>
      </c>
      <c r="C403" s="2">
        <f>IF(A403="","",BD_Carga!A404)</f>
        <v/>
      </c>
      <c r="D403">
        <f>IF(A403="","",BD_Carga!R404)</f>
        <v/>
      </c>
      <c r="E403">
        <f>IF(A403="","",BD_Carga!Q404)</f>
        <v/>
      </c>
      <c r="F403" s="5">
        <f>IF(A403="","",BD_Carga!L404)</f>
        <v/>
      </c>
      <c r="G403">
        <f>IF(A403="","",BD_Carga!N404)</f>
        <v/>
      </c>
      <c r="H403">
        <f>IF(A403="","",BD_Carga!O404)</f>
        <v/>
      </c>
      <c r="I403">
        <f>IF(A403="","",BD_Carga!P404)</f>
        <v/>
      </c>
      <c r="J403">
        <f>IF(A403="","",_xlfn.MAXIFS(BD_Carga!$L:$L,BD_Carga!$C:$C,A403))</f>
        <v/>
      </c>
      <c r="K403" s="11">
        <f>IF(OR(A403="",J403=0),"",F403/J403)</f>
        <v/>
      </c>
      <c r="L403">
        <f>IF(A403="","",BD_Carga!E404)</f>
        <v/>
      </c>
    </row>
    <row r="404">
      <c r="A404">
        <f>IF(BD_Carga!C405="","",BD_Carga!C405)</f>
        <v/>
      </c>
      <c r="B404">
        <f>IF(A404="","",BD_Carga!D405)</f>
        <v/>
      </c>
      <c r="C404" s="2">
        <f>IF(A404="","",BD_Carga!A405)</f>
        <v/>
      </c>
      <c r="D404">
        <f>IF(A404="","",BD_Carga!R405)</f>
        <v/>
      </c>
      <c r="E404">
        <f>IF(A404="","",BD_Carga!Q405)</f>
        <v/>
      </c>
      <c r="F404" s="5">
        <f>IF(A404="","",BD_Carga!L405)</f>
        <v/>
      </c>
      <c r="G404">
        <f>IF(A404="","",BD_Carga!N405)</f>
        <v/>
      </c>
      <c r="H404">
        <f>IF(A404="","",BD_Carga!O405)</f>
        <v/>
      </c>
      <c r="I404">
        <f>IF(A404="","",BD_Carga!P405)</f>
        <v/>
      </c>
      <c r="J404">
        <f>IF(A404="","",_xlfn.MAXIFS(BD_Carga!$L:$L,BD_Carga!$C:$C,A404))</f>
        <v/>
      </c>
      <c r="K404" s="11">
        <f>IF(OR(A404="",J404=0),"",F404/J404)</f>
        <v/>
      </c>
      <c r="L404">
        <f>IF(A404="","",BD_Carga!E405)</f>
        <v/>
      </c>
    </row>
    <row r="405">
      <c r="A405">
        <f>IF(BD_Carga!C406="","",BD_Carga!C406)</f>
        <v/>
      </c>
      <c r="B405">
        <f>IF(A405="","",BD_Carga!D406)</f>
        <v/>
      </c>
      <c r="C405" s="2">
        <f>IF(A405="","",BD_Carga!A406)</f>
        <v/>
      </c>
      <c r="D405">
        <f>IF(A405="","",BD_Carga!R406)</f>
        <v/>
      </c>
      <c r="E405">
        <f>IF(A405="","",BD_Carga!Q406)</f>
        <v/>
      </c>
      <c r="F405" s="5">
        <f>IF(A405="","",BD_Carga!L406)</f>
        <v/>
      </c>
      <c r="G405">
        <f>IF(A405="","",BD_Carga!N406)</f>
        <v/>
      </c>
      <c r="H405">
        <f>IF(A405="","",BD_Carga!O406)</f>
        <v/>
      </c>
      <c r="I405">
        <f>IF(A405="","",BD_Carga!P406)</f>
        <v/>
      </c>
      <c r="J405">
        <f>IF(A405="","",_xlfn.MAXIFS(BD_Carga!$L:$L,BD_Carga!$C:$C,A405))</f>
        <v/>
      </c>
      <c r="K405" s="11">
        <f>IF(OR(A405="",J405=0),"",F405/J405)</f>
        <v/>
      </c>
      <c r="L405">
        <f>IF(A405="","",BD_Carga!E406)</f>
        <v/>
      </c>
    </row>
    <row r="406">
      <c r="A406">
        <f>IF(BD_Carga!C407="","",BD_Carga!C407)</f>
        <v/>
      </c>
      <c r="B406">
        <f>IF(A406="","",BD_Carga!D407)</f>
        <v/>
      </c>
      <c r="C406" s="2">
        <f>IF(A406="","",BD_Carga!A407)</f>
        <v/>
      </c>
      <c r="D406">
        <f>IF(A406="","",BD_Carga!R407)</f>
        <v/>
      </c>
      <c r="E406">
        <f>IF(A406="","",BD_Carga!Q407)</f>
        <v/>
      </c>
      <c r="F406" s="5">
        <f>IF(A406="","",BD_Carga!L407)</f>
        <v/>
      </c>
      <c r="G406">
        <f>IF(A406="","",BD_Carga!N407)</f>
        <v/>
      </c>
      <c r="H406">
        <f>IF(A406="","",BD_Carga!O407)</f>
        <v/>
      </c>
      <c r="I406">
        <f>IF(A406="","",BD_Carga!P407)</f>
        <v/>
      </c>
      <c r="J406">
        <f>IF(A406="","",_xlfn.MAXIFS(BD_Carga!$L:$L,BD_Carga!$C:$C,A406))</f>
        <v/>
      </c>
      <c r="K406" s="11">
        <f>IF(OR(A406="",J406=0),"",F406/J406)</f>
        <v/>
      </c>
      <c r="L406">
        <f>IF(A406="","",BD_Carga!E407)</f>
        <v/>
      </c>
    </row>
    <row r="407">
      <c r="A407">
        <f>IF(BD_Carga!C408="","",BD_Carga!C408)</f>
        <v/>
      </c>
      <c r="B407">
        <f>IF(A407="","",BD_Carga!D408)</f>
        <v/>
      </c>
      <c r="C407" s="2">
        <f>IF(A407="","",BD_Carga!A408)</f>
        <v/>
      </c>
      <c r="D407">
        <f>IF(A407="","",BD_Carga!R408)</f>
        <v/>
      </c>
      <c r="E407">
        <f>IF(A407="","",BD_Carga!Q408)</f>
        <v/>
      </c>
      <c r="F407" s="5">
        <f>IF(A407="","",BD_Carga!L408)</f>
        <v/>
      </c>
      <c r="G407">
        <f>IF(A407="","",BD_Carga!N408)</f>
        <v/>
      </c>
      <c r="H407">
        <f>IF(A407="","",BD_Carga!O408)</f>
        <v/>
      </c>
      <c r="I407">
        <f>IF(A407="","",BD_Carga!P408)</f>
        <v/>
      </c>
      <c r="J407">
        <f>IF(A407="","",_xlfn.MAXIFS(BD_Carga!$L:$L,BD_Carga!$C:$C,A407))</f>
        <v/>
      </c>
      <c r="K407" s="11">
        <f>IF(OR(A407="",J407=0),"",F407/J407)</f>
        <v/>
      </c>
      <c r="L407">
        <f>IF(A407="","",BD_Carga!E408)</f>
        <v/>
      </c>
    </row>
    <row r="408">
      <c r="A408">
        <f>IF(BD_Carga!C409="","",BD_Carga!C409)</f>
        <v/>
      </c>
      <c r="B408">
        <f>IF(A408="","",BD_Carga!D409)</f>
        <v/>
      </c>
      <c r="C408" s="2">
        <f>IF(A408="","",BD_Carga!A409)</f>
        <v/>
      </c>
      <c r="D408">
        <f>IF(A408="","",BD_Carga!R409)</f>
        <v/>
      </c>
      <c r="E408">
        <f>IF(A408="","",BD_Carga!Q409)</f>
        <v/>
      </c>
      <c r="F408" s="5">
        <f>IF(A408="","",BD_Carga!L409)</f>
        <v/>
      </c>
      <c r="G408">
        <f>IF(A408="","",BD_Carga!N409)</f>
        <v/>
      </c>
      <c r="H408">
        <f>IF(A408="","",BD_Carga!O409)</f>
        <v/>
      </c>
      <c r="I408">
        <f>IF(A408="","",BD_Carga!P409)</f>
        <v/>
      </c>
      <c r="J408">
        <f>IF(A408="","",_xlfn.MAXIFS(BD_Carga!$L:$L,BD_Carga!$C:$C,A408))</f>
        <v/>
      </c>
      <c r="K408" s="11">
        <f>IF(OR(A408="",J408=0),"",F408/J408)</f>
        <v/>
      </c>
      <c r="L408">
        <f>IF(A408="","",BD_Carga!E409)</f>
        <v/>
      </c>
    </row>
    <row r="409">
      <c r="A409">
        <f>IF(BD_Carga!C410="","",BD_Carga!C410)</f>
        <v/>
      </c>
      <c r="B409">
        <f>IF(A409="","",BD_Carga!D410)</f>
        <v/>
      </c>
      <c r="C409" s="2">
        <f>IF(A409="","",BD_Carga!A410)</f>
        <v/>
      </c>
      <c r="D409">
        <f>IF(A409="","",BD_Carga!R410)</f>
        <v/>
      </c>
      <c r="E409">
        <f>IF(A409="","",BD_Carga!Q410)</f>
        <v/>
      </c>
      <c r="F409" s="5">
        <f>IF(A409="","",BD_Carga!L410)</f>
        <v/>
      </c>
      <c r="G409">
        <f>IF(A409="","",BD_Carga!N410)</f>
        <v/>
      </c>
      <c r="H409">
        <f>IF(A409="","",BD_Carga!O410)</f>
        <v/>
      </c>
      <c r="I409">
        <f>IF(A409="","",BD_Carga!P410)</f>
        <v/>
      </c>
      <c r="J409">
        <f>IF(A409="","",_xlfn.MAXIFS(BD_Carga!$L:$L,BD_Carga!$C:$C,A409))</f>
        <v/>
      </c>
      <c r="K409" s="11">
        <f>IF(OR(A409="",J409=0),"",F409/J409)</f>
        <v/>
      </c>
      <c r="L409">
        <f>IF(A409="","",BD_Carga!E410)</f>
        <v/>
      </c>
    </row>
    <row r="410">
      <c r="A410">
        <f>IF(BD_Carga!C411="","",BD_Carga!C411)</f>
        <v/>
      </c>
      <c r="B410">
        <f>IF(A410="","",BD_Carga!D411)</f>
        <v/>
      </c>
      <c r="C410" s="2">
        <f>IF(A410="","",BD_Carga!A411)</f>
        <v/>
      </c>
      <c r="D410">
        <f>IF(A410="","",BD_Carga!R411)</f>
        <v/>
      </c>
      <c r="E410">
        <f>IF(A410="","",BD_Carga!Q411)</f>
        <v/>
      </c>
      <c r="F410" s="5">
        <f>IF(A410="","",BD_Carga!L411)</f>
        <v/>
      </c>
      <c r="G410">
        <f>IF(A410="","",BD_Carga!N411)</f>
        <v/>
      </c>
      <c r="H410">
        <f>IF(A410="","",BD_Carga!O411)</f>
        <v/>
      </c>
      <c r="I410">
        <f>IF(A410="","",BD_Carga!P411)</f>
        <v/>
      </c>
      <c r="J410">
        <f>IF(A410="","",_xlfn.MAXIFS(BD_Carga!$L:$L,BD_Carga!$C:$C,A410))</f>
        <v/>
      </c>
      <c r="K410" s="11">
        <f>IF(OR(A410="",J410=0),"",F410/J410)</f>
        <v/>
      </c>
      <c r="L410">
        <f>IF(A410="","",BD_Carga!E411)</f>
        <v/>
      </c>
    </row>
    <row r="411">
      <c r="A411">
        <f>IF(BD_Carga!C412="","",BD_Carga!C412)</f>
        <v/>
      </c>
      <c r="B411">
        <f>IF(A411="","",BD_Carga!D412)</f>
        <v/>
      </c>
      <c r="C411" s="2">
        <f>IF(A411="","",BD_Carga!A412)</f>
        <v/>
      </c>
      <c r="D411">
        <f>IF(A411="","",BD_Carga!R412)</f>
        <v/>
      </c>
      <c r="E411">
        <f>IF(A411="","",BD_Carga!Q412)</f>
        <v/>
      </c>
      <c r="F411" s="5">
        <f>IF(A411="","",BD_Carga!L412)</f>
        <v/>
      </c>
      <c r="G411">
        <f>IF(A411="","",BD_Carga!N412)</f>
        <v/>
      </c>
      <c r="H411">
        <f>IF(A411="","",BD_Carga!O412)</f>
        <v/>
      </c>
      <c r="I411">
        <f>IF(A411="","",BD_Carga!P412)</f>
        <v/>
      </c>
      <c r="J411">
        <f>IF(A411="","",_xlfn.MAXIFS(BD_Carga!$L:$L,BD_Carga!$C:$C,A411))</f>
        <v/>
      </c>
      <c r="K411" s="11">
        <f>IF(OR(A411="",J411=0),"",F411/J411)</f>
        <v/>
      </c>
      <c r="L411">
        <f>IF(A411="","",BD_Carga!E412)</f>
        <v/>
      </c>
    </row>
    <row r="412">
      <c r="A412">
        <f>IF(BD_Carga!C413="","",BD_Carga!C413)</f>
        <v/>
      </c>
      <c r="B412">
        <f>IF(A412="","",BD_Carga!D413)</f>
        <v/>
      </c>
      <c r="C412" s="2">
        <f>IF(A412="","",BD_Carga!A413)</f>
        <v/>
      </c>
      <c r="D412">
        <f>IF(A412="","",BD_Carga!R413)</f>
        <v/>
      </c>
      <c r="E412">
        <f>IF(A412="","",BD_Carga!Q413)</f>
        <v/>
      </c>
      <c r="F412" s="5">
        <f>IF(A412="","",BD_Carga!L413)</f>
        <v/>
      </c>
      <c r="G412">
        <f>IF(A412="","",BD_Carga!N413)</f>
        <v/>
      </c>
      <c r="H412">
        <f>IF(A412="","",BD_Carga!O413)</f>
        <v/>
      </c>
      <c r="I412">
        <f>IF(A412="","",BD_Carga!P413)</f>
        <v/>
      </c>
      <c r="J412">
        <f>IF(A412="","",_xlfn.MAXIFS(BD_Carga!$L:$L,BD_Carga!$C:$C,A412))</f>
        <v/>
      </c>
      <c r="K412" s="11">
        <f>IF(OR(A412="",J412=0),"",F412/J412)</f>
        <v/>
      </c>
      <c r="L412">
        <f>IF(A412="","",BD_Carga!E413)</f>
        <v/>
      </c>
    </row>
    <row r="413">
      <c r="A413">
        <f>IF(BD_Carga!C414="","",BD_Carga!C414)</f>
        <v/>
      </c>
      <c r="B413">
        <f>IF(A413="","",BD_Carga!D414)</f>
        <v/>
      </c>
      <c r="C413" s="2">
        <f>IF(A413="","",BD_Carga!A414)</f>
        <v/>
      </c>
      <c r="D413">
        <f>IF(A413="","",BD_Carga!R414)</f>
        <v/>
      </c>
      <c r="E413">
        <f>IF(A413="","",BD_Carga!Q414)</f>
        <v/>
      </c>
      <c r="F413" s="5">
        <f>IF(A413="","",BD_Carga!L414)</f>
        <v/>
      </c>
      <c r="G413">
        <f>IF(A413="","",BD_Carga!N414)</f>
        <v/>
      </c>
      <c r="H413">
        <f>IF(A413="","",BD_Carga!O414)</f>
        <v/>
      </c>
      <c r="I413">
        <f>IF(A413="","",BD_Carga!P414)</f>
        <v/>
      </c>
      <c r="J413">
        <f>IF(A413="","",_xlfn.MAXIFS(BD_Carga!$L:$L,BD_Carga!$C:$C,A413))</f>
        <v/>
      </c>
      <c r="K413" s="11">
        <f>IF(OR(A413="",J413=0),"",F413/J413)</f>
        <v/>
      </c>
      <c r="L413">
        <f>IF(A413="","",BD_Carga!E414)</f>
        <v/>
      </c>
    </row>
    <row r="414">
      <c r="A414">
        <f>IF(BD_Carga!C415="","",BD_Carga!C415)</f>
        <v/>
      </c>
      <c r="B414">
        <f>IF(A414="","",BD_Carga!D415)</f>
        <v/>
      </c>
      <c r="C414" s="2">
        <f>IF(A414="","",BD_Carga!A415)</f>
        <v/>
      </c>
      <c r="D414">
        <f>IF(A414="","",BD_Carga!R415)</f>
        <v/>
      </c>
      <c r="E414">
        <f>IF(A414="","",BD_Carga!Q415)</f>
        <v/>
      </c>
      <c r="F414" s="5">
        <f>IF(A414="","",BD_Carga!L415)</f>
        <v/>
      </c>
      <c r="G414">
        <f>IF(A414="","",BD_Carga!N415)</f>
        <v/>
      </c>
      <c r="H414">
        <f>IF(A414="","",BD_Carga!O415)</f>
        <v/>
      </c>
      <c r="I414">
        <f>IF(A414="","",BD_Carga!P415)</f>
        <v/>
      </c>
      <c r="J414">
        <f>IF(A414="","",_xlfn.MAXIFS(BD_Carga!$L:$L,BD_Carga!$C:$C,A414))</f>
        <v/>
      </c>
      <c r="K414" s="11">
        <f>IF(OR(A414="",J414=0),"",F414/J414)</f>
        <v/>
      </c>
      <c r="L414">
        <f>IF(A414="","",BD_Carga!E415)</f>
        <v/>
      </c>
    </row>
    <row r="415">
      <c r="A415">
        <f>IF(BD_Carga!C416="","",BD_Carga!C416)</f>
        <v/>
      </c>
      <c r="B415">
        <f>IF(A415="","",BD_Carga!D416)</f>
        <v/>
      </c>
      <c r="C415" s="2">
        <f>IF(A415="","",BD_Carga!A416)</f>
        <v/>
      </c>
      <c r="D415">
        <f>IF(A415="","",BD_Carga!R416)</f>
        <v/>
      </c>
      <c r="E415">
        <f>IF(A415="","",BD_Carga!Q416)</f>
        <v/>
      </c>
      <c r="F415" s="5">
        <f>IF(A415="","",BD_Carga!L416)</f>
        <v/>
      </c>
      <c r="G415">
        <f>IF(A415="","",BD_Carga!N416)</f>
        <v/>
      </c>
      <c r="H415">
        <f>IF(A415="","",BD_Carga!O416)</f>
        <v/>
      </c>
      <c r="I415">
        <f>IF(A415="","",BD_Carga!P416)</f>
        <v/>
      </c>
      <c r="J415">
        <f>IF(A415="","",_xlfn.MAXIFS(BD_Carga!$L:$L,BD_Carga!$C:$C,A415))</f>
        <v/>
      </c>
      <c r="K415" s="11">
        <f>IF(OR(A415="",J415=0),"",F415/J415)</f>
        <v/>
      </c>
      <c r="L415">
        <f>IF(A415="","",BD_Carga!E416)</f>
        <v/>
      </c>
    </row>
    <row r="416">
      <c r="A416">
        <f>IF(BD_Carga!C417="","",BD_Carga!C417)</f>
        <v/>
      </c>
      <c r="B416">
        <f>IF(A416="","",BD_Carga!D417)</f>
        <v/>
      </c>
      <c r="C416" s="2">
        <f>IF(A416="","",BD_Carga!A417)</f>
        <v/>
      </c>
      <c r="D416">
        <f>IF(A416="","",BD_Carga!R417)</f>
        <v/>
      </c>
      <c r="E416">
        <f>IF(A416="","",BD_Carga!Q417)</f>
        <v/>
      </c>
      <c r="F416" s="5">
        <f>IF(A416="","",BD_Carga!L417)</f>
        <v/>
      </c>
      <c r="G416">
        <f>IF(A416="","",BD_Carga!N417)</f>
        <v/>
      </c>
      <c r="H416">
        <f>IF(A416="","",BD_Carga!O417)</f>
        <v/>
      </c>
      <c r="I416">
        <f>IF(A416="","",BD_Carga!P417)</f>
        <v/>
      </c>
      <c r="J416">
        <f>IF(A416="","",_xlfn.MAXIFS(BD_Carga!$L:$L,BD_Carga!$C:$C,A416))</f>
        <v/>
      </c>
      <c r="K416" s="11">
        <f>IF(OR(A416="",J416=0),"",F416/J416)</f>
        <v/>
      </c>
      <c r="L416">
        <f>IF(A416="","",BD_Carga!E417)</f>
        <v/>
      </c>
    </row>
    <row r="417">
      <c r="A417">
        <f>IF(BD_Carga!C418="","",BD_Carga!C418)</f>
        <v/>
      </c>
      <c r="B417">
        <f>IF(A417="","",BD_Carga!D418)</f>
        <v/>
      </c>
      <c r="C417" s="2">
        <f>IF(A417="","",BD_Carga!A418)</f>
        <v/>
      </c>
      <c r="D417">
        <f>IF(A417="","",BD_Carga!R418)</f>
        <v/>
      </c>
      <c r="E417">
        <f>IF(A417="","",BD_Carga!Q418)</f>
        <v/>
      </c>
      <c r="F417" s="5">
        <f>IF(A417="","",BD_Carga!L418)</f>
        <v/>
      </c>
      <c r="G417">
        <f>IF(A417="","",BD_Carga!N418)</f>
        <v/>
      </c>
      <c r="H417">
        <f>IF(A417="","",BD_Carga!O418)</f>
        <v/>
      </c>
      <c r="I417">
        <f>IF(A417="","",BD_Carga!P418)</f>
        <v/>
      </c>
      <c r="J417">
        <f>IF(A417="","",_xlfn.MAXIFS(BD_Carga!$L:$L,BD_Carga!$C:$C,A417))</f>
        <v/>
      </c>
      <c r="K417" s="11">
        <f>IF(OR(A417="",J417=0),"",F417/J417)</f>
        <v/>
      </c>
      <c r="L417">
        <f>IF(A417="","",BD_Carga!E418)</f>
        <v/>
      </c>
    </row>
    <row r="418">
      <c r="A418">
        <f>IF(BD_Carga!C419="","",BD_Carga!C419)</f>
        <v/>
      </c>
      <c r="B418">
        <f>IF(A418="","",BD_Carga!D419)</f>
        <v/>
      </c>
      <c r="C418" s="2">
        <f>IF(A418="","",BD_Carga!A419)</f>
        <v/>
      </c>
      <c r="D418">
        <f>IF(A418="","",BD_Carga!R419)</f>
        <v/>
      </c>
      <c r="E418">
        <f>IF(A418="","",BD_Carga!Q419)</f>
        <v/>
      </c>
      <c r="F418" s="5">
        <f>IF(A418="","",BD_Carga!L419)</f>
        <v/>
      </c>
      <c r="G418">
        <f>IF(A418="","",BD_Carga!N419)</f>
        <v/>
      </c>
      <c r="H418">
        <f>IF(A418="","",BD_Carga!O419)</f>
        <v/>
      </c>
      <c r="I418">
        <f>IF(A418="","",BD_Carga!P419)</f>
        <v/>
      </c>
      <c r="J418">
        <f>IF(A418="","",_xlfn.MAXIFS(BD_Carga!$L:$L,BD_Carga!$C:$C,A418))</f>
        <v/>
      </c>
      <c r="K418" s="11">
        <f>IF(OR(A418="",J418=0),"",F418/J418)</f>
        <v/>
      </c>
      <c r="L418">
        <f>IF(A418="","",BD_Carga!E419)</f>
        <v/>
      </c>
    </row>
    <row r="419">
      <c r="A419">
        <f>IF(BD_Carga!C420="","",BD_Carga!C420)</f>
        <v/>
      </c>
      <c r="B419">
        <f>IF(A419="","",BD_Carga!D420)</f>
        <v/>
      </c>
      <c r="C419" s="2">
        <f>IF(A419="","",BD_Carga!A420)</f>
        <v/>
      </c>
      <c r="D419">
        <f>IF(A419="","",BD_Carga!R420)</f>
        <v/>
      </c>
      <c r="E419">
        <f>IF(A419="","",BD_Carga!Q420)</f>
        <v/>
      </c>
      <c r="F419" s="5">
        <f>IF(A419="","",BD_Carga!L420)</f>
        <v/>
      </c>
      <c r="G419">
        <f>IF(A419="","",BD_Carga!N420)</f>
        <v/>
      </c>
      <c r="H419">
        <f>IF(A419="","",BD_Carga!O420)</f>
        <v/>
      </c>
      <c r="I419">
        <f>IF(A419="","",BD_Carga!P420)</f>
        <v/>
      </c>
      <c r="J419">
        <f>IF(A419="","",_xlfn.MAXIFS(BD_Carga!$L:$L,BD_Carga!$C:$C,A419))</f>
        <v/>
      </c>
      <c r="K419" s="11">
        <f>IF(OR(A419="",J419=0),"",F419/J419)</f>
        <v/>
      </c>
      <c r="L419">
        <f>IF(A419="","",BD_Carga!E420)</f>
        <v/>
      </c>
    </row>
    <row r="420">
      <c r="A420">
        <f>IF(BD_Carga!C421="","",BD_Carga!C421)</f>
        <v/>
      </c>
      <c r="B420">
        <f>IF(A420="","",BD_Carga!D421)</f>
        <v/>
      </c>
      <c r="C420" s="2">
        <f>IF(A420="","",BD_Carga!A421)</f>
        <v/>
      </c>
      <c r="D420">
        <f>IF(A420="","",BD_Carga!R421)</f>
        <v/>
      </c>
      <c r="E420">
        <f>IF(A420="","",BD_Carga!Q421)</f>
        <v/>
      </c>
      <c r="F420" s="5">
        <f>IF(A420="","",BD_Carga!L421)</f>
        <v/>
      </c>
      <c r="G420">
        <f>IF(A420="","",BD_Carga!N421)</f>
        <v/>
      </c>
      <c r="H420">
        <f>IF(A420="","",BD_Carga!O421)</f>
        <v/>
      </c>
      <c r="I420">
        <f>IF(A420="","",BD_Carga!P421)</f>
        <v/>
      </c>
      <c r="J420">
        <f>IF(A420="","",_xlfn.MAXIFS(BD_Carga!$L:$L,BD_Carga!$C:$C,A420))</f>
        <v/>
      </c>
      <c r="K420" s="11">
        <f>IF(OR(A420="",J420=0),"",F420/J420)</f>
        <v/>
      </c>
      <c r="L420">
        <f>IF(A420="","",BD_Carga!E421)</f>
        <v/>
      </c>
    </row>
    <row r="421">
      <c r="A421">
        <f>IF(BD_Carga!C422="","",BD_Carga!C422)</f>
        <v/>
      </c>
      <c r="B421">
        <f>IF(A421="","",BD_Carga!D422)</f>
        <v/>
      </c>
      <c r="C421" s="2">
        <f>IF(A421="","",BD_Carga!A422)</f>
        <v/>
      </c>
      <c r="D421">
        <f>IF(A421="","",BD_Carga!R422)</f>
        <v/>
      </c>
      <c r="E421">
        <f>IF(A421="","",BD_Carga!Q422)</f>
        <v/>
      </c>
      <c r="F421" s="5">
        <f>IF(A421="","",BD_Carga!L422)</f>
        <v/>
      </c>
      <c r="G421">
        <f>IF(A421="","",BD_Carga!N422)</f>
        <v/>
      </c>
      <c r="H421">
        <f>IF(A421="","",BD_Carga!O422)</f>
        <v/>
      </c>
      <c r="I421">
        <f>IF(A421="","",BD_Carga!P422)</f>
        <v/>
      </c>
      <c r="J421">
        <f>IF(A421="","",_xlfn.MAXIFS(BD_Carga!$L:$L,BD_Carga!$C:$C,A421))</f>
        <v/>
      </c>
      <c r="K421" s="11">
        <f>IF(OR(A421="",J421=0),"",F421/J421)</f>
        <v/>
      </c>
      <c r="L421">
        <f>IF(A421="","",BD_Carga!E422)</f>
        <v/>
      </c>
    </row>
    <row r="422">
      <c r="A422">
        <f>IF(BD_Carga!C423="","",BD_Carga!C423)</f>
        <v/>
      </c>
      <c r="B422">
        <f>IF(A422="","",BD_Carga!D423)</f>
        <v/>
      </c>
      <c r="C422" s="2">
        <f>IF(A422="","",BD_Carga!A423)</f>
        <v/>
      </c>
      <c r="D422">
        <f>IF(A422="","",BD_Carga!R423)</f>
        <v/>
      </c>
      <c r="E422">
        <f>IF(A422="","",BD_Carga!Q423)</f>
        <v/>
      </c>
      <c r="F422" s="5">
        <f>IF(A422="","",BD_Carga!L423)</f>
        <v/>
      </c>
      <c r="G422">
        <f>IF(A422="","",BD_Carga!N423)</f>
        <v/>
      </c>
      <c r="H422">
        <f>IF(A422="","",BD_Carga!O423)</f>
        <v/>
      </c>
      <c r="I422">
        <f>IF(A422="","",BD_Carga!P423)</f>
        <v/>
      </c>
      <c r="J422">
        <f>IF(A422="","",_xlfn.MAXIFS(BD_Carga!$L:$L,BD_Carga!$C:$C,A422))</f>
        <v/>
      </c>
      <c r="K422" s="11">
        <f>IF(OR(A422="",J422=0),"",F422/J422)</f>
        <v/>
      </c>
      <c r="L422">
        <f>IF(A422="","",BD_Carga!E423)</f>
        <v/>
      </c>
    </row>
    <row r="423">
      <c r="A423">
        <f>IF(BD_Carga!C424="","",BD_Carga!C424)</f>
        <v/>
      </c>
      <c r="B423">
        <f>IF(A423="","",BD_Carga!D424)</f>
        <v/>
      </c>
      <c r="C423" s="2">
        <f>IF(A423="","",BD_Carga!A424)</f>
        <v/>
      </c>
      <c r="D423">
        <f>IF(A423="","",BD_Carga!R424)</f>
        <v/>
      </c>
      <c r="E423">
        <f>IF(A423="","",BD_Carga!Q424)</f>
        <v/>
      </c>
      <c r="F423" s="5">
        <f>IF(A423="","",BD_Carga!L424)</f>
        <v/>
      </c>
      <c r="G423">
        <f>IF(A423="","",BD_Carga!N424)</f>
        <v/>
      </c>
      <c r="H423">
        <f>IF(A423="","",BD_Carga!O424)</f>
        <v/>
      </c>
      <c r="I423">
        <f>IF(A423="","",BD_Carga!P424)</f>
        <v/>
      </c>
      <c r="J423">
        <f>IF(A423="","",_xlfn.MAXIFS(BD_Carga!$L:$L,BD_Carga!$C:$C,A423))</f>
        <v/>
      </c>
      <c r="K423" s="11">
        <f>IF(OR(A423="",J423=0),"",F423/J423)</f>
        <v/>
      </c>
      <c r="L423">
        <f>IF(A423="","",BD_Carga!E424)</f>
        <v/>
      </c>
    </row>
    <row r="424">
      <c r="A424">
        <f>IF(BD_Carga!C425="","",BD_Carga!C425)</f>
        <v/>
      </c>
      <c r="B424">
        <f>IF(A424="","",BD_Carga!D425)</f>
        <v/>
      </c>
      <c r="C424" s="2">
        <f>IF(A424="","",BD_Carga!A425)</f>
        <v/>
      </c>
      <c r="D424">
        <f>IF(A424="","",BD_Carga!R425)</f>
        <v/>
      </c>
      <c r="E424">
        <f>IF(A424="","",BD_Carga!Q425)</f>
        <v/>
      </c>
      <c r="F424" s="5">
        <f>IF(A424="","",BD_Carga!L425)</f>
        <v/>
      </c>
      <c r="G424">
        <f>IF(A424="","",BD_Carga!N425)</f>
        <v/>
      </c>
      <c r="H424">
        <f>IF(A424="","",BD_Carga!O425)</f>
        <v/>
      </c>
      <c r="I424">
        <f>IF(A424="","",BD_Carga!P425)</f>
        <v/>
      </c>
      <c r="J424">
        <f>IF(A424="","",_xlfn.MAXIFS(BD_Carga!$L:$L,BD_Carga!$C:$C,A424))</f>
        <v/>
      </c>
      <c r="K424" s="11">
        <f>IF(OR(A424="",J424=0),"",F424/J424)</f>
        <v/>
      </c>
      <c r="L424">
        <f>IF(A424="","",BD_Carga!E425)</f>
        <v/>
      </c>
    </row>
    <row r="425">
      <c r="A425">
        <f>IF(BD_Carga!C426="","",BD_Carga!C426)</f>
        <v/>
      </c>
      <c r="B425">
        <f>IF(A425="","",BD_Carga!D426)</f>
        <v/>
      </c>
      <c r="C425" s="2">
        <f>IF(A425="","",BD_Carga!A426)</f>
        <v/>
      </c>
      <c r="D425">
        <f>IF(A425="","",BD_Carga!R426)</f>
        <v/>
      </c>
      <c r="E425">
        <f>IF(A425="","",BD_Carga!Q426)</f>
        <v/>
      </c>
      <c r="F425" s="5">
        <f>IF(A425="","",BD_Carga!L426)</f>
        <v/>
      </c>
      <c r="G425">
        <f>IF(A425="","",BD_Carga!N426)</f>
        <v/>
      </c>
      <c r="H425">
        <f>IF(A425="","",BD_Carga!O426)</f>
        <v/>
      </c>
      <c r="I425">
        <f>IF(A425="","",BD_Carga!P426)</f>
        <v/>
      </c>
      <c r="J425">
        <f>IF(A425="","",_xlfn.MAXIFS(BD_Carga!$L:$L,BD_Carga!$C:$C,A425))</f>
        <v/>
      </c>
      <c r="K425" s="11">
        <f>IF(OR(A425="",J425=0),"",F425/J425)</f>
        <v/>
      </c>
      <c r="L425">
        <f>IF(A425="","",BD_Carga!E426)</f>
        <v/>
      </c>
    </row>
    <row r="426">
      <c r="A426">
        <f>IF(BD_Carga!C427="","",BD_Carga!C427)</f>
        <v/>
      </c>
      <c r="B426">
        <f>IF(A426="","",BD_Carga!D427)</f>
        <v/>
      </c>
      <c r="C426" s="2">
        <f>IF(A426="","",BD_Carga!A427)</f>
        <v/>
      </c>
      <c r="D426">
        <f>IF(A426="","",BD_Carga!R427)</f>
        <v/>
      </c>
      <c r="E426">
        <f>IF(A426="","",BD_Carga!Q427)</f>
        <v/>
      </c>
      <c r="F426" s="5">
        <f>IF(A426="","",BD_Carga!L427)</f>
        <v/>
      </c>
      <c r="G426">
        <f>IF(A426="","",BD_Carga!N427)</f>
        <v/>
      </c>
      <c r="H426">
        <f>IF(A426="","",BD_Carga!O427)</f>
        <v/>
      </c>
      <c r="I426">
        <f>IF(A426="","",BD_Carga!P427)</f>
        <v/>
      </c>
      <c r="J426">
        <f>IF(A426="","",_xlfn.MAXIFS(BD_Carga!$L:$L,BD_Carga!$C:$C,A426))</f>
        <v/>
      </c>
      <c r="K426" s="11">
        <f>IF(OR(A426="",J426=0),"",F426/J426)</f>
        <v/>
      </c>
      <c r="L426">
        <f>IF(A426="","",BD_Carga!E427)</f>
        <v/>
      </c>
    </row>
    <row r="427">
      <c r="A427">
        <f>IF(BD_Carga!C428="","",BD_Carga!C428)</f>
        <v/>
      </c>
      <c r="B427">
        <f>IF(A427="","",BD_Carga!D428)</f>
        <v/>
      </c>
      <c r="C427" s="2">
        <f>IF(A427="","",BD_Carga!A428)</f>
        <v/>
      </c>
      <c r="D427">
        <f>IF(A427="","",BD_Carga!R428)</f>
        <v/>
      </c>
      <c r="E427">
        <f>IF(A427="","",BD_Carga!Q428)</f>
        <v/>
      </c>
      <c r="F427" s="5">
        <f>IF(A427="","",BD_Carga!L428)</f>
        <v/>
      </c>
      <c r="G427">
        <f>IF(A427="","",BD_Carga!N428)</f>
        <v/>
      </c>
      <c r="H427">
        <f>IF(A427="","",BD_Carga!O428)</f>
        <v/>
      </c>
      <c r="I427">
        <f>IF(A427="","",BD_Carga!P428)</f>
        <v/>
      </c>
      <c r="J427">
        <f>IF(A427="","",_xlfn.MAXIFS(BD_Carga!$L:$L,BD_Carga!$C:$C,A427))</f>
        <v/>
      </c>
      <c r="K427" s="11">
        <f>IF(OR(A427="",J427=0),"",F427/J427)</f>
        <v/>
      </c>
      <c r="L427">
        <f>IF(A427="","",BD_Carga!E428)</f>
        <v/>
      </c>
    </row>
    <row r="428">
      <c r="A428">
        <f>IF(BD_Carga!C429="","",BD_Carga!C429)</f>
        <v/>
      </c>
      <c r="B428">
        <f>IF(A428="","",BD_Carga!D429)</f>
        <v/>
      </c>
      <c r="C428" s="2">
        <f>IF(A428="","",BD_Carga!A429)</f>
        <v/>
      </c>
      <c r="D428">
        <f>IF(A428="","",BD_Carga!R429)</f>
        <v/>
      </c>
      <c r="E428">
        <f>IF(A428="","",BD_Carga!Q429)</f>
        <v/>
      </c>
      <c r="F428" s="5">
        <f>IF(A428="","",BD_Carga!L429)</f>
        <v/>
      </c>
      <c r="G428">
        <f>IF(A428="","",BD_Carga!N429)</f>
        <v/>
      </c>
      <c r="H428">
        <f>IF(A428="","",BD_Carga!O429)</f>
        <v/>
      </c>
      <c r="I428">
        <f>IF(A428="","",BD_Carga!P429)</f>
        <v/>
      </c>
      <c r="J428">
        <f>IF(A428="","",_xlfn.MAXIFS(BD_Carga!$L:$L,BD_Carga!$C:$C,A428))</f>
        <v/>
      </c>
      <c r="K428" s="11">
        <f>IF(OR(A428="",J428=0),"",F428/J428)</f>
        <v/>
      </c>
      <c r="L428">
        <f>IF(A428="","",BD_Carga!E429)</f>
        <v/>
      </c>
    </row>
    <row r="429">
      <c r="A429">
        <f>IF(BD_Carga!C430="","",BD_Carga!C430)</f>
        <v/>
      </c>
      <c r="B429">
        <f>IF(A429="","",BD_Carga!D430)</f>
        <v/>
      </c>
      <c r="C429" s="2">
        <f>IF(A429="","",BD_Carga!A430)</f>
        <v/>
      </c>
      <c r="D429">
        <f>IF(A429="","",BD_Carga!R430)</f>
        <v/>
      </c>
      <c r="E429">
        <f>IF(A429="","",BD_Carga!Q430)</f>
        <v/>
      </c>
      <c r="F429" s="5">
        <f>IF(A429="","",BD_Carga!L430)</f>
        <v/>
      </c>
      <c r="G429">
        <f>IF(A429="","",BD_Carga!N430)</f>
        <v/>
      </c>
      <c r="H429">
        <f>IF(A429="","",BD_Carga!O430)</f>
        <v/>
      </c>
      <c r="I429">
        <f>IF(A429="","",BD_Carga!P430)</f>
        <v/>
      </c>
      <c r="J429">
        <f>IF(A429="","",_xlfn.MAXIFS(BD_Carga!$L:$L,BD_Carga!$C:$C,A429))</f>
        <v/>
      </c>
      <c r="K429" s="11">
        <f>IF(OR(A429="",J429=0),"",F429/J429)</f>
        <v/>
      </c>
      <c r="L429">
        <f>IF(A429="","",BD_Carga!E430)</f>
        <v/>
      </c>
    </row>
    <row r="430">
      <c r="A430">
        <f>IF(BD_Carga!C431="","",BD_Carga!C431)</f>
        <v/>
      </c>
      <c r="B430">
        <f>IF(A430="","",BD_Carga!D431)</f>
        <v/>
      </c>
      <c r="C430" s="2">
        <f>IF(A430="","",BD_Carga!A431)</f>
        <v/>
      </c>
      <c r="D430">
        <f>IF(A430="","",BD_Carga!R431)</f>
        <v/>
      </c>
      <c r="E430">
        <f>IF(A430="","",BD_Carga!Q431)</f>
        <v/>
      </c>
      <c r="F430" s="5">
        <f>IF(A430="","",BD_Carga!L431)</f>
        <v/>
      </c>
      <c r="G430">
        <f>IF(A430="","",BD_Carga!N431)</f>
        <v/>
      </c>
      <c r="H430">
        <f>IF(A430="","",BD_Carga!O431)</f>
        <v/>
      </c>
      <c r="I430">
        <f>IF(A430="","",BD_Carga!P431)</f>
        <v/>
      </c>
      <c r="J430">
        <f>IF(A430="","",_xlfn.MAXIFS(BD_Carga!$L:$L,BD_Carga!$C:$C,A430))</f>
        <v/>
      </c>
      <c r="K430" s="11">
        <f>IF(OR(A430="",J430=0),"",F430/J430)</f>
        <v/>
      </c>
      <c r="L430">
        <f>IF(A430="","",BD_Carga!E431)</f>
        <v/>
      </c>
    </row>
    <row r="431">
      <c r="A431">
        <f>IF(BD_Carga!C432="","",BD_Carga!C432)</f>
        <v/>
      </c>
      <c r="B431">
        <f>IF(A431="","",BD_Carga!D432)</f>
        <v/>
      </c>
      <c r="C431" s="2">
        <f>IF(A431="","",BD_Carga!A432)</f>
        <v/>
      </c>
      <c r="D431">
        <f>IF(A431="","",BD_Carga!R432)</f>
        <v/>
      </c>
      <c r="E431">
        <f>IF(A431="","",BD_Carga!Q432)</f>
        <v/>
      </c>
      <c r="F431" s="5">
        <f>IF(A431="","",BD_Carga!L432)</f>
        <v/>
      </c>
      <c r="G431">
        <f>IF(A431="","",BD_Carga!N432)</f>
        <v/>
      </c>
      <c r="H431">
        <f>IF(A431="","",BD_Carga!O432)</f>
        <v/>
      </c>
      <c r="I431">
        <f>IF(A431="","",BD_Carga!P432)</f>
        <v/>
      </c>
      <c r="J431">
        <f>IF(A431="","",_xlfn.MAXIFS(BD_Carga!$L:$L,BD_Carga!$C:$C,A431))</f>
        <v/>
      </c>
      <c r="K431" s="11">
        <f>IF(OR(A431="",J431=0),"",F431/J431)</f>
        <v/>
      </c>
      <c r="L431">
        <f>IF(A431="","",BD_Carga!E432)</f>
        <v/>
      </c>
    </row>
    <row r="432">
      <c r="A432">
        <f>IF(BD_Carga!C433="","",BD_Carga!C433)</f>
        <v/>
      </c>
      <c r="B432">
        <f>IF(A432="","",BD_Carga!D433)</f>
        <v/>
      </c>
      <c r="C432" s="2">
        <f>IF(A432="","",BD_Carga!A433)</f>
        <v/>
      </c>
      <c r="D432">
        <f>IF(A432="","",BD_Carga!R433)</f>
        <v/>
      </c>
      <c r="E432">
        <f>IF(A432="","",BD_Carga!Q433)</f>
        <v/>
      </c>
      <c r="F432" s="5">
        <f>IF(A432="","",BD_Carga!L433)</f>
        <v/>
      </c>
      <c r="G432">
        <f>IF(A432="","",BD_Carga!N433)</f>
        <v/>
      </c>
      <c r="H432">
        <f>IF(A432="","",BD_Carga!O433)</f>
        <v/>
      </c>
      <c r="I432">
        <f>IF(A432="","",BD_Carga!P433)</f>
        <v/>
      </c>
      <c r="J432">
        <f>IF(A432="","",_xlfn.MAXIFS(BD_Carga!$L:$L,BD_Carga!$C:$C,A432))</f>
        <v/>
      </c>
      <c r="K432" s="11">
        <f>IF(OR(A432="",J432=0),"",F432/J432)</f>
        <v/>
      </c>
      <c r="L432">
        <f>IF(A432="","",BD_Carga!E433)</f>
        <v/>
      </c>
    </row>
    <row r="433">
      <c r="A433">
        <f>IF(BD_Carga!C434="","",BD_Carga!C434)</f>
        <v/>
      </c>
      <c r="B433">
        <f>IF(A433="","",BD_Carga!D434)</f>
        <v/>
      </c>
      <c r="C433" s="2">
        <f>IF(A433="","",BD_Carga!A434)</f>
        <v/>
      </c>
      <c r="D433">
        <f>IF(A433="","",BD_Carga!R434)</f>
        <v/>
      </c>
      <c r="E433">
        <f>IF(A433="","",BD_Carga!Q434)</f>
        <v/>
      </c>
      <c r="F433" s="5">
        <f>IF(A433="","",BD_Carga!L434)</f>
        <v/>
      </c>
      <c r="G433">
        <f>IF(A433="","",BD_Carga!N434)</f>
        <v/>
      </c>
      <c r="H433">
        <f>IF(A433="","",BD_Carga!O434)</f>
        <v/>
      </c>
      <c r="I433">
        <f>IF(A433="","",BD_Carga!P434)</f>
        <v/>
      </c>
      <c r="J433">
        <f>IF(A433="","",_xlfn.MAXIFS(BD_Carga!$L:$L,BD_Carga!$C:$C,A433))</f>
        <v/>
      </c>
      <c r="K433" s="11">
        <f>IF(OR(A433="",J433=0),"",F433/J433)</f>
        <v/>
      </c>
      <c r="L433">
        <f>IF(A433="","",BD_Carga!E434)</f>
        <v/>
      </c>
    </row>
    <row r="434">
      <c r="A434">
        <f>IF(BD_Carga!C435="","",BD_Carga!C435)</f>
        <v/>
      </c>
      <c r="B434">
        <f>IF(A434="","",BD_Carga!D435)</f>
        <v/>
      </c>
      <c r="C434" s="2">
        <f>IF(A434="","",BD_Carga!A435)</f>
        <v/>
      </c>
      <c r="D434">
        <f>IF(A434="","",BD_Carga!R435)</f>
        <v/>
      </c>
      <c r="E434">
        <f>IF(A434="","",BD_Carga!Q435)</f>
        <v/>
      </c>
      <c r="F434" s="5">
        <f>IF(A434="","",BD_Carga!L435)</f>
        <v/>
      </c>
      <c r="G434">
        <f>IF(A434="","",BD_Carga!N435)</f>
        <v/>
      </c>
      <c r="H434">
        <f>IF(A434="","",BD_Carga!O435)</f>
        <v/>
      </c>
      <c r="I434">
        <f>IF(A434="","",BD_Carga!P435)</f>
        <v/>
      </c>
      <c r="J434">
        <f>IF(A434="","",_xlfn.MAXIFS(BD_Carga!$L:$L,BD_Carga!$C:$C,A434))</f>
        <v/>
      </c>
      <c r="K434" s="11">
        <f>IF(OR(A434="",J434=0),"",F434/J434)</f>
        <v/>
      </c>
      <c r="L434">
        <f>IF(A434="","",BD_Carga!E435)</f>
        <v/>
      </c>
    </row>
    <row r="435">
      <c r="A435">
        <f>IF(BD_Carga!C436="","",BD_Carga!C436)</f>
        <v/>
      </c>
      <c r="B435">
        <f>IF(A435="","",BD_Carga!D436)</f>
        <v/>
      </c>
      <c r="C435" s="2">
        <f>IF(A435="","",BD_Carga!A436)</f>
        <v/>
      </c>
      <c r="D435">
        <f>IF(A435="","",BD_Carga!R436)</f>
        <v/>
      </c>
      <c r="E435">
        <f>IF(A435="","",BD_Carga!Q436)</f>
        <v/>
      </c>
      <c r="F435" s="5">
        <f>IF(A435="","",BD_Carga!L436)</f>
        <v/>
      </c>
      <c r="G435">
        <f>IF(A435="","",BD_Carga!N436)</f>
        <v/>
      </c>
      <c r="H435">
        <f>IF(A435="","",BD_Carga!O436)</f>
        <v/>
      </c>
      <c r="I435">
        <f>IF(A435="","",BD_Carga!P436)</f>
        <v/>
      </c>
      <c r="J435">
        <f>IF(A435="","",_xlfn.MAXIFS(BD_Carga!$L:$L,BD_Carga!$C:$C,A435))</f>
        <v/>
      </c>
      <c r="K435" s="11">
        <f>IF(OR(A435="",J435=0),"",F435/J435)</f>
        <v/>
      </c>
      <c r="L435">
        <f>IF(A435="","",BD_Carga!E436)</f>
        <v/>
      </c>
    </row>
    <row r="436">
      <c r="A436">
        <f>IF(BD_Carga!C437="","",BD_Carga!C437)</f>
        <v/>
      </c>
      <c r="B436">
        <f>IF(A436="","",BD_Carga!D437)</f>
        <v/>
      </c>
      <c r="C436" s="2">
        <f>IF(A436="","",BD_Carga!A437)</f>
        <v/>
      </c>
      <c r="D436">
        <f>IF(A436="","",BD_Carga!R437)</f>
        <v/>
      </c>
      <c r="E436">
        <f>IF(A436="","",BD_Carga!Q437)</f>
        <v/>
      </c>
      <c r="F436" s="5">
        <f>IF(A436="","",BD_Carga!L437)</f>
        <v/>
      </c>
      <c r="G436">
        <f>IF(A436="","",BD_Carga!N437)</f>
        <v/>
      </c>
      <c r="H436">
        <f>IF(A436="","",BD_Carga!O437)</f>
        <v/>
      </c>
      <c r="I436">
        <f>IF(A436="","",BD_Carga!P437)</f>
        <v/>
      </c>
      <c r="J436">
        <f>IF(A436="","",_xlfn.MAXIFS(BD_Carga!$L:$L,BD_Carga!$C:$C,A436))</f>
        <v/>
      </c>
      <c r="K436" s="11">
        <f>IF(OR(A436="",J436=0),"",F436/J436)</f>
        <v/>
      </c>
      <c r="L436">
        <f>IF(A436="","",BD_Carga!E437)</f>
        <v/>
      </c>
    </row>
    <row r="437">
      <c r="A437">
        <f>IF(BD_Carga!C438="","",BD_Carga!C438)</f>
        <v/>
      </c>
      <c r="B437">
        <f>IF(A437="","",BD_Carga!D438)</f>
        <v/>
      </c>
      <c r="C437" s="2">
        <f>IF(A437="","",BD_Carga!A438)</f>
        <v/>
      </c>
      <c r="D437">
        <f>IF(A437="","",BD_Carga!R438)</f>
        <v/>
      </c>
      <c r="E437">
        <f>IF(A437="","",BD_Carga!Q438)</f>
        <v/>
      </c>
      <c r="F437" s="5">
        <f>IF(A437="","",BD_Carga!L438)</f>
        <v/>
      </c>
      <c r="G437">
        <f>IF(A437="","",BD_Carga!N438)</f>
        <v/>
      </c>
      <c r="H437">
        <f>IF(A437="","",BD_Carga!O438)</f>
        <v/>
      </c>
      <c r="I437">
        <f>IF(A437="","",BD_Carga!P438)</f>
        <v/>
      </c>
      <c r="J437">
        <f>IF(A437="","",_xlfn.MAXIFS(BD_Carga!$L:$L,BD_Carga!$C:$C,A437))</f>
        <v/>
      </c>
      <c r="K437" s="11">
        <f>IF(OR(A437="",J437=0),"",F437/J437)</f>
        <v/>
      </c>
      <c r="L437">
        <f>IF(A437="","",BD_Carga!E438)</f>
        <v/>
      </c>
    </row>
    <row r="438">
      <c r="A438">
        <f>IF(BD_Carga!C439="","",BD_Carga!C439)</f>
        <v/>
      </c>
      <c r="B438">
        <f>IF(A438="","",BD_Carga!D439)</f>
        <v/>
      </c>
      <c r="C438" s="2">
        <f>IF(A438="","",BD_Carga!A439)</f>
        <v/>
      </c>
      <c r="D438">
        <f>IF(A438="","",BD_Carga!R439)</f>
        <v/>
      </c>
      <c r="E438">
        <f>IF(A438="","",BD_Carga!Q439)</f>
        <v/>
      </c>
      <c r="F438" s="5">
        <f>IF(A438="","",BD_Carga!L439)</f>
        <v/>
      </c>
      <c r="G438">
        <f>IF(A438="","",BD_Carga!N439)</f>
        <v/>
      </c>
      <c r="H438">
        <f>IF(A438="","",BD_Carga!O439)</f>
        <v/>
      </c>
      <c r="I438">
        <f>IF(A438="","",BD_Carga!P439)</f>
        <v/>
      </c>
      <c r="J438">
        <f>IF(A438="","",_xlfn.MAXIFS(BD_Carga!$L:$L,BD_Carga!$C:$C,A438))</f>
        <v/>
      </c>
      <c r="K438" s="11">
        <f>IF(OR(A438="",J438=0),"",F438/J438)</f>
        <v/>
      </c>
      <c r="L438">
        <f>IF(A438="","",BD_Carga!E439)</f>
        <v/>
      </c>
    </row>
    <row r="439">
      <c r="A439">
        <f>IF(BD_Carga!C440="","",BD_Carga!C440)</f>
        <v/>
      </c>
      <c r="B439">
        <f>IF(A439="","",BD_Carga!D440)</f>
        <v/>
      </c>
      <c r="C439" s="2">
        <f>IF(A439="","",BD_Carga!A440)</f>
        <v/>
      </c>
      <c r="D439">
        <f>IF(A439="","",BD_Carga!R440)</f>
        <v/>
      </c>
      <c r="E439">
        <f>IF(A439="","",BD_Carga!Q440)</f>
        <v/>
      </c>
      <c r="F439" s="5">
        <f>IF(A439="","",BD_Carga!L440)</f>
        <v/>
      </c>
      <c r="G439">
        <f>IF(A439="","",BD_Carga!N440)</f>
        <v/>
      </c>
      <c r="H439">
        <f>IF(A439="","",BD_Carga!O440)</f>
        <v/>
      </c>
      <c r="I439">
        <f>IF(A439="","",BD_Carga!P440)</f>
        <v/>
      </c>
      <c r="J439">
        <f>IF(A439="","",_xlfn.MAXIFS(BD_Carga!$L:$L,BD_Carga!$C:$C,A439))</f>
        <v/>
      </c>
      <c r="K439" s="11">
        <f>IF(OR(A439="",J439=0),"",F439/J439)</f>
        <v/>
      </c>
      <c r="L439">
        <f>IF(A439="","",BD_Carga!E440)</f>
        <v/>
      </c>
    </row>
    <row r="440">
      <c r="A440">
        <f>IF(BD_Carga!C441="","",BD_Carga!C441)</f>
        <v/>
      </c>
      <c r="B440">
        <f>IF(A440="","",BD_Carga!D441)</f>
        <v/>
      </c>
      <c r="C440" s="2">
        <f>IF(A440="","",BD_Carga!A441)</f>
        <v/>
      </c>
      <c r="D440">
        <f>IF(A440="","",BD_Carga!R441)</f>
        <v/>
      </c>
      <c r="E440">
        <f>IF(A440="","",BD_Carga!Q441)</f>
        <v/>
      </c>
      <c r="F440" s="5">
        <f>IF(A440="","",BD_Carga!L441)</f>
        <v/>
      </c>
      <c r="G440">
        <f>IF(A440="","",BD_Carga!N441)</f>
        <v/>
      </c>
      <c r="H440">
        <f>IF(A440="","",BD_Carga!O441)</f>
        <v/>
      </c>
      <c r="I440">
        <f>IF(A440="","",BD_Carga!P441)</f>
        <v/>
      </c>
      <c r="J440">
        <f>IF(A440="","",_xlfn.MAXIFS(BD_Carga!$L:$L,BD_Carga!$C:$C,A440))</f>
        <v/>
      </c>
      <c r="K440" s="11">
        <f>IF(OR(A440="",J440=0),"",F440/J440)</f>
        <v/>
      </c>
      <c r="L440">
        <f>IF(A440="","",BD_Carga!E441)</f>
        <v/>
      </c>
    </row>
    <row r="441">
      <c r="A441">
        <f>IF(BD_Carga!C442="","",BD_Carga!C442)</f>
        <v/>
      </c>
      <c r="B441">
        <f>IF(A441="","",BD_Carga!D442)</f>
        <v/>
      </c>
      <c r="C441" s="2">
        <f>IF(A441="","",BD_Carga!A442)</f>
        <v/>
      </c>
      <c r="D441">
        <f>IF(A441="","",BD_Carga!R442)</f>
        <v/>
      </c>
      <c r="E441">
        <f>IF(A441="","",BD_Carga!Q442)</f>
        <v/>
      </c>
      <c r="F441" s="5">
        <f>IF(A441="","",BD_Carga!L442)</f>
        <v/>
      </c>
      <c r="G441">
        <f>IF(A441="","",BD_Carga!N442)</f>
        <v/>
      </c>
      <c r="H441">
        <f>IF(A441="","",BD_Carga!O442)</f>
        <v/>
      </c>
      <c r="I441">
        <f>IF(A441="","",BD_Carga!P442)</f>
        <v/>
      </c>
      <c r="J441">
        <f>IF(A441="","",_xlfn.MAXIFS(BD_Carga!$L:$L,BD_Carga!$C:$C,A441))</f>
        <v/>
      </c>
      <c r="K441" s="11">
        <f>IF(OR(A441="",J441=0),"",F441/J441)</f>
        <v/>
      </c>
      <c r="L441">
        <f>IF(A441="","",BD_Carga!E442)</f>
        <v/>
      </c>
    </row>
    <row r="442">
      <c r="A442">
        <f>IF(BD_Carga!C443="","",BD_Carga!C443)</f>
        <v/>
      </c>
      <c r="B442">
        <f>IF(A442="","",BD_Carga!D443)</f>
        <v/>
      </c>
      <c r="C442" s="2">
        <f>IF(A442="","",BD_Carga!A443)</f>
        <v/>
      </c>
      <c r="D442">
        <f>IF(A442="","",BD_Carga!R443)</f>
        <v/>
      </c>
      <c r="E442">
        <f>IF(A442="","",BD_Carga!Q443)</f>
        <v/>
      </c>
      <c r="F442" s="5">
        <f>IF(A442="","",BD_Carga!L443)</f>
        <v/>
      </c>
      <c r="G442">
        <f>IF(A442="","",BD_Carga!N443)</f>
        <v/>
      </c>
      <c r="H442">
        <f>IF(A442="","",BD_Carga!O443)</f>
        <v/>
      </c>
      <c r="I442">
        <f>IF(A442="","",BD_Carga!P443)</f>
        <v/>
      </c>
      <c r="J442">
        <f>IF(A442="","",_xlfn.MAXIFS(BD_Carga!$L:$L,BD_Carga!$C:$C,A442))</f>
        <v/>
      </c>
      <c r="K442" s="11">
        <f>IF(OR(A442="",J442=0),"",F442/J442)</f>
        <v/>
      </c>
      <c r="L442">
        <f>IF(A442="","",BD_Carga!E443)</f>
        <v/>
      </c>
    </row>
    <row r="443">
      <c r="A443">
        <f>IF(BD_Carga!C444="","",BD_Carga!C444)</f>
        <v/>
      </c>
      <c r="B443">
        <f>IF(A443="","",BD_Carga!D444)</f>
        <v/>
      </c>
      <c r="C443" s="2">
        <f>IF(A443="","",BD_Carga!A444)</f>
        <v/>
      </c>
      <c r="D443">
        <f>IF(A443="","",BD_Carga!R444)</f>
        <v/>
      </c>
      <c r="E443">
        <f>IF(A443="","",BD_Carga!Q444)</f>
        <v/>
      </c>
      <c r="F443" s="5">
        <f>IF(A443="","",BD_Carga!L444)</f>
        <v/>
      </c>
      <c r="G443">
        <f>IF(A443="","",BD_Carga!N444)</f>
        <v/>
      </c>
      <c r="H443">
        <f>IF(A443="","",BD_Carga!O444)</f>
        <v/>
      </c>
      <c r="I443">
        <f>IF(A443="","",BD_Carga!P444)</f>
        <v/>
      </c>
      <c r="J443">
        <f>IF(A443="","",_xlfn.MAXIFS(BD_Carga!$L:$L,BD_Carga!$C:$C,A443))</f>
        <v/>
      </c>
      <c r="K443" s="11">
        <f>IF(OR(A443="",J443=0),"",F443/J443)</f>
        <v/>
      </c>
      <c r="L443">
        <f>IF(A443="","",BD_Carga!E444)</f>
        <v/>
      </c>
    </row>
    <row r="444">
      <c r="A444">
        <f>IF(BD_Carga!C445="","",BD_Carga!C445)</f>
        <v/>
      </c>
      <c r="B444">
        <f>IF(A444="","",BD_Carga!D445)</f>
        <v/>
      </c>
      <c r="C444" s="2">
        <f>IF(A444="","",BD_Carga!A445)</f>
        <v/>
      </c>
      <c r="D444">
        <f>IF(A444="","",BD_Carga!R445)</f>
        <v/>
      </c>
      <c r="E444">
        <f>IF(A444="","",BD_Carga!Q445)</f>
        <v/>
      </c>
      <c r="F444" s="5">
        <f>IF(A444="","",BD_Carga!L445)</f>
        <v/>
      </c>
      <c r="G444">
        <f>IF(A444="","",BD_Carga!N445)</f>
        <v/>
      </c>
      <c r="H444">
        <f>IF(A444="","",BD_Carga!O445)</f>
        <v/>
      </c>
      <c r="I444">
        <f>IF(A444="","",BD_Carga!P445)</f>
        <v/>
      </c>
      <c r="J444">
        <f>IF(A444="","",_xlfn.MAXIFS(BD_Carga!$L:$L,BD_Carga!$C:$C,A444))</f>
        <v/>
      </c>
      <c r="K444" s="11">
        <f>IF(OR(A444="",J444=0),"",F444/J444)</f>
        <v/>
      </c>
      <c r="L444">
        <f>IF(A444="","",BD_Carga!E445)</f>
        <v/>
      </c>
    </row>
    <row r="445">
      <c r="A445">
        <f>IF(BD_Carga!C446="","",BD_Carga!C446)</f>
        <v/>
      </c>
      <c r="B445">
        <f>IF(A445="","",BD_Carga!D446)</f>
        <v/>
      </c>
      <c r="C445" s="2">
        <f>IF(A445="","",BD_Carga!A446)</f>
        <v/>
      </c>
      <c r="D445">
        <f>IF(A445="","",BD_Carga!R446)</f>
        <v/>
      </c>
      <c r="E445">
        <f>IF(A445="","",BD_Carga!Q446)</f>
        <v/>
      </c>
      <c r="F445" s="5">
        <f>IF(A445="","",BD_Carga!L446)</f>
        <v/>
      </c>
      <c r="G445">
        <f>IF(A445="","",BD_Carga!N446)</f>
        <v/>
      </c>
      <c r="H445">
        <f>IF(A445="","",BD_Carga!O446)</f>
        <v/>
      </c>
      <c r="I445">
        <f>IF(A445="","",BD_Carga!P446)</f>
        <v/>
      </c>
      <c r="J445">
        <f>IF(A445="","",_xlfn.MAXIFS(BD_Carga!$L:$L,BD_Carga!$C:$C,A445))</f>
        <v/>
      </c>
      <c r="K445" s="11">
        <f>IF(OR(A445="",J445=0),"",F445/J445)</f>
        <v/>
      </c>
      <c r="L445">
        <f>IF(A445="","",BD_Carga!E446)</f>
        <v/>
      </c>
    </row>
    <row r="446">
      <c r="A446">
        <f>IF(BD_Carga!C447="","",BD_Carga!C447)</f>
        <v/>
      </c>
      <c r="B446">
        <f>IF(A446="","",BD_Carga!D447)</f>
        <v/>
      </c>
      <c r="C446" s="2">
        <f>IF(A446="","",BD_Carga!A447)</f>
        <v/>
      </c>
      <c r="D446">
        <f>IF(A446="","",BD_Carga!R447)</f>
        <v/>
      </c>
      <c r="E446">
        <f>IF(A446="","",BD_Carga!Q447)</f>
        <v/>
      </c>
      <c r="F446" s="5">
        <f>IF(A446="","",BD_Carga!L447)</f>
        <v/>
      </c>
      <c r="G446">
        <f>IF(A446="","",BD_Carga!N447)</f>
        <v/>
      </c>
      <c r="H446">
        <f>IF(A446="","",BD_Carga!O447)</f>
        <v/>
      </c>
      <c r="I446">
        <f>IF(A446="","",BD_Carga!P447)</f>
        <v/>
      </c>
      <c r="J446">
        <f>IF(A446="","",_xlfn.MAXIFS(BD_Carga!$L:$L,BD_Carga!$C:$C,A446))</f>
        <v/>
      </c>
      <c r="K446" s="11">
        <f>IF(OR(A446="",J446=0),"",F446/J446)</f>
        <v/>
      </c>
      <c r="L446">
        <f>IF(A446="","",BD_Carga!E447)</f>
        <v/>
      </c>
    </row>
    <row r="447">
      <c r="A447">
        <f>IF(BD_Carga!C448="","",BD_Carga!C448)</f>
        <v/>
      </c>
      <c r="B447">
        <f>IF(A447="","",BD_Carga!D448)</f>
        <v/>
      </c>
      <c r="C447" s="2">
        <f>IF(A447="","",BD_Carga!A448)</f>
        <v/>
      </c>
      <c r="D447">
        <f>IF(A447="","",BD_Carga!R448)</f>
        <v/>
      </c>
      <c r="E447">
        <f>IF(A447="","",BD_Carga!Q448)</f>
        <v/>
      </c>
      <c r="F447" s="5">
        <f>IF(A447="","",BD_Carga!L448)</f>
        <v/>
      </c>
      <c r="G447">
        <f>IF(A447="","",BD_Carga!N448)</f>
        <v/>
      </c>
      <c r="H447">
        <f>IF(A447="","",BD_Carga!O448)</f>
        <v/>
      </c>
      <c r="I447">
        <f>IF(A447="","",BD_Carga!P448)</f>
        <v/>
      </c>
      <c r="J447">
        <f>IF(A447="","",_xlfn.MAXIFS(BD_Carga!$L:$L,BD_Carga!$C:$C,A447))</f>
        <v/>
      </c>
      <c r="K447" s="11">
        <f>IF(OR(A447="",J447=0),"",F447/J447)</f>
        <v/>
      </c>
      <c r="L447">
        <f>IF(A447="","",BD_Carga!E448)</f>
        <v/>
      </c>
    </row>
    <row r="448">
      <c r="A448">
        <f>IF(BD_Carga!C449="","",BD_Carga!C449)</f>
        <v/>
      </c>
      <c r="B448">
        <f>IF(A448="","",BD_Carga!D449)</f>
        <v/>
      </c>
      <c r="C448" s="2">
        <f>IF(A448="","",BD_Carga!A449)</f>
        <v/>
      </c>
      <c r="D448">
        <f>IF(A448="","",BD_Carga!R449)</f>
        <v/>
      </c>
      <c r="E448">
        <f>IF(A448="","",BD_Carga!Q449)</f>
        <v/>
      </c>
      <c r="F448" s="5">
        <f>IF(A448="","",BD_Carga!L449)</f>
        <v/>
      </c>
      <c r="G448">
        <f>IF(A448="","",BD_Carga!N449)</f>
        <v/>
      </c>
      <c r="H448">
        <f>IF(A448="","",BD_Carga!O449)</f>
        <v/>
      </c>
      <c r="I448">
        <f>IF(A448="","",BD_Carga!P449)</f>
        <v/>
      </c>
      <c r="J448">
        <f>IF(A448="","",_xlfn.MAXIFS(BD_Carga!$L:$L,BD_Carga!$C:$C,A448))</f>
        <v/>
      </c>
      <c r="K448" s="11">
        <f>IF(OR(A448="",J448=0),"",F448/J448)</f>
        <v/>
      </c>
      <c r="L448">
        <f>IF(A448="","",BD_Carga!E449)</f>
        <v/>
      </c>
    </row>
    <row r="449">
      <c r="A449">
        <f>IF(BD_Carga!C450="","",BD_Carga!C450)</f>
        <v/>
      </c>
      <c r="B449">
        <f>IF(A449="","",BD_Carga!D450)</f>
        <v/>
      </c>
      <c r="C449" s="2">
        <f>IF(A449="","",BD_Carga!A450)</f>
        <v/>
      </c>
      <c r="D449">
        <f>IF(A449="","",BD_Carga!R450)</f>
        <v/>
      </c>
      <c r="E449">
        <f>IF(A449="","",BD_Carga!Q450)</f>
        <v/>
      </c>
      <c r="F449" s="5">
        <f>IF(A449="","",BD_Carga!L450)</f>
        <v/>
      </c>
      <c r="G449">
        <f>IF(A449="","",BD_Carga!N450)</f>
        <v/>
      </c>
      <c r="H449">
        <f>IF(A449="","",BD_Carga!O450)</f>
        <v/>
      </c>
      <c r="I449">
        <f>IF(A449="","",BD_Carga!P450)</f>
        <v/>
      </c>
      <c r="J449">
        <f>IF(A449="","",_xlfn.MAXIFS(BD_Carga!$L:$L,BD_Carga!$C:$C,A449))</f>
        <v/>
      </c>
      <c r="K449" s="11">
        <f>IF(OR(A449="",J449=0),"",F449/J449)</f>
        <v/>
      </c>
      <c r="L449">
        <f>IF(A449="","",BD_Carga!E450)</f>
        <v/>
      </c>
    </row>
    <row r="450">
      <c r="A450">
        <f>IF(BD_Carga!C451="","",BD_Carga!C451)</f>
        <v/>
      </c>
      <c r="B450">
        <f>IF(A450="","",BD_Carga!D451)</f>
        <v/>
      </c>
      <c r="C450" s="2">
        <f>IF(A450="","",BD_Carga!A451)</f>
        <v/>
      </c>
      <c r="D450">
        <f>IF(A450="","",BD_Carga!R451)</f>
        <v/>
      </c>
      <c r="E450">
        <f>IF(A450="","",BD_Carga!Q451)</f>
        <v/>
      </c>
      <c r="F450" s="5">
        <f>IF(A450="","",BD_Carga!L451)</f>
        <v/>
      </c>
      <c r="G450">
        <f>IF(A450="","",BD_Carga!N451)</f>
        <v/>
      </c>
      <c r="H450">
        <f>IF(A450="","",BD_Carga!O451)</f>
        <v/>
      </c>
      <c r="I450">
        <f>IF(A450="","",BD_Carga!P451)</f>
        <v/>
      </c>
      <c r="J450">
        <f>IF(A450="","",_xlfn.MAXIFS(BD_Carga!$L:$L,BD_Carga!$C:$C,A450))</f>
        <v/>
      </c>
      <c r="K450" s="11">
        <f>IF(OR(A450="",J450=0),"",F450/J450)</f>
        <v/>
      </c>
      <c r="L450">
        <f>IF(A450="","",BD_Carga!E451)</f>
        <v/>
      </c>
    </row>
    <row r="451">
      <c r="A451">
        <f>IF(BD_Carga!C452="","",BD_Carga!C452)</f>
        <v/>
      </c>
      <c r="B451">
        <f>IF(A451="","",BD_Carga!D452)</f>
        <v/>
      </c>
      <c r="C451" s="2">
        <f>IF(A451="","",BD_Carga!A452)</f>
        <v/>
      </c>
      <c r="D451">
        <f>IF(A451="","",BD_Carga!R452)</f>
        <v/>
      </c>
      <c r="E451">
        <f>IF(A451="","",BD_Carga!Q452)</f>
        <v/>
      </c>
      <c r="F451" s="5">
        <f>IF(A451="","",BD_Carga!L452)</f>
        <v/>
      </c>
      <c r="G451">
        <f>IF(A451="","",BD_Carga!N452)</f>
        <v/>
      </c>
      <c r="H451">
        <f>IF(A451="","",BD_Carga!O452)</f>
        <v/>
      </c>
      <c r="I451">
        <f>IF(A451="","",BD_Carga!P452)</f>
        <v/>
      </c>
      <c r="J451">
        <f>IF(A451="","",_xlfn.MAXIFS(BD_Carga!$L:$L,BD_Carga!$C:$C,A451))</f>
        <v/>
      </c>
      <c r="K451" s="11">
        <f>IF(OR(A451="",J451=0),"",F451/J451)</f>
        <v/>
      </c>
      <c r="L451">
        <f>IF(A451="","",BD_Carga!E452)</f>
        <v/>
      </c>
    </row>
    <row r="452">
      <c r="A452">
        <f>IF(BD_Carga!C453="","",BD_Carga!C453)</f>
        <v/>
      </c>
      <c r="B452">
        <f>IF(A452="","",BD_Carga!D453)</f>
        <v/>
      </c>
      <c r="C452" s="2">
        <f>IF(A452="","",BD_Carga!A453)</f>
        <v/>
      </c>
      <c r="D452">
        <f>IF(A452="","",BD_Carga!R453)</f>
        <v/>
      </c>
      <c r="E452">
        <f>IF(A452="","",BD_Carga!Q453)</f>
        <v/>
      </c>
      <c r="F452" s="5">
        <f>IF(A452="","",BD_Carga!L453)</f>
        <v/>
      </c>
      <c r="G452">
        <f>IF(A452="","",BD_Carga!N453)</f>
        <v/>
      </c>
      <c r="H452">
        <f>IF(A452="","",BD_Carga!O453)</f>
        <v/>
      </c>
      <c r="I452">
        <f>IF(A452="","",BD_Carga!P453)</f>
        <v/>
      </c>
      <c r="J452">
        <f>IF(A452="","",_xlfn.MAXIFS(BD_Carga!$L:$L,BD_Carga!$C:$C,A452))</f>
        <v/>
      </c>
      <c r="K452" s="11">
        <f>IF(OR(A452="",J452=0),"",F452/J452)</f>
        <v/>
      </c>
      <c r="L452">
        <f>IF(A452="","",BD_Carga!E453)</f>
        <v/>
      </c>
    </row>
    <row r="453">
      <c r="A453">
        <f>IF(BD_Carga!C454="","",BD_Carga!C454)</f>
        <v/>
      </c>
      <c r="B453">
        <f>IF(A453="","",BD_Carga!D454)</f>
        <v/>
      </c>
      <c r="C453" s="2">
        <f>IF(A453="","",BD_Carga!A454)</f>
        <v/>
      </c>
      <c r="D453">
        <f>IF(A453="","",BD_Carga!R454)</f>
        <v/>
      </c>
      <c r="E453">
        <f>IF(A453="","",BD_Carga!Q454)</f>
        <v/>
      </c>
      <c r="F453" s="5">
        <f>IF(A453="","",BD_Carga!L454)</f>
        <v/>
      </c>
      <c r="G453">
        <f>IF(A453="","",BD_Carga!N454)</f>
        <v/>
      </c>
      <c r="H453">
        <f>IF(A453="","",BD_Carga!O454)</f>
        <v/>
      </c>
      <c r="I453">
        <f>IF(A453="","",BD_Carga!P454)</f>
        <v/>
      </c>
      <c r="J453">
        <f>IF(A453="","",_xlfn.MAXIFS(BD_Carga!$L:$L,BD_Carga!$C:$C,A453))</f>
        <v/>
      </c>
      <c r="K453" s="11">
        <f>IF(OR(A453="",J453=0),"",F453/J453)</f>
        <v/>
      </c>
      <c r="L453">
        <f>IF(A453="","",BD_Carga!E454)</f>
        <v/>
      </c>
    </row>
    <row r="454">
      <c r="A454">
        <f>IF(BD_Carga!C455="","",BD_Carga!C455)</f>
        <v/>
      </c>
      <c r="B454">
        <f>IF(A454="","",BD_Carga!D455)</f>
        <v/>
      </c>
      <c r="C454" s="2">
        <f>IF(A454="","",BD_Carga!A455)</f>
        <v/>
      </c>
      <c r="D454">
        <f>IF(A454="","",BD_Carga!R455)</f>
        <v/>
      </c>
      <c r="E454">
        <f>IF(A454="","",BD_Carga!Q455)</f>
        <v/>
      </c>
      <c r="F454" s="5">
        <f>IF(A454="","",BD_Carga!L455)</f>
        <v/>
      </c>
      <c r="G454">
        <f>IF(A454="","",BD_Carga!N455)</f>
        <v/>
      </c>
      <c r="H454">
        <f>IF(A454="","",BD_Carga!O455)</f>
        <v/>
      </c>
      <c r="I454">
        <f>IF(A454="","",BD_Carga!P455)</f>
        <v/>
      </c>
      <c r="J454">
        <f>IF(A454="","",_xlfn.MAXIFS(BD_Carga!$L:$L,BD_Carga!$C:$C,A454))</f>
        <v/>
      </c>
      <c r="K454" s="11">
        <f>IF(OR(A454="",J454=0),"",F454/J454)</f>
        <v/>
      </c>
      <c r="L454">
        <f>IF(A454="","",BD_Carga!E455)</f>
        <v/>
      </c>
    </row>
    <row r="455">
      <c r="A455">
        <f>IF(BD_Carga!C456="","",BD_Carga!C456)</f>
        <v/>
      </c>
      <c r="B455">
        <f>IF(A455="","",BD_Carga!D456)</f>
        <v/>
      </c>
      <c r="C455" s="2">
        <f>IF(A455="","",BD_Carga!A456)</f>
        <v/>
      </c>
      <c r="D455">
        <f>IF(A455="","",BD_Carga!R456)</f>
        <v/>
      </c>
      <c r="E455">
        <f>IF(A455="","",BD_Carga!Q456)</f>
        <v/>
      </c>
      <c r="F455" s="5">
        <f>IF(A455="","",BD_Carga!L456)</f>
        <v/>
      </c>
      <c r="G455">
        <f>IF(A455="","",BD_Carga!N456)</f>
        <v/>
      </c>
      <c r="H455">
        <f>IF(A455="","",BD_Carga!O456)</f>
        <v/>
      </c>
      <c r="I455">
        <f>IF(A455="","",BD_Carga!P456)</f>
        <v/>
      </c>
      <c r="J455">
        <f>IF(A455="","",_xlfn.MAXIFS(BD_Carga!$L:$L,BD_Carga!$C:$C,A455))</f>
        <v/>
      </c>
      <c r="K455" s="11">
        <f>IF(OR(A455="",J455=0),"",F455/J455)</f>
        <v/>
      </c>
      <c r="L455">
        <f>IF(A455="","",BD_Carga!E456)</f>
        <v/>
      </c>
    </row>
    <row r="456">
      <c r="A456">
        <f>IF(BD_Carga!C457="","",BD_Carga!C457)</f>
        <v/>
      </c>
      <c r="B456">
        <f>IF(A456="","",BD_Carga!D457)</f>
        <v/>
      </c>
      <c r="C456" s="2">
        <f>IF(A456="","",BD_Carga!A457)</f>
        <v/>
      </c>
      <c r="D456">
        <f>IF(A456="","",BD_Carga!R457)</f>
        <v/>
      </c>
      <c r="E456">
        <f>IF(A456="","",BD_Carga!Q457)</f>
        <v/>
      </c>
      <c r="F456" s="5">
        <f>IF(A456="","",BD_Carga!L457)</f>
        <v/>
      </c>
      <c r="G456">
        <f>IF(A456="","",BD_Carga!N457)</f>
        <v/>
      </c>
      <c r="H456">
        <f>IF(A456="","",BD_Carga!O457)</f>
        <v/>
      </c>
      <c r="I456">
        <f>IF(A456="","",BD_Carga!P457)</f>
        <v/>
      </c>
      <c r="J456">
        <f>IF(A456="","",_xlfn.MAXIFS(BD_Carga!$L:$L,BD_Carga!$C:$C,A456))</f>
        <v/>
      </c>
      <c r="K456" s="11">
        <f>IF(OR(A456="",J456=0),"",F456/J456)</f>
        <v/>
      </c>
      <c r="L456">
        <f>IF(A456="","",BD_Carga!E457)</f>
        <v/>
      </c>
    </row>
    <row r="457">
      <c r="A457">
        <f>IF(BD_Carga!C458="","",BD_Carga!C458)</f>
        <v/>
      </c>
      <c r="B457">
        <f>IF(A457="","",BD_Carga!D458)</f>
        <v/>
      </c>
      <c r="C457" s="2">
        <f>IF(A457="","",BD_Carga!A458)</f>
        <v/>
      </c>
      <c r="D457">
        <f>IF(A457="","",BD_Carga!R458)</f>
        <v/>
      </c>
      <c r="E457">
        <f>IF(A457="","",BD_Carga!Q458)</f>
        <v/>
      </c>
      <c r="F457" s="5">
        <f>IF(A457="","",BD_Carga!L458)</f>
        <v/>
      </c>
      <c r="G457">
        <f>IF(A457="","",BD_Carga!N458)</f>
        <v/>
      </c>
      <c r="H457">
        <f>IF(A457="","",BD_Carga!O458)</f>
        <v/>
      </c>
      <c r="I457">
        <f>IF(A457="","",BD_Carga!P458)</f>
        <v/>
      </c>
      <c r="J457">
        <f>IF(A457="","",_xlfn.MAXIFS(BD_Carga!$L:$L,BD_Carga!$C:$C,A457))</f>
        <v/>
      </c>
      <c r="K457" s="11">
        <f>IF(OR(A457="",J457=0),"",F457/J457)</f>
        <v/>
      </c>
      <c r="L457">
        <f>IF(A457="","",BD_Carga!E458)</f>
        <v/>
      </c>
    </row>
    <row r="458">
      <c r="A458">
        <f>IF(BD_Carga!C459="","",BD_Carga!C459)</f>
        <v/>
      </c>
      <c r="B458">
        <f>IF(A458="","",BD_Carga!D459)</f>
        <v/>
      </c>
      <c r="C458" s="2">
        <f>IF(A458="","",BD_Carga!A459)</f>
        <v/>
      </c>
      <c r="D458">
        <f>IF(A458="","",BD_Carga!R459)</f>
        <v/>
      </c>
      <c r="E458">
        <f>IF(A458="","",BD_Carga!Q459)</f>
        <v/>
      </c>
      <c r="F458" s="5">
        <f>IF(A458="","",BD_Carga!L459)</f>
        <v/>
      </c>
      <c r="G458">
        <f>IF(A458="","",BD_Carga!N459)</f>
        <v/>
      </c>
      <c r="H458">
        <f>IF(A458="","",BD_Carga!O459)</f>
        <v/>
      </c>
      <c r="I458">
        <f>IF(A458="","",BD_Carga!P459)</f>
        <v/>
      </c>
      <c r="J458">
        <f>IF(A458="","",_xlfn.MAXIFS(BD_Carga!$L:$L,BD_Carga!$C:$C,A458))</f>
        <v/>
      </c>
      <c r="K458" s="11">
        <f>IF(OR(A458="",J458=0),"",F458/J458)</f>
        <v/>
      </c>
      <c r="L458">
        <f>IF(A458="","",BD_Carga!E459)</f>
        <v/>
      </c>
    </row>
    <row r="459">
      <c r="A459">
        <f>IF(BD_Carga!C460="","",BD_Carga!C460)</f>
        <v/>
      </c>
      <c r="B459">
        <f>IF(A459="","",BD_Carga!D460)</f>
        <v/>
      </c>
      <c r="C459" s="2">
        <f>IF(A459="","",BD_Carga!A460)</f>
        <v/>
      </c>
      <c r="D459">
        <f>IF(A459="","",BD_Carga!R460)</f>
        <v/>
      </c>
      <c r="E459">
        <f>IF(A459="","",BD_Carga!Q460)</f>
        <v/>
      </c>
      <c r="F459" s="5">
        <f>IF(A459="","",BD_Carga!L460)</f>
        <v/>
      </c>
      <c r="G459">
        <f>IF(A459="","",BD_Carga!N460)</f>
        <v/>
      </c>
      <c r="H459">
        <f>IF(A459="","",BD_Carga!O460)</f>
        <v/>
      </c>
      <c r="I459">
        <f>IF(A459="","",BD_Carga!P460)</f>
        <v/>
      </c>
      <c r="J459">
        <f>IF(A459="","",_xlfn.MAXIFS(BD_Carga!$L:$L,BD_Carga!$C:$C,A459))</f>
        <v/>
      </c>
      <c r="K459" s="11">
        <f>IF(OR(A459="",J459=0),"",F459/J459)</f>
        <v/>
      </c>
      <c r="L459">
        <f>IF(A459="","",BD_Carga!E460)</f>
        <v/>
      </c>
    </row>
    <row r="460">
      <c r="A460">
        <f>IF(BD_Carga!C461="","",BD_Carga!C461)</f>
        <v/>
      </c>
      <c r="B460">
        <f>IF(A460="","",BD_Carga!D461)</f>
        <v/>
      </c>
      <c r="C460" s="2">
        <f>IF(A460="","",BD_Carga!A461)</f>
        <v/>
      </c>
      <c r="D460">
        <f>IF(A460="","",BD_Carga!R461)</f>
        <v/>
      </c>
      <c r="E460">
        <f>IF(A460="","",BD_Carga!Q461)</f>
        <v/>
      </c>
      <c r="F460" s="5">
        <f>IF(A460="","",BD_Carga!L461)</f>
        <v/>
      </c>
      <c r="G460">
        <f>IF(A460="","",BD_Carga!N461)</f>
        <v/>
      </c>
      <c r="H460">
        <f>IF(A460="","",BD_Carga!O461)</f>
        <v/>
      </c>
      <c r="I460">
        <f>IF(A460="","",BD_Carga!P461)</f>
        <v/>
      </c>
      <c r="J460">
        <f>IF(A460="","",_xlfn.MAXIFS(BD_Carga!$L:$L,BD_Carga!$C:$C,A460))</f>
        <v/>
      </c>
      <c r="K460" s="11">
        <f>IF(OR(A460="",J460=0),"",F460/J460)</f>
        <v/>
      </c>
      <c r="L460">
        <f>IF(A460="","",BD_Carga!E461)</f>
        <v/>
      </c>
    </row>
    <row r="461">
      <c r="A461">
        <f>IF(BD_Carga!C462="","",BD_Carga!C462)</f>
        <v/>
      </c>
      <c r="B461">
        <f>IF(A461="","",BD_Carga!D462)</f>
        <v/>
      </c>
      <c r="C461" s="2">
        <f>IF(A461="","",BD_Carga!A462)</f>
        <v/>
      </c>
      <c r="D461">
        <f>IF(A461="","",BD_Carga!R462)</f>
        <v/>
      </c>
      <c r="E461">
        <f>IF(A461="","",BD_Carga!Q462)</f>
        <v/>
      </c>
      <c r="F461" s="5">
        <f>IF(A461="","",BD_Carga!L462)</f>
        <v/>
      </c>
      <c r="G461">
        <f>IF(A461="","",BD_Carga!N462)</f>
        <v/>
      </c>
      <c r="H461">
        <f>IF(A461="","",BD_Carga!O462)</f>
        <v/>
      </c>
      <c r="I461">
        <f>IF(A461="","",BD_Carga!P462)</f>
        <v/>
      </c>
      <c r="J461">
        <f>IF(A461="","",_xlfn.MAXIFS(BD_Carga!$L:$L,BD_Carga!$C:$C,A461))</f>
        <v/>
      </c>
      <c r="K461" s="11">
        <f>IF(OR(A461="",J461=0),"",F461/J461)</f>
        <v/>
      </c>
      <c r="L461">
        <f>IF(A461="","",BD_Carga!E462)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0"/>
  <sheetViews>
    <sheetView topLeftCell="A32" workbookViewId="0">
      <selection activeCell="A1" sqref="A1"/>
    </sheetView>
  </sheetViews>
  <sheetFormatPr baseColWidth="8" defaultRowHeight="15"/>
  <cols>
    <col width="13.42578125" bestFit="1" customWidth="1" min="1" max="1"/>
    <col width="10.140625" bestFit="1" customWidth="1" min="2" max="2"/>
    <col width="8" bestFit="1" customWidth="1" min="3" max="3"/>
    <col width="10.85546875" bestFit="1" customWidth="1" min="4" max="4"/>
    <col width="14.42578125" bestFit="1" customWidth="1" min="5" max="5"/>
    <col width="15.5703125" bestFit="1" customWidth="1" min="6" max="6"/>
    <col width="12.7109375" bestFit="1" customWidth="1" min="7" max="7"/>
    <col width="10.5703125" bestFit="1" customWidth="1" min="8" max="8"/>
    <col width="7" bestFit="1" customWidth="1" min="9" max="9"/>
    <col width="16.85546875" bestFit="1" customWidth="1" min="10" max="10"/>
    <col width="12.42578125" bestFit="1" customWidth="1" min="11" max="11"/>
    <col width="9.28515625" bestFit="1" customWidth="1" min="12" max="12"/>
  </cols>
  <sheetData>
    <row r="1">
      <c r="A1" s="120" t="inlineStr">
        <is>
          <t>Microciclo_Nr</t>
        </is>
      </c>
      <c r="B1" s="120" t="inlineStr">
        <is>
          <t>Jogador</t>
        </is>
      </c>
      <c r="C1" s="120" t="inlineStr">
        <is>
          <t>Posicao</t>
        </is>
      </c>
      <c r="D1" s="120" t="inlineStr">
        <is>
          <t>N_Sessoes</t>
        </is>
      </c>
      <c r="E1" s="120" t="inlineStr">
        <is>
          <t>Carga_Total_CI</t>
        </is>
      </c>
      <c r="F1" s="120" t="inlineStr">
        <is>
          <t>Media_Diaria_CI</t>
        </is>
      </c>
      <c r="G1" s="120" t="inlineStr">
        <is>
          <t>DP_Diario_CI</t>
        </is>
      </c>
      <c r="H1" s="120" t="inlineStr">
        <is>
          <t>Monotonia</t>
        </is>
      </c>
      <c r="I1" s="120" t="inlineStr">
        <is>
          <t>Strain</t>
        </is>
      </c>
      <c r="J1" s="120" t="inlineStr">
        <is>
          <t>Alerta_Monotonia</t>
        </is>
      </c>
      <c r="K1" s="120" t="inlineStr">
        <is>
          <t>Alerta_Strain</t>
        </is>
      </c>
      <c r="L1" s="120" t="inlineStr">
        <is>
          <t>Risco</t>
        </is>
      </c>
    </row>
    <row r="2">
      <c r="A2" t="n">
        <v>4</v>
      </c>
      <c r="B2" t="inlineStr">
        <is>
          <t>Artur</t>
        </is>
      </c>
      <c r="C2" t="inlineStr">
        <is>
          <t>Médio</t>
        </is>
      </c>
      <c r="D2" t="n">
        <v>5</v>
      </c>
      <c r="E2" s="589" t="n">
        <v>2893</v>
      </c>
      <c r="F2" s="589" t="n">
        <v>578.6</v>
      </c>
      <c r="G2" s="589" t="n">
        <v>207.8</v>
      </c>
      <c r="H2" s="590" t="n">
        <v>2.784</v>
      </c>
      <c r="I2" s="589" t="n">
        <v>8055.2</v>
      </c>
      <c r="J2" t="inlineStr">
        <is>
          <t>ALTO</t>
        </is>
      </c>
      <c r="K2" t="inlineStr">
        <is>
          <t>ATENCAO</t>
        </is>
      </c>
      <c r="L2" t="inlineStr">
        <is>
          <t>ALTO</t>
        </is>
      </c>
    </row>
    <row r="3">
      <c r="A3" t="n">
        <v>4</v>
      </c>
      <c r="B3" t="inlineStr">
        <is>
          <t>Capitulo</t>
        </is>
      </c>
      <c r="C3" t="inlineStr">
        <is>
          <t>Lateral</t>
        </is>
      </c>
      <c r="D3" t="n">
        <v>5</v>
      </c>
      <c r="E3" s="589" t="n">
        <v>2131</v>
      </c>
      <c r="F3" s="589" t="n">
        <v>426.2</v>
      </c>
      <c r="G3" s="589" t="n">
        <v>220.5</v>
      </c>
      <c r="H3" s="590" t="n">
        <v>1.933</v>
      </c>
      <c r="I3" s="589" t="n">
        <v>4119.7</v>
      </c>
      <c r="J3" t="inlineStr">
        <is>
          <t>ATENCAO</t>
        </is>
      </c>
      <c r="K3" t="inlineStr">
        <is>
          <t>OK</t>
        </is>
      </c>
      <c r="L3" t="inlineStr">
        <is>
          <t>ATENCAO</t>
        </is>
      </c>
    </row>
    <row r="4">
      <c r="A4" t="n">
        <v>4</v>
      </c>
      <c r="B4" t="inlineStr">
        <is>
          <t>Edu</t>
        </is>
      </c>
      <c r="C4" t="inlineStr">
        <is>
          <t>Lateral</t>
        </is>
      </c>
      <c r="D4" t="n">
        <v>5</v>
      </c>
      <c r="E4" s="589" t="n">
        <v>2039</v>
      </c>
      <c r="F4" s="589" t="n">
        <v>407.8</v>
      </c>
      <c r="G4" s="589" t="n">
        <v>198</v>
      </c>
      <c r="H4" s="590" t="n">
        <v>2.06</v>
      </c>
      <c r="I4" s="589" t="n">
        <v>4199.7</v>
      </c>
      <c r="J4" t="inlineStr">
        <is>
          <t>ALTO</t>
        </is>
      </c>
      <c r="K4" t="inlineStr">
        <is>
          <t>OK</t>
        </is>
      </c>
      <c r="L4" t="inlineStr">
        <is>
          <t>ALTO</t>
        </is>
      </c>
    </row>
    <row r="5">
      <c r="A5" t="n">
        <v>4</v>
      </c>
      <c r="B5" t="inlineStr">
        <is>
          <t>Enzo Hugo</t>
        </is>
      </c>
      <c r="C5" t="inlineStr">
        <is>
          <t>Central</t>
        </is>
      </c>
      <c r="D5" t="n">
        <v>5</v>
      </c>
      <c r="E5" s="589" t="n">
        <v>2902</v>
      </c>
      <c r="F5" s="589" t="n">
        <v>580.4</v>
      </c>
      <c r="G5" s="589" t="n">
        <v>221.5</v>
      </c>
      <c r="H5" s="590" t="n">
        <v>2.62</v>
      </c>
      <c r="I5" s="589" t="n">
        <v>7602.5</v>
      </c>
      <c r="J5" t="inlineStr">
        <is>
          <t>ALTO</t>
        </is>
      </c>
      <c r="K5" t="inlineStr">
        <is>
          <t>ATENCAO</t>
        </is>
      </c>
      <c r="L5" t="inlineStr">
        <is>
          <t>ALTO</t>
        </is>
      </c>
    </row>
    <row r="6">
      <c r="A6" t="n">
        <v>4</v>
      </c>
      <c r="B6" t="inlineStr">
        <is>
          <t>Gomes</t>
        </is>
      </c>
      <c r="C6" t="inlineStr">
        <is>
          <t>Médio</t>
        </is>
      </c>
      <c r="D6" t="n">
        <v>5</v>
      </c>
      <c r="E6" s="589" t="n">
        <v>2851</v>
      </c>
      <c r="F6" s="589" t="n">
        <v>570.2</v>
      </c>
      <c r="G6" s="589" t="n">
        <v>261.1</v>
      </c>
      <c r="H6" s="590" t="n">
        <v>2.184</v>
      </c>
      <c r="I6" s="589" t="n">
        <v>6225.4</v>
      </c>
      <c r="J6" t="inlineStr">
        <is>
          <t>ALTO</t>
        </is>
      </c>
      <c r="K6" t="inlineStr">
        <is>
          <t>ATENCAO</t>
        </is>
      </c>
      <c r="L6" t="inlineStr">
        <is>
          <t>ALTO</t>
        </is>
      </c>
    </row>
    <row r="7">
      <c r="A7" t="n">
        <v>4</v>
      </c>
      <c r="B7" t="inlineStr">
        <is>
          <t>Nogueira</t>
        </is>
      </c>
      <c r="C7" t="inlineStr">
        <is>
          <t>Central</t>
        </is>
      </c>
      <c r="D7" t="n">
        <v>5</v>
      </c>
      <c r="E7" s="589" t="n">
        <v>3308</v>
      </c>
      <c r="F7" s="589" t="n">
        <v>661.6</v>
      </c>
      <c r="G7" s="589" t="n">
        <v>281.5</v>
      </c>
      <c r="H7" s="590" t="n">
        <v>2.35</v>
      </c>
      <c r="I7" s="589" t="n">
        <v>7774.9</v>
      </c>
      <c r="J7" t="inlineStr">
        <is>
          <t>ALTO</t>
        </is>
      </c>
      <c r="K7" t="inlineStr">
        <is>
          <t>ATENCAO</t>
        </is>
      </c>
      <c r="L7" t="inlineStr">
        <is>
          <t>ALTO</t>
        </is>
      </c>
    </row>
    <row r="8">
      <c r="A8" t="n">
        <v>4</v>
      </c>
      <c r="B8" t="inlineStr">
        <is>
          <t>Paulino</t>
        </is>
      </c>
      <c r="C8" t="inlineStr">
        <is>
          <t>Médio</t>
        </is>
      </c>
      <c r="D8" t="n">
        <v>5</v>
      </c>
      <c r="E8" s="589" t="n">
        <v>2120</v>
      </c>
      <c r="F8" s="589" t="n">
        <v>424</v>
      </c>
      <c r="G8" s="589" t="n">
        <v>159.1</v>
      </c>
      <c r="H8" s="590" t="n">
        <v>2.665</v>
      </c>
      <c r="I8" s="589" t="n">
        <v>5649.3</v>
      </c>
      <c r="J8" t="inlineStr">
        <is>
          <t>ALTO</t>
        </is>
      </c>
      <c r="K8" t="inlineStr">
        <is>
          <t>OK</t>
        </is>
      </c>
      <c r="L8" t="inlineStr">
        <is>
          <t>ALTO</t>
        </is>
      </c>
    </row>
    <row r="9">
      <c r="A9" t="n">
        <v>4</v>
      </c>
      <c r="B9" t="inlineStr">
        <is>
          <t>Sá</t>
        </is>
      </c>
      <c r="C9" t="inlineStr">
        <is>
          <t>Médio</t>
        </is>
      </c>
      <c r="D9" t="n">
        <v>5</v>
      </c>
      <c r="E9" s="589" t="n">
        <v>2962</v>
      </c>
      <c r="F9" s="589" t="n">
        <v>592.4</v>
      </c>
      <c r="G9" s="589" t="n">
        <v>291.9</v>
      </c>
      <c r="H9" s="590" t="n">
        <v>2.03</v>
      </c>
      <c r="I9" s="589" t="n">
        <v>6011.5</v>
      </c>
      <c r="J9" t="inlineStr">
        <is>
          <t>ALTO</t>
        </is>
      </c>
      <c r="K9" t="inlineStr">
        <is>
          <t>ATENCAO</t>
        </is>
      </c>
      <c r="L9" t="inlineStr">
        <is>
          <t>ALTO</t>
        </is>
      </c>
    </row>
    <row r="10">
      <c r="A10" t="n">
        <v>4</v>
      </c>
      <c r="B10" t="inlineStr">
        <is>
          <t>Varela</t>
        </is>
      </c>
      <c r="C10" t="inlineStr">
        <is>
          <t>Lateral</t>
        </is>
      </c>
      <c r="D10" t="n">
        <v>5</v>
      </c>
      <c r="E10" s="589" t="n">
        <v>2356</v>
      </c>
      <c r="F10" s="589" t="n">
        <v>471.2</v>
      </c>
      <c r="G10" s="589" t="n">
        <v>219.5</v>
      </c>
      <c r="H10" s="590" t="n">
        <v>2.146</v>
      </c>
      <c r="I10" s="589" t="n">
        <v>5056.5</v>
      </c>
      <c r="J10" t="inlineStr">
        <is>
          <t>ALTO</t>
        </is>
      </c>
      <c r="K10" t="inlineStr">
        <is>
          <t>OK</t>
        </is>
      </c>
      <c r="L10" t="inlineStr">
        <is>
          <t>ALTO</t>
        </is>
      </c>
    </row>
    <row r="11">
      <c r="A11" t="n">
        <v>5</v>
      </c>
      <c r="B11" t="inlineStr">
        <is>
          <t>Artur</t>
        </is>
      </c>
      <c r="C11" t="inlineStr">
        <is>
          <t>Médio</t>
        </is>
      </c>
      <c r="D11" t="n">
        <v>5</v>
      </c>
      <c r="E11" s="589" t="n">
        <v>2536</v>
      </c>
      <c r="F11" s="589" t="n">
        <v>507.2</v>
      </c>
      <c r="G11" s="589" t="n">
        <v>179.7</v>
      </c>
      <c r="H11" s="590" t="n">
        <v>2.823</v>
      </c>
      <c r="I11" s="589" t="n">
        <v>7158.9</v>
      </c>
      <c r="J11" t="inlineStr">
        <is>
          <t>ALTO</t>
        </is>
      </c>
      <c r="K11" t="inlineStr">
        <is>
          <t>ATENCAO</t>
        </is>
      </c>
      <c r="L11" t="inlineStr">
        <is>
          <t>ALTO</t>
        </is>
      </c>
    </row>
    <row r="12">
      <c r="A12" t="n">
        <v>5</v>
      </c>
      <c r="B12" t="inlineStr">
        <is>
          <t>Capitulo</t>
        </is>
      </c>
      <c r="C12" t="inlineStr">
        <is>
          <t>Lateral</t>
        </is>
      </c>
      <c r="D12" t="n">
        <v>5</v>
      </c>
      <c r="E12" s="589" t="n">
        <v>2391</v>
      </c>
      <c r="F12" s="589" t="n">
        <v>478.2</v>
      </c>
      <c r="G12" s="589" t="n">
        <v>191.1</v>
      </c>
      <c r="H12" s="590" t="n">
        <v>2.502</v>
      </c>
      <c r="I12" s="589" t="n">
        <v>5982.2</v>
      </c>
      <c r="J12" t="inlineStr">
        <is>
          <t>ALTO</t>
        </is>
      </c>
      <c r="K12" t="inlineStr">
        <is>
          <t>OK</t>
        </is>
      </c>
      <c r="L12" t="inlineStr">
        <is>
          <t>ALTO</t>
        </is>
      </c>
    </row>
    <row r="13">
      <c r="A13" t="n">
        <v>5</v>
      </c>
      <c r="B13" t="inlineStr">
        <is>
          <t>Edu</t>
        </is>
      </c>
      <c r="C13" t="inlineStr">
        <is>
          <t>Lateral</t>
        </is>
      </c>
      <c r="D13" t="n">
        <v>5</v>
      </c>
      <c r="E13" s="589" t="n">
        <v>2737</v>
      </c>
      <c r="F13" s="589" t="n">
        <v>547.4</v>
      </c>
      <c r="G13" s="589" t="n">
        <v>247.8</v>
      </c>
      <c r="H13" s="590" t="n">
        <v>2.209</v>
      </c>
      <c r="I13" s="589" t="n">
        <v>6046.2</v>
      </c>
      <c r="J13" t="inlineStr">
        <is>
          <t>ALTO</t>
        </is>
      </c>
      <c r="K13" t="inlineStr">
        <is>
          <t>ATENCAO</t>
        </is>
      </c>
      <c r="L13" t="inlineStr">
        <is>
          <t>ALTO</t>
        </is>
      </c>
    </row>
    <row r="14">
      <c r="A14" t="n">
        <v>5</v>
      </c>
      <c r="B14" t="inlineStr">
        <is>
          <t>Enzo Hugo</t>
        </is>
      </c>
      <c r="C14" t="inlineStr">
        <is>
          <t>Central</t>
        </is>
      </c>
      <c r="D14" t="n">
        <v>5</v>
      </c>
      <c r="E14" s="589" t="n">
        <v>2366</v>
      </c>
      <c r="F14" s="589" t="n">
        <v>473.2</v>
      </c>
      <c r="G14" s="589" t="n">
        <v>150.7</v>
      </c>
      <c r="H14" s="590" t="n">
        <v>3.141</v>
      </c>
      <c r="I14" s="589" t="n">
        <v>7431.3</v>
      </c>
      <c r="J14" t="inlineStr">
        <is>
          <t>ALTO</t>
        </is>
      </c>
      <c r="K14" t="inlineStr">
        <is>
          <t>ATENCAO</t>
        </is>
      </c>
      <c r="L14" t="inlineStr">
        <is>
          <t>ALTO</t>
        </is>
      </c>
    </row>
    <row r="15">
      <c r="A15" t="n">
        <v>5</v>
      </c>
      <c r="B15" t="inlineStr">
        <is>
          <t>Gomes</t>
        </is>
      </c>
      <c r="C15" t="inlineStr">
        <is>
          <t>Médio</t>
        </is>
      </c>
      <c r="D15" t="n">
        <v>5</v>
      </c>
      <c r="E15" s="589" t="n">
        <v>2242</v>
      </c>
      <c r="F15" s="589" t="n">
        <v>448.4</v>
      </c>
      <c r="G15" s="589" t="n">
        <v>170.5</v>
      </c>
      <c r="H15" s="590" t="n">
        <v>2.63</v>
      </c>
      <c r="I15" s="589" t="n">
        <v>5897.2</v>
      </c>
      <c r="J15" t="inlineStr">
        <is>
          <t>ALTO</t>
        </is>
      </c>
      <c r="K15" t="inlineStr">
        <is>
          <t>OK</t>
        </is>
      </c>
      <c r="L15" t="inlineStr">
        <is>
          <t>ALTO</t>
        </is>
      </c>
    </row>
    <row r="16">
      <c r="A16" t="n">
        <v>5</v>
      </c>
      <c r="B16" t="inlineStr">
        <is>
          <t>Nogueira</t>
        </is>
      </c>
      <c r="C16" t="inlineStr">
        <is>
          <t>Central</t>
        </is>
      </c>
      <c r="D16" t="n">
        <v>5</v>
      </c>
      <c r="E16" s="589" t="n">
        <v>2308</v>
      </c>
      <c r="F16" s="589" t="n">
        <v>461.6</v>
      </c>
      <c r="G16" s="589" t="n">
        <v>196.1</v>
      </c>
      <c r="H16" s="590" t="n">
        <v>2.354</v>
      </c>
      <c r="I16" s="589" t="n">
        <v>5432.6</v>
      </c>
      <c r="J16" t="inlineStr">
        <is>
          <t>ALTO</t>
        </is>
      </c>
      <c r="K16" t="inlineStr">
        <is>
          <t>OK</t>
        </is>
      </c>
      <c r="L16" t="inlineStr">
        <is>
          <t>ALTO</t>
        </is>
      </c>
    </row>
    <row r="17">
      <c r="A17" t="n">
        <v>5</v>
      </c>
      <c r="B17" t="inlineStr">
        <is>
          <t>Paulino</t>
        </is>
      </c>
      <c r="C17" t="inlineStr">
        <is>
          <t>Médio</t>
        </is>
      </c>
      <c r="D17" t="n">
        <v>5</v>
      </c>
      <c r="E17" s="589" t="n">
        <v>2643</v>
      </c>
      <c r="F17" s="589" t="n">
        <v>528.6</v>
      </c>
      <c r="G17" s="589" t="n">
        <v>228.4</v>
      </c>
      <c r="H17" s="590" t="n">
        <v>2.314</v>
      </c>
      <c r="I17" s="589" t="n">
        <v>6116.9</v>
      </c>
      <c r="J17" t="inlineStr">
        <is>
          <t>ALTO</t>
        </is>
      </c>
      <c r="K17" t="inlineStr">
        <is>
          <t>ATENCAO</t>
        </is>
      </c>
      <c r="L17" t="inlineStr">
        <is>
          <t>ALTO</t>
        </is>
      </c>
    </row>
    <row r="18">
      <c r="A18" t="n">
        <v>5</v>
      </c>
      <c r="B18" t="inlineStr">
        <is>
          <t>Sá</t>
        </is>
      </c>
      <c r="C18" t="inlineStr">
        <is>
          <t>Médio</t>
        </is>
      </c>
      <c r="D18" t="n">
        <v>5</v>
      </c>
      <c r="E18" s="589" t="n">
        <v>2651</v>
      </c>
      <c r="F18" s="589" t="n">
        <v>530.2</v>
      </c>
      <c r="G18" s="589" t="n">
        <v>252.9</v>
      </c>
      <c r="H18" s="590" t="n">
        <v>2.097</v>
      </c>
      <c r="I18" s="589" t="n">
        <v>5557.9</v>
      </c>
      <c r="J18" t="inlineStr">
        <is>
          <t>ALTO</t>
        </is>
      </c>
      <c r="K18" t="inlineStr">
        <is>
          <t>OK</t>
        </is>
      </c>
      <c r="L18" t="inlineStr">
        <is>
          <t>ALTO</t>
        </is>
      </c>
    </row>
    <row r="19">
      <c r="A19" t="n">
        <v>5</v>
      </c>
      <c r="B19" t="inlineStr">
        <is>
          <t>Varela</t>
        </is>
      </c>
      <c r="C19" t="inlineStr">
        <is>
          <t>Lateral</t>
        </is>
      </c>
      <c r="D19" t="n">
        <v>5</v>
      </c>
      <c r="E19" s="589" t="n">
        <v>2522</v>
      </c>
      <c r="F19" s="589" t="n">
        <v>504.4</v>
      </c>
      <c r="G19" s="589" t="n">
        <v>176.3</v>
      </c>
      <c r="H19" s="590" t="n">
        <v>2.86</v>
      </c>
      <c r="I19" s="589" t="n">
        <v>7214</v>
      </c>
      <c r="J19" t="inlineStr">
        <is>
          <t>ALTO</t>
        </is>
      </c>
      <c r="K19" t="inlineStr">
        <is>
          <t>ATENCAO</t>
        </is>
      </c>
      <c r="L19" t="inlineStr">
        <is>
          <t>ALTO</t>
        </is>
      </c>
    </row>
    <row r="20">
      <c r="A20" t="n">
        <v>6</v>
      </c>
      <c r="B20" t="inlineStr">
        <is>
          <t>Artur</t>
        </is>
      </c>
      <c r="C20" t="inlineStr">
        <is>
          <t>Médio</t>
        </is>
      </c>
      <c r="D20" t="n">
        <v>5</v>
      </c>
      <c r="E20" s="589" t="n">
        <v>2618</v>
      </c>
      <c r="F20" s="589" t="n">
        <v>523.6</v>
      </c>
      <c r="G20" s="589" t="n">
        <v>199.5</v>
      </c>
      <c r="H20" s="590" t="n">
        <v>2.625</v>
      </c>
      <c r="I20" s="589" t="n">
        <v>6872.3</v>
      </c>
      <c r="J20" t="inlineStr">
        <is>
          <t>ALTO</t>
        </is>
      </c>
      <c r="K20" t="inlineStr">
        <is>
          <t>ATENCAO</t>
        </is>
      </c>
      <c r="L20" t="inlineStr">
        <is>
          <t>ALTO</t>
        </is>
      </c>
    </row>
    <row r="21">
      <c r="A21" t="n">
        <v>6</v>
      </c>
      <c r="B21" t="inlineStr">
        <is>
          <t>Capitulo</t>
        </is>
      </c>
      <c r="C21" t="inlineStr">
        <is>
          <t>Lateral</t>
        </is>
      </c>
      <c r="D21" t="n">
        <v>5</v>
      </c>
      <c r="E21" s="589" t="n">
        <v>2461</v>
      </c>
      <c r="F21" s="589" t="n">
        <v>492.2</v>
      </c>
      <c r="G21" s="589" t="n">
        <v>249</v>
      </c>
      <c r="H21" s="590" t="n">
        <v>1.977</v>
      </c>
      <c r="I21" s="589" t="n">
        <v>4864.8</v>
      </c>
      <c r="J21" t="inlineStr">
        <is>
          <t>ATENCAO</t>
        </is>
      </c>
      <c r="K21" t="inlineStr">
        <is>
          <t>OK</t>
        </is>
      </c>
      <c r="L21" t="inlineStr">
        <is>
          <t>ATENCAO</t>
        </is>
      </c>
    </row>
    <row r="22">
      <c r="A22" t="n">
        <v>6</v>
      </c>
      <c r="B22" t="inlineStr">
        <is>
          <t>Edu</t>
        </is>
      </c>
      <c r="C22" t="inlineStr">
        <is>
          <t>Lateral</t>
        </is>
      </c>
      <c r="D22" t="n">
        <v>5</v>
      </c>
      <c r="E22" s="589" t="n">
        <v>2202</v>
      </c>
      <c r="F22" s="589" t="n">
        <v>440.4</v>
      </c>
      <c r="G22" s="589" t="n">
        <v>194.8</v>
      </c>
      <c r="H22" s="590" t="n">
        <v>2.261</v>
      </c>
      <c r="I22" s="589" t="n">
        <v>4978.7</v>
      </c>
      <c r="J22" t="inlineStr">
        <is>
          <t>ALTO</t>
        </is>
      </c>
      <c r="K22" t="inlineStr">
        <is>
          <t>OK</t>
        </is>
      </c>
      <c r="L22" t="inlineStr">
        <is>
          <t>ALTO</t>
        </is>
      </c>
    </row>
    <row r="23">
      <c r="A23" t="n">
        <v>6</v>
      </c>
      <c r="B23" t="inlineStr">
        <is>
          <t>Enzo Hugo</t>
        </is>
      </c>
      <c r="C23" t="inlineStr">
        <is>
          <t>Central</t>
        </is>
      </c>
      <c r="D23" t="n">
        <v>5</v>
      </c>
      <c r="E23" s="589" t="n">
        <v>2891</v>
      </c>
      <c r="F23" s="589" t="n">
        <v>578.2</v>
      </c>
      <c r="G23" s="589" t="n">
        <v>212.2</v>
      </c>
      <c r="H23" s="590" t="n">
        <v>2.725</v>
      </c>
      <c r="I23" s="589" t="n">
        <v>7878.2</v>
      </c>
      <c r="J23" t="inlineStr">
        <is>
          <t>ALTO</t>
        </is>
      </c>
      <c r="K23" t="inlineStr">
        <is>
          <t>ATENCAO</t>
        </is>
      </c>
      <c r="L23" t="inlineStr">
        <is>
          <t>ALTO</t>
        </is>
      </c>
    </row>
    <row r="24">
      <c r="A24" t="n">
        <v>6</v>
      </c>
      <c r="B24" t="inlineStr">
        <is>
          <t>Gomes</t>
        </is>
      </c>
      <c r="C24" t="inlineStr">
        <is>
          <t>Médio</t>
        </is>
      </c>
      <c r="D24" t="n">
        <v>5</v>
      </c>
      <c r="E24" s="589" t="n">
        <v>2401</v>
      </c>
      <c r="F24" s="589" t="n">
        <v>480.2</v>
      </c>
      <c r="G24" s="589" t="n">
        <v>195</v>
      </c>
      <c r="H24" s="590" t="n">
        <v>2.463</v>
      </c>
      <c r="I24" s="589" t="n">
        <v>5913.3</v>
      </c>
      <c r="J24" t="inlineStr">
        <is>
          <t>ALTO</t>
        </is>
      </c>
      <c r="K24" t="inlineStr">
        <is>
          <t>OK</t>
        </is>
      </c>
      <c r="L24" t="inlineStr">
        <is>
          <t>ALTO</t>
        </is>
      </c>
    </row>
    <row r="25">
      <c r="A25" t="n">
        <v>6</v>
      </c>
      <c r="B25" t="inlineStr">
        <is>
          <t>Nogueira</t>
        </is>
      </c>
      <c r="C25" t="inlineStr">
        <is>
          <t>Central</t>
        </is>
      </c>
      <c r="D25" t="n">
        <v>5</v>
      </c>
      <c r="E25" s="589" t="n">
        <v>2775</v>
      </c>
      <c r="F25" s="589" t="n">
        <v>555</v>
      </c>
      <c r="G25" s="589" t="n">
        <v>271.3</v>
      </c>
      <c r="H25" s="590" t="n">
        <v>2.046</v>
      </c>
      <c r="I25" s="589" t="n">
        <v>5676.8</v>
      </c>
      <c r="J25" t="inlineStr">
        <is>
          <t>ALTO</t>
        </is>
      </c>
      <c r="K25" t="inlineStr">
        <is>
          <t>OK</t>
        </is>
      </c>
      <c r="L25" t="inlineStr">
        <is>
          <t>ALTO</t>
        </is>
      </c>
    </row>
    <row r="26">
      <c r="A26" t="n">
        <v>6</v>
      </c>
      <c r="B26" t="inlineStr">
        <is>
          <t>Paulino</t>
        </is>
      </c>
      <c r="C26" t="inlineStr">
        <is>
          <t>Médio</t>
        </is>
      </c>
      <c r="D26" t="n">
        <v>5</v>
      </c>
      <c r="E26" s="589" t="n">
        <v>2900</v>
      </c>
      <c r="F26" s="589" t="n">
        <v>580</v>
      </c>
      <c r="G26" s="589" t="n">
        <v>279.7</v>
      </c>
      <c r="H26" s="590" t="n">
        <v>2.073</v>
      </c>
      <c r="I26" s="589" t="n">
        <v>6012.5</v>
      </c>
      <c r="J26" t="inlineStr">
        <is>
          <t>ALTO</t>
        </is>
      </c>
      <c r="K26" t="inlineStr">
        <is>
          <t>ATENCAO</t>
        </is>
      </c>
      <c r="L26" t="inlineStr">
        <is>
          <t>ALTO</t>
        </is>
      </c>
    </row>
    <row r="27">
      <c r="A27" t="n">
        <v>6</v>
      </c>
      <c r="B27" t="inlineStr">
        <is>
          <t>Sá</t>
        </is>
      </c>
      <c r="C27" t="inlineStr">
        <is>
          <t>Médio</t>
        </is>
      </c>
      <c r="D27" t="n">
        <v>5</v>
      </c>
      <c r="E27" s="589" t="n">
        <v>3122</v>
      </c>
      <c r="F27" s="589" t="n">
        <v>624.4</v>
      </c>
      <c r="G27" s="589" t="n">
        <v>296.9</v>
      </c>
      <c r="H27" s="590" t="n">
        <v>2.103</v>
      </c>
      <c r="I27" s="589" t="n">
        <v>6565.6</v>
      </c>
      <c r="J27" t="inlineStr">
        <is>
          <t>ALTO</t>
        </is>
      </c>
      <c r="K27" t="inlineStr">
        <is>
          <t>ATENCAO</t>
        </is>
      </c>
      <c r="L27" t="inlineStr">
        <is>
          <t>ALTO</t>
        </is>
      </c>
    </row>
    <row r="28">
      <c r="A28" t="n">
        <v>6</v>
      </c>
      <c r="B28" t="inlineStr">
        <is>
          <t>Varela</t>
        </is>
      </c>
      <c r="C28" t="inlineStr">
        <is>
          <t>Lateral</t>
        </is>
      </c>
      <c r="D28" t="n">
        <v>5</v>
      </c>
      <c r="E28" s="589" t="n">
        <v>2705</v>
      </c>
      <c r="F28" s="589" t="n">
        <v>541</v>
      </c>
      <c r="G28" s="589" t="n">
        <v>199.9</v>
      </c>
      <c r="H28" s="590" t="n">
        <v>2.706</v>
      </c>
      <c r="I28" s="589" t="n">
        <v>7320.4</v>
      </c>
      <c r="J28" t="inlineStr">
        <is>
          <t>ALTO</t>
        </is>
      </c>
      <c r="K28" t="inlineStr">
        <is>
          <t>ATENCAO</t>
        </is>
      </c>
      <c r="L28" t="inlineStr">
        <is>
          <t>ALTO</t>
        </is>
      </c>
    </row>
    <row r="29">
      <c r="A29" t="n">
        <v>7</v>
      </c>
      <c r="B29" t="inlineStr">
        <is>
          <t>Artur</t>
        </is>
      </c>
      <c r="C29" t="inlineStr">
        <is>
          <t>Médio</t>
        </is>
      </c>
      <c r="D29" t="n">
        <v>5</v>
      </c>
      <c r="E29" s="589" t="n">
        <v>2565</v>
      </c>
      <c r="F29" s="589" t="n">
        <v>513</v>
      </c>
      <c r="G29" s="589" t="n">
        <v>210.2</v>
      </c>
      <c r="H29" s="590" t="n">
        <v>2.441</v>
      </c>
      <c r="I29" s="589" t="n">
        <v>6260.4</v>
      </c>
      <c r="J29" t="inlineStr">
        <is>
          <t>ALTO</t>
        </is>
      </c>
      <c r="K29" t="inlineStr">
        <is>
          <t>ATENCAO</t>
        </is>
      </c>
      <c r="L29" t="inlineStr">
        <is>
          <t>ALTO</t>
        </is>
      </c>
    </row>
    <row r="30">
      <c r="A30" t="n">
        <v>7</v>
      </c>
      <c r="B30" t="inlineStr">
        <is>
          <t>Capitulo</t>
        </is>
      </c>
      <c r="C30" t="inlineStr">
        <is>
          <t>Lateral</t>
        </is>
      </c>
      <c r="D30" t="n">
        <v>5</v>
      </c>
      <c r="E30" s="589" t="n">
        <v>2102</v>
      </c>
      <c r="F30" s="589" t="n">
        <v>420.4</v>
      </c>
      <c r="G30" s="589" t="n">
        <v>146.1</v>
      </c>
      <c r="H30" s="590" t="n">
        <v>2.878</v>
      </c>
      <c r="I30" s="589" t="n">
        <v>6049.4</v>
      </c>
      <c r="J30" t="inlineStr">
        <is>
          <t>ALTO</t>
        </is>
      </c>
      <c r="K30" t="inlineStr">
        <is>
          <t>ATENCAO</t>
        </is>
      </c>
      <c r="L30" t="inlineStr">
        <is>
          <t>ALTO</t>
        </is>
      </c>
    </row>
    <row r="31">
      <c r="A31" t="n">
        <v>7</v>
      </c>
      <c r="B31" t="inlineStr">
        <is>
          <t>Edu</t>
        </is>
      </c>
      <c r="C31" t="inlineStr">
        <is>
          <t>Lateral</t>
        </is>
      </c>
      <c r="D31" t="n">
        <v>5</v>
      </c>
      <c r="E31" s="589" t="n">
        <v>2546</v>
      </c>
      <c r="F31" s="589" t="n">
        <v>509.2</v>
      </c>
      <c r="G31" s="589" t="n">
        <v>231.2</v>
      </c>
      <c r="H31" s="590" t="n">
        <v>2.202</v>
      </c>
      <c r="I31" s="589" t="n">
        <v>5606.3</v>
      </c>
      <c r="J31" t="inlineStr">
        <is>
          <t>ALTO</t>
        </is>
      </c>
      <c r="K31" t="inlineStr">
        <is>
          <t>OK</t>
        </is>
      </c>
      <c r="L31" t="inlineStr">
        <is>
          <t>ALTO</t>
        </is>
      </c>
    </row>
    <row r="32">
      <c r="A32" t="n">
        <v>7</v>
      </c>
      <c r="B32" t="inlineStr">
        <is>
          <t>Enzo Hugo</t>
        </is>
      </c>
      <c r="C32" t="inlineStr">
        <is>
          <t>Central</t>
        </is>
      </c>
      <c r="D32" t="n">
        <v>5</v>
      </c>
      <c r="E32" s="589" t="n">
        <v>2353</v>
      </c>
      <c r="F32" s="589" t="n">
        <v>470.6</v>
      </c>
      <c r="G32" s="589" t="n">
        <v>238.2</v>
      </c>
      <c r="H32" s="590" t="n">
        <v>1.976</v>
      </c>
      <c r="I32" s="589" t="n">
        <v>4649.4</v>
      </c>
      <c r="J32" t="inlineStr">
        <is>
          <t>ATENCAO</t>
        </is>
      </c>
      <c r="K32" t="inlineStr">
        <is>
          <t>OK</t>
        </is>
      </c>
      <c r="L32" t="inlineStr">
        <is>
          <t>ATENCAO</t>
        </is>
      </c>
    </row>
    <row r="33">
      <c r="A33" t="n">
        <v>7</v>
      </c>
      <c r="B33" t="inlineStr">
        <is>
          <t>Gomes</t>
        </is>
      </c>
      <c r="C33" t="inlineStr">
        <is>
          <t>Médio</t>
        </is>
      </c>
      <c r="D33" t="n">
        <v>5</v>
      </c>
      <c r="E33" s="589" t="n">
        <v>3220</v>
      </c>
      <c r="F33" s="589" t="n">
        <v>644</v>
      </c>
      <c r="G33" s="589" t="n">
        <v>239.9</v>
      </c>
      <c r="H33" s="590" t="n">
        <v>2.685</v>
      </c>
      <c r="I33" s="589" t="n">
        <v>8644.200000000001</v>
      </c>
      <c r="J33" t="inlineStr">
        <is>
          <t>ALTO</t>
        </is>
      </c>
      <c r="K33" t="inlineStr">
        <is>
          <t>ATENCAO</t>
        </is>
      </c>
      <c r="L33" t="inlineStr">
        <is>
          <t>ALTO</t>
        </is>
      </c>
    </row>
    <row r="34">
      <c r="A34" t="n">
        <v>7</v>
      </c>
      <c r="B34" t="inlineStr">
        <is>
          <t>Nogueira</t>
        </is>
      </c>
      <c r="C34" t="inlineStr">
        <is>
          <t>Central</t>
        </is>
      </c>
      <c r="D34" t="n">
        <v>5</v>
      </c>
      <c r="E34" s="589" t="n">
        <v>2987</v>
      </c>
      <c r="F34" s="589" t="n">
        <v>597.4</v>
      </c>
      <c r="G34" s="589" t="n">
        <v>254.1</v>
      </c>
      <c r="H34" s="590" t="n">
        <v>2.351</v>
      </c>
      <c r="I34" s="589" t="n">
        <v>7021.8</v>
      </c>
      <c r="J34" t="inlineStr">
        <is>
          <t>ALTO</t>
        </is>
      </c>
      <c r="K34" t="inlineStr">
        <is>
          <t>ATENCAO</t>
        </is>
      </c>
      <c r="L34" t="inlineStr">
        <is>
          <t>ALTO</t>
        </is>
      </c>
    </row>
    <row r="35">
      <c r="A35" t="n">
        <v>7</v>
      </c>
      <c r="B35" t="inlineStr">
        <is>
          <t>Paulino</t>
        </is>
      </c>
      <c r="C35" t="inlineStr">
        <is>
          <t>Médio</t>
        </is>
      </c>
      <c r="D35" t="n">
        <v>5</v>
      </c>
      <c r="E35" s="589" t="n">
        <v>2057</v>
      </c>
      <c r="F35" s="589" t="n">
        <v>411.4</v>
      </c>
      <c r="G35" s="589" t="n">
        <v>117</v>
      </c>
      <c r="H35" s="590" t="n">
        <v>3.518</v>
      </c>
      <c r="I35" s="589" t="n">
        <v>7235.7</v>
      </c>
      <c r="J35" t="inlineStr">
        <is>
          <t>ALTO</t>
        </is>
      </c>
      <c r="K35" t="inlineStr">
        <is>
          <t>ATENCAO</t>
        </is>
      </c>
      <c r="L35" t="inlineStr">
        <is>
          <t>ALTO</t>
        </is>
      </c>
    </row>
    <row r="36">
      <c r="A36" t="n">
        <v>7</v>
      </c>
      <c r="B36" t="inlineStr">
        <is>
          <t>Sá</t>
        </is>
      </c>
      <c r="C36" t="inlineStr">
        <is>
          <t>Médio</t>
        </is>
      </c>
      <c r="D36" t="n">
        <v>5</v>
      </c>
      <c r="E36" s="589" t="n">
        <v>2477</v>
      </c>
      <c r="F36" s="589" t="n">
        <v>495.4</v>
      </c>
      <c r="G36" s="589" t="n">
        <v>233.1</v>
      </c>
      <c r="H36" s="590" t="n">
        <v>2.125</v>
      </c>
      <c r="I36" s="589" t="n">
        <v>5264.2</v>
      </c>
      <c r="J36" t="inlineStr">
        <is>
          <t>ALTO</t>
        </is>
      </c>
      <c r="K36" t="inlineStr">
        <is>
          <t>OK</t>
        </is>
      </c>
      <c r="L36" t="inlineStr">
        <is>
          <t>ALTO</t>
        </is>
      </c>
    </row>
    <row r="37">
      <c r="A37" t="n">
        <v>7</v>
      </c>
      <c r="B37" t="inlineStr">
        <is>
          <t>Varela</t>
        </is>
      </c>
      <c r="C37" t="inlineStr">
        <is>
          <t>Lateral</t>
        </is>
      </c>
      <c r="D37" t="n">
        <v>5</v>
      </c>
      <c r="E37" s="589" t="n">
        <v>2386</v>
      </c>
      <c r="F37" s="589" t="n">
        <v>477.2</v>
      </c>
      <c r="G37" s="589" t="n">
        <v>227.4</v>
      </c>
      <c r="H37" s="590" t="n">
        <v>2.098</v>
      </c>
      <c r="I37" s="589" t="n">
        <v>5006</v>
      </c>
      <c r="J37" t="inlineStr">
        <is>
          <t>ALTO</t>
        </is>
      </c>
      <c r="K37" t="inlineStr">
        <is>
          <t>OK</t>
        </is>
      </c>
      <c r="L37" t="inlineStr">
        <is>
          <t>ALTO</t>
        </is>
      </c>
    </row>
    <row r="38">
      <c r="A38" t="n">
        <v>8</v>
      </c>
      <c r="B38" t="inlineStr">
        <is>
          <t>Artur</t>
        </is>
      </c>
      <c r="C38" t="inlineStr">
        <is>
          <t>Médio</t>
        </is>
      </c>
      <c r="D38" t="n">
        <v>14</v>
      </c>
      <c r="E38" s="589" t="n">
        <v>4459</v>
      </c>
      <c r="F38" s="589" t="n">
        <v>318.5</v>
      </c>
      <c r="G38" s="589" t="n">
        <v>221.7</v>
      </c>
      <c r="H38" s="590" t="n">
        <v>1.437</v>
      </c>
      <c r="I38" s="589" t="n">
        <v>6406.3</v>
      </c>
      <c r="J38" t="inlineStr">
        <is>
          <t>OK</t>
        </is>
      </c>
      <c r="K38" t="inlineStr">
        <is>
          <t>ATENCAO</t>
        </is>
      </c>
      <c r="L38" t="inlineStr">
        <is>
          <t>ATENCAO</t>
        </is>
      </c>
    </row>
    <row r="39">
      <c r="A39" t="n">
        <v>8</v>
      </c>
      <c r="B39" t="inlineStr">
        <is>
          <t>Capitulo</t>
        </is>
      </c>
      <c r="C39" t="inlineStr">
        <is>
          <t>Lateral</t>
        </is>
      </c>
      <c r="D39" t="n">
        <v>14</v>
      </c>
      <c r="E39" s="589" t="n">
        <v>3469</v>
      </c>
      <c r="F39" s="589" t="n">
        <v>247.8</v>
      </c>
      <c r="G39" s="589" t="n">
        <v>164.7</v>
      </c>
      <c r="H39" s="590" t="n">
        <v>1.505</v>
      </c>
      <c r="I39" s="589" t="n">
        <v>5220.4</v>
      </c>
      <c r="J39" t="inlineStr">
        <is>
          <t>ATENCAO</t>
        </is>
      </c>
      <c r="K39" t="inlineStr">
        <is>
          <t>OK</t>
        </is>
      </c>
      <c r="L39" t="inlineStr">
        <is>
          <t>ATENCAO</t>
        </is>
      </c>
    </row>
    <row r="40">
      <c r="A40" t="n">
        <v>8</v>
      </c>
      <c r="B40" t="inlineStr">
        <is>
          <t>Edu</t>
        </is>
      </c>
      <c r="C40" t="inlineStr">
        <is>
          <t>Lateral</t>
        </is>
      </c>
      <c r="D40" t="n">
        <v>14</v>
      </c>
      <c r="E40" s="589" t="n">
        <v>3645</v>
      </c>
      <c r="F40" s="589" t="n">
        <v>260.4</v>
      </c>
      <c r="G40" s="589" t="n">
        <v>193.3</v>
      </c>
      <c r="H40" s="590" t="n">
        <v>1.347</v>
      </c>
      <c r="I40" s="589" t="n">
        <v>4909.8</v>
      </c>
      <c r="J40" t="inlineStr">
        <is>
          <t>OK</t>
        </is>
      </c>
      <c r="K40" t="inlineStr">
        <is>
          <t>OK</t>
        </is>
      </c>
      <c r="L40" t="inlineStr">
        <is>
          <t>OK</t>
        </is>
      </c>
    </row>
    <row r="41">
      <c r="A41" t="n">
        <v>8</v>
      </c>
      <c r="B41" t="inlineStr">
        <is>
          <t>Enzo Hugo</t>
        </is>
      </c>
      <c r="C41" t="inlineStr">
        <is>
          <t>Central</t>
        </is>
      </c>
      <c r="D41" t="n">
        <v>14</v>
      </c>
      <c r="E41" s="589" t="n">
        <v>4674</v>
      </c>
      <c r="F41" s="589" t="n">
        <v>333.9</v>
      </c>
      <c r="G41" s="589" t="n">
        <v>250.2</v>
      </c>
      <c r="H41" s="590" t="n">
        <v>1.334</v>
      </c>
      <c r="I41" s="589" t="n">
        <v>6237.3</v>
      </c>
      <c r="J41" t="inlineStr">
        <is>
          <t>OK</t>
        </is>
      </c>
      <c r="K41" t="inlineStr">
        <is>
          <t>ATENCAO</t>
        </is>
      </c>
      <c r="L41" t="inlineStr">
        <is>
          <t>ATENCAO</t>
        </is>
      </c>
    </row>
    <row r="42">
      <c r="A42" t="n">
        <v>8</v>
      </c>
      <c r="B42" t="inlineStr">
        <is>
          <t>Gomes</t>
        </is>
      </c>
      <c r="C42" t="inlineStr">
        <is>
          <t>Médio</t>
        </is>
      </c>
      <c r="D42" t="n">
        <v>14</v>
      </c>
      <c r="E42" s="589" t="n">
        <v>4844</v>
      </c>
      <c r="F42" s="589" t="n">
        <v>346</v>
      </c>
      <c r="G42" s="589" t="n">
        <v>249.5</v>
      </c>
      <c r="H42" s="590" t="n">
        <v>1.387</v>
      </c>
      <c r="I42" s="589" t="n">
        <v>6718.7</v>
      </c>
      <c r="J42" t="inlineStr">
        <is>
          <t>OK</t>
        </is>
      </c>
      <c r="K42" t="inlineStr">
        <is>
          <t>ATENCAO</t>
        </is>
      </c>
      <c r="L42" t="inlineStr">
        <is>
          <t>ATENCAO</t>
        </is>
      </c>
    </row>
    <row r="43">
      <c r="A43" t="n">
        <v>8</v>
      </c>
      <c r="B43" t="inlineStr">
        <is>
          <t>Nogueira</t>
        </is>
      </c>
      <c r="C43" t="inlineStr">
        <is>
          <t>Central</t>
        </is>
      </c>
      <c r="D43" t="n">
        <v>14</v>
      </c>
      <c r="E43" s="589" t="n">
        <v>4343</v>
      </c>
      <c r="F43" s="589" t="n">
        <v>310.2</v>
      </c>
      <c r="G43" s="589" t="n">
        <v>221.7</v>
      </c>
      <c r="H43" s="590" t="n">
        <v>1.399</v>
      </c>
      <c r="I43" s="589" t="n">
        <v>6077.1</v>
      </c>
      <c r="J43" t="inlineStr">
        <is>
          <t>OK</t>
        </is>
      </c>
      <c r="K43" t="inlineStr">
        <is>
          <t>ATENCAO</t>
        </is>
      </c>
      <c r="L43" t="inlineStr">
        <is>
          <t>ATENCAO</t>
        </is>
      </c>
    </row>
    <row r="44">
      <c r="A44" t="n">
        <v>8</v>
      </c>
      <c r="B44" t="inlineStr">
        <is>
          <t>Paulino</t>
        </is>
      </c>
      <c r="C44" t="inlineStr">
        <is>
          <t>Médio</t>
        </is>
      </c>
      <c r="D44" t="n">
        <v>14</v>
      </c>
      <c r="E44" s="589" t="n">
        <v>4173</v>
      </c>
      <c r="F44" s="589" t="n">
        <v>298.1</v>
      </c>
      <c r="G44" s="589" t="n">
        <v>211</v>
      </c>
      <c r="H44" s="590" t="n">
        <v>1.413</v>
      </c>
      <c r="I44" s="589" t="n">
        <v>5894.7</v>
      </c>
      <c r="J44" t="inlineStr">
        <is>
          <t>OK</t>
        </is>
      </c>
      <c r="K44" t="inlineStr">
        <is>
          <t>OK</t>
        </is>
      </c>
      <c r="L44" t="inlineStr">
        <is>
          <t>OK</t>
        </is>
      </c>
    </row>
    <row r="45">
      <c r="A45" t="n">
        <v>8</v>
      </c>
      <c r="B45" t="inlineStr">
        <is>
          <t>Sá</t>
        </is>
      </c>
      <c r="C45" t="inlineStr">
        <is>
          <t>Médio</t>
        </is>
      </c>
      <c r="D45" t="n">
        <v>14</v>
      </c>
      <c r="E45" s="589" t="n">
        <v>5222</v>
      </c>
      <c r="F45" s="589" t="n">
        <v>373</v>
      </c>
      <c r="G45" s="589" t="n">
        <v>281.7</v>
      </c>
      <c r="H45" s="590" t="n">
        <v>1.324</v>
      </c>
      <c r="I45" s="589" t="n">
        <v>6914.4</v>
      </c>
      <c r="J45" t="inlineStr">
        <is>
          <t>OK</t>
        </is>
      </c>
      <c r="K45" t="inlineStr">
        <is>
          <t>ATENCAO</t>
        </is>
      </c>
      <c r="L45" t="inlineStr">
        <is>
          <t>ATENCAO</t>
        </is>
      </c>
    </row>
    <row r="46">
      <c r="A46" t="n">
        <v>8</v>
      </c>
      <c r="B46" t="inlineStr">
        <is>
          <t>Varela</t>
        </is>
      </c>
      <c r="C46" t="inlineStr">
        <is>
          <t>Lateral</t>
        </is>
      </c>
      <c r="D46" t="n">
        <v>14</v>
      </c>
      <c r="E46" s="589" t="n">
        <v>4489</v>
      </c>
      <c r="F46" s="589" t="n">
        <v>320.6</v>
      </c>
      <c r="G46" s="589" t="n">
        <v>237.2</v>
      </c>
      <c r="H46" s="590" t="n">
        <v>1.352</v>
      </c>
      <c r="I46" s="589" t="n">
        <v>6067.8</v>
      </c>
      <c r="J46" t="inlineStr">
        <is>
          <t>OK</t>
        </is>
      </c>
      <c r="K46" t="inlineStr">
        <is>
          <t>ATENCAO</t>
        </is>
      </c>
      <c r="L46" t="inlineStr">
        <is>
          <t>ATENCAO</t>
        </is>
      </c>
    </row>
    <row r="47">
      <c r="A47" t="n">
        <v>9</v>
      </c>
      <c r="B47" t="inlineStr">
        <is>
          <t>Artur</t>
        </is>
      </c>
      <c r="C47" t="inlineStr">
        <is>
          <t>Médio</t>
        </is>
      </c>
      <c r="D47" t="n">
        <v>8</v>
      </c>
      <c r="E47" s="589" t="n">
        <v>3389</v>
      </c>
      <c r="F47" s="589" t="n">
        <v>423.6</v>
      </c>
      <c r="G47" s="589" t="n">
        <v>261</v>
      </c>
      <c r="H47" s="590" t="n">
        <v>1.623</v>
      </c>
      <c r="I47" s="589" t="n">
        <v>5501</v>
      </c>
      <c r="J47" t="inlineStr">
        <is>
          <t>ATENCAO</t>
        </is>
      </c>
      <c r="K47" t="inlineStr">
        <is>
          <t>OK</t>
        </is>
      </c>
      <c r="L47" t="inlineStr">
        <is>
          <t>ATENCAO</t>
        </is>
      </c>
    </row>
    <row r="48">
      <c r="A48" t="n">
        <v>9</v>
      </c>
      <c r="B48" t="inlineStr">
        <is>
          <t>Capitulo</t>
        </is>
      </c>
      <c r="C48" t="inlineStr">
        <is>
          <t>Lateral</t>
        </is>
      </c>
      <c r="D48" t="n">
        <v>8</v>
      </c>
      <c r="E48" s="589" t="n">
        <v>3457</v>
      </c>
      <c r="F48" s="589" t="n">
        <v>432.1</v>
      </c>
      <c r="G48" s="589" t="n">
        <v>268.2</v>
      </c>
      <c r="H48" s="590" t="n">
        <v>1.611</v>
      </c>
      <c r="I48" s="589" t="n">
        <v>5570.2</v>
      </c>
      <c r="J48" t="inlineStr">
        <is>
          <t>ATENCAO</t>
        </is>
      </c>
      <c r="K48" t="inlineStr">
        <is>
          <t>OK</t>
        </is>
      </c>
      <c r="L48" t="inlineStr">
        <is>
          <t>ATENCAO</t>
        </is>
      </c>
    </row>
    <row r="49">
      <c r="A49" t="n">
        <v>9</v>
      </c>
      <c r="B49" t="inlineStr">
        <is>
          <t>Edu</t>
        </is>
      </c>
      <c r="C49" t="inlineStr">
        <is>
          <t>Lateral</t>
        </is>
      </c>
      <c r="D49" t="n">
        <v>8</v>
      </c>
      <c r="E49" s="589" t="n">
        <v>3655</v>
      </c>
      <c r="F49" s="589" t="n">
        <v>456.9</v>
      </c>
      <c r="G49" s="589" t="n">
        <v>264.9</v>
      </c>
      <c r="H49" s="590" t="n">
        <v>1.725</v>
      </c>
      <c r="I49" s="589" t="n">
        <v>6303.5</v>
      </c>
      <c r="J49" t="inlineStr">
        <is>
          <t>ATENCAO</t>
        </is>
      </c>
      <c r="K49" t="inlineStr">
        <is>
          <t>ATENCAO</t>
        </is>
      </c>
      <c r="L49" t="inlineStr">
        <is>
          <t>ATENCAO</t>
        </is>
      </c>
    </row>
    <row r="50">
      <c r="A50" t="n">
        <v>9</v>
      </c>
      <c r="B50" t="inlineStr">
        <is>
          <t>Enzo Hugo</t>
        </is>
      </c>
      <c r="C50" t="inlineStr">
        <is>
          <t>Central</t>
        </is>
      </c>
      <c r="D50" t="n">
        <v>8</v>
      </c>
      <c r="E50" s="589" t="n">
        <v>3342</v>
      </c>
      <c r="F50" s="589" t="n">
        <v>417.8</v>
      </c>
      <c r="G50" s="589" t="n">
        <v>250</v>
      </c>
      <c r="H50" s="590" t="n">
        <v>1.671</v>
      </c>
      <c r="I50" s="589" t="n">
        <v>5583.9</v>
      </c>
      <c r="J50" t="inlineStr">
        <is>
          <t>ATENCAO</t>
        </is>
      </c>
      <c r="K50" t="inlineStr">
        <is>
          <t>OK</t>
        </is>
      </c>
      <c r="L50" t="inlineStr">
        <is>
          <t>ATENCAO</t>
        </is>
      </c>
    </row>
    <row r="51">
      <c r="A51" t="n">
        <v>9</v>
      </c>
      <c r="B51" t="inlineStr">
        <is>
          <t>Gomes</t>
        </is>
      </c>
      <c r="C51" t="inlineStr">
        <is>
          <t>Médio</t>
        </is>
      </c>
      <c r="D51" t="n">
        <v>8</v>
      </c>
      <c r="E51" s="589" t="n">
        <v>3769</v>
      </c>
      <c r="F51" s="589" t="n">
        <v>471.1</v>
      </c>
      <c r="G51" s="589" t="n">
        <v>276.2</v>
      </c>
      <c r="H51" s="590" t="n">
        <v>1.706</v>
      </c>
      <c r="I51" s="589" t="n">
        <v>6428.3</v>
      </c>
      <c r="J51" t="inlineStr">
        <is>
          <t>ATENCAO</t>
        </is>
      </c>
      <c r="K51" t="inlineStr">
        <is>
          <t>ATENCAO</t>
        </is>
      </c>
      <c r="L51" t="inlineStr">
        <is>
          <t>ATENCAO</t>
        </is>
      </c>
    </row>
    <row r="52">
      <c r="A52" t="n">
        <v>9</v>
      </c>
      <c r="B52" t="inlineStr">
        <is>
          <t>Nogueira</t>
        </is>
      </c>
      <c r="C52" t="inlineStr">
        <is>
          <t>Central</t>
        </is>
      </c>
      <c r="D52" t="n">
        <v>8</v>
      </c>
      <c r="E52" s="589" t="n">
        <v>3595</v>
      </c>
      <c r="F52" s="589" t="n">
        <v>449.4</v>
      </c>
      <c r="G52" s="589" t="n">
        <v>259.1</v>
      </c>
      <c r="H52" s="590" t="n">
        <v>1.734</v>
      </c>
      <c r="I52" s="589" t="n">
        <v>6235.5</v>
      </c>
      <c r="J52" t="inlineStr">
        <is>
          <t>ATENCAO</t>
        </is>
      </c>
      <c r="K52" t="inlineStr">
        <is>
          <t>ATENCAO</t>
        </is>
      </c>
      <c r="L52" t="inlineStr">
        <is>
          <t>ATENCAO</t>
        </is>
      </c>
    </row>
    <row r="53">
      <c r="A53" t="n">
        <v>9</v>
      </c>
      <c r="B53" t="inlineStr">
        <is>
          <t>Paulino</t>
        </is>
      </c>
      <c r="C53" t="inlineStr">
        <is>
          <t>Médio</t>
        </is>
      </c>
      <c r="D53" t="n">
        <v>9</v>
      </c>
      <c r="E53" s="589" t="n">
        <v>4252</v>
      </c>
      <c r="F53" s="589" t="n">
        <v>472.4</v>
      </c>
      <c r="G53" s="589" t="n">
        <v>243.5</v>
      </c>
      <c r="H53" s="590" t="n">
        <v>1.94</v>
      </c>
      <c r="I53" s="589" t="n">
        <v>8250.799999999999</v>
      </c>
      <c r="J53" t="inlineStr">
        <is>
          <t>ATENCAO</t>
        </is>
      </c>
      <c r="K53" t="inlineStr">
        <is>
          <t>ATENCAO</t>
        </is>
      </c>
      <c r="L53" t="inlineStr">
        <is>
          <t>ATENCAO</t>
        </is>
      </c>
    </row>
    <row r="54">
      <c r="A54" t="n">
        <v>9</v>
      </c>
      <c r="B54" t="inlineStr">
        <is>
          <t>Sá</t>
        </is>
      </c>
      <c r="C54" t="inlineStr">
        <is>
          <t>Médio</t>
        </is>
      </c>
      <c r="D54" t="n">
        <v>8</v>
      </c>
      <c r="E54" s="589" t="n">
        <v>3850</v>
      </c>
      <c r="F54" s="589" t="n">
        <v>481.3</v>
      </c>
      <c r="G54" s="589" t="n">
        <v>303.6</v>
      </c>
      <c r="H54" s="590" t="n">
        <v>1.585</v>
      </c>
      <c r="I54" s="589" t="n">
        <v>6102.2</v>
      </c>
      <c r="J54" t="inlineStr">
        <is>
          <t>ATENCAO</t>
        </is>
      </c>
      <c r="K54" t="inlineStr">
        <is>
          <t>ATENCAO</t>
        </is>
      </c>
      <c r="L54" t="inlineStr">
        <is>
          <t>ATENCAO</t>
        </is>
      </c>
    </row>
    <row r="55">
      <c r="A55" t="n">
        <v>9</v>
      </c>
      <c r="B55" t="inlineStr">
        <is>
          <t>Varela</t>
        </is>
      </c>
      <c r="C55" t="inlineStr">
        <is>
          <t>Lateral</t>
        </is>
      </c>
      <c r="D55" t="n">
        <v>8</v>
      </c>
      <c r="E55" s="589" t="n">
        <v>3512</v>
      </c>
      <c r="F55" s="589" t="n">
        <v>439</v>
      </c>
      <c r="G55" s="589" t="n">
        <v>268.5</v>
      </c>
      <c r="H55" s="590" t="n">
        <v>1.635</v>
      </c>
      <c r="I55" s="589" t="n">
        <v>5741.5</v>
      </c>
      <c r="J55" t="inlineStr">
        <is>
          <t>ATENCAO</t>
        </is>
      </c>
      <c r="K55" t="inlineStr">
        <is>
          <t>OK</t>
        </is>
      </c>
      <c r="L55" t="inlineStr">
        <is>
          <t>ATENCAO</t>
        </is>
      </c>
    </row>
    <row r="56">
      <c r="A56" t="n">
        <v>10</v>
      </c>
      <c r="B56" t="inlineStr">
        <is>
          <t>Artur</t>
        </is>
      </c>
      <c r="C56" t="inlineStr">
        <is>
          <t>Médio</t>
        </is>
      </c>
      <c r="D56" t="n">
        <v>5</v>
      </c>
      <c r="E56" s="589" t="n">
        <v>2766</v>
      </c>
      <c r="F56" s="589" t="n">
        <v>553.2</v>
      </c>
      <c r="G56" s="589" t="n">
        <v>201</v>
      </c>
      <c r="H56" s="590" t="n">
        <v>2.752</v>
      </c>
      <c r="I56" s="589" t="n">
        <v>7611.6</v>
      </c>
      <c r="J56" t="inlineStr">
        <is>
          <t>ALTO</t>
        </is>
      </c>
      <c r="K56" t="inlineStr">
        <is>
          <t>ATENCAO</t>
        </is>
      </c>
      <c r="L56" t="inlineStr">
        <is>
          <t>ALTO</t>
        </is>
      </c>
    </row>
    <row r="57">
      <c r="A57" t="n">
        <v>10</v>
      </c>
      <c r="B57" t="inlineStr">
        <is>
          <t>Capitulo</t>
        </is>
      </c>
      <c r="C57" t="inlineStr">
        <is>
          <t>Lateral</t>
        </is>
      </c>
      <c r="D57" t="n">
        <v>5</v>
      </c>
      <c r="E57" s="589" t="n">
        <v>2852</v>
      </c>
      <c r="F57" s="589" t="n">
        <v>570.4</v>
      </c>
      <c r="G57" s="589" t="n">
        <v>234.1</v>
      </c>
      <c r="H57" s="590" t="n">
        <v>2.436</v>
      </c>
      <c r="I57" s="589" t="n">
        <v>6947.8</v>
      </c>
      <c r="J57" t="inlineStr">
        <is>
          <t>ALTO</t>
        </is>
      </c>
      <c r="K57" t="inlineStr">
        <is>
          <t>ATENCAO</t>
        </is>
      </c>
      <c r="L57" t="inlineStr">
        <is>
          <t>ALTO</t>
        </is>
      </c>
    </row>
    <row r="58">
      <c r="A58" t="n">
        <v>10</v>
      </c>
      <c r="B58" t="inlineStr">
        <is>
          <t>Edu</t>
        </is>
      </c>
      <c r="C58" t="inlineStr">
        <is>
          <t>Lateral</t>
        </is>
      </c>
      <c r="D58" t="n">
        <v>5</v>
      </c>
      <c r="E58" s="589" t="n">
        <v>2878</v>
      </c>
      <c r="F58" s="589" t="n">
        <v>575.6</v>
      </c>
      <c r="G58" s="589" t="n">
        <v>244.8</v>
      </c>
      <c r="H58" s="590" t="n">
        <v>2.352</v>
      </c>
      <c r="I58" s="589" t="n">
        <v>6768.2</v>
      </c>
      <c r="J58" t="inlineStr">
        <is>
          <t>ALTO</t>
        </is>
      </c>
      <c r="K58" t="inlineStr">
        <is>
          <t>ATENCAO</t>
        </is>
      </c>
      <c r="L58" t="inlineStr">
        <is>
          <t>ALTO</t>
        </is>
      </c>
    </row>
    <row r="59">
      <c r="A59" t="n">
        <v>10</v>
      </c>
      <c r="B59" t="inlineStr">
        <is>
          <t>Enzo Hugo</t>
        </is>
      </c>
      <c r="C59" t="inlineStr">
        <is>
          <t>Central</t>
        </is>
      </c>
      <c r="D59" t="n">
        <v>5</v>
      </c>
      <c r="E59" s="589" t="n">
        <v>3039</v>
      </c>
      <c r="F59" s="589" t="n">
        <v>607.8</v>
      </c>
      <c r="G59" s="589" t="n">
        <v>240.6</v>
      </c>
      <c r="H59" s="590" t="n">
        <v>2.526</v>
      </c>
      <c r="I59" s="589" t="n">
        <v>7676.3</v>
      </c>
      <c r="J59" t="inlineStr">
        <is>
          <t>ALTO</t>
        </is>
      </c>
      <c r="K59" t="inlineStr">
        <is>
          <t>ATENCAO</t>
        </is>
      </c>
      <c r="L59" t="inlineStr">
        <is>
          <t>ALTO</t>
        </is>
      </c>
    </row>
    <row r="60">
      <c r="A60" t="n">
        <v>10</v>
      </c>
      <c r="B60" t="inlineStr">
        <is>
          <t>Gomes</t>
        </is>
      </c>
      <c r="C60" t="inlineStr">
        <is>
          <t>Médio</t>
        </is>
      </c>
      <c r="D60" t="n">
        <v>5</v>
      </c>
      <c r="E60" s="589" t="n">
        <v>2838</v>
      </c>
      <c r="F60" s="589" t="n">
        <v>567.6</v>
      </c>
      <c r="G60" s="589" t="n">
        <v>218.3</v>
      </c>
      <c r="H60" s="590" t="n">
        <v>2.601</v>
      </c>
      <c r="I60" s="589" t="n">
        <v>7380.4</v>
      </c>
      <c r="J60" t="inlineStr">
        <is>
          <t>ALTO</t>
        </is>
      </c>
      <c r="K60" t="inlineStr">
        <is>
          <t>ATENCAO</t>
        </is>
      </c>
      <c r="L60" t="inlineStr">
        <is>
          <t>ALTO</t>
        </is>
      </c>
    </row>
    <row r="61">
      <c r="A61" t="n">
        <v>10</v>
      </c>
      <c r="B61" t="inlineStr">
        <is>
          <t>Nogueira</t>
        </is>
      </c>
      <c r="C61" t="inlineStr">
        <is>
          <t>Central</t>
        </is>
      </c>
      <c r="D61" t="n">
        <v>5</v>
      </c>
      <c r="E61" s="589" t="n">
        <v>2852</v>
      </c>
      <c r="F61" s="589" t="n">
        <v>570.4</v>
      </c>
      <c r="G61" s="589" t="n">
        <v>236.1</v>
      </c>
      <c r="H61" s="590" t="n">
        <v>2.416</v>
      </c>
      <c r="I61" s="589" t="n">
        <v>6889.2</v>
      </c>
      <c r="J61" t="inlineStr">
        <is>
          <t>ALTO</t>
        </is>
      </c>
      <c r="K61" t="inlineStr">
        <is>
          <t>ATENCAO</t>
        </is>
      </c>
      <c r="L61" t="inlineStr">
        <is>
          <t>ALTO</t>
        </is>
      </c>
    </row>
    <row r="62">
      <c r="A62" t="n">
        <v>10</v>
      </c>
      <c r="B62" t="inlineStr">
        <is>
          <t>Paulino</t>
        </is>
      </c>
      <c r="C62" t="inlineStr">
        <is>
          <t>Médio</t>
        </is>
      </c>
      <c r="D62" t="n">
        <v>5</v>
      </c>
      <c r="E62" s="589" t="n">
        <v>2766</v>
      </c>
      <c r="F62" s="589" t="n">
        <v>553.2</v>
      </c>
      <c r="G62" s="589" t="n">
        <v>233.7</v>
      </c>
      <c r="H62" s="590" t="n">
        <v>2.367</v>
      </c>
      <c r="I62" s="589" t="n">
        <v>6546.6</v>
      </c>
      <c r="J62" t="inlineStr">
        <is>
          <t>ALTO</t>
        </is>
      </c>
      <c r="K62" t="inlineStr">
        <is>
          <t>ATENCAO</t>
        </is>
      </c>
      <c r="L62" t="inlineStr">
        <is>
          <t>ALTO</t>
        </is>
      </c>
    </row>
    <row r="63">
      <c r="A63" t="n">
        <v>10</v>
      </c>
      <c r="B63" t="inlineStr">
        <is>
          <t>Sá</t>
        </is>
      </c>
      <c r="C63" t="inlineStr">
        <is>
          <t>Médio</t>
        </is>
      </c>
      <c r="D63" t="n">
        <v>5</v>
      </c>
      <c r="E63" s="589" t="n">
        <v>2621</v>
      </c>
      <c r="F63" s="589" t="n">
        <v>524.2</v>
      </c>
      <c r="G63" s="589" t="n">
        <v>198.8</v>
      </c>
      <c r="H63" s="590" t="n">
        <v>2.637</v>
      </c>
      <c r="I63" s="589" t="n">
        <v>6911.6</v>
      </c>
      <c r="J63" t="inlineStr">
        <is>
          <t>ALTO</t>
        </is>
      </c>
      <c r="K63" t="inlineStr">
        <is>
          <t>ATENCAO</t>
        </is>
      </c>
      <c r="L63" t="inlineStr">
        <is>
          <t>ALTO</t>
        </is>
      </c>
    </row>
    <row r="64">
      <c r="A64" t="n">
        <v>10</v>
      </c>
      <c r="B64" t="inlineStr">
        <is>
          <t>Varela</t>
        </is>
      </c>
      <c r="C64" t="inlineStr">
        <is>
          <t>Lateral</t>
        </is>
      </c>
      <c r="D64" t="n">
        <v>5</v>
      </c>
      <c r="E64" s="589" t="n">
        <v>2622</v>
      </c>
      <c r="F64" s="589" t="n">
        <v>524.4</v>
      </c>
      <c r="G64" s="589" t="n">
        <v>174.7</v>
      </c>
      <c r="H64" s="590" t="n">
        <v>3.001</v>
      </c>
      <c r="I64" s="589" t="n">
        <v>7869.2</v>
      </c>
      <c r="J64" t="inlineStr">
        <is>
          <t>ALTO</t>
        </is>
      </c>
      <c r="K64" t="inlineStr">
        <is>
          <t>ATENCAO</t>
        </is>
      </c>
      <c r="L64" t="inlineStr">
        <is>
          <t>ALTO</t>
        </is>
      </c>
    </row>
    <row r="65">
      <c r="E65" s="589" t="n"/>
      <c r="F65" s="589" t="n"/>
      <c r="G65" s="589" t="n"/>
      <c r="H65" s="590" t="n"/>
      <c r="I65" s="589" t="n"/>
    </row>
    <row r="66">
      <c r="E66" s="589" t="n"/>
      <c r="F66" s="589" t="n"/>
      <c r="G66" s="589" t="n"/>
      <c r="H66" s="590" t="n"/>
      <c r="I66" s="589" t="n"/>
    </row>
    <row r="67">
      <c r="E67" s="589" t="n"/>
      <c r="F67" s="589" t="n"/>
      <c r="G67" s="589" t="n"/>
      <c r="H67" s="590" t="n"/>
      <c r="I67" s="589" t="n"/>
    </row>
    <row r="68">
      <c r="E68" s="589" t="n"/>
      <c r="F68" s="589" t="n"/>
      <c r="G68" s="589" t="n"/>
      <c r="H68" s="590" t="n"/>
      <c r="I68" s="589" t="n"/>
    </row>
    <row r="69">
      <c r="E69" s="589" t="n"/>
      <c r="F69" s="589" t="n"/>
      <c r="G69" s="589" t="n"/>
      <c r="H69" s="590" t="n"/>
      <c r="I69" s="589" t="n"/>
    </row>
    <row r="70">
      <c r="E70" s="589" t="n"/>
      <c r="F70" s="589" t="n"/>
      <c r="G70" s="589" t="n"/>
      <c r="H70" s="590" t="n"/>
      <c r="I70" s="589" t="n"/>
    </row>
    <row r="71">
      <c r="E71" s="589" t="n"/>
      <c r="F71" s="589" t="n"/>
      <c r="G71" s="589" t="n"/>
      <c r="H71" s="590" t="n"/>
      <c r="I71" s="589" t="n"/>
    </row>
    <row r="72">
      <c r="E72" s="589" t="n"/>
      <c r="F72" s="589" t="n"/>
      <c r="G72" s="589" t="n"/>
      <c r="H72" s="590" t="n"/>
      <c r="I72" s="589" t="n"/>
    </row>
    <row r="73">
      <c r="E73" s="589" t="n"/>
      <c r="F73" s="589" t="n"/>
      <c r="G73" s="589" t="n"/>
      <c r="H73" s="590" t="n"/>
      <c r="I73" s="589" t="n"/>
    </row>
    <row r="74">
      <c r="E74" s="589" t="n"/>
      <c r="F74" s="589" t="n"/>
      <c r="G74" s="589" t="n"/>
      <c r="H74" s="590" t="n"/>
      <c r="I74" s="589" t="n"/>
    </row>
    <row r="75">
      <c r="E75" s="589" t="n"/>
      <c r="F75" s="589" t="n"/>
      <c r="G75" s="589" t="n"/>
      <c r="H75" s="590" t="n"/>
      <c r="I75" s="589" t="n"/>
    </row>
    <row r="76">
      <c r="E76" s="589" t="n"/>
      <c r="F76" s="589" t="n"/>
      <c r="G76" s="589" t="n"/>
      <c r="H76" s="590" t="n"/>
      <c r="I76" s="589" t="n"/>
    </row>
    <row r="77">
      <c r="E77" s="589" t="n"/>
      <c r="F77" s="589" t="n"/>
      <c r="G77" s="589" t="n"/>
      <c r="H77" s="590" t="n"/>
      <c r="I77" s="589" t="n"/>
    </row>
    <row r="78">
      <c r="E78" s="589" t="n"/>
      <c r="F78" s="589" t="n"/>
      <c r="G78" s="589" t="n"/>
      <c r="H78" s="590" t="n"/>
      <c r="I78" s="589" t="n"/>
    </row>
    <row r="79">
      <c r="E79" s="589" t="n"/>
      <c r="F79" s="589" t="n"/>
      <c r="G79" s="589" t="n"/>
      <c r="H79" s="590" t="n"/>
      <c r="I79" s="589" t="n"/>
    </row>
    <row r="80">
      <c r="E80" s="589" t="n"/>
      <c r="F80" s="589" t="n"/>
      <c r="G80" s="589" t="n"/>
      <c r="H80" s="590" t="n"/>
      <c r="I80" s="589" t="n"/>
    </row>
    <row r="81">
      <c r="E81" s="589" t="n"/>
      <c r="F81" s="589" t="n"/>
      <c r="G81" s="589" t="n"/>
      <c r="H81" s="590" t="n"/>
      <c r="I81" s="589" t="n"/>
    </row>
    <row r="82">
      <c r="E82" s="589" t="n"/>
      <c r="F82" s="589" t="n"/>
      <c r="G82" s="589" t="n"/>
      <c r="H82" s="590" t="n"/>
      <c r="I82" s="589" t="n"/>
    </row>
    <row r="83">
      <c r="E83" s="589" t="n"/>
      <c r="F83" s="589" t="n"/>
      <c r="G83" s="589" t="n"/>
      <c r="H83" s="590" t="n"/>
      <c r="I83" s="589" t="n"/>
    </row>
    <row r="84">
      <c r="E84" s="589" t="n"/>
      <c r="F84" s="589" t="n"/>
      <c r="G84" s="589" t="n"/>
      <c r="H84" s="590" t="n"/>
      <c r="I84" s="589" t="n"/>
    </row>
    <row r="85">
      <c r="E85" s="589" t="n"/>
      <c r="F85" s="589" t="n"/>
      <c r="G85" s="589" t="n"/>
      <c r="H85" s="590" t="n"/>
      <c r="I85" s="589" t="n"/>
    </row>
    <row r="86">
      <c r="E86" s="589" t="n"/>
      <c r="F86" s="589" t="n"/>
      <c r="G86" s="589" t="n"/>
      <c r="H86" s="590" t="n"/>
      <c r="I86" s="589" t="n"/>
    </row>
    <row r="87">
      <c r="E87" s="589" t="n"/>
      <c r="F87" s="589" t="n"/>
      <c r="G87" s="589" t="n"/>
      <c r="H87" s="590" t="n"/>
      <c r="I87" s="589" t="n"/>
    </row>
    <row r="88">
      <c r="E88" s="589" t="n"/>
      <c r="F88" s="589" t="n"/>
      <c r="G88" s="589" t="n"/>
      <c r="H88" s="590" t="n"/>
      <c r="I88" s="589" t="n"/>
    </row>
    <row r="89">
      <c r="E89" s="589" t="n"/>
      <c r="F89" s="589" t="n"/>
      <c r="G89" s="589" t="n"/>
      <c r="H89" s="590" t="n"/>
      <c r="I89" s="589" t="n"/>
    </row>
    <row r="90">
      <c r="E90" s="589" t="n"/>
      <c r="F90" s="589" t="n"/>
      <c r="G90" s="589" t="n"/>
      <c r="H90" s="590" t="n"/>
      <c r="I90" s="589" t="n"/>
    </row>
    <row r="91">
      <c r="E91" s="589" t="n"/>
      <c r="F91" s="589" t="n"/>
      <c r="G91" s="589" t="n"/>
      <c r="H91" s="590" t="n"/>
      <c r="I91" s="589" t="n"/>
    </row>
    <row r="92">
      <c r="E92" s="589" t="n"/>
      <c r="F92" s="589" t="n"/>
      <c r="G92" s="589" t="n"/>
      <c r="H92" s="590" t="n"/>
      <c r="I92" s="589" t="n"/>
    </row>
    <row r="93">
      <c r="E93" s="589" t="n"/>
      <c r="F93" s="589" t="n"/>
      <c r="G93" s="589" t="n"/>
      <c r="H93" s="590" t="n"/>
      <c r="I93" s="589" t="n"/>
    </row>
    <row r="94">
      <c r="E94" s="589" t="n"/>
      <c r="F94" s="589" t="n"/>
      <c r="G94" s="589" t="n"/>
      <c r="H94" s="590" t="n"/>
      <c r="I94" s="589" t="n"/>
    </row>
    <row r="95">
      <c r="E95" s="589" t="n"/>
      <c r="F95" s="589" t="n"/>
      <c r="G95" s="589" t="n"/>
      <c r="H95" s="590" t="n"/>
      <c r="I95" s="589" t="n"/>
    </row>
    <row r="96">
      <c r="E96" s="589" t="n"/>
      <c r="F96" s="589" t="n"/>
      <c r="G96" s="589" t="n"/>
      <c r="H96" s="590" t="n"/>
      <c r="I96" s="589" t="n"/>
    </row>
    <row r="97">
      <c r="E97" s="589" t="n"/>
      <c r="F97" s="589" t="n"/>
      <c r="G97" s="589" t="n"/>
      <c r="H97" s="590" t="n"/>
      <c r="I97" s="589" t="n"/>
    </row>
    <row r="98">
      <c r="E98" s="589" t="n"/>
      <c r="F98" s="589" t="n"/>
      <c r="G98" s="589" t="n"/>
      <c r="H98" s="590" t="n"/>
      <c r="I98" s="589" t="n"/>
    </row>
    <row r="99">
      <c r="E99" s="589" t="n"/>
      <c r="F99" s="589" t="n"/>
      <c r="G99" s="589" t="n"/>
      <c r="H99" s="590" t="n"/>
      <c r="I99" s="589" t="n"/>
    </row>
    <row r="100">
      <c r="E100" s="589" t="n"/>
      <c r="F100" s="589" t="n"/>
      <c r="G100" s="589" t="n"/>
      <c r="H100" s="590" t="n"/>
      <c r="I100" s="589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6.5703125" bestFit="1" customWidth="1" min="2" max="2"/>
    <col width="10.85546875" bestFit="1" customWidth="1" min="3" max="3"/>
    <col width="12.28515625" bestFit="1" customWidth="1" min="4" max="4"/>
    <col width="17.7109375" bestFit="1" customWidth="1" min="5" max="5"/>
    <col width="16.85546875" bestFit="1" customWidth="1" min="6" max="6"/>
    <col width="12.140625" bestFit="1" customWidth="1" min="7" max="7"/>
    <col width="13.85546875" bestFit="1" customWidth="1" min="8" max="8"/>
    <col width="8.85546875" bestFit="1" customWidth="1" min="9" max="9"/>
    <col width="15.42578125" bestFit="1" customWidth="1" min="12" max="12"/>
    <col width="16.42578125" bestFit="1" customWidth="1" min="13" max="13"/>
    <col width="14.42578125" bestFit="1" customWidth="1" min="14" max="14"/>
    <col width="19.140625" bestFit="1" customWidth="1" min="15" max="15"/>
    <col width="14" bestFit="1" customWidth="1" min="16" max="16"/>
  </cols>
  <sheetData>
    <row r="1">
      <c r="A1" s="120" t="inlineStr">
        <is>
          <t>Microciclo_Nr</t>
        </is>
      </c>
      <c r="B1" s="120" t="inlineStr">
        <is>
          <t>Tipo</t>
        </is>
      </c>
      <c r="C1" s="120" t="inlineStr">
        <is>
          <t>N_Sessoes</t>
        </is>
      </c>
      <c r="D1" s="120" t="inlineStr">
        <is>
          <t>N_Jogadores</t>
        </is>
      </c>
      <c r="E1" s="120" t="inlineStr">
        <is>
          <t>Med_Duracao_min</t>
        </is>
      </c>
      <c r="F1" s="120" t="inlineStr">
        <is>
          <t>Med_Distancia_m</t>
        </is>
      </c>
      <c r="G1" s="120" t="inlineStr">
        <is>
          <t>Med_HSR_m</t>
        </is>
      </c>
      <c r="H1" s="120" t="inlineStr">
        <is>
          <t>Med_Sprint_m</t>
        </is>
      </c>
      <c r="I1" s="120" t="inlineStr">
        <is>
          <t>Med_Acc</t>
        </is>
      </c>
      <c r="J1" s="120" t="inlineStr">
        <is>
          <t>Med_Dcc</t>
        </is>
      </c>
      <c r="K1" s="120" t="inlineStr">
        <is>
          <t>Med_PSE</t>
        </is>
      </c>
      <c r="L1" s="120" t="inlineStr">
        <is>
          <t>Med_Vmax_kmh</t>
        </is>
      </c>
      <c r="M1" s="120" t="inlineStr">
        <is>
          <t>Med_90pct_Vmax</t>
        </is>
      </c>
      <c r="N1" s="120" t="inlineStr">
        <is>
          <t>Carga_Total_CI</t>
        </is>
      </c>
      <c r="O1" s="120" t="inlineStr">
        <is>
          <t>Delta_Distancia_pct</t>
        </is>
      </c>
      <c r="P1" s="120" t="inlineStr">
        <is>
          <t>Delta_PSE_pct</t>
        </is>
      </c>
    </row>
    <row r="2">
      <c r="A2" t="n">
        <v>4</v>
      </c>
      <c r="B2" t="inlineStr">
        <is>
          <t>Todos</t>
        </is>
      </c>
      <c r="C2" t="n">
        <v>45</v>
      </c>
      <c r="D2" t="n">
        <v>9</v>
      </c>
      <c r="E2" s="589" t="n">
        <v>83.09999999999999</v>
      </c>
      <c r="F2" s="589" t="n">
        <v>8823.4</v>
      </c>
      <c r="G2" s="589" t="n">
        <v>302.8</v>
      </c>
      <c r="H2" s="589" t="n">
        <v>97</v>
      </c>
      <c r="I2" s="589" t="n">
        <v>70</v>
      </c>
      <c r="J2" s="589" t="n">
        <v>75.3</v>
      </c>
      <c r="K2" s="589" t="n">
        <v>6</v>
      </c>
      <c r="L2" s="589" t="n">
        <v>29.9</v>
      </c>
      <c r="M2" s="589" t="n">
        <v>4.8</v>
      </c>
      <c r="N2" s="4" t="n">
        <v>23562</v>
      </c>
      <c r="O2" s="11" t="n"/>
      <c r="P2" s="11" t="n"/>
    </row>
    <row r="3">
      <c r="A3" t="n">
        <v>4</v>
      </c>
      <c r="B3" t="inlineStr">
        <is>
          <t>Treino</t>
        </is>
      </c>
      <c r="C3" t="n">
        <v>45</v>
      </c>
      <c r="D3" t="n">
        <v>9</v>
      </c>
      <c r="E3" s="589" t="n">
        <v>83.09999999999999</v>
      </c>
      <c r="F3" s="589" t="n">
        <v>8823.4</v>
      </c>
      <c r="G3" s="589" t="n">
        <v>302.8</v>
      </c>
      <c r="H3" s="589" t="n">
        <v>97</v>
      </c>
      <c r="I3" s="589" t="n">
        <v>70</v>
      </c>
      <c r="J3" s="589" t="n">
        <v>75.3</v>
      </c>
      <c r="K3" s="589" t="n">
        <v>6</v>
      </c>
      <c r="L3" s="589" t="n">
        <v>29.9</v>
      </c>
      <c r="M3" s="589" t="n">
        <v>4.8</v>
      </c>
      <c r="N3" s="4" t="n">
        <v>23562</v>
      </c>
      <c r="O3" s="11" t="n"/>
      <c r="P3" s="11" t="n"/>
    </row>
    <row r="4">
      <c r="A4" t="n">
        <v>5</v>
      </c>
      <c r="B4" t="inlineStr">
        <is>
          <t>Todos</t>
        </is>
      </c>
      <c r="C4" t="n">
        <v>45</v>
      </c>
      <c r="D4" t="n">
        <v>9</v>
      </c>
      <c r="E4" s="589" t="n">
        <v>83.5</v>
      </c>
      <c r="F4" s="589" t="n">
        <v>8550</v>
      </c>
      <c r="G4" s="589" t="n">
        <v>294.1</v>
      </c>
      <c r="H4" s="589" t="n">
        <v>94.3</v>
      </c>
      <c r="I4" s="589" t="n">
        <v>70.40000000000001</v>
      </c>
      <c r="J4" s="589" t="n">
        <v>77.3</v>
      </c>
      <c r="K4" s="589" t="n">
        <v>5.8</v>
      </c>
      <c r="L4" s="589" t="n">
        <v>29.8</v>
      </c>
      <c r="M4" s="589" t="n">
        <v>5.1</v>
      </c>
      <c r="N4" s="4" t="n">
        <v>22396</v>
      </c>
      <c r="O4" s="11" t="n">
        <v>-0.031</v>
      </c>
      <c r="P4" s="11" t="n">
        <v>-0.048</v>
      </c>
    </row>
    <row r="5">
      <c r="A5" t="n">
        <v>5</v>
      </c>
      <c r="B5" t="inlineStr">
        <is>
          <t>Treino</t>
        </is>
      </c>
      <c r="C5" t="n">
        <v>45</v>
      </c>
      <c r="D5" t="n">
        <v>9</v>
      </c>
      <c r="E5" s="589" t="n">
        <v>83.5</v>
      </c>
      <c r="F5" s="589" t="n">
        <v>8550</v>
      </c>
      <c r="G5" s="589" t="n">
        <v>294.1</v>
      </c>
      <c r="H5" s="589" t="n">
        <v>94.3</v>
      </c>
      <c r="I5" s="589" t="n">
        <v>70.40000000000001</v>
      </c>
      <c r="J5" s="589" t="n">
        <v>77.3</v>
      </c>
      <c r="K5" s="589" t="n">
        <v>5.8</v>
      </c>
      <c r="L5" s="589" t="n">
        <v>29.8</v>
      </c>
      <c r="M5" s="589" t="n">
        <v>5.1</v>
      </c>
      <c r="N5" s="4" t="n">
        <v>22396</v>
      </c>
      <c r="O5" s="11" t="n">
        <v>-0.031</v>
      </c>
      <c r="P5" s="11" t="n">
        <v>-0.048</v>
      </c>
    </row>
    <row r="6">
      <c r="A6" t="n">
        <v>6</v>
      </c>
      <c r="B6" t="inlineStr">
        <is>
          <t>Todos</t>
        </is>
      </c>
      <c r="C6" t="n">
        <v>45</v>
      </c>
      <c r="D6" t="n">
        <v>9</v>
      </c>
      <c r="E6" s="589" t="n">
        <v>83.40000000000001</v>
      </c>
      <c r="F6" s="589" t="n">
        <v>8426.700000000001</v>
      </c>
      <c r="G6" s="589" t="n">
        <v>293.4</v>
      </c>
      <c r="H6" s="589" t="n">
        <v>96.09999999999999</v>
      </c>
      <c r="I6" s="589" t="n">
        <v>70.90000000000001</v>
      </c>
      <c r="J6" s="589" t="n">
        <v>78.8</v>
      </c>
      <c r="K6" s="589" t="n">
        <v>6.2</v>
      </c>
      <c r="L6" s="589" t="n">
        <v>29.9</v>
      </c>
      <c r="M6" s="589" t="n">
        <v>4.9</v>
      </c>
      <c r="N6" s="4" t="n">
        <v>24075</v>
      </c>
      <c r="O6" s="11" t="n">
        <v>-0.014</v>
      </c>
      <c r="P6" s="11" t="n">
        <v>0.06900000000000001</v>
      </c>
    </row>
    <row r="7">
      <c r="A7" t="n">
        <v>6</v>
      </c>
      <c r="B7" t="inlineStr">
        <is>
          <t>Treino</t>
        </is>
      </c>
      <c r="C7" t="n">
        <v>45</v>
      </c>
      <c r="D7" t="n">
        <v>9</v>
      </c>
      <c r="E7" s="589" t="n">
        <v>83.40000000000001</v>
      </c>
      <c r="F7" s="589" t="n">
        <v>8426.700000000001</v>
      </c>
      <c r="G7" s="589" t="n">
        <v>293.4</v>
      </c>
      <c r="H7" s="589" t="n">
        <v>96.09999999999999</v>
      </c>
      <c r="I7" s="589" t="n">
        <v>70.90000000000001</v>
      </c>
      <c r="J7" s="589" t="n">
        <v>78.8</v>
      </c>
      <c r="K7" s="589" t="n">
        <v>6.2</v>
      </c>
      <c r="L7" s="589" t="n">
        <v>29.9</v>
      </c>
      <c r="M7" s="589" t="n">
        <v>4.9</v>
      </c>
      <c r="N7" s="4" t="n">
        <v>24075</v>
      </c>
      <c r="O7" s="11" t="n">
        <v>-0.014</v>
      </c>
      <c r="P7" s="11" t="n">
        <v>0.06900000000000001</v>
      </c>
    </row>
    <row r="8">
      <c r="A8" t="n">
        <v>7</v>
      </c>
      <c r="B8" t="inlineStr">
        <is>
          <t>Todos</t>
        </is>
      </c>
      <c r="C8" t="n">
        <v>45</v>
      </c>
      <c r="D8" t="n">
        <v>9</v>
      </c>
      <c r="E8" s="589" t="n">
        <v>83.8</v>
      </c>
      <c r="F8" s="589" t="n">
        <v>8619.1</v>
      </c>
      <c r="G8" s="589" t="n">
        <v>272.3</v>
      </c>
      <c r="H8" s="589" t="n">
        <v>96.8</v>
      </c>
      <c r="I8" s="589" t="n">
        <v>70.09999999999999</v>
      </c>
      <c r="J8" s="589" t="n">
        <v>75.8</v>
      </c>
      <c r="K8" s="589" t="n">
        <v>5.8</v>
      </c>
      <c r="L8" s="589" t="n">
        <v>29.6</v>
      </c>
      <c r="M8" s="589" t="n">
        <v>5</v>
      </c>
      <c r="N8" s="4" t="n">
        <v>22693</v>
      </c>
      <c r="O8" s="11" t="n">
        <v>0.023</v>
      </c>
      <c r="P8" s="11" t="n">
        <v>-0.061</v>
      </c>
    </row>
    <row r="9">
      <c r="A9" t="n">
        <v>7</v>
      </c>
      <c r="B9" t="inlineStr">
        <is>
          <t>Treino</t>
        </is>
      </c>
      <c r="C9" t="n">
        <v>45</v>
      </c>
      <c r="D9" t="n">
        <v>9</v>
      </c>
      <c r="E9" s="589" t="n">
        <v>83.8</v>
      </c>
      <c r="F9" s="589" t="n">
        <v>8619.1</v>
      </c>
      <c r="G9" s="589" t="n">
        <v>272.3</v>
      </c>
      <c r="H9" s="589" t="n">
        <v>96.8</v>
      </c>
      <c r="I9" s="589" t="n">
        <v>70.09999999999999</v>
      </c>
      <c r="J9" s="589" t="n">
        <v>75.8</v>
      </c>
      <c r="K9" s="589" t="n">
        <v>5.8</v>
      </c>
      <c r="L9" s="589" t="n">
        <v>29.6</v>
      </c>
      <c r="M9" s="589" t="n">
        <v>5</v>
      </c>
      <c r="N9" s="4" t="n">
        <v>22693</v>
      </c>
      <c r="O9" s="11" t="n">
        <v>0.023</v>
      </c>
      <c r="P9" s="11" t="n">
        <v>-0.061</v>
      </c>
    </row>
    <row r="10">
      <c r="A10" t="n">
        <v>8</v>
      </c>
      <c r="B10" t="inlineStr">
        <is>
          <t>Jogo</t>
        </is>
      </c>
      <c r="C10" t="n">
        <v>17</v>
      </c>
      <c r="D10" t="n">
        <v>9</v>
      </c>
      <c r="E10" s="589" t="n">
        <v>91.2</v>
      </c>
      <c r="F10" s="589" t="n">
        <v>11538.2</v>
      </c>
      <c r="G10" s="589" t="n">
        <v>551.5</v>
      </c>
      <c r="H10" s="589" t="n">
        <v>225.1</v>
      </c>
      <c r="I10" s="589" t="n">
        <v>93.59999999999999</v>
      </c>
      <c r="J10" s="589" t="n">
        <v>99.8</v>
      </c>
      <c r="K10" s="589" t="n">
        <v>8.5</v>
      </c>
      <c r="L10" s="589" t="n">
        <v>31.5</v>
      </c>
      <c r="M10" s="589" t="n">
        <v>9.9</v>
      </c>
      <c r="N10" s="4" t="n">
        <v>13149</v>
      </c>
      <c r="O10" s="11" t="n"/>
      <c r="P10" s="11" t="n"/>
    </row>
    <row r="11">
      <c r="A11" t="n">
        <v>8</v>
      </c>
      <c r="B11" t="inlineStr">
        <is>
          <t>Todos</t>
        </is>
      </c>
      <c r="C11" t="n">
        <v>143</v>
      </c>
      <c r="D11" t="n">
        <v>9</v>
      </c>
      <c r="E11" s="589" t="n">
        <v>66.90000000000001</v>
      </c>
      <c r="F11" s="589" t="n">
        <v>6990.6</v>
      </c>
      <c r="G11" s="589" t="n">
        <v>238.7</v>
      </c>
      <c r="H11" s="589" t="n">
        <v>78.90000000000001</v>
      </c>
      <c r="I11" s="589" t="n">
        <v>57.7</v>
      </c>
      <c r="J11" s="589" t="n">
        <v>64.3</v>
      </c>
      <c r="K11" s="589" t="n">
        <v>4.9</v>
      </c>
      <c r="L11" s="589" t="n">
        <v>28.8</v>
      </c>
      <c r="M11" s="589" t="n">
        <v>4.5</v>
      </c>
      <c r="N11" s="4" t="n">
        <v>52467</v>
      </c>
      <c r="O11" s="11" t="n">
        <v>-0.189</v>
      </c>
      <c r="P11" s="11" t="n">
        <v>-0.159</v>
      </c>
    </row>
    <row r="12">
      <c r="A12" t="n">
        <v>8</v>
      </c>
      <c r="B12" t="inlineStr">
        <is>
          <t>Treino</t>
        </is>
      </c>
      <c r="C12" t="n">
        <v>126</v>
      </c>
      <c r="D12" t="n">
        <v>9</v>
      </c>
      <c r="E12" s="589" t="n">
        <v>63.7</v>
      </c>
      <c r="F12" s="589" t="n">
        <v>6377</v>
      </c>
      <c r="G12" s="589" t="n">
        <v>196.5</v>
      </c>
      <c r="H12" s="589" t="n">
        <v>59.2</v>
      </c>
      <c r="I12" s="589" t="n">
        <v>52.9</v>
      </c>
      <c r="J12" s="589" t="n">
        <v>59.5</v>
      </c>
      <c r="K12" s="589" t="n">
        <v>4.4</v>
      </c>
      <c r="L12" s="589" t="n">
        <v>28.5</v>
      </c>
      <c r="M12" s="589" t="n">
        <v>3.8</v>
      </c>
      <c r="N12" s="4" t="n">
        <v>39318</v>
      </c>
      <c r="O12" s="11" t="n">
        <v>-0.26</v>
      </c>
      <c r="P12" s="11" t="n">
        <v>-0.243</v>
      </c>
    </row>
    <row r="13">
      <c r="A13" t="n">
        <v>9</v>
      </c>
      <c r="B13" t="inlineStr">
        <is>
          <t>Jogo</t>
        </is>
      </c>
      <c r="C13" t="n">
        <v>9</v>
      </c>
      <c r="D13" t="n">
        <v>9</v>
      </c>
      <c r="E13" s="589" t="n">
        <v>87.40000000000001</v>
      </c>
      <c r="F13" s="589" t="n">
        <v>11597.3</v>
      </c>
      <c r="G13" s="589" t="n">
        <v>576.9</v>
      </c>
      <c r="H13" s="589" t="n">
        <v>215.4</v>
      </c>
      <c r="I13" s="589" t="n">
        <v>84.59999999999999</v>
      </c>
      <c r="J13" s="589" t="n">
        <v>89.3</v>
      </c>
      <c r="K13" s="589" t="n">
        <v>10</v>
      </c>
      <c r="L13" s="589" t="n">
        <v>32.6</v>
      </c>
      <c r="M13" s="589" t="n">
        <v>6.7</v>
      </c>
      <c r="N13" s="4" t="n">
        <v>7870</v>
      </c>
      <c r="O13" s="11" t="n">
        <v>0.005</v>
      </c>
      <c r="P13" s="11" t="n">
        <v>0.181</v>
      </c>
    </row>
    <row r="14">
      <c r="A14" t="n">
        <v>9</v>
      </c>
      <c r="B14" t="inlineStr">
        <is>
          <t>Todos</t>
        </is>
      </c>
      <c r="C14" t="n">
        <v>82</v>
      </c>
      <c r="D14" t="n">
        <v>9</v>
      </c>
      <c r="E14" s="589" t="n">
        <v>77.2</v>
      </c>
      <c r="F14" s="589" t="n">
        <v>8376.5</v>
      </c>
      <c r="G14" s="589" t="n">
        <v>286.8</v>
      </c>
      <c r="H14" s="589" t="n">
        <v>94.7</v>
      </c>
      <c r="I14" s="589" t="n">
        <v>65.40000000000001</v>
      </c>
      <c r="J14" s="589" t="n">
        <v>70.7</v>
      </c>
      <c r="K14" s="589" t="n">
        <v>5.9</v>
      </c>
      <c r="L14" s="589" t="n">
        <v>29.1</v>
      </c>
      <c r="M14" s="589" t="n">
        <v>4.9</v>
      </c>
      <c r="N14" s="4" t="n">
        <v>40691</v>
      </c>
      <c r="O14" s="11" t="n">
        <v>0.198</v>
      </c>
      <c r="P14" s="11" t="n">
        <v>0.204</v>
      </c>
    </row>
    <row r="15">
      <c r="A15" t="n">
        <v>9</v>
      </c>
      <c r="B15" t="inlineStr">
        <is>
          <t>Treino</t>
        </is>
      </c>
      <c r="C15" t="n">
        <v>73</v>
      </c>
      <c r="D15" t="n">
        <v>9</v>
      </c>
      <c r="E15" s="589" t="n">
        <v>75.90000000000001</v>
      </c>
      <c r="F15" s="589" t="n">
        <v>7979.5</v>
      </c>
      <c r="G15" s="589" t="n">
        <v>251</v>
      </c>
      <c r="H15" s="589" t="n">
        <v>79.8</v>
      </c>
      <c r="I15" s="589" t="n">
        <v>63.1</v>
      </c>
      <c r="J15" s="589" t="n">
        <v>68.40000000000001</v>
      </c>
      <c r="K15" s="589" t="n">
        <v>5.3</v>
      </c>
      <c r="L15" s="589" t="n">
        <v>28.7</v>
      </c>
      <c r="M15" s="589" t="n">
        <v>4.6</v>
      </c>
      <c r="N15" s="4" t="n">
        <v>32821</v>
      </c>
      <c r="O15" s="11" t="n">
        <v>0.251</v>
      </c>
      <c r="P15" s="11" t="n">
        <v>0.222</v>
      </c>
    </row>
    <row r="16">
      <c r="A16" t="n">
        <v>10</v>
      </c>
      <c r="B16" t="inlineStr">
        <is>
          <t>Jogo</t>
        </is>
      </c>
      <c r="C16" t="n">
        <v>9</v>
      </c>
      <c r="D16" t="n">
        <v>9</v>
      </c>
      <c r="E16" s="589" t="n">
        <v>89.59999999999999</v>
      </c>
      <c r="F16" s="589" t="n">
        <v>11261.4</v>
      </c>
      <c r="G16" s="589" t="n">
        <v>576.6</v>
      </c>
      <c r="H16" s="589" t="n">
        <v>220.6</v>
      </c>
      <c r="I16" s="589" t="n">
        <v>82.7</v>
      </c>
      <c r="J16" s="589" t="n">
        <v>88</v>
      </c>
      <c r="K16" s="589" t="n">
        <v>10</v>
      </c>
      <c r="L16" s="589" t="n">
        <v>32.1</v>
      </c>
      <c r="M16" s="589" t="n">
        <v>6.3</v>
      </c>
      <c r="N16" s="4" t="n">
        <v>8060</v>
      </c>
      <c r="O16" s="11" t="n">
        <v>-0.029</v>
      </c>
      <c r="P16" s="11" t="n">
        <v>0</v>
      </c>
    </row>
    <row r="17">
      <c r="A17" t="n">
        <v>10</v>
      </c>
      <c r="B17" t="inlineStr">
        <is>
          <t>Todos</t>
        </is>
      </c>
      <c r="C17" t="n">
        <v>54</v>
      </c>
      <c r="D17" t="n">
        <v>9</v>
      </c>
      <c r="E17" s="589" t="n">
        <v>83.09999999999999</v>
      </c>
      <c r="F17" s="589" t="n">
        <v>9196.5</v>
      </c>
      <c r="G17" s="589" t="n">
        <v>342</v>
      </c>
      <c r="H17" s="589" t="n">
        <v>117.7</v>
      </c>
      <c r="I17" s="589" t="n">
        <v>73.2</v>
      </c>
      <c r="J17" s="589" t="n">
        <v>78.09999999999999</v>
      </c>
      <c r="K17" s="589" t="n">
        <v>7.1</v>
      </c>
      <c r="L17" s="589" t="n">
        <v>29.9</v>
      </c>
      <c r="M17" s="589" t="n">
        <v>5.6</v>
      </c>
      <c r="N17" s="4" t="n">
        <v>33294</v>
      </c>
      <c r="O17" s="11" t="n">
        <v>0.098</v>
      </c>
      <c r="P17" s="11" t="n">
        <v>0.221</v>
      </c>
    </row>
    <row r="18">
      <c r="A18" t="n">
        <v>10</v>
      </c>
      <c r="B18" t="inlineStr">
        <is>
          <t>Treino</t>
        </is>
      </c>
      <c r="C18" t="n">
        <v>45</v>
      </c>
      <c r="D18" t="n">
        <v>9</v>
      </c>
      <c r="E18" s="589" t="n">
        <v>81.8</v>
      </c>
      <c r="F18" s="589" t="n">
        <v>8783.6</v>
      </c>
      <c r="G18" s="589" t="n">
        <v>295</v>
      </c>
      <c r="H18" s="589" t="n">
        <v>97.09999999999999</v>
      </c>
      <c r="I18" s="589" t="n">
        <v>71.40000000000001</v>
      </c>
      <c r="J18" s="589" t="n">
        <v>76.09999999999999</v>
      </c>
      <c r="K18" s="589" t="n">
        <v>6.6</v>
      </c>
      <c r="L18" s="589" t="n">
        <v>29.4</v>
      </c>
      <c r="M18" s="589" t="n">
        <v>5.5</v>
      </c>
      <c r="N18" s="4" t="n">
        <v>25234</v>
      </c>
      <c r="O18" s="11" t="n">
        <v>0.101</v>
      </c>
      <c r="P18" s="11" t="n">
        <v>0.231</v>
      </c>
    </row>
    <row r="19">
      <c r="E19" s="589" t="n"/>
      <c r="F19" s="589" t="n"/>
      <c r="G19" s="589" t="n"/>
      <c r="H19" s="589" t="n"/>
      <c r="I19" s="589" t="n"/>
      <c r="J19" s="589" t="n"/>
      <c r="K19" s="589" t="n"/>
      <c r="L19" s="589" t="n"/>
      <c r="M19" s="589" t="n"/>
      <c r="N19" s="4" t="n"/>
      <c r="O19" s="11" t="n"/>
      <c r="P19" s="11" t="n"/>
    </row>
    <row r="20">
      <c r="E20" s="589" t="n"/>
      <c r="F20" s="589" t="n"/>
      <c r="G20" s="589" t="n"/>
      <c r="H20" s="589" t="n"/>
      <c r="I20" s="589" t="n"/>
      <c r="J20" s="589" t="n"/>
      <c r="K20" s="589" t="n"/>
      <c r="L20" s="589" t="n"/>
      <c r="M20" s="589" t="n"/>
      <c r="N20" s="4" t="n"/>
      <c r="O20" s="11" t="n"/>
      <c r="P20" s="11" t="n"/>
    </row>
    <row r="21">
      <c r="E21" s="589" t="n"/>
      <c r="F21" s="589" t="n"/>
      <c r="G21" s="589" t="n"/>
      <c r="H21" s="589" t="n"/>
      <c r="I21" s="589" t="n"/>
      <c r="J21" s="589" t="n"/>
      <c r="K21" s="589" t="n"/>
      <c r="L21" s="589" t="n"/>
      <c r="M21" s="589" t="n"/>
      <c r="N21" s="4" t="n"/>
      <c r="O21" s="11" t="n"/>
      <c r="P21" s="11" t="n"/>
    </row>
    <row r="22">
      <c r="E22" s="589" t="n"/>
      <c r="F22" s="589" t="n"/>
      <c r="G22" s="589" t="n"/>
      <c r="H22" s="589" t="n"/>
      <c r="I22" s="589" t="n"/>
      <c r="J22" s="589" t="n"/>
      <c r="K22" s="589" t="n"/>
      <c r="L22" s="589" t="n"/>
      <c r="M22" s="589" t="n"/>
      <c r="N22" s="4" t="n"/>
      <c r="O22" s="11" t="n"/>
      <c r="P22" s="11" t="n"/>
    </row>
    <row r="23">
      <c r="E23" s="589" t="n"/>
      <c r="F23" s="589" t="n"/>
      <c r="G23" s="589" t="n"/>
      <c r="H23" s="589" t="n"/>
      <c r="I23" s="589" t="n"/>
      <c r="J23" s="589" t="n"/>
      <c r="K23" s="589" t="n"/>
      <c r="L23" s="589" t="n"/>
      <c r="M23" s="589" t="n"/>
      <c r="N23" s="4" t="n"/>
      <c r="O23" s="11" t="n"/>
      <c r="P23" s="11" t="n"/>
    </row>
    <row r="24">
      <c r="E24" s="589" t="n"/>
      <c r="F24" s="589" t="n"/>
      <c r="G24" s="589" t="n"/>
      <c r="H24" s="589" t="n"/>
      <c r="I24" s="589" t="n"/>
      <c r="J24" s="589" t="n"/>
      <c r="K24" s="589" t="n"/>
      <c r="L24" s="589" t="n"/>
      <c r="M24" s="589" t="n"/>
      <c r="N24" s="4" t="n"/>
      <c r="O24" s="11" t="n"/>
      <c r="P24" s="11" t="n"/>
    </row>
    <row r="25">
      <c r="E25" s="589" t="n"/>
      <c r="F25" s="589" t="n"/>
      <c r="G25" s="589" t="n"/>
      <c r="H25" s="589" t="n"/>
      <c r="I25" s="589" t="n"/>
      <c r="J25" s="589" t="n"/>
      <c r="K25" s="589" t="n"/>
      <c r="L25" s="589" t="n"/>
      <c r="M25" s="589" t="n"/>
      <c r="N25" s="4" t="n"/>
      <c r="O25" s="11" t="n"/>
      <c r="P25" s="11" t="n"/>
    </row>
    <row r="26">
      <c r="E26" s="589" t="n"/>
      <c r="F26" s="589" t="n"/>
      <c r="G26" s="589" t="n"/>
      <c r="H26" s="589" t="n"/>
      <c r="I26" s="589" t="n"/>
      <c r="J26" s="589" t="n"/>
      <c r="K26" s="589" t="n"/>
      <c r="L26" s="589" t="n"/>
      <c r="M26" s="589" t="n"/>
      <c r="N26" s="4" t="n"/>
      <c r="O26" s="11" t="n"/>
      <c r="P26" s="11" t="n"/>
    </row>
    <row r="27">
      <c r="E27" s="589" t="n"/>
      <c r="F27" s="589" t="n"/>
      <c r="G27" s="589" t="n"/>
      <c r="H27" s="589" t="n"/>
      <c r="I27" s="589" t="n"/>
      <c r="J27" s="589" t="n"/>
      <c r="K27" s="589" t="n"/>
      <c r="L27" s="589" t="n"/>
      <c r="M27" s="589" t="n"/>
      <c r="N27" s="4" t="n"/>
      <c r="O27" s="11" t="n"/>
      <c r="P27" s="11" t="n"/>
    </row>
    <row r="28">
      <c r="E28" s="589" t="n"/>
      <c r="F28" s="589" t="n"/>
      <c r="G28" s="589" t="n"/>
      <c r="H28" s="589" t="n"/>
      <c r="I28" s="589" t="n"/>
      <c r="J28" s="589" t="n"/>
      <c r="K28" s="589" t="n"/>
      <c r="L28" s="589" t="n"/>
      <c r="M28" s="589" t="n"/>
      <c r="N28" s="4" t="n"/>
      <c r="O28" s="11" t="n"/>
      <c r="P28" s="11" t="n"/>
    </row>
    <row r="29">
      <c r="E29" s="589" t="n"/>
      <c r="F29" s="589" t="n"/>
      <c r="G29" s="589" t="n"/>
      <c r="H29" s="589" t="n"/>
      <c r="I29" s="589" t="n"/>
      <c r="J29" s="589" t="n"/>
      <c r="K29" s="589" t="n"/>
      <c r="L29" s="589" t="n"/>
      <c r="M29" s="589" t="n"/>
      <c r="N29" s="4" t="n"/>
      <c r="O29" s="11" t="n"/>
      <c r="P29" s="11" t="n"/>
    </row>
    <row r="30">
      <c r="E30" s="589" t="n"/>
      <c r="F30" s="589" t="n"/>
      <c r="G30" s="589" t="n"/>
      <c r="H30" s="589" t="n"/>
      <c r="I30" s="589" t="n"/>
      <c r="J30" s="589" t="n"/>
      <c r="K30" s="589" t="n"/>
      <c r="L30" s="589" t="n"/>
      <c r="M30" s="589" t="n"/>
      <c r="N30" s="4" t="n"/>
      <c r="O30" s="11" t="n"/>
      <c r="P30" s="11" t="n"/>
    </row>
    <row r="31">
      <c r="E31" s="589" t="n"/>
      <c r="F31" s="589" t="n"/>
      <c r="G31" s="589" t="n"/>
      <c r="H31" s="589" t="n"/>
      <c r="I31" s="589" t="n"/>
      <c r="J31" s="589" t="n"/>
      <c r="K31" s="589" t="n"/>
      <c r="L31" s="589" t="n"/>
      <c r="M31" s="589" t="n"/>
      <c r="N31" s="4" t="n"/>
      <c r="O31" s="11" t="n"/>
      <c r="P31" s="11" t="n"/>
    </row>
    <row r="32">
      <c r="E32" s="589" t="n"/>
      <c r="F32" s="589" t="n"/>
      <c r="G32" s="589" t="n"/>
      <c r="H32" s="589" t="n"/>
      <c r="I32" s="589" t="n"/>
      <c r="J32" s="589" t="n"/>
      <c r="K32" s="589" t="n"/>
      <c r="L32" s="589" t="n"/>
      <c r="M32" s="589" t="n"/>
      <c r="N32" s="4" t="n"/>
      <c r="O32" s="11" t="n"/>
      <c r="P32" s="11" t="n"/>
    </row>
    <row r="33">
      <c r="E33" s="589" t="n"/>
      <c r="F33" s="589" t="n"/>
      <c r="G33" s="589" t="n"/>
      <c r="H33" s="589" t="n"/>
      <c r="I33" s="589" t="n"/>
      <c r="J33" s="589" t="n"/>
      <c r="K33" s="589" t="n"/>
      <c r="L33" s="589" t="n"/>
      <c r="M33" s="589" t="n"/>
      <c r="N33" s="4" t="n"/>
      <c r="O33" s="11" t="n"/>
      <c r="P33" s="11" t="n"/>
    </row>
    <row r="34">
      <c r="E34" s="589" t="n"/>
      <c r="F34" s="589" t="n"/>
      <c r="G34" s="589" t="n"/>
      <c r="H34" s="589" t="n"/>
      <c r="I34" s="589" t="n"/>
      <c r="J34" s="589" t="n"/>
      <c r="K34" s="589" t="n"/>
      <c r="L34" s="589" t="n"/>
      <c r="M34" s="589" t="n"/>
      <c r="N34" s="4" t="n"/>
      <c r="O34" s="11" t="n"/>
      <c r="P34" s="11" t="n"/>
    </row>
    <row r="35">
      <c r="E35" s="589" t="n"/>
      <c r="F35" s="589" t="n"/>
      <c r="G35" s="589" t="n"/>
      <c r="H35" s="589" t="n"/>
      <c r="I35" s="589" t="n"/>
      <c r="J35" s="589" t="n"/>
      <c r="K35" s="589" t="n"/>
      <c r="L35" s="589" t="n"/>
      <c r="M35" s="589" t="n"/>
      <c r="N35" s="4" t="n"/>
      <c r="O35" s="11" t="n"/>
      <c r="P35" s="11" t="n"/>
    </row>
    <row r="36">
      <c r="E36" s="589" t="n"/>
      <c r="F36" s="589" t="n"/>
      <c r="G36" s="589" t="n"/>
      <c r="H36" s="589" t="n"/>
      <c r="I36" s="589" t="n"/>
      <c r="J36" s="589" t="n"/>
      <c r="K36" s="589" t="n"/>
      <c r="L36" s="589" t="n"/>
      <c r="M36" s="589" t="n"/>
      <c r="N36" s="4" t="n"/>
      <c r="O36" s="11" t="n"/>
      <c r="P36" s="11" t="n"/>
    </row>
    <row r="37">
      <c r="E37" s="589" t="n"/>
      <c r="F37" s="589" t="n"/>
      <c r="G37" s="589" t="n"/>
      <c r="H37" s="589" t="n"/>
      <c r="I37" s="589" t="n"/>
      <c r="J37" s="589" t="n"/>
      <c r="K37" s="589" t="n"/>
      <c r="L37" s="589" t="n"/>
      <c r="M37" s="589" t="n"/>
      <c r="N37" s="4" t="n"/>
      <c r="O37" s="11" t="n"/>
      <c r="P37" s="11" t="n"/>
    </row>
    <row r="38">
      <c r="E38" s="589" t="n"/>
      <c r="F38" s="589" t="n"/>
      <c r="G38" s="589" t="n"/>
      <c r="H38" s="589" t="n"/>
      <c r="I38" s="589" t="n"/>
      <c r="J38" s="589" t="n"/>
      <c r="K38" s="589" t="n"/>
      <c r="L38" s="589" t="n"/>
      <c r="M38" s="589" t="n"/>
      <c r="N38" s="4" t="n"/>
      <c r="O38" s="11" t="n"/>
      <c r="P38" s="11" t="n"/>
    </row>
    <row r="39">
      <c r="E39" s="589" t="n"/>
      <c r="F39" s="589" t="n"/>
      <c r="G39" s="589" t="n"/>
      <c r="H39" s="589" t="n"/>
      <c r="I39" s="589" t="n"/>
      <c r="J39" s="589" t="n"/>
      <c r="K39" s="589" t="n"/>
      <c r="L39" s="589" t="n"/>
      <c r="M39" s="589" t="n"/>
      <c r="N39" s="4" t="n"/>
      <c r="O39" s="11" t="n"/>
      <c r="P39" s="11" t="n"/>
    </row>
    <row r="40">
      <c r="E40" s="589" t="n"/>
      <c r="F40" s="589" t="n"/>
      <c r="G40" s="589" t="n"/>
      <c r="H40" s="589" t="n"/>
      <c r="I40" s="589" t="n"/>
      <c r="J40" s="589" t="n"/>
      <c r="K40" s="589" t="n"/>
      <c r="L40" s="589" t="n"/>
      <c r="M40" s="589" t="n"/>
      <c r="N40" s="4" t="n"/>
      <c r="O40" s="11" t="n"/>
      <c r="P40" s="11" t="n"/>
    </row>
    <row r="41">
      <c r="E41" s="589" t="n"/>
      <c r="F41" s="589" t="n"/>
      <c r="G41" s="589" t="n"/>
      <c r="H41" s="589" t="n"/>
      <c r="I41" s="589" t="n"/>
      <c r="J41" s="589" t="n"/>
      <c r="K41" s="589" t="n"/>
      <c r="L41" s="589" t="n"/>
      <c r="M41" s="589" t="n"/>
      <c r="N41" s="4" t="n"/>
      <c r="O41" s="11" t="n"/>
      <c r="P41" s="11" t="n"/>
    </row>
    <row r="42">
      <c r="E42" s="589" t="n"/>
      <c r="F42" s="589" t="n"/>
      <c r="G42" s="589" t="n"/>
      <c r="H42" s="589" t="n"/>
      <c r="I42" s="589" t="n"/>
      <c r="J42" s="589" t="n"/>
      <c r="K42" s="589" t="n"/>
      <c r="L42" s="589" t="n"/>
      <c r="M42" s="589" t="n"/>
      <c r="N42" s="4" t="n"/>
      <c r="O42" s="11" t="n"/>
      <c r="P42" s="11" t="n"/>
    </row>
    <row r="43">
      <c r="E43" s="589" t="n"/>
      <c r="F43" s="589" t="n"/>
      <c r="G43" s="589" t="n"/>
      <c r="H43" s="589" t="n"/>
      <c r="I43" s="589" t="n"/>
      <c r="J43" s="589" t="n"/>
      <c r="K43" s="589" t="n"/>
      <c r="L43" s="589" t="n"/>
      <c r="M43" s="589" t="n"/>
      <c r="N43" s="4" t="n"/>
      <c r="O43" s="11" t="n"/>
      <c r="P43" s="11" t="n"/>
    </row>
    <row r="44">
      <c r="E44" s="589" t="n"/>
      <c r="F44" s="589" t="n"/>
      <c r="G44" s="589" t="n"/>
      <c r="H44" s="589" t="n"/>
      <c r="I44" s="589" t="n"/>
      <c r="J44" s="589" t="n"/>
      <c r="K44" s="589" t="n"/>
      <c r="L44" s="589" t="n"/>
      <c r="M44" s="589" t="n"/>
      <c r="N44" s="4" t="n"/>
      <c r="O44" s="11" t="n"/>
      <c r="P44" s="11" t="n"/>
    </row>
    <row r="45">
      <c r="E45" s="589" t="n"/>
      <c r="F45" s="589" t="n"/>
      <c r="G45" s="589" t="n"/>
      <c r="H45" s="589" t="n"/>
      <c r="I45" s="589" t="n"/>
      <c r="J45" s="589" t="n"/>
      <c r="K45" s="589" t="n"/>
      <c r="L45" s="589" t="n"/>
      <c r="M45" s="589" t="n"/>
      <c r="N45" s="4" t="n"/>
      <c r="O45" s="11" t="n"/>
      <c r="P45" s="11" t="n"/>
    </row>
    <row r="46">
      <c r="E46" s="589" t="n"/>
      <c r="F46" s="589" t="n"/>
      <c r="G46" s="589" t="n"/>
      <c r="H46" s="589" t="n"/>
      <c r="I46" s="589" t="n"/>
      <c r="J46" s="589" t="n"/>
      <c r="K46" s="589" t="n"/>
      <c r="L46" s="589" t="n"/>
      <c r="M46" s="589" t="n"/>
      <c r="N46" s="4" t="n"/>
      <c r="O46" s="11" t="n"/>
      <c r="P46" s="11" t="n"/>
    </row>
    <row r="47">
      <c r="E47" s="589" t="n"/>
      <c r="F47" s="589" t="n"/>
      <c r="G47" s="589" t="n"/>
      <c r="H47" s="589" t="n"/>
      <c r="I47" s="589" t="n"/>
      <c r="J47" s="589" t="n"/>
      <c r="K47" s="589" t="n"/>
      <c r="L47" s="589" t="n"/>
      <c r="M47" s="589" t="n"/>
      <c r="N47" s="4" t="n"/>
      <c r="O47" s="11" t="n"/>
      <c r="P47" s="11" t="n"/>
    </row>
    <row r="48">
      <c r="E48" s="589" t="n"/>
      <c r="F48" s="589" t="n"/>
      <c r="G48" s="589" t="n"/>
      <c r="H48" s="589" t="n"/>
      <c r="I48" s="589" t="n"/>
      <c r="J48" s="589" t="n"/>
      <c r="K48" s="589" t="n"/>
      <c r="L48" s="589" t="n"/>
      <c r="M48" s="589" t="n"/>
      <c r="N48" s="4" t="n"/>
      <c r="O48" s="11" t="n"/>
      <c r="P48" s="11" t="n"/>
    </row>
    <row r="49">
      <c r="E49" s="589" t="n"/>
      <c r="F49" s="589" t="n"/>
      <c r="G49" s="589" t="n"/>
      <c r="H49" s="589" t="n"/>
      <c r="I49" s="589" t="n"/>
      <c r="J49" s="589" t="n"/>
      <c r="K49" s="589" t="n"/>
      <c r="L49" s="589" t="n"/>
      <c r="M49" s="589" t="n"/>
      <c r="N49" s="4" t="n"/>
      <c r="O49" s="11" t="n"/>
      <c r="P49" s="11" t="n"/>
    </row>
    <row r="50">
      <c r="E50" s="589" t="n"/>
      <c r="F50" s="589" t="n"/>
      <c r="G50" s="589" t="n"/>
      <c r="H50" s="589" t="n"/>
      <c r="I50" s="589" t="n"/>
      <c r="J50" s="589" t="n"/>
      <c r="K50" s="589" t="n"/>
      <c r="L50" s="589" t="n"/>
      <c r="M50" s="589" t="n"/>
      <c r="N50" s="4" t="n"/>
      <c r="O50" s="11" t="n"/>
      <c r="P50" s="11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52C41A"/>
    <outlinePr summaryBelow="1" summaryRight="1"/>
    <pageSetUpPr/>
  </sheetPr>
  <dimension ref="A1:O50"/>
  <sheetViews>
    <sheetView zoomScale="62" workbookViewId="0">
      <pane xSplit="1" ySplit="5" topLeftCell="B34" activePane="bottomRight" state="frozen"/>
      <selection pane="topRight" activeCell="B1" sqref="B1"/>
      <selection pane="bottomLeft" activeCell="A6" sqref="A6"/>
      <selection pane="bottomRight" activeCell="B40" sqref="B40"/>
    </sheetView>
  </sheetViews>
  <sheetFormatPr baseColWidth="8" defaultRowHeight="15"/>
  <cols>
    <col width="15.7109375" customWidth="1" min="1" max="1"/>
    <col width="9.85546875" bestFit="1" customWidth="1" min="2" max="2"/>
    <col width="10.85546875" bestFit="1" customWidth="1" min="3" max="4"/>
    <col width="7.85546875" bestFit="1" customWidth="1" min="5" max="6"/>
    <col width="5.85546875" bestFit="1" customWidth="1" min="7" max="9"/>
    <col width="7.28515625" bestFit="1" customWidth="1" min="10" max="10"/>
    <col width="7" bestFit="1" customWidth="1" min="11" max="12"/>
    <col width="8.85546875" bestFit="1" customWidth="1" min="13" max="13"/>
    <col width="11.140625" bestFit="1" customWidth="1" min="14" max="14"/>
    <col width="10" bestFit="1" customWidth="1" min="15" max="15"/>
  </cols>
  <sheetData>
    <row r="1" ht="45" customHeight="1">
      <c r="A1" s="598" t="inlineStr">
        <is>
          <t>📐  Z-SCORE  |  Normalização da Carga Individual vs Equipa — Belenenses</t>
        </is>
      </c>
    </row>
    <row r="2" ht="21.95" customHeight="1">
      <c r="A2" s="631" t="inlineStr">
        <is>
          <t>Z-Score = (Valor do Jogador − Média Equipa) ÷ Desvio Padrão Equipa  |  &gt;2 = Carga muito acima  |  &lt;-2 = Carga muito abaixo  |  ±1 = Normal</t>
        </is>
      </c>
    </row>
    <row r="3" ht="6" customHeight="1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</row>
    <row r="4" ht="27.95" customHeight="1">
      <c r="A4" s="133" t="inlineStr">
        <is>
          <t>Microciclo:</t>
        </is>
      </c>
      <c r="B4" s="66" t="n">
        <v>8</v>
      </c>
      <c r="C4" s="133" t="inlineStr">
        <is>
          <t>Dia MD:</t>
        </is>
      </c>
      <c r="D4" s="8" t="inlineStr">
        <is>
          <t>MD-3</t>
        </is>
      </c>
      <c r="E4" s="134" t="n"/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</row>
    <row r="5" ht="6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</row>
    <row r="6" ht="27.95" customHeight="1">
      <c r="A6" s="596" t="inlineStr">
        <is>
          <t>A — Z-SCORES POR JOGADOR (Treinos do MC selecionado)</t>
        </is>
      </c>
    </row>
    <row r="7" ht="36" customHeight="1" thickBot="1">
      <c r="A7" s="191" t="inlineStr">
        <is>
          <t>Jogador</t>
        </is>
      </c>
      <c r="B7" s="191" t="inlineStr">
        <is>
          <t>Posição</t>
        </is>
      </c>
      <c r="C7" s="191" t="inlineStr">
        <is>
          <t>Z Duração</t>
        </is>
      </c>
      <c r="D7" s="191" t="inlineStr">
        <is>
          <t>Z Distância</t>
        </is>
      </c>
      <c r="E7" s="191" t="inlineStr">
        <is>
          <t>Z HSR</t>
        </is>
      </c>
      <c r="F7" s="191" t="inlineStr">
        <is>
          <t>Z Sprint</t>
        </is>
      </c>
      <c r="G7" s="191" t="inlineStr">
        <is>
          <t>Z Acc</t>
        </is>
      </c>
      <c r="H7" s="191" t="inlineStr">
        <is>
          <t>Z Dcc</t>
        </is>
      </c>
      <c r="I7" s="191" t="inlineStr">
        <is>
          <t>Z PSE</t>
        </is>
      </c>
      <c r="J7" s="191" t="inlineStr">
        <is>
          <t>Z Vmáx</t>
        </is>
      </c>
      <c r="K7" s="191" t="inlineStr">
        <is>
          <t>Z ≥90%</t>
        </is>
      </c>
      <c r="L7" s="191" t="inlineStr">
        <is>
          <t>Z ≥95%</t>
        </is>
      </c>
      <c r="M7" s="191" t="inlineStr">
        <is>
          <t>Z Médio
(Overall)</t>
        </is>
      </c>
      <c r="N7" s="191" t="inlineStr">
        <is>
          <t>Alerta</t>
        </is>
      </c>
      <c r="O7" s="191" t="inlineStr">
        <is>
          <t>Nº Alertas</t>
        </is>
      </c>
    </row>
    <row r="8" ht="26.1" customHeight="1">
      <c r="A8" s="538">
        <f t="array" ref="A8">IFERROR(INDEX(_xlfn._xlws.SORT(_xlfn.UNIQUE(_xlfn._xlws.FILTER(tblCarga[Jogador],(tblCarga[Microciclo (Nr)]=$B$4)*(tblCarga[Tipo]="Treino")))),1),"")</f>
        <v/>
      </c>
      <c r="B8" s="330">
        <f>IF(A8="","",_xlfn.XLOOKUP(A8,tblCarga[Jogador],tblCarga[Posição]))</f>
        <v/>
      </c>
      <c r="C8" s="329">
        <f t="array" ref="C8">IF(A8="","",IFERROR((AVERAGEIFS(tblCarga[Duração (min)],tblCarga[Jogador],A8,tblCarga[Microciclo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8" s="329">
        <f t="array" ref="D8">IF(A8="","",IFERROR((AVERAGEIFS(tblCarga[Distância Total (m)],tblCarga[Jogador],A8,tblCarga[Microciclo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8" s="329">
        <f t="array" ref="E8">IF(A8="","",IFERROR((AVERAGEIFS(tblCarga[HSR (m)],tblCarga[Jogador],A8,tblCarga[Microciclo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8" s="329">
        <f t="array" ref="F8">IF(A8="","",IFERROR((AVERAGEIFS(tblCarga[Sprint (m)],tblCarga[Jogador],A8,tblCarga[Microciclo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8" s="329">
        <f t="array" ref="G8">IF(A8="","",IFERROR((AVERAGEIFS(tblCarga[Acc (n)],tblCarga[Jogador],A8,tblCarga[Microciclo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8" s="329">
        <f t="array" ref="H8">IF(A8="","",IFERROR((AVERAGEIFS(tblCarga[Dcc (n)],tblCarga[Jogador],A8,tblCarga[Microciclo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8" s="329">
        <f t="array" ref="I8">IF(A8="","",IFERROR((AVERAGEIFS(tblCarga[PSE Sessão],tblCarga[Jogador],A8,tblCarga[Microciclo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8" s="329">
        <f t="array" ref="J8">IF(A8="","",IFERROR((AVERAGEIFS(tblCarga[Vel. Máx (km/h)],tblCarga[Jogador],A8,tblCarga[Microciclo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8" s="329">
        <f t="array" ref="K8">IF(A8="","",IFERROR((AVERAGEIFS(tblCarga[Nº ≥90% Vmáx],tblCarga[Jogador],A8,tblCarga[Microciclo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8" s="329">
        <f t="array" ref="L8">IF(A8="","",IFERROR((AVERAGEIFS(tblCarga[Nº ≥95% Vmáx],tblCarga[Jogador],A8,tblCarga[Microciclo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8" s="539">
        <f>IF(A8="","",IFERROR(AVERAGE(C8:L8),"—"))</f>
        <v/>
      </c>
      <c r="N8" s="329">
        <f>IF(A8="","",IF(M8="—","—",IF(OR(ABS(C8)&gt;2,ABS(D8)&gt;2,ABS(E8)&gt;2,ABS(F8)&gt;2,ABS(G8)&gt;2,ABS(H8)&gt;2,ABS(I8)&gt;2,ABS(J8)&gt;2),"🔴 Atenção","🟢 Normal")))</f>
        <v/>
      </c>
      <c r="O8" s="329">
        <f t="array" ref="O8">IF(A8="","",IFERROR(SUMPRODUCT((ABS(C8:L8)&gt;2)*1),"—"))</f>
        <v/>
      </c>
    </row>
    <row r="9" ht="26.1" customHeight="1">
      <c r="A9" s="466">
        <f t="array" ref="A9">IFERROR(INDEX(_xlfn._xlws.SORT(_xlfn.UNIQUE(_xlfn._xlws.FILTER(tblCarga[Jogador],(tblCarga[Microciclo (Nr)]=$B$4)*(tblCarga[Tipo]="Treino")))),2),"")</f>
        <v/>
      </c>
      <c r="B9" s="142">
        <f>IF(A9="","",_xlfn.XLOOKUP(A9,tblCarga[Jogador],tblCarga[Posição]))</f>
        <v/>
      </c>
      <c r="C9" s="335">
        <f t="array" ref="C9">IF(A9="","",IFERROR((AVERAGEIFS(tblCarga[Duração (min)],tblCarga[Jogador],A9,tblCarga[Microciclo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9" s="335">
        <f t="array" ref="D9">IF(A9="","",IFERROR((AVERAGEIFS(tblCarga[Distância Total (m)],tblCarga[Jogador],A9,tblCarga[Microciclo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9" s="335">
        <f t="array" ref="E9">IF(A9="","",IFERROR((AVERAGEIFS(tblCarga[HSR (m)],tblCarga[Jogador],A9,tblCarga[Microciclo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9" s="335">
        <f t="array" ref="F9">IF(A9="","",IFERROR((AVERAGEIFS(tblCarga[Sprint (m)],tblCarga[Jogador],A9,tblCarga[Microciclo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9" s="335">
        <f t="array" ref="G9">IF(A9="","",IFERROR((AVERAGEIFS(tblCarga[Acc (n)],tblCarga[Jogador],A9,tblCarga[Microciclo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9" s="335">
        <f t="array" ref="H9">IF(A9="","",IFERROR((AVERAGEIFS(tblCarga[Dcc (n)],tblCarga[Jogador],A9,tblCarga[Microciclo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9" s="335">
        <f t="array" ref="I9">IF(A9="","",IFERROR((AVERAGEIFS(tblCarga[PSE Sessão],tblCarga[Jogador],A9,tblCarga[Microciclo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9" s="335">
        <f t="array" ref="J9">IF(A9="","",IFERROR((AVERAGEIFS(tblCarga[Vel. Máx (km/h)],tblCarga[Jogador],A9,tblCarga[Microciclo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9" s="335">
        <f t="array" ref="K9">IF(A9="","",IFERROR((AVERAGEIFS(tblCarga[Nº ≥90% Vmáx],tblCarga[Jogador],A9,tblCarga[Microciclo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9" s="335">
        <f t="array" ref="L9">IF(A9="","",IFERROR((AVERAGEIFS(tblCarga[Nº ≥95% Vmáx],tblCarga[Jogador],A9,tblCarga[Microciclo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9" s="540">
        <f>IF(A9="","",IFERROR(AVERAGE(C9:L9),"—"))</f>
        <v/>
      </c>
      <c r="N9" s="335">
        <f>IF(A9="","",IF(M9="—","—",IF(OR(ABS(C9)&gt;2,ABS(D9)&gt;2,ABS(E9)&gt;2,ABS(F9)&gt;2,ABS(G9)&gt;2,ABS(H9)&gt;2,ABS(I9)&gt;2,ABS(J9)&gt;2),"🔴 Atenção","🟢 Normal")))</f>
        <v/>
      </c>
      <c r="O9" s="335">
        <f t="array" ref="O9">IF(A9="","",IFERROR(SUMPRODUCT((ABS(C9:L9)&gt;2)*1),"—"))</f>
        <v/>
      </c>
    </row>
    <row r="10" ht="26.1" customHeight="1">
      <c r="A10" s="470">
        <f t="array" ref="A10">IFERROR(INDEX(_xlfn._xlws.SORT(_xlfn.UNIQUE(_xlfn._xlws.FILTER(tblCarga[Jogador],(tblCarga[Microciclo (Nr)]=$B$4)*(tblCarga[Tipo]="Treino")))),3),"")</f>
        <v/>
      </c>
      <c r="B10" s="147">
        <f>IF(A10="","",_xlfn.XLOOKUP(A10,tblCarga[Jogador],tblCarga[Posição]))</f>
        <v/>
      </c>
      <c r="C10" s="343">
        <f t="array" ref="C10">IF(A10="","",IFERROR((AVERAGEIFS(tblCarga[Duração (min)],tblCarga[Jogador],A10,tblCarga[Microciclo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10" s="343">
        <f t="array" ref="D10">IF(A10="","",IFERROR((AVERAGEIFS(tblCarga[Distância Total (m)],tblCarga[Jogador],A10,tblCarga[Microciclo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10" s="343">
        <f t="array" ref="E10">IF(A10="","",IFERROR((AVERAGEIFS(tblCarga[HSR (m)],tblCarga[Jogador],A10,tblCarga[Microciclo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10" s="343">
        <f t="array" ref="F10">IF(A10="","",IFERROR((AVERAGEIFS(tblCarga[Sprint (m)],tblCarga[Jogador],A10,tblCarga[Microciclo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10" s="343">
        <f t="array" ref="G10">IF(A10="","",IFERROR((AVERAGEIFS(tblCarga[Acc (n)],tblCarga[Jogador],A10,tblCarga[Microciclo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10" s="343">
        <f t="array" ref="H10">IF(A10="","",IFERROR((AVERAGEIFS(tblCarga[Dcc (n)],tblCarga[Jogador],A10,tblCarga[Microciclo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10" s="343">
        <f t="array" ref="I10">IF(A10="","",IFERROR((AVERAGEIFS(tblCarga[PSE Sessão],tblCarga[Jogador],A10,tblCarga[Microciclo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10" s="343">
        <f t="array" ref="J10">IF(A10="","",IFERROR((AVERAGEIFS(tblCarga[Vel. Máx (km/h)],tblCarga[Jogador],A10,tblCarga[Microciclo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10" s="343">
        <f t="array" ref="K10">IF(A10="","",IFERROR((AVERAGEIFS(tblCarga[Nº ≥90% Vmáx],tblCarga[Jogador],A10,tblCarga[Microciclo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10" s="343">
        <f t="array" ref="L10">IF(A10="","",IFERROR((AVERAGEIFS(tblCarga[Nº ≥95% Vmáx],tblCarga[Jogador],A10,tblCarga[Microciclo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10" s="542">
        <f>IF(A10="","",IFERROR(AVERAGE(C10:L10),"—"))</f>
        <v/>
      </c>
      <c r="N10" s="343">
        <f>IF(A10="","",IF(M10="—","—",IF(OR(ABS(C10)&gt;2,ABS(D10)&gt;2,ABS(E10)&gt;2,ABS(F10)&gt;2,ABS(G10)&gt;2,ABS(H10)&gt;2,ABS(I10)&gt;2,ABS(J10)&gt;2),"🔴 Atenção","🟢 Normal")))</f>
        <v/>
      </c>
      <c r="O10" s="343">
        <f t="array" ref="O10">IF(A10="","",IFERROR(SUMPRODUCT((ABS(C10:L10)&gt;2)*1),"—"))</f>
        <v/>
      </c>
    </row>
    <row r="11" ht="26.1" customHeight="1">
      <c r="A11" s="466">
        <f t="array" ref="A11">IFERROR(INDEX(_xlfn._xlws.SORT(_xlfn.UNIQUE(_xlfn._xlws.FILTER(tblCarga[Jogador],(tblCarga[Microciclo (Nr)]=$B$4)*(tblCarga[Tipo]="Treino")))),4),"")</f>
        <v/>
      </c>
      <c r="B11" s="142">
        <f>IF(A11="","",_xlfn.XLOOKUP(A11,tblCarga[Jogador],tblCarga[Posição]))</f>
        <v/>
      </c>
      <c r="C11" s="335">
        <f t="array" ref="C11">IF(A11="","",IFERROR((AVERAGEIFS(tblCarga[Duração (min)],tblCarga[Jogador],A11,tblCarga[Microciclo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11" s="335">
        <f t="array" ref="D11">IF(A11="","",IFERROR((AVERAGEIFS(tblCarga[Distância Total (m)],tblCarga[Jogador],A11,tblCarga[Microciclo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11" s="335">
        <f t="array" ref="E11">IF(A11="","",IFERROR((AVERAGEIFS(tblCarga[HSR (m)],tblCarga[Jogador],A11,tblCarga[Microciclo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11" s="335">
        <f t="array" ref="F11">IF(A11="","",IFERROR((AVERAGEIFS(tblCarga[Sprint (m)],tblCarga[Jogador],A11,tblCarga[Microciclo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11" s="335">
        <f t="array" ref="G11">IF(A11="","",IFERROR((AVERAGEIFS(tblCarga[Acc (n)],tblCarga[Jogador],A11,tblCarga[Microciclo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11" s="335">
        <f t="array" ref="H11">IF(A11="","",IFERROR((AVERAGEIFS(tblCarga[Dcc (n)],tblCarga[Jogador],A11,tblCarga[Microciclo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11" s="335">
        <f t="array" ref="I11">IF(A11="","",IFERROR((AVERAGEIFS(tblCarga[PSE Sessão],tblCarga[Jogador],A11,tblCarga[Microciclo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11" s="335">
        <f t="array" ref="J11">IF(A11="","",IFERROR((AVERAGEIFS(tblCarga[Vel. Máx (km/h)],tblCarga[Jogador],A11,tblCarga[Microciclo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11" s="335">
        <f t="array" ref="K11">IF(A11="","",IFERROR((AVERAGEIFS(tblCarga[Nº ≥90% Vmáx],tblCarga[Jogador],A11,tblCarga[Microciclo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11" s="335">
        <f t="array" ref="L11">IF(A11="","",IFERROR((AVERAGEIFS(tblCarga[Nº ≥95% Vmáx],tblCarga[Jogador],A11,tblCarga[Microciclo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11" s="540">
        <f>IF(A11="","",IFERROR(AVERAGE(C11:L11),"—"))</f>
        <v/>
      </c>
      <c r="N11" s="335">
        <f>IF(A11="","",IF(M11="—","—",IF(OR(ABS(C11)&gt;2,ABS(D11)&gt;2,ABS(E11)&gt;2,ABS(F11)&gt;2,ABS(G11)&gt;2,ABS(H11)&gt;2,ABS(I11)&gt;2,ABS(J11)&gt;2),"🔴 Atenção","🟢 Normal")))</f>
        <v/>
      </c>
      <c r="O11" s="335">
        <f t="array" ref="O11">IF(A11="","",IFERROR(SUMPRODUCT((ABS(C11:L11)&gt;2)*1),"—"))</f>
        <v/>
      </c>
    </row>
    <row r="12" ht="26.1" customHeight="1">
      <c r="A12" s="470">
        <f t="array" ref="A12">IFERROR(INDEX(_xlfn._xlws.SORT(_xlfn.UNIQUE(_xlfn._xlws.FILTER(tblCarga[Jogador],(tblCarga[Microciclo (Nr)]=$B$4)*(tblCarga[Tipo]="Treino")))),5),"")</f>
        <v/>
      </c>
      <c r="B12" s="147">
        <f>IF(A12="","",_xlfn.XLOOKUP(A12,tblCarga[Jogador],tblCarga[Posição]))</f>
        <v/>
      </c>
      <c r="C12" s="343">
        <f t="array" ref="C12">IF(A12="","",IFERROR((AVERAGEIFS(tblCarga[Duração (min)],tblCarga[Jogador],A12,tblCarga[Microciclo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12" s="343">
        <f t="array" ref="D12">IF(A12="","",IFERROR((AVERAGEIFS(tblCarga[Distância Total (m)],tblCarga[Jogador],A12,tblCarga[Microciclo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12" s="343">
        <f t="array" ref="E12">IF(A12="","",IFERROR((AVERAGEIFS(tblCarga[HSR (m)],tblCarga[Jogador],A12,tblCarga[Microciclo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12" s="343">
        <f t="array" ref="F12">IF(A12="","",IFERROR((AVERAGEIFS(tblCarga[Sprint (m)],tblCarga[Jogador],A12,tblCarga[Microciclo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12" s="343">
        <f t="array" ref="G12">IF(A12="","",IFERROR((AVERAGEIFS(tblCarga[Acc (n)],tblCarga[Jogador],A12,tblCarga[Microciclo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12" s="343">
        <f t="array" ref="H12">IF(A12="","",IFERROR((AVERAGEIFS(tblCarga[Dcc (n)],tblCarga[Jogador],A12,tblCarga[Microciclo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12" s="343">
        <f t="array" ref="I12">IF(A12="","",IFERROR((AVERAGEIFS(tblCarga[PSE Sessão],tblCarga[Jogador],A12,tblCarga[Microciclo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12" s="343">
        <f t="array" ref="J12">IF(A12="","",IFERROR((AVERAGEIFS(tblCarga[Vel. Máx (km/h)],tblCarga[Jogador],A12,tblCarga[Microciclo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12" s="343">
        <f t="array" ref="K12">IF(A12="","",IFERROR((AVERAGEIFS(tblCarga[Nº ≥90% Vmáx],tblCarga[Jogador],A12,tblCarga[Microciclo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12" s="343">
        <f t="array" ref="L12">IF(A12="","",IFERROR((AVERAGEIFS(tblCarga[Nº ≥95% Vmáx],tblCarga[Jogador],A12,tblCarga[Microciclo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12" s="542">
        <f>IF(A12="","",IFERROR(AVERAGE(C12:L12),"—"))</f>
        <v/>
      </c>
      <c r="N12" s="343">
        <f>IF(A12="","",IF(M12="—","—",IF(OR(ABS(C12)&gt;2,ABS(D12)&gt;2,ABS(E12)&gt;2,ABS(F12)&gt;2,ABS(G12)&gt;2,ABS(H12)&gt;2,ABS(I12)&gt;2,ABS(J12)&gt;2),"🔴 Atenção","🟢 Normal")))</f>
        <v/>
      </c>
      <c r="O12" s="343">
        <f t="array" ref="O12">IF(A12="","",IFERROR(SUMPRODUCT((ABS(C12:L12)&gt;2)*1),"—"))</f>
        <v/>
      </c>
    </row>
    <row r="13" ht="26.1" customHeight="1">
      <c r="A13" s="466">
        <f t="array" ref="A13">IFERROR(INDEX(_xlfn._xlws.SORT(_xlfn.UNIQUE(_xlfn._xlws.FILTER(tblCarga[Jogador],(tblCarga[Microciclo (Nr)]=$B$4)*(tblCarga[Tipo]="Treino")))),6),"")</f>
        <v/>
      </c>
      <c r="B13" s="142">
        <f>IF(A13="","",_xlfn.XLOOKUP(A13,tblCarga[Jogador],tblCarga[Posição]))</f>
        <v/>
      </c>
      <c r="C13" s="335">
        <f t="array" ref="C13">IF(A13="","",IFERROR((AVERAGEIFS(tblCarga[Duração (min)],tblCarga[Jogador],A13,tblCarga[Microciclo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13" s="335">
        <f t="array" ref="D13">IF(A13="","",IFERROR((AVERAGEIFS(tblCarga[Distância Total (m)],tblCarga[Jogador],A13,tblCarga[Microciclo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13" s="335">
        <f t="array" ref="E13">IF(A13="","",IFERROR((AVERAGEIFS(tblCarga[HSR (m)],tblCarga[Jogador],A13,tblCarga[Microciclo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13" s="335">
        <f t="array" ref="F13">IF(A13="","",IFERROR((AVERAGEIFS(tblCarga[Sprint (m)],tblCarga[Jogador],A13,tblCarga[Microciclo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13" s="335">
        <f t="array" ref="G13">IF(A13="","",IFERROR((AVERAGEIFS(tblCarga[Acc (n)],tblCarga[Jogador],A13,tblCarga[Microciclo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13" s="335">
        <f t="array" ref="H13">IF(A13="","",IFERROR((AVERAGEIFS(tblCarga[Dcc (n)],tblCarga[Jogador],A13,tblCarga[Microciclo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13" s="335">
        <f t="array" ref="I13">IF(A13="","",IFERROR((AVERAGEIFS(tblCarga[PSE Sessão],tblCarga[Jogador],A13,tblCarga[Microciclo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13" s="335">
        <f t="array" ref="J13">IF(A13="","",IFERROR((AVERAGEIFS(tblCarga[Vel. Máx (km/h)],tblCarga[Jogador],A13,tblCarga[Microciclo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13" s="335">
        <f t="array" ref="K13">IF(A13="","",IFERROR((AVERAGEIFS(tblCarga[Nº ≥90% Vmáx],tblCarga[Jogador],A13,tblCarga[Microciclo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13" s="335">
        <f t="array" ref="L13">IF(A13="","",IFERROR((AVERAGEIFS(tblCarga[Nº ≥95% Vmáx],tblCarga[Jogador],A13,tblCarga[Microciclo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13" s="540">
        <f>IF(A13="","",IFERROR(AVERAGE(C13:L13),"—"))</f>
        <v/>
      </c>
      <c r="N13" s="335">
        <f>IF(A13="","",IF(M13="—","—",IF(OR(ABS(C13)&gt;2,ABS(D13)&gt;2,ABS(E13)&gt;2,ABS(F13)&gt;2,ABS(G13)&gt;2,ABS(H13)&gt;2,ABS(I13)&gt;2,ABS(J13)&gt;2),"🔴 Atenção","🟢 Normal")))</f>
        <v/>
      </c>
      <c r="O13" s="335">
        <f t="array" ref="O13">IF(A13="","",IFERROR(SUMPRODUCT((ABS(C13:L13)&gt;2)*1),"—"))</f>
        <v/>
      </c>
    </row>
    <row r="14" ht="26.1" customHeight="1">
      <c r="A14" s="470">
        <f t="array" ref="A14">IFERROR(INDEX(_xlfn._xlws.SORT(_xlfn.UNIQUE(_xlfn._xlws.FILTER(tblCarga[Jogador],(tblCarga[Microciclo (Nr)]=$B$4)*(tblCarga[Tipo]="Treino")))),7),"")</f>
        <v/>
      </c>
      <c r="B14" s="147">
        <f>IF(A14="","",_xlfn.XLOOKUP(A14,tblCarga[Jogador],tblCarga[Posição]))</f>
        <v/>
      </c>
      <c r="C14" s="343">
        <f t="array" ref="C14">IF(A14="","",IFERROR((AVERAGEIFS(tblCarga[Duração (min)],tblCarga[Jogador],A14,tblCarga[Microciclo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14" s="343">
        <f t="array" ref="D14">IF(A14="","",IFERROR((AVERAGEIFS(tblCarga[Distância Total (m)],tblCarga[Jogador],A14,tblCarga[Microciclo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14" s="343">
        <f t="array" ref="E14">IF(A14="","",IFERROR((AVERAGEIFS(tblCarga[HSR (m)],tblCarga[Jogador],A14,tblCarga[Microciclo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14" s="343">
        <f t="array" ref="F14">IF(A14="","",IFERROR((AVERAGEIFS(tblCarga[Sprint (m)],tblCarga[Jogador],A14,tblCarga[Microciclo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14" s="343">
        <f t="array" ref="G14">IF(A14="","",IFERROR((AVERAGEIFS(tblCarga[Acc (n)],tblCarga[Jogador],A14,tblCarga[Microciclo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14" s="343">
        <f t="array" ref="H14">IF(A14="","",IFERROR((AVERAGEIFS(tblCarga[Dcc (n)],tblCarga[Jogador],A14,tblCarga[Microciclo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14" s="343">
        <f t="array" ref="I14">IF(A14="","",IFERROR((AVERAGEIFS(tblCarga[PSE Sessão],tblCarga[Jogador],A14,tblCarga[Microciclo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14" s="343">
        <f t="array" ref="J14">IF(A14="","",IFERROR((AVERAGEIFS(tblCarga[Vel. Máx (km/h)],tblCarga[Jogador],A14,tblCarga[Microciclo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14" s="343">
        <f t="array" ref="K14">IF(A14="","",IFERROR((AVERAGEIFS(tblCarga[Nº ≥90% Vmáx],tblCarga[Jogador],A14,tblCarga[Microciclo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14" s="343">
        <f t="array" ref="L14">IF(A14="","",IFERROR((AVERAGEIFS(tblCarga[Nº ≥95% Vmáx],tblCarga[Jogador],A14,tblCarga[Microciclo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14" s="542">
        <f>IF(A14="","",IFERROR(AVERAGE(C14:L14),"—"))</f>
        <v/>
      </c>
      <c r="N14" s="343">
        <f>IF(A14="","",IF(M14="—","—",IF(OR(ABS(C14)&gt;2,ABS(D14)&gt;2,ABS(E14)&gt;2,ABS(F14)&gt;2,ABS(G14)&gt;2,ABS(H14)&gt;2,ABS(I14)&gt;2,ABS(J14)&gt;2),"🔴 Atenção","🟢 Normal")))</f>
        <v/>
      </c>
      <c r="O14" s="343">
        <f t="array" ref="O14">IF(A14="","",IFERROR(SUMPRODUCT((ABS(C14:L14)&gt;2)*1),"—"))</f>
        <v/>
      </c>
    </row>
    <row r="15" ht="26.1" customHeight="1">
      <c r="A15" s="466">
        <f t="array" ref="A15">IFERROR(INDEX(_xlfn._xlws.SORT(_xlfn.UNIQUE(_xlfn._xlws.FILTER(tblCarga[Jogador],(tblCarga[Microciclo (Nr)]=$B$4)*(tblCarga[Tipo]="Treino")))),8),"")</f>
        <v/>
      </c>
      <c r="B15" s="142">
        <f>IF(A15="","",_xlfn.XLOOKUP(A15,tblCarga[Jogador],tblCarga[Posição]))</f>
        <v/>
      </c>
      <c r="C15" s="335">
        <f t="array" ref="C15">IF(A15="","",IFERROR((AVERAGEIFS(tblCarga[Duração (min)],tblCarga[Jogador],A15,tblCarga[Microciclo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15" s="335">
        <f t="array" ref="D15">IF(A15="","",IFERROR((AVERAGEIFS(tblCarga[Distância Total (m)],tblCarga[Jogador],A15,tblCarga[Microciclo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15" s="335">
        <f t="array" ref="E15">IF(A15="","",IFERROR((AVERAGEIFS(tblCarga[HSR (m)],tblCarga[Jogador],A15,tblCarga[Microciclo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15" s="335">
        <f t="array" ref="F15">IF(A15="","",IFERROR((AVERAGEIFS(tblCarga[Sprint (m)],tblCarga[Jogador],A15,tblCarga[Microciclo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15" s="335">
        <f t="array" ref="G15">IF(A15="","",IFERROR((AVERAGEIFS(tblCarga[Acc (n)],tblCarga[Jogador],A15,tblCarga[Microciclo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15" s="335">
        <f t="array" ref="H15">IF(A15="","",IFERROR((AVERAGEIFS(tblCarga[Dcc (n)],tblCarga[Jogador],A15,tblCarga[Microciclo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15" s="335">
        <f t="array" ref="I15">IF(A15="","",IFERROR((AVERAGEIFS(tblCarga[PSE Sessão],tblCarga[Jogador],A15,tblCarga[Microciclo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15" s="335">
        <f t="array" ref="J15">IF(A15="","",IFERROR((AVERAGEIFS(tblCarga[Vel. Máx (km/h)],tblCarga[Jogador],A15,tblCarga[Microciclo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15" s="335">
        <f t="array" ref="K15">IF(A15="","",IFERROR((AVERAGEIFS(tblCarga[Nº ≥90% Vmáx],tblCarga[Jogador],A15,tblCarga[Microciclo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15" s="335">
        <f t="array" ref="L15">IF(A15="","",IFERROR((AVERAGEIFS(tblCarga[Nº ≥95% Vmáx],tblCarga[Jogador],A15,tblCarga[Microciclo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15" s="540">
        <f>IF(A15="","",IFERROR(AVERAGE(C15:L15),"—"))</f>
        <v/>
      </c>
      <c r="N15" s="335">
        <f>IF(A15="","",IF(M15="—","—",IF(OR(ABS(C15)&gt;2,ABS(D15)&gt;2,ABS(E15)&gt;2,ABS(F15)&gt;2,ABS(G15)&gt;2,ABS(H15)&gt;2,ABS(I15)&gt;2,ABS(J15)&gt;2),"🔴 Atenção","🟢 Normal")))</f>
        <v/>
      </c>
      <c r="O15" s="335">
        <f t="array" ref="O15">IF(A15="","",IFERROR(SUMPRODUCT((ABS(C15:L15)&gt;2)*1),"—"))</f>
        <v/>
      </c>
    </row>
    <row r="16" ht="26.1" customHeight="1">
      <c r="A16" s="469">
        <f t="array" ref="A16">IFERROR(INDEX(_xlfn._xlws.SORT(_xlfn.UNIQUE(_xlfn._xlws.FILTER(tblCarga[Jogador],(tblCarga[Microciclo (Nr)]=$B$4)*(tblCarga[Tipo]="Treino")))),9),"")</f>
        <v/>
      </c>
      <c r="B16" s="145">
        <f>IF(A16="","",_xlfn.XLOOKUP(A16,tblCarga[Jogador],tblCarga[Posição]))</f>
        <v/>
      </c>
      <c r="C16" s="339">
        <f t="array" ref="C16">IF(A16="","",IFERROR((AVERAGEIFS(tblCarga[Duração (min)],tblCarga[Jogador],A16,tblCarga[Microciclo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16" s="339">
        <f t="array" ref="D16">IF(A16="","",IFERROR((AVERAGEIFS(tblCarga[Distância Total (m)],tblCarga[Jogador],A16,tblCarga[Microciclo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16" s="339">
        <f t="array" ref="E16">IF(A16="","",IFERROR((AVERAGEIFS(tblCarga[HSR (m)],tblCarga[Jogador],A16,tblCarga[Microciclo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16" s="339">
        <f t="array" ref="F16">IF(A16="","",IFERROR((AVERAGEIFS(tblCarga[Sprint (m)],tblCarga[Jogador],A16,tblCarga[Microciclo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16" s="339">
        <f t="array" ref="G16">IF(A16="","",IFERROR((AVERAGEIFS(tblCarga[Acc (n)],tblCarga[Jogador],A16,tblCarga[Microciclo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16" s="339">
        <f t="array" ref="H16">IF(A16="","",IFERROR((AVERAGEIFS(tblCarga[Dcc (n)],tblCarga[Jogador],A16,tblCarga[Microciclo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16" s="339">
        <f t="array" ref="I16">IF(A16="","",IFERROR((AVERAGEIFS(tblCarga[PSE Sessão],tblCarga[Jogador],A16,tblCarga[Microciclo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16" s="339">
        <f t="array" ref="J16">IF(A16="","",IFERROR((AVERAGEIFS(tblCarga[Vel. Máx (km/h)],tblCarga[Jogador],A16,tblCarga[Microciclo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16" s="339">
        <f t="array" ref="K16">IF(A16="","",IFERROR((AVERAGEIFS(tblCarga[Nº ≥90% Vmáx],tblCarga[Jogador],A16,tblCarga[Microciclo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16" s="339">
        <f t="array" ref="L16">IF(A16="","",IFERROR((AVERAGEIFS(tblCarga[Nº ≥95% Vmáx],tblCarga[Jogador],A16,tblCarga[Microciclo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16" s="541">
        <f>IF(A16="","",IFERROR(AVERAGE(C16:L16),"—"))</f>
        <v/>
      </c>
      <c r="N16" s="339">
        <f>IF(A16="","",IF(M16="—","—",IF(OR(ABS(C16)&gt;2,ABS(D16)&gt;2,ABS(E16)&gt;2,ABS(F16)&gt;2,ABS(G16)&gt;2,ABS(H16)&gt;2,ABS(I16)&gt;2,ABS(J16)&gt;2),"🔴 Atenção","🟢 Normal")))</f>
        <v/>
      </c>
      <c r="O16" s="339">
        <f t="array" ref="O16">IF(A16="","",IFERROR(SUMPRODUCT((ABS(C16:L16)&gt;2)*1),"—"))</f>
        <v/>
      </c>
    </row>
    <row r="17">
      <c r="A17" s="603">
        <f t="array" ref="A17">IFERROR(INDEX(_xlfn._xlws.SORT(_xlfn.UNIQUE(_xlfn._xlws.FILTER(tblCarga[Jogador],(tblCarga[Microciclo (Nr)]=$B$4)*(tblCarga[Tipo]="Treino")))),10),"")</f>
        <v/>
      </c>
      <c r="B17" s="603">
        <f>IF(A17="","",_xlfn.XLOOKUP(A17,tblCarga[Jogador],tblCarga[Posição]))</f>
        <v/>
      </c>
      <c r="C17" s="633">
        <f t="array" ref="C17">IF(A17="","",IFERROR((AVERAGEIFS(tblCarga[Duração (min)],tblCarga[Jogador],A17,tblCarga[Microciclo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17" s="633">
        <f t="array" ref="D17">IF(A17="","",IFERROR((AVERAGEIFS(tblCarga[Distância Total (m)],tblCarga[Jogador],A17,tblCarga[Microciclo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17" s="633">
        <f t="array" ref="E17">IF(A17="","",IFERROR((AVERAGEIFS(tblCarga[HSR (m)],tblCarga[Jogador],A17,tblCarga[Microciclo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17" s="633">
        <f t="array" ref="F17">IF(A17="","",IFERROR((AVERAGEIFS(tblCarga[Sprint (m)],tblCarga[Jogador],A17,tblCarga[Microciclo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17" s="633">
        <f t="array" ref="G17">IF(A17="","",IFERROR((AVERAGEIFS(tblCarga[Acc (n)],tblCarga[Jogador],A17,tblCarga[Microciclo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17" s="633">
        <f t="array" ref="H17">IF(A17="","",IFERROR((AVERAGEIFS(tblCarga[Dcc (n)],tblCarga[Jogador],A17,tblCarga[Microciclo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17" s="633">
        <f t="array" ref="I17">IF(A17="","",IFERROR((AVERAGEIFS(tblCarga[PSE Sessão],tblCarga[Jogador],A17,tblCarga[Microciclo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17" s="633">
        <f t="array" ref="J17">IF(A17="","",IFERROR((AVERAGEIFS(tblCarga[Vel. Máx (km/h)],tblCarga[Jogador],A17,tblCarga[Microciclo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17" s="633">
        <f t="array" ref="K17">IF(A17="","",IFERROR((AVERAGEIFS(tblCarga[Nº ≥90% Vmáx],tblCarga[Jogador],A17,tblCarga[Microciclo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17" s="633">
        <f t="array" ref="L17">IF(A17="","",IFERROR((AVERAGEIFS(tblCarga[Nº ≥95% Vmáx],tblCarga[Jogador],A17,tblCarga[Microciclo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17" s="633">
        <f>IF(A17="","",IFERROR(AVERAGE(C17:L17),"—"))</f>
        <v/>
      </c>
      <c r="N17" s="603">
        <f>IF(A17="","",IF(M17="—","—",IF(OR(ABS(C17)&gt;2,ABS(D17)&gt;2,ABS(E17)&gt;2,ABS(F17)&gt;2,ABS(G17)&gt;2,ABS(H17)&gt;2,ABS(I17)&gt;2,ABS(J17)&gt;2),"🔴 Atenção","🟢 Normal")))</f>
        <v/>
      </c>
      <c r="O17" s="603">
        <f t="array" ref="O17">IF(A17="","",IFERROR(SUMPRODUCT((ABS(C17:L17)&gt;2)*1),"—"))</f>
        <v/>
      </c>
    </row>
    <row r="18">
      <c r="A18" s="603">
        <f t="array" ref="A18">IFERROR(INDEX(_xlfn._xlws.SORT(_xlfn.UNIQUE(_xlfn._xlws.FILTER(tblCarga[Jogador],(tblCarga[Microciclo (Nr)]=$B$4)*(tblCarga[Tipo]="Treino")))),11),"")</f>
        <v/>
      </c>
      <c r="B18" s="603">
        <f>IF(A18="","",_xlfn.XLOOKUP(A18,tblCarga[Jogador],tblCarga[Posição]))</f>
        <v/>
      </c>
      <c r="C18" s="633">
        <f t="array" ref="C18">IF(A18="","",IFERROR((AVERAGEIFS(tblCarga[Duração (min)],tblCarga[Jogador],A18,tblCarga[Microciclo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18" s="633">
        <f t="array" ref="D18">IF(A18="","",IFERROR((AVERAGEIFS(tblCarga[Distância Total (m)],tblCarga[Jogador],A18,tblCarga[Microciclo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18" s="633">
        <f t="array" ref="E18">IF(A18="","",IFERROR((AVERAGEIFS(tblCarga[HSR (m)],tblCarga[Jogador],A18,tblCarga[Microciclo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18" s="633">
        <f t="array" ref="F18">IF(A18="","",IFERROR((AVERAGEIFS(tblCarga[Sprint (m)],tblCarga[Jogador],A18,tblCarga[Microciclo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18" s="633">
        <f t="array" ref="G18">IF(A18="","",IFERROR((AVERAGEIFS(tblCarga[Acc (n)],tblCarga[Jogador],A18,tblCarga[Microciclo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18" s="633">
        <f t="array" ref="H18">IF(A18="","",IFERROR((AVERAGEIFS(tblCarga[Dcc (n)],tblCarga[Jogador],A18,tblCarga[Microciclo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18" s="633">
        <f t="array" ref="I18">IF(A18="","",IFERROR((AVERAGEIFS(tblCarga[PSE Sessão],tblCarga[Jogador],A18,tblCarga[Microciclo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18" s="633">
        <f t="array" ref="J18">IF(A18="","",IFERROR((AVERAGEIFS(tblCarga[Vel. Máx (km/h)],tblCarga[Jogador],A18,tblCarga[Microciclo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18" s="633">
        <f t="array" ref="K18">IF(A18="","",IFERROR((AVERAGEIFS(tblCarga[Nº ≥90% Vmáx],tblCarga[Jogador],A18,tblCarga[Microciclo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18" s="633">
        <f t="array" ref="L18">IF(A18="","",IFERROR((AVERAGEIFS(tblCarga[Nº ≥95% Vmáx],tblCarga[Jogador],A18,tblCarga[Microciclo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18" s="633">
        <f>IF(A18="","",IFERROR(AVERAGE(C18:L18),"—"))</f>
        <v/>
      </c>
      <c r="N18" s="603">
        <f>IF(A18="","",IF(M18="—","—",IF(OR(ABS(C18)&gt;2,ABS(D18)&gt;2,ABS(E18)&gt;2,ABS(F18)&gt;2,ABS(G18)&gt;2,ABS(H18)&gt;2,ABS(I18)&gt;2,ABS(J18)&gt;2),"🔴 Atenção","🟢 Normal")))</f>
        <v/>
      </c>
      <c r="O18" s="603">
        <f t="array" ref="O18">IF(A18="","",IFERROR(SUMPRODUCT((ABS(C18:L18)&gt;2)*1),"—"))</f>
        <v/>
      </c>
    </row>
    <row r="19">
      <c r="A19" s="602">
        <f t="array" ref="A19">IFERROR(INDEX(_xlfn._xlws.SORT(_xlfn.UNIQUE(_xlfn._xlws.FILTER(tblCarga[Jogador],(tblCarga[Microciclo (Nr)]=$B$4)*(tblCarga[Tipo]="Treino")))),12),"")</f>
        <v/>
      </c>
    </row>
    <row r="20">
      <c r="A20" s="35">
        <f t="array" ref="A20">IFERROR(INDEX(_xlfn._xlws.SORT(_xlfn.UNIQUE(_xlfn._xlws.FILTER(tblCarga[Jogador],(tblCarga[Microciclo (Nr)]=$B$4)*(tblCarga[Tipo]="Treino")))),13),"")</f>
        <v/>
      </c>
      <c r="B20" s="35">
        <f>IF(A20="","",_xlfn.XLOOKUP(A20,tblCarga[Jogador],tblCarga[Posição]))</f>
        <v/>
      </c>
      <c r="C20" s="543">
        <f t="array" ref="C20">IF(A20="","",IFERROR((AVERAGEIFS(tblCarga[Duração (min)],tblCarga[Jogador],A20,tblCarga[Microciclo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20" s="543">
        <f t="array" ref="D20">IF(A20="","",IFERROR((AVERAGEIFS(tblCarga[Distância Total (m)],tblCarga[Jogador],A20,tblCarga[Microciclo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20" s="633">
        <f t="array" ref="E20">IF(A20="","",IFERROR((AVERAGEIFS(tblCarga[HSR (m)],tblCarga[Jogador],A20,tblCarga[Microciclo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20" s="633">
        <f t="array" ref="F20">IF(A20="","",IFERROR((AVERAGEIFS(tblCarga[Sprint (m)],tblCarga[Jogador],A20,tblCarga[Microciclo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20" s="633">
        <f t="array" ref="G20">IF(A20="","",IFERROR((AVERAGEIFS(tblCarga[Acc (n)],tblCarga[Jogador],A20,tblCarga[Microciclo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20" s="633">
        <f t="array" ref="H20">IF(A20="","",IFERROR((AVERAGEIFS(tblCarga[Dcc (n)],tblCarga[Jogador],A20,tblCarga[Microciclo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20" s="633">
        <f t="array" ref="I20">IF(A20="","",IFERROR((AVERAGEIFS(tblCarga[PSE Sessão],tblCarga[Jogador],A20,tblCarga[Microciclo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20" s="633">
        <f t="array" ref="J20">IF(A20="","",IFERROR((AVERAGEIFS(tblCarga[Vel. Máx (km/h)],tblCarga[Jogador],A20,tblCarga[Microciclo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20" s="633">
        <f t="array" ref="K20">IF(A20="","",IFERROR((AVERAGEIFS(tblCarga[Nº ≥90% Vmáx],tblCarga[Jogador],A20,tblCarga[Microciclo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20" s="633">
        <f t="array" ref="L20">IF(A20="","",IFERROR((AVERAGEIFS(tblCarga[Nº ≥95% Vmáx],tblCarga[Jogador],A20,tblCarga[Microciclo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0" s="633">
        <f>IF(A20="","",IFERROR(AVERAGE(C20:L20),"—"))</f>
        <v/>
      </c>
      <c r="N20" s="603">
        <f>IF(A20="","",IF(M20="—","—",IF(OR(ABS(C20)&gt;2,ABS(D20)&gt;2,ABS(E20)&gt;2,ABS(F20)&gt;2,ABS(G20)&gt;2,ABS(H20)&gt;2,ABS(I20)&gt;2,ABS(J20)&gt;2),"🔴 Atenção","🟢 Normal")))</f>
        <v/>
      </c>
      <c r="O20" s="603">
        <f t="array" ref="O20">IF(A20="","",IFERROR(SUMPRODUCT((ABS(C20:L20)&gt;2)*1),"—"))</f>
        <v/>
      </c>
    </row>
    <row r="21">
      <c r="A21" s="603">
        <f t="array" ref="A21">IFERROR(INDEX(_xlfn._xlws.SORT(_xlfn.UNIQUE(_xlfn._xlws.FILTER(tblCarga[Jogador],(tblCarga[Microciclo (Nr)]=$B$4)*(tblCarga[Tipo]="Treino")))),14),"")</f>
        <v/>
      </c>
      <c r="B21" s="603">
        <f>IF(A21="","",_xlfn.XLOOKUP(A21,tblCarga[Jogador],tblCarga[Posição]))</f>
        <v/>
      </c>
      <c r="C21" s="633">
        <f t="array" ref="C21">IF(A21="","",IFERROR((AVERAGEIFS(tblCarga[Duração (min)],tblCarga[Jogador],A21,tblCarga[Microciclo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21" s="633">
        <f t="array" ref="D21">IF(A21="","",IFERROR((AVERAGEIFS(tblCarga[Distância Total (m)],tblCarga[Jogador],A21,tblCarga[Microciclo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21" s="633">
        <f t="array" ref="E21">IF(A21="","",IFERROR((AVERAGEIFS(tblCarga[HSR (m)],tblCarga[Jogador],A21,tblCarga[Microciclo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21" s="633">
        <f t="array" ref="F21">IF(A21="","",IFERROR((AVERAGEIFS(tblCarga[Sprint (m)],tblCarga[Jogador],A21,tblCarga[Microciclo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21" s="633">
        <f t="array" ref="G21">IF(A21="","",IFERROR((AVERAGEIFS(tblCarga[Acc (n)],tblCarga[Jogador],A21,tblCarga[Microciclo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21" s="633">
        <f t="array" ref="H21">IF(A21="","",IFERROR((AVERAGEIFS(tblCarga[Dcc (n)],tblCarga[Jogador],A21,tblCarga[Microciclo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21" s="633">
        <f t="array" ref="I21">IF(A21="","",IFERROR((AVERAGEIFS(tblCarga[PSE Sessão],tblCarga[Jogador],A21,tblCarga[Microciclo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21" s="633">
        <f t="array" ref="J21">IF(A21="","",IFERROR((AVERAGEIFS(tblCarga[Vel. Máx (km/h)],tblCarga[Jogador],A21,tblCarga[Microciclo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21" s="633">
        <f t="array" ref="K21">IF(A21="","",IFERROR((AVERAGEIFS(tblCarga[Nº ≥90% Vmáx],tblCarga[Jogador],A21,tblCarga[Microciclo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21" s="633">
        <f t="array" ref="L21">IF(A21="","",IFERROR((AVERAGEIFS(tblCarga[Nº ≥95% Vmáx],tblCarga[Jogador],A21,tblCarga[Microciclo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1" s="633">
        <f>IF(A21="","",IFERROR(AVERAGE(C21:L21),"—"))</f>
        <v/>
      </c>
      <c r="N21" s="603">
        <f>IF(A21="","",IF(M21="—","—",IF(OR(ABS(C21)&gt;2,ABS(D21)&gt;2,ABS(E21)&gt;2,ABS(F21)&gt;2,ABS(G21)&gt;2,ABS(H21)&gt;2,ABS(I21)&gt;2,ABS(J21)&gt;2),"🔴 Atenção","🟢 Normal")))</f>
        <v/>
      </c>
      <c r="O21" s="603">
        <f t="array" ref="O21">IF(A21="","",IFERROR(SUMPRODUCT((ABS(C21:L21)&gt;2)*1),"—"))</f>
        <v/>
      </c>
    </row>
    <row r="22">
      <c r="A22" s="603">
        <f t="array" ref="A22">IFERROR(INDEX(_xlfn._xlws.SORT(_xlfn.UNIQUE(_xlfn._xlws.FILTER(tblCarga[Jogador],(tblCarga[Microciclo (Nr)]=$B$4)*(tblCarga[Tipo]="Treino")))),15),"")</f>
        <v/>
      </c>
      <c r="B22" s="603">
        <f>IF(A22="","",_xlfn.XLOOKUP(A22,tblCarga[Jogador],tblCarga[Posição]))</f>
        <v/>
      </c>
      <c r="C22" s="633">
        <f t="array" ref="C22">IF(A22="","",IFERROR((AVERAGEIFS(tblCarga[Duração (min)],tblCarga[Jogador],A22,tblCarga[Microciclo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22" s="633">
        <f t="array" ref="D22">IF(A22="","",IFERROR((AVERAGEIFS(tblCarga[Distância Total (m)],tblCarga[Jogador],A22,tblCarga[Microciclo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22" s="633">
        <f t="array" ref="E22">IF(A22="","",IFERROR((AVERAGEIFS(tblCarga[HSR (m)],tblCarga[Jogador],A22,tblCarga[Microciclo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22" s="633">
        <f t="array" ref="F22">IF(A22="","",IFERROR((AVERAGEIFS(tblCarga[Sprint (m)],tblCarga[Jogador],A22,tblCarga[Microciclo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22" s="633">
        <f t="array" ref="G22">IF(A22="","",IFERROR((AVERAGEIFS(tblCarga[Acc (n)],tblCarga[Jogador],A22,tblCarga[Microciclo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22" s="633">
        <f t="array" ref="H22">IF(A22="","",IFERROR((AVERAGEIFS(tblCarga[Dcc (n)],tblCarga[Jogador],A22,tblCarga[Microciclo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22" s="633">
        <f t="array" ref="I22">IF(A22="","",IFERROR((AVERAGEIFS(tblCarga[PSE Sessão],tblCarga[Jogador],A22,tblCarga[Microciclo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22" s="633">
        <f t="array" ref="J22">IF(A22="","",IFERROR((AVERAGEIFS(tblCarga[Vel. Máx (km/h)],tblCarga[Jogador],A22,tblCarga[Microciclo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22" s="633">
        <f t="array" ref="K22">IF(A22="","",IFERROR((AVERAGEIFS(tblCarga[Nº ≥90% Vmáx],tblCarga[Jogador],A22,tblCarga[Microciclo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22" s="633">
        <f t="array" ref="L22">IF(A22="","",IFERROR((AVERAGEIFS(tblCarga[Nº ≥95% Vmáx],tblCarga[Jogador],A22,tblCarga[Microciclo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2" s="633">
        <f>IF(A22="","",IFERROR(AVERAGE(C22:L22),"—"))</f>
        <v/>
      </c>
      <c r="N22" s="603">
        <f>IF(A22="","",IF(M22="—","—",IF(OR(ABS(C22)&gt;2,ABS(D22)&gt;2,ABS(E22)&gt;2,ABS(F22)&gt;2,ABS(G22)&gt;2,ABS(H22)&gt;2,ABS(I22)&gt;2,ABS(J22)&gt;2),"🔴 Atenção","🟢 Normal")))</f>
        <v/>
      </c>
      <c r="O22" s="603">
        <f t="array" ref="O22">IF(A22="","",IFERROR(SUMPRODUCT((ABS(C22:L22)&gt;2)*1),"—"))</f>
        <v/>
      </c>
    </row>
    <row r="23">
      <c r="A23" s="603">
        <f t="array" ref="A23">IFERROR(INDEX(_xlfn._xlws.SORT(_xlfn.UNIQUE(_xlfn._xlws.FILTER(tblCarga[Jogador],(tblCarga[Microciclo (Nr)]=$B$4)*(tblCarga[Tipo]="Treino")))),16),"")</f>
        <v/>
      </c>
      <c r="B23" s="603">
        <f>IF(A23="","",_xlfn.XLOOKUP(A23,tblCarga[Jogador],tblCarga[Posição]))</f>
        <v/>
      </c>
      <c r="C23" s="633">
        <f t="array" ref="C23">IF(A23="","",IFERROR((AVERAGEIFS(tblCarga[Duração (min)],tblCarga[Jogador],A23,tblCarga[Microciclo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23" s="633">
        <f t="array" ref="D23">IF(A23="","",IFERROR((AVERAGEIFS(tblCarga[Distância Total (m)],tblCarga[Jogador],A23,tblCarga[Microciclo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23" s="633">
        <f t="array" ref="E23">IF(A23="","",IFERROR((AVERAGEIFS(tblCarga[HSR (m)],tblCarga[Jogador],A23,tblCarga[Microciclo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23" s="633">
        <f t="array" ref="F23">IF(A23="","",IFERROR((AVERAGEIFS(tblCarga[Sprint (m)],tblCarga[Jogador],A23,tblCarga[Microciclo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23" s="633">
        <f t="array" ref="G23">IF(A23="","",IFERROR((AVERAGEIFS(tblCarga[Acc (n)],tblCarga[Jogador],A23,tblCarga[Microciclo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23" s="633">
        <f t="array" ref="H23">IF(A23="","",IFERROR((AVERAGEIFS(tblCarga[Dcc (n)],tblCarga[Jogador],A23,tblCarga[Microciclo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23" s="633">
        <f t="array" ref="I23">IF(A23="","",IFERROR((AVERAGEIFS(tblCarga[PSE Sessão],tblCarga[Jogador],A23,tblCarga[Microciclo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23" s="633">
        <f t="array" ref="J23">IF(A23="","",IFERROR((AVERAGEIFS(tblCarga[Vel. Máx (km/h)],tblCarga[Jogador],A23,tblCarga[Microciclo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23" s="633">
        <f t="array" ref="K23">IF(A23="","",IFERROR((AVERAGEIFS(tblCarga[Nº ≥90% Vmáx],tblCarga[Jogador],A23,tblCarga[Microciclo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23" s="633">
        <f t="array" ref="L23">IF(A23="","",IFERROR((AVERAGEIFS(tblCarga[Nº ≥95% Vmáx],tblCarga[Jogador],A23,tblCarga[Microciclo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3" s="633">
        <f>IF(A23="","",IFERROR(AVERAGE(C23:L23),"—"))</f>
        <v/>
      </c>
      <c r="N23" s="603">
        <f>IF(A23="","",IF(M23="—","—",IF(OR(ABS(C23)&gt;2,ABS(D23)&gt;2,ABS(E23)&gt;2,ABS(F23)&gt;2,ABS(G23)&gt;2,ABS(H23)&gt;2,ABS(I23)&gt;2,ABS(J23)&gt;2),"🔴 Atenção","🟢 Normal")))</f>
        <v/>
      </c>
      <c r="O23" s="603">
        <f t="array" ref="O23">IF(A23="","",IFERROR(SUMPRODUCT((ABS(C23:L23)&gt;2)*1),"—"))</f>
        <v/>
      </c>
    </row>
    <row r="24">
      <c r="A24" s="603">
        <f t="array" ref="A24">IFERROR(INDEX(_xlfn._xlws.SORT(_xlfn.UNIQUE(_xlfn._xlws.FILTER(tblCarga[Jogador],(tblCarga[Microciclo (Nr)]=$B$4)*(tblCarga[Tipo]="Treino")))),17),"")</f>
        <v/>
      </c>
      <c r="B24" s="603">
        <f>IF(A24="","",_xlfn.XLOOKUP(A24,tblCarga[Jogador],tblCarga[Posição]))</f>
        <v/>
      </c>
      <c r="C24" s="633">
        <f t="array" ref="C24">IF(A24="","",IFERROR((AVERAGEIFS(tblCarga[Duração (min)],tblCarga[Jogador],A24,tblCarga[Microciclo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24" s="633">
        <f t="array" ref="D24">IF(A24="","",IFERROR((AVERAGEIFS(tblCarga[Distância Total (m)],tblCarga[Jogador],A24,tblCarga[Microciclo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24" s="633">
        <f t="array" ref="E24">IF(A24="","",IFERROR((AVERAGEIFS(tblCarga[HSR (m)],tblCarga[Jogador],A24,tblCarga[Microciclo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24" s="633">
        <f t="array" ref="F24">IF(A24="","",IFERROR((AVERAGEIFS(tblCarga[Sprint (m)],tblCarga[Jogador],A24,tblCarga[Microciclo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24" s="633">
        <f t="array" ref="G24">IF(A24="","",IFERROR((AVERAGEIFS(tblCarga[Acc (n)],tblCarga[Jogador],A24,tblCarga[Microciclo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24" s="633">
        <f t="array" ref="H24">IF(A24="","",IFERROR((AVERAGEIFS(tblCarga[Dcc (n)],tblCarga[Jogador],A24,tblCarga[Microciclo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24" s="633">
        <f t="array" ref="I24">IF(A24="","",IFERROR((AVERAGEIFS(tblCarga[PSE Sessão],tblCarga[Jogador],A24,tblCarga[Microciclo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24" s="633">
        <f t="array" ref="J24">IF(A24="","",IFERROR((AVERAGEIFS(tblCarga[Vel. Máx (km/h)],tblCarga[Jogador],A24,tblCarga[Microciclo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24" s="633">
        <f t="array" ref="K24">IF(A24="","",IFERROR((AVERAGEIFS(tblCarga[Nº ≥90% Vmáx],tblCarga[Jogador],A24,tblCarga[Microciclo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24" s="633">
        <f t="array" ref="L24">IF(A24="","",IFERROR((AVERAGEIFS(tblCarga[Nº ≥95% Vmáx],tblCarga[Jogador],A24,tblCarga[Microciclo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4" s="633">
        <f>IF(A24="","",IFERROR(AVERAGE(C24:L24),"—"))</f>
        <v/>
      </c>
      <c r="N24" s="603">
        <f>IF(A24="","",IF(M24="—","—",IF(OR(ABS(C24)&gt;2,ABS(D24)&gt;2,ABS(E24)&gt;2,ABS(F24)&gt;2,ABS(G24)&gt;2,ABS(H24)&gt;2,ABS(I24)&gt;2,ABS(J24)&gt;2),"🔴 Atenção","🟢 Normal")))</f>
        <v/>
      </c>
      <c r="O24" s="603">
        <f t="array" ref="O24">IF(A24="","",IFERROR(SUMPRODUCT((ABS(C24:L24)&gt;2)*1),"—"))</f>
        <v/>
      </c>
    </row>
    <row r="25">
      <c r="A25" s="603">
        <f t="array" ref="A25">IFERROR(INDEX(_xlfn._xlws.SORT(_xlfn.UNIQUE(_xlfn._xlws.FILTER(tblCarga[Jogador],(tblCarga[Microciclo (Nr)]=$B$4)*(tblCarga[Tipo]="Treino")))),18),"")</f>
        <v/>
      </c>
      <c r="B25" s="603">
        <f>IF(A25="","",_xlfn.XLOOKUP(A25,tblCarga[Jogador],tblCarga[Posição]))</f>
        <v/>
      </c>
      <c r="C25" s="633">
        <f t="array" ref="C25">IF(A25="","",IFERROR((AVERAGEIFS(tblCarga[Duração (min)],tblCarga[Jogador],A25,tblCarga[Microciclo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25" s="633">
        <f t="array" ref="D25">IF(A25="","",IFERROR((AVERAGEIFS(tblCarga[Distância Total (m)],tblCarga[Jogador],A25,tblCarga[Microciclo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25" s="633">
        <f t="array" ref="E25">IF(A25="","",IFERROR((AVERAGEIFS(tblCarga[HSR (m)],tblCarga[Jogador],A25,tblCarga[Microciclo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25" s="633">
        <f t="array" ref="F25">IF(A25="","",IFERROR((AVERAGEIFS(tblCarga[Sprint (m)],tblCarga[Jogador],A25,tblCarga[Microciclo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25" s="633">
        <f t="array" ref="G25">IF(A25="","",IFERROR((AVERAGEIFS(tblCarga[Acc (n)],tblCarga[Jogador],A25,tblCarga[Microciclo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25" s="633">
        <f t="array" ref="H25">IF(A25="","",IFERROR((AVERAGEIFS(tblCarga[Dcc (n)],tblCarga[Jogador],A25,tblCarga[Microciclo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25" s="633">
        <f t="array" ref="I25">IF(A25="","",IFERROR((AVERAGEIFS(tblCarga[PSE Sessão],tblCarga[Jogador],A25,tblCarga[Microciclo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25" s="633">
        <f t="array" ref="J25">IF(A25="","",IFERROR((AVERAGEIFS(tblCarga[Vel. Máx (km/h)],tblCarga[Jogador],A25,tblCarga[Microciclo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25" s="633">
        <f t="array" ref="K25">IF(A25="","",IFERROR((AVERAGEIFS(tblCarga[Nº ≥90% Vmáx],tblCarga[Jogador],A25,tblCarga[Microciclo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25" s="633">
        <f t="array" ref="L25">IF(A25="","",IFERROR((AVERAGEIFS(tblCarga[Nº ≥95% Vmáx],tblCarga[Jogador],A25,tblCarga[Microciclo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5" s="633">
        <f>IF(A25="","",IFERROR(AVERAGE(C25:L25),"—"))</f>
        <v/>
      </c>
      <c r="N25" s="603">
        <f>IF(A25="","",IF(M25="—","—",IF(OR(ABS(C25)&gt;2,ABS(D25)&gt;2,ABS(E25)&gt;2,ABS(F25)&gt;2,ABS(G25)&gt;2,ABS(H25)&gt;2,ABS(I25)&gt;2,ABS(J25)&gt;2),"🔴 Atenção","🟢 Normal")))</f>
        <v/>
      </c>
      <c r="O25" s="603">
        <f t="array" ref="O25">IF(A25="","",IFERROR(SUMPRODUCT((ABS(C25:L25)&gt;2)*1),"—"))</f>
        <v/>
      </c>
    </row>
    <row r="26">
      <c r="A26" s="603">
        <f t="array" ref="A26">IFERROR(INDEX(_xlfn._xlws.SORT(_xlfn.UNIQUE(_xlfn._xlws.FILTER(tblCarga[Jogador],(tblCarga[Microciclo (Nr)]=$B$4)*(tblCarga[Tipo]="Treino")))),19),"")</f>
        <v/>
      </c>
      <c r="B26" s="603">
        <f>IF(A26="","",_xlfn.XLOOKUP(A26,tblCarga[Jogador],tblCarga[Posição]))</f>
        <v/>
      </c>
      <c r="C26" s="633">
        <f t="array" ref="C26">IF(A26="","",IFERROR((AVERAGEIFS(tblCarga[Duração (min)],tblCarga[Jogador],A26,tblCarga[Microciclo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26" s="633">
        <f t="array" ref="D26">IF(A26="","",IFERROR((AVERAGEIFS(tblCarga[Distância Total (m)],tblCarga[Jogador],A26,tblCarga[Microciclo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26" s="633">
        <f t="array" ref="E26">IF(A26="","",IFERROR((AVERAGEIFS(tblCarga[HSR (m)],tblCarga[Jogador],A26,tblCarga[Microciclo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26" s="633">
        <f t="array" ref="F26">IF(A26="","",IFERROR((AVERAGEIFS(tblCarga[Sprint (m)],tblCarga[Jogador],A26,tblCarga[Microciclo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26" s="633">
        <f t="array" ref="G26">IF(A26="","",IFERROR((AVERAGEIFS(tblCarga[Acc (n)],tblCarga[Jogador],A26,tblCarga[Microciclo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26" s="633">
        <f t="array" ref="H26">IF(A26="","",IFERROR((AVERAGEIFS(tblCarga[Dcc (n)],tblCarga[Jogador],A26,tblCarga[Microciclo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26" s="633">
        <f t="array" ref="I26">IF(A26="","",IFERROR((AVERAGEIFS(tblCarga[PSE Sessão],tblCarga[Jogador],A26,tblCarga[Microciclo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26" s="633">
        <f t="array" ref="J26">IF(A26="","",IFERROR((AVERAGEIFS(tblCarga[Vel. Máx (km/h)],tblCarga[Jogador],A26,tblCarga[Microciclo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26" s="633">
        <f t="array" ref="K26">IF(A26="","",IFERROR((AVERAGEIFS(tblCarga[Nº ≥90% Vmáx],tblCarga[Jogador],A26,tblCarga[Microciclo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26" s="633">
        <f t="array" ref="L26">IF(A26="","",IFERROR((AVERAGEIFS(tblCarga[Nº ≥95% Vmáx],tblCarga[Jogador],A26,tblCarga[Microciclo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6" s="633">
        <f>IF(A26="","",IFERROR(AVERAGE(C26:L26),"—"))</f>
        <v/>
      </c>
      <c r="N26" s="603">
        <f>IF(A26="","",IF(M26="—","—",IF(OR(ABS(C26)&gt;2,ABS(D26)&gt;2,ABS(E26)&gt;2,ABS(F26)&gt;2,ABS(G26)&gt;2,ABS(H26)&gt;2,ABS(I26)&gt;2,ABS(J26)&gt;2),"🔴 Atenção","🟢 Normal")))</f>
        <v/>
      </c>
      <c r="O26" s="603">
        <f t="array" ref="O26">IF(A26="","",IFERROR(SUMPRODUCT((ABS(C26:L26)&gt;2)*1),"—"))</f>
        <v/>
      </c>
    </row>
    <row r="27">
      <c r="A27" s="603">
        <f t="array" ref="A27">IFERROR(INDEX(_xlfn._xlws.SORT(_xlfn.UNIQUE(_xlfn._xlws.FILTER(tblCarga[Jogador],(tblCarga[Microciclo (Nr)]=$B$4)*(tblCarga[Tipo]="Treino")))),20),"")</f>
        <v/>
      </c>
      <c r="B27" s="603">
        <f>IF(A27="","",_xlfn.XLOOKUP(A27,tblCarga[Jogador],tblCarga[Posição]))</f>
        <v/>
      </c>
      <c r="C27" s="633">
        <f t="array" ref="C27">IF(A27="","",IFERROR((AVERAGEIFS(tblCarga[Duração (min)],tblCarga[Jogador],A27,tblCarga[Microciclo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27" s="633">
        <f t="array" ref="D27">IF(A27="","",IFERROR((AVERAGEIFS(tblCarga[Distância Total (m)],tblCarga[Jogador],A27,tblCarga[Microciclo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27" s="633">
        <f t="array" ref="E27">IF(A27="","",IFERROR((AVERAGEIFS(tblCarga[HSR (m)],tblCarga[Jogador],A27,tblCarga[Microciclo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27" s="633">
        <f t="array" ref="F27">IF(A27="","",IFERROR((AVERAGEIFS(tblCarga[Sprint (m)],tblCarga[Jogador],A27,tblCarga[Microciclo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27" s="633">
        <f t="array" ref="G27">IF(A27="","",IFERROR((AVERAGEIFS(tblCarga[Acc (n)],tblCarga[Jogador],A27,tblCarga[Microciclo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27" s="633">
        <f t="array" ref="H27">IF(A27="","",IFERROR((AVERAGEIFS(tblCarga[Dcc (n)],tblCarga[Jogador],A27,tblCarga[Microciclo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27" s="633">
        <f t="array" ref="I27">IF(A27="","",IFERROR((AVERAGEIFS(tblCarga[PSE Sessão],tblCarga[Jogador],A27,tblCarga[Microciclo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27" s="633">
        <f t="array" ref="J27">IF(A27="","",IFERROR((AVERAGEIFS(tblCarga[Vel. Máx (km/h)],tblCarga[Jogador],A27,tblCarga[Microciclo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27" s="633">
        <f t="array" ref="K27">IF(A27="","",IFERROR((AVERAGEIFS(tblCarga[Nº ≥90% Vmáx],tblCarga[Jogador],A27,tblCarga[Microciclo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27" s="633">
        <f t="array" ref="L27">IF(A27="","",IFERROR((AVERAGEIFS(tblCarga[Nº ≥95% Vmáx],tblCarga[Jogador],A27,tblCarga[Microciclo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7" s="633">
        <f>IF(A27="","",IFERROR(AVERAGE(C27:L27),"—"))</f>
        <v/>
      </c>
      <c r="N27" s="603">
        <f>IF(A27="","",IF(M27="—","—",IF(OR(ABS(C27)&gt;2,ABS(D27)&gt;2,ABS(E27)&gt;2,ABS(F27)&gt;2,ABS(G27)&gt;2,ABS(H27)&gt;2,ABS(I27)&gt;2,ABS(J27)&gt;2),"🔴 Atenção","🟢 Normal")))</f>
        <v/>
      </c>
      <c r="O27" s="603">
        <f t="array" ref="O27">IF(A27="","",IFERROR(SUMPRODUCT((ABS(C27:L27)&gt;2)*1),"—"))</f>
        <v/>
      </c>
    </row>
    <row r="28">
      <c r="A28" s="602">
        <f t="array" ref="A28">IFERROR(INDEX(_xlfn._xlws.SORT(_xlfn.UNIQUE(_xlfn._xlws.FILTER(tblCarga[Jogador],(tblCarga[Microciclo (Nr)]=$B$4)*(tblCarga[Tipo]="Treino")))),21),"")</f>
        <v/>
      </c>
      <c r="L28" s="633">
        <f t="array" ref="L28">IF(A28="","",IFERROR((AVERAGEIFS(tblCarga[Nº ≥95% Vmáx],tblCarga[Jogador],A28,tblCarga[Microciclo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8" s="633">
        <f>IF(A28="","",IFERROR(AVERAGE(C28:L28),"—"))</f>
        <v/>
      </c>
      <c r="N28" s="603">
        <f>IF(A28="","",IF(M28="—","—",IF(OR(ABS(C28)&gt;2,ABS(D28)&gt;2,ABS(E28)&gt;2,ABS(F28)&gt;2,ABS(G28)&gt;2,ABS(H28)&gt;2,ABS(I28)&gt;2,ABS(J28)&gt;2),"🔴 Atenção","🟢 Normal")))</f>
        <v/>
      </c>
      <c r="O28" s="603">
        <f t="array" ref="O28">IF(A28="","",IFERROR(SUMPRODUCT((ABS(C28:L28)&gt;2)*1),"—"))</f>
        <v/>
      </c>
    </row>
    <row r="29" ht="6" customHeight="1">
      <c r="A29" s="603">
        <f t="array" ref="A29">IFERROR(INDEX(_xlfn._xlws.SORT(_xlfn.UNIQUE(_xlfn._xlws.FILTER(tblCarga[Jogador],(tblCarga[Microciclo (Nr)]=$B$4)*(tblCarga[Tipo]="Treino")))),22),"")</f>
        <v/>
      </c>
      <c r="B29" s="603">
        <f>IF(A29="","",_xlfn.XLOOKUP(A29,tblCarga[Jogador],tblCarga[Posição]))</f>
        <v/>
      </c>
      <c r="C29" s="633">
        <f t="array" ref="C29">IF(A29="","",IFERROR((AVERAGEIFS(tblCarga[Duração (min)],tblCarga[Jogador],A29,tblCarga[Microciclo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29" s="633">
        <f t="array" ref="D29">IF(A29="","",IFERROR((AVERAGEIFS(tblCarga[Distância Total (m)],tblCarga[Jogador],A29,tblCarga[Microciclo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29" s="633">
        <f t="array" ref="E29">IF(A29="","",IFERROR((AVERAGEIFS(tblCarga[HSR (m)],tblCarga[Jogador],A29,tblCarga[Microciclo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29" s="633">
        <f t="array" ref="F29">IF(A29="","",IFERROR((AVERAGEIFS(tblCarga[Sprint (m)],tblCarga[Jogador],A29,tblCarga[Microciclo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29" s="633">
        <f t="array" ref="G29">IF(A29="","",IFERROR((AVERAGEIFS(tblCarga[Acc (n)],tblCarga[Jogador],A29,tblCarga[Microciclo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29" s="633">
        <f t="array" ref="H29">IF(A29="","",IFERROR((AVERAGEIFS(tblCarga[Dcc (n)],tblCarga[Jogador],A29,tblCarga[Microciclo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29" s="633">
        <f t="array" ref="I29">IF(A29="","",IFERROR((AVERAGEIFS(tblCarga[PSE Sessão],tblCarga[Jogador],A29,tblCarga[Microciclo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29" s="633">
        <f t="array" ref="J29">IF(A29="","",IFERROR((AVERAGEIFS(tblCarga[Vel. Máx (km/h)],tblCarga[Jogador],A29,tblCarga[Microciclo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29" s="633">
        <f t="array" ref="K29">IF(A29="","",IFERROR((AVERAGEIFS(tblCarga[Nº ≥90% Vmáx],tblCarga[Jogador],A29,tblCarga[Microciclo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29" s="633">
        <f t="array" ref="L29">IF(A29="","",IFERROR((AVERAGEIFS(tblCarga[Nº ≥95% Vmáx],tblCarga[Jogador],A29,tblCarga[Microciclo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29" s="633">
        <f>IF(A29="","",IFERROR(AVERAGE(C29:L29),"—"))</f>
        <v/>
      </c>
      <c r="N29" s="603">
        <f>IF(A29="","",IF(M29="—","—",IF(OR(ABS(C29)&gt;2,ABS(D29)&gt;2,ABS(E29)&gt;2,ABS(F29)&gt;2,ABS(G29)&gt;2,ABS(H29)&gt;2,ABS(I29)&gt;2,ABS(J29)&gt;2),"🔴 Atenção","🟢 Normal")))</f>
        <v/>
      </c>
      <c r="O29" s="603">
        <f t="array" ref="O29">IF(A29="","",IFERROR(SUMPRODUCT((ABS(C29:L29)&gt;2)*1),"—"))</f>
        <v/>
      </c>
    </row>
    <row r="30" ht="27.95" customHeight="1">
      <c r="A30" s="600">
        <f t="array" ref="A30">IFERROR(INDEX(_xlfn._xlws.SORT(_xlfn.UNIQUE(_xlfn._xlws.FILTER(tblCarga[Jogador],(tblCarga[Microciclo (Nr)]=$B$4)*(tblCarga[Tipo]="Treino")))),23),"")</f>
        <v/>
      </c>
      <c r="B30" s="612">
        <f>IF(A30="","",_xlfn.XLOOKUP(A30,tblCarga[Jogador],tblCarga[Posição]))</f>
        <v/>
      </c>
      <c r="C30" s="544">
        <f t="array" ref="C30">IF(A30="","",IFERROR((AVERAGEIFS(tblCarga[Duração (min)],tblCarga[Jogador],A30,tblCarga[Microciclo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30" s="544">
        <f t="array" ref="D30">IF(A30="","",IFERROR((AVERAGEIFS(tblCarga[Distância Total (m)],tblCarga[Jogador],A30,tblCarga[Microciclo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30" s="544">
        <f t="array" ref="E30">IF(A30="","",IFERROR((AVERAGEIFS(tblCarga[HSR (m)],tblCarga[Jogador],A30,tblCarga[Microciclo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30" s="544">
        <f t="array" ref="F30">IF(A30="","",IFERROR((AVERAGEIFS(tblCarga[Sprint (m)],tblCarga[Jogador],A30,tblCarga[Microciclo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30" s="544">
        <f t="array" ref="G30">IF(A30="","",IFERROR((AVERAGEIFS(tblCarga[Acc (n)],tblCarga[Jogador],A30,tblCarga[Microciclo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30" s="544">
        <f t="array" ref="H30">IF(A30="","",IFERROR((AVERAGEIFS(tblCarga[Dcc (n)],tblCarga[Jogador],A30,tblCarga[Microciclo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30" s="544">
        <f t="array" ref="I30">IF(A30="","",IFERROR((AVERAGEIFS(tblCarga[PSE Sessão],tblCarga[Jogador],A30,tblCarga[Microciclo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30" s="544">
        <f t="array" ref="J30">IF(A30="","",IFERROR((AVERAGEIFS(tblCarga[Vel. Máx (km/h)],tblCarga[Jogador],A30,tblCarga[Microciclo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30" s="544">
        <f t="array" ref="K30">IF(A30="","",IFERROR((AVERAGEIFS(tblCarga[Nº ≥90% Vmáx],tblCarga[Jogador],A30,tblCarga[Microciclo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30" s="544">
        <f t="array" ref="L30">IF(A30="","",IFERROR((AVERAGEIFS(tblCarga[Nº ≥95% Vmáx],tblCarga[Jogador],A30,tblCarga[Microciclo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30" s="544">
        <f>IF(A30="","",IFERROR(AVERAGE(C30:L30),"—"))</f>
        <v/>
      </c>
      <c r="N30" s="612">
        <f>IF(A30="","",IF(M30="—","—",IF(OR(ABS(C30)&gt;2,ABS(D30)&gt;2,ABS(E30)&gt;2,ABS(F30)&gt;2,ABS(G30)&gt;2,ABS(H30)&gt;2,ABS(I30)&gt;2,ABS(J30)&gt;2),"🔴 Atenção","🟢 Normal")))</f>
        <v/>
      </c>
      <c r="O30" s="612">
        <f t="array" ref="O30">IF(A30="","",IFERROR(SUMPRODUCT((ABS(C30:L30)&gt;2)*1),"—"))</f>
        <v/>
      </c>
    </row>
    <row r="31" ht="27.95" customHeight="1">
      <c r="A31" s="259">
        <f t="array" ref="A31">IFERROR(INDEX(_xlfn._xlws.SORT(_xlfn.UNIQUE(_xlfn._xlws.FILTER(tblCarga[Jogador],(tblCarga[Microciclo (Nr)]=$B$4)*(tblCarga[Tipo]="Treino")))),24),"")</f>
        <v/>
      </c>
      <c r="B31" s="625">
        <f>IF(A31="","",_xlfn.XLOOKUP(A31,tblCarga[Jogador],tblCarga[Posição]))</f>
        <v/>
      </c>
      <c r="C31" s="545">
        <f t="array" ref="C31">IF(A31="","",IFERROR((AVERAGEIFS(tblCarga[Duração (min)],tblCarga[Jogador],A31,tblCarga[Microciclo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31" s="545">
        <f t="array" ref="D31">IF(A31="","",IFERROR((AVERAGEIFS(tblCarga[Distância Total (m)],tblCarga[Jogador],A31,tblCarga[Microciclo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31" s="545">
        <f t="array" ref="E31">IF(A31="","",IFERROR((AVERAGEIFS(tblCarga[HSR (m)],tblCarga[Jogador],A31,tblCarga[Microciclo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31" s="545">
        <f t="array" ref="F31">IF(A31="","",IFERROR((AVERAGEIFS(tblCarga[Sprint (m)],tblCarga[Jogador],A31,tblCarga[Microciclo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31" s="545">
        <f t="array" ref="G31">IF(A31="","",IFERROR((AVERAGEIFS(tblCarga[Acc (n)],tblCarga[Jogador],A31,tblCarga[Microciclo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31" s="545">
        <f t="array" ref="H31">IF(A31="","",IFERROR((AVERAGEIFS(tblCarga[Dcc (n)],tblCarga[Jogador],A31,tblCarga[Microciclo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31" s="545">
        <f t="array" ref="I31">IF(A31="","",IFERROR((AVERAGEIFS(tblCarga[PSE Sessão],tblCarga[Jogador],A31,tblCarga[Microciclo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31" s="545">
        <f t="array" ref="J31">IF(A31="","",IFERROR((AVERAGEIFS(tblCarga[Vel. Máx (km/h)],tblCarga[Jogador],A31,tblCarga[Microciclo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31" s="545">
        <f t="array" ref="K31">IF(A31="","",IFERROR((AVERAGEIFS(tblCarga[Nº ≥90% Vmáx],tblCarga[Jogador],A31,tblCarga[Microciclo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31" s="545">
        <f t="array" ref="L31">IF(A31="","",IFERROR((AVERAGEIFS(tblCarga[Nº ≥95% Vmáx],tblCarga[Jogador],A31,tblCarga[Microciclo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31" s="545">
        <f>IF(A31="","",IFERROR(AVERAGE(C31:L31),"—"))</f>
        <v/>
      </c>
      <c r="N31" s="156">
        <f>IF(A31="","",IF(M31="—","—",IF(OR(ABS(C31)&gt;2,ABS(D31)&gt;2,ABS(E31)&gt;2,ABS(F31)&gt;2,ABS(G31)&gt;2,ABS(H31)&gt;2,ABS(I31)&gt;2,ABS(J31)&gt;2),"🔴 Atenção","🟢 Normal")))</f>
        <v/>
      </c>
      <c r="O31" s="156">
        <f t="array" ref="O31">IF(A31="","",IFERROR(SUMPRODUCT((ABS(C31:L31)&gt;2)*1),"—"))</f>
        <v/>
      </c>
    </row>
    <row r="32" ht="6" customHeight="1">
      <c r="A32" s="603">
        <f t="array" ref="A32">IFERROR(INDEX(_xlfn._xlws.SORT(_xlfn.UNIQUE(_xlfn._xlws.FILTER(tblCarga[Jogador],(tblCarga[Microciclo (Nr)]=$B$4)*(tblCarga[Tipo]="Treino")))),25),"")</f>
        <v/>
      </c>
      <c r="B32" s="603">
        <f>IF(A32="","",_xlfn.XLOOKUP(A32,tblCarga[Jogador],tblCarga[Posição]))</f>
        <v/>
      </c>
      <c r="C32" s="633">
        <f t="array" ref="C32">IF(A32="","",IFERROR((AVERAGEIFS(tblCarga[Duração (min)],tblCarga[Jogador],A32,tblCarga[Microciclo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32" s="633">
        <f t="array" ref="D32">IF(A32="","",IFERROR((AVERAGEIFS(tblCarga[Distância Total (m)],tblCarga[Jogador],A32,tblCarga[Microciclo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32" s="633">
        <f t="array" ref="E32">IF(A32="","",IFERROR((AVERAGEIFS(tblCarga[HSR (m)],tblCarga[Jogador],A32,tblCarga[Microciclo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32" s="633">
        <f t="array" ref="F32">IF(A32="","",IFERROR((AVERAGEIFS(tblCarga[Sprint (m)],tblCarga[Jogador],A32,tblCarga[Microciclo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32" s="633">
        <f t="array" ref="G32">IF(A32="","",IFERROR((AVERAGEIFS(tblCarga[Acc (n)],tblCarga[Jogador],A32,tblCarga[Microciclo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32" s="633">
        <f t="array" ref="H32">IF(A32="","",IFERROR((AVERAGEIFS(tblCarga[Dcc (n)],tblCarga[Jogador],A32,tblCarga[Microciclo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32" s="633">
        <f t="array" ref="I32">IF(A32="","",IFERROR((AVERAGEIFS(tblCarga[PSE Sessão],tblCarga[Jogador],A32,tblCarga[Microciclo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32" s="633">
        <f t="array" ref="J32">IF(A32="","",IFERROR((AVERAGEIFS(tblCarga[Vel. Máx (km/h)],tblCarga[Jogador],A32,tblCarga[Microciclo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32" s="633">
        <f t="array" ref="K32">IF(A32="","",IFERROR((AVERAGEIFS(tblCarga[Nº ≥90% Vmáx],tblCarga[Jogador],A32,tblCarga[Microciclo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32" s="633">
        <f t="array" ref="L32">IF(A32="","",IFERROR((AVERAGEIFS(tblCarga[Nº ≥95% Vmáx],tblCarga[Jogador],A32,tblCarga[Microciclo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32" s="633">
        <f>IF(A32="","",IFERROR(AVERAGE(C32:L32),"—"))</f>
        <v/>
      </c>
      <c r="N32" s="603">
        <f>IF(A32="","",IF(M32="—","—",IF(OR(ABS(C32)&gt;2,ABS(D32)&gt;2,ABS(E32)&gt;2,ABS(F32)&gt;2,ABS(G32)&gt;2,ABS(H32)&gt;2,ABS(I32)&gt;2,ABS(J32)&gt;2),"🔴 Atenção","🟢 Normal")))</f>
        <v/>
      </c>
      <c r="O32" s="603">
        <f t="array" ref="O32">IF(A32="","",IFERROR(SUMPRODUCT((ABS(C32:L32)&gt;2)*1),"—"))</f>
        <v/>
      </c>
    </row>
    <row r="33" ht="30" customHeight="1">
      <c r="A33" s="193">
        <f t="array" ref="A33">IFERROR(INDEX(_xlfn._xlws.SORT(_xlfn.UNIQUE(_xlfn._xlws.FILTER(tblCarga[Jogador],(tblCarga[Microciclo (Nr)]=$B$4)*(tblCarga[Tipo]="Treino")))),26),"")</f>
        <v/>
      </c>
      <c r="B33" s="193">
        <f>IF(A33="","",_xlfn.XLOOKUP(A33,tblCarga[Jogador],tblCarga[Posição]))</f>
        <v/>
      </c>
      <c r="C33" s="352">
        <f t="array" ref="C33">IF(A33="","",IFERROR((AVERAGEIFS(tblCarga[Duração (min)],tblCarga[Jogador],A33,tblCarga[Microciclo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33" s="352">
        <f t="array" ref="D33">IF(A33="","",IFERROR((AVERAGEIFS(tblCarga[Distância Total (m)],tblCarga[Jogador],A33,tblCarga[Microciclo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33" s="352">
        <f t="array" ref="E33">IF(A33="","",IFERROR((AVERAGEIFS(tblCarga[HSR (m)],tblCarga[Jogador],A33,tblCarga[Microciclo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33" s="352">
        <f t="array" ref="F33">IF(A33="","",IFERROR((AVERAGEIFS(tblCarga[Sprint (m)],tblCarga[Jogador],A33,tblCarga[Microciclo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33" s="352">
        <f t="array" ref="G33">IF(A33="","",IFERROR((AVERAGEIFS(tblCarga[Acc (n)],tblCarga[Jogador],A33,tblCarga[Microciclo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33" s="352">
        <f t="array" ref="H33">IF(A33="","",IFERROR((AVERAGEIFS(tblCarga[Dcc (n)],tblCarga[Jogador],A33,tblCarga[Microciclo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33" s="633">
        <f t="array" ref="I33">IF(A33="","",IFERROR((AVERAGEIFS(tblCarga[PSE Sessão],tblCarga[Jogador],A33,tblCarga[Microciclo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33" s="633">
        <f t="array" ref="J33">IF(A33="","",IFERROR((AVERAGEIFS(tblCarga[Vel. Máx (km/h)],tblCarga[Jogador],A33,tblCarga[Microciclo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33" s="633">
        <f t="array" ref="K33">IF(A33="","",IFERROR((AVERAGEIFS(tblCarga[Nº ≥90% Vmáx],tblCarga[Jogador],A33,tblCarga[Microciclo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33" s="633">
        <f t="array" ref="L33">IF(A33="","",IFERROR((AVERAGEIFS(tblCarga[Nº ≥95% Vmáx],tblCarga[Jogador],A33,tblCarga[Microciclo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33" s="633">
        <f>IF(A33="","",IFERROR(AVERAGE(C33:L33),"—"))</f>
        <v/>
      </c>
      <c r="N33" s="603">
        <f>IF(A33="","",IF(M33="—","—",IF(OR(ABS(C33)&gt;2,ABS(D33)&gt;2,ABS(E33)&gt;2,ABS(F33)&gt;2,ABS(G33)&gt;2,ABS(H33)&gt;2,ABS(I33)&gt;2,ABS(J33)&gt;2),"🔴 Atenção","🟢 Normal")))</f>
        <v/>
      </c>
      <c r="O33" s="603">
        <f t="array" ref="O33">IF(A33="","",IFERROR(SUMPRODUCT((ABS(C33:L33)&gt;2)*1),"—"))</f>
        <v/>
      </c>
    </row>
    <row r="34" ht="24" customHeight="1">
      <c r="A34" s="397">
        <f t="array" ref="A34">IFERROR(INDEX(_xlfn._xlws.SORT(_xlfn.UNIQUE(_xlfn._xlws.FILTER(tblCarga[Jogador],(tblCarga[Microciclo (Nr)]=$B$4)*(tblCarga[Tipo]="Treino")))),27),"")</f>
        <v/>
      </c>
      <c r="B34" s="137">
        <f>IF(A34="","",_xlfn.XLOOKUP(A34,tblCarga[Jogador],tblCarga[Posição]))</f>
        <v/>
      </c>
      <c r="C34" s="360">
        <f t="array" ref="C34">IF(A34="","",IFERROR((AVERAGEIFS(tblCarga[Duração (min)],tblCarga[Jogador],A34,tblCarga[Microciclo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34" s="360">
        <f t="array" ref="D34">IF(A34="","",IFERROR((AVERAGEIFS(tblCarga[Distância Total (m)],tblCarga[Jogador],A34,tblCarga[Microciclo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34" s="360">
        <f t="array" ref="E34">IF(A34="","",IFERROR((AVERAGEIFS(tblCarga[HSR (m)],tblCarga[Jogador],A34,tblCarga[Microciclo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34" s="360">
        <f t="array" ref="F34">IF(A34="","",IFERROR((AVERAGEIFS(tblCarga[Sprint (m)],tblCarga[Jogador],A34,tblCarga[Microciclo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34" s="360">
        <f t="array" ref="G34">IF(A34="","",IFERROR((AVERAGEIFS(tblCarga[Acc (n)],tblCarga[Jogador],A34,tblCarga[Microciclo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34" s="360">
        <f t="array" ref="H34">IF(A34="","",IFERROR((AVERAGEIFS(tblCarga[Dcc (n)],tblCarga[Jogador],A34,tblCarga[Microciclo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34" s="104">
        <f t="array" ref="I34">IF(A34="","",IFERROR((AVERAGEIFS(tblCarga[PSE Sessão],tblCarga[Jogador],A34,tblCarga[Microciclo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34" s="104">
        <f t="array" ref="J34">IF(A34="","",IFERROR((AVERAGEIFS(tblCarga[Vel. Máx (km/h)],tblCarga[Jogador],A34,tblCarga[Microciclo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34" s="104">
        <f t="array" ref="K34">IF(A34="","",IFERROR((AVERAGEIFS(tblCarga[Nº ≥90% Vmáx],tblCarga[Jogador],A34,tblCarga[Microciclo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34" s="104">
        <f t="array" ref="L34">IF(A34="","",IFERROR((AVERAGEIFS(tblCarga[Nº ≥95% Vmáx],tblCarga[Jogador],A34,tblCarga[Microciclo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34" s="104">
        <f>IF(A34="","",IFERROR(AVERAGE(C34:L34),"—"))</f>
        <v/>
      </c>
      <c r="N34" s="22">
        <f>IF(A34="","",IF(M34="—","—",IF(OR(ABS(C34)&gt;2,ABS(D34)&gt;2,ABS(E34)&gt;2,ABS(F34)&gt;2,ABS(G34)&gt;2,ABS(H34)&gt;2,ABS(I34)&gt;2,ABS(J34)&gt;2),"🔴 Atenção","🟢 Normal")))</f>
        <v/>
      </c>
      <c r="O34" s="22">
        <f t="array" ref="O34">IF(A34="","",IFERROR(SUMPRODUCT((ABS(C34:L34)&gt;2)*1),"—"))</f>
        <v/>
      </c>
    </row>
    <row r="35" ht="24" customHeight="1">
      <c r="A35" s="401">
        <f t="array" ref="A35">IFERROR(INDEX(_xlfn._xlws.SORT(_xlfn.UNIQUE(_xlfn._xlws.FILTER(tblCarga[Jogador],(tblCarga[Microciclo (Nr)]=$B$4)*(tblCarga[Tipo]="Treino")))),28),"")</f>
        <v/>
      </c>
      <c r="B35" s="364">
        <f>IF(A35="","",_xlfn.XLOOKUP(A35,tblCarga[Jogador],tblCarga[Posição]))</f>
        <v/>
      </c>
      <c r="C35" s="546">
        <f t="array" ref="C35">IF(A35="","",IFERROR((AVERAGEIFS(tblCarga[Duração (min)],tblCarga[Jogador],A35,tblCarga[Microciclo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35" s="546">
        <f t="array" ref="D35">IF(A35="","",IFERROR((AVERAGEIFS(tblCarga[Distância Total (m)],tblCarga[Jogador],A35,tblCarga[Microciclo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35" s="546">
        <f t="array" ref="E35">IF(A35="","",IFERROR((AVERAGEIFS(tblCarga[HSR (m)],tblCarga[Jogador],A35,tblCarga[Microciclo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35" s="546">
        <f t="array" ref="F35">IF(A35="","",IFERROR((AVERAGEIFS(tblCarga[Sprint (m)],tblCarga[Jogador],A35,tblCarga[Microciclo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35" s="546">
        <f t="array" ref="G35">IF(A35="","",IFERROR((AVERAGEIFS(tblCarga[Acc (n)],tblCarga[Jogador],A35,tblCarga[Microciclo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35" s="546">
        <f t="array" ref="H35">IF(A35="","",IFERROR((AVERAGEIFS(tblCarga[Dcc (n)],tblCarga[Jogador],A35,tblCarga[Microciclo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35" s="633">
        <f t="array" ref="I35">IF(A35="","",IFERROR((AVERAGEIFS(tblCarga[PSE Sessão],tblCarga[Jogador],A35,tblCarga[Microciclo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35" s="633">
        <f t="array" ref="J35">IF(A35="","",IFERROR((AVERAGEIFS(tblCarga[Vel. Máx (km/h)],tblCarga[Jogador],A35,tblCarga[Microciclo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35" s="633">
        <f t="array" ref="K35">IF(A35="","",IFERROR((AVERAGEIFS(tblCarga[Nº ≥90% Vmáx],tblCarga[Jogador],A35,tblCarga[Microciclo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35" s="633">
        <f t="array" ref="L35">IF(A35="","",IFERROR((AVERAGEIFS(tblCarga[Nº ≥95% Vmáx],tblCarga[Jogador],A35,tblCarga[Microciclo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35" s="633">
        <f>IF(A35="","",IFERROR(AVERAGE(C35:L35),"—"))</f>
        <v/>
      </c>
      <c r="N35" s="603">
        <f>IF(A35="","",IF(M35="—","—",IF(OR(ABS(C35)&gt;2,ABS(D35)&gt;2,ABS(E35)&gt;2,ABS(F35)&gt;2,ABS(G35)&gt;2,ABS(H35)&gt;2,ABS(I35)&gt;2,ABS(J35)&gt;2),"🔴 Atenção","🟢 Normal")))</f>
        <v/>
      </c>
      <c r="O35" s="603">
        <f t="array" ref="O35">IF(A35="","",IFERROR(SUMPRODUCT((ABS(C35:L35)&gt;2)*1),"—"))</f>
        <v/>
      </c>
    </row>
    <row r="36" ht="24" customHeight="1">
      <c r="A36" s="411">
        <f t="array" ref="A36">IFERROR(INDEX(_xlfn._xlws.SORT(_xlfn.UNIQUE(_xlfn._xlws.FILTER(tblCarga[Jogador],(tblCarga[Microciclo (Nr)]=$B$4)*(tblCarga[Tipo]="Treino")))),29),"")</f>
        <v/>
      </c>
      <c r="B36" s="370">
        <f>IF(A36="","",_xlfn.XLOOKUP(A36,tblCarga[Jogador],tblCarga[Posição]))</f>
        <v/>
      </c>
      <c r="C36" s="547">
        <f t="array" ref="C36">IF(A36="","",IFERROR((AVERAGEIFS(tblCarga[Duração (min)],tblCarga[Jogador],A36,tblCarga[Microciclo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36" s="547">
        <f t="array" ref="D36">IF(A36="","",IFERROR((AVERAGEIFS(tblCarga[Distância Total (m)],tblCarga[Jogador],A36,tblCarga[Microciclo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36" s="547">
        <f t="array" ref="E36">IF(A36="","",IFERROR((AVERAGEIFS(tblCarga[HSR (m)],tblCarga[Jogador],A36,tblCarga[Microciclo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36" s="547">
        <f t="array" ref="F36">IF(A36="","",IFERROR((AVERAGEIFS(tblCarga[Sprint (m)],tblCarga[Jogador],A36,tblCarga[Microciclo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36" s="547">
        <f t="array" ref="G36">IF(A36="","",IFERROR((AVERAGEIFS(tblCarga[Acc (n)],tblCarga[Jogador],A36,tblCarga[Microciclo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36" s="547">
        <f t="array" ref="H36">IF(A36="","",IFERROR((AVERAGEIFS(tblCarga[Dcc (n)],tblCarga[Jogador],A36,tblCarga[Microciclo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36" s="104">
        <f t="array" ref="I36">IF(A36="","",IFERROR((AVERAGEIFS(tblCarga[PSE Sessão],tblCarga[Jogador],A36,tblCarga[Microciclo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36" s="104">
        <f t="array" ref="J36">IF(A36="","",IFERROR((AVERAGEIFS(tblCarga[Vel. Máx (km/h)],tblCarga[Jogador],A36,tblCarga[Microciclo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36" s="104">
        <f t="array" ref="K36">IF(A36="","",IFERROR((AVERAGEIFS(tblCarga[Nº ≥90% Vmáx],tblCarga[Jogador],A36,tblCarga[Microciclo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36" s="104">
        <f t="array" ref="L36">IF(A36="","",IFERROR((AVERAGEIFS(tblCarga[Nº ≥95% Vmáx],tblCarga[Jogador],A36,tblCarga[Microciclo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36" s="104">
        <f>IF(A36="","",IFERROR(AVERAGE(C36:L36),"—"))</f>
        <v/>
      </c>
      <c r="N36" s="22">
        <f>IF(A36="","",IF(M36="—","—",IF(OR(ABS(C36)&gt;2,ABS(D36)&gt;2,ABS(E36)&gt;2,ABS(F36)&gt;2,ABS(G36)&gt;2,ABS(H36)&gt;2,ABS(I36)&gt;2,ABS(J36)&gt;2),"🔴 Atenção","🟢 Normal")))</f>
        <v/>
      </c>
      <c r="O36" s="22">
        <f t="array" ref="O36">IF(A36="","",IFERROR(SUMPRODUCT((ABS(C36:L36)&gt;2)*1),"—"))</f>
        <v/>
      </c>
    </row>
    <row r="37" ht="24" customHeight="1">
      <c r="A37" s="401">
        <f t="array" ref="A37">IFERROR(INDEX(_xlfn._xlws.SORT(_xlfn.UNIQUE(_xlfn._xlws.FILTER(tblCarga[Jogador],(tblCarga[Microciclo (Nr)]=$B$4)*(tblCarga[Tipo]="Treino")))),30),"")</f>
        <v/>
      </c>
      <c r="B37" s="364">
        <f>IF(A37="","",_xlfn.XLOOKUP(A37,tblCarga[Jogador],tblCarga[Posição]))</f>
        <v/>
      </c>
      <c r="C37" s="546">
        <f t="array" ref="C37">IF(A37="","",IFERROR((AVERAGEIFS(tblCarga[Duração (min)],tblCarga[Jogador],A37,tblCarga[Microciclo (Nr)],$B$4,tblCarga[Tipo],"Treino")-AVERAGEIFS(tblCarga[Duração (min)],tblCarga[Microciclo (Nr)],$B$4,tblCarga[Tipo],"Treino"))/IFERROR(STDEV(_xlfn._xlws.FILTER(tblCarga[Duração (min)],(tblCarga[Microciclo (Nr)]=$B$4)*(tblCarga[Tipo]="Treino"))),1),"—"))</f>
        <v/>
      </c>
      <c r="D37" s="546">
        <f t="array" ref="D37">IF(A37="","",IFERROR((AVERAGEIFS(tblCarga[Distância Total (m)],tblCarga[Jogador],A37,tblCarga[Microciclo (Nr)],$B$4,tblCarga[Tipo],"Treino")-AVERAGEIFS(tblCarga[Distância Total (m)],tblCarga[Microciclo (Nr)],$B$4,tblCarga[Tipo],"Treino"))/IFERROR(STDEV(_xlfn._xlws.FILTER(tblCarga[Distância Total (m)],(tblCarga[Microciclo (Nr)]=$B$4)*(tblCarga[Tipo]="Treino"))),1),"—"))</f>
        <v/>
      </c>
      <c r="E37" s="546">
        <f t="array" ref="E37">IF(A37="","",IFERROR((AVERAGEIFS(tblCarga[HSR (m)],tblCarga[Jogador],A37,tblCarga[Microciclo (Nr)],$B$4,tblCarga[Tipo],"Treino")-AVERAGEIFS(tblCarga[HSR (m)],tblCarga[Microciclo (Nr)],$B$4,tblCarga[Tipo],"Treino"))/IFERROR(STDEV(_xlfn._xlws.FILTER(tblCarga[HSR (m)],(tblCarga[Microciclo (Nr)]=$B$4)*(tblCarga[Tipo]="Treino"))),1),"—"))</f>
        <v/>
      </c>
      <c r="F37" s="546">
        <f t="array" ref="F37">IF(A37="","",IFERROR((AVERAGEIFS(tblCarga[Sprint (m)],tblCarga[Jogador],A37,tblCarga[Microciclo (Nr)],$B$4,tblCarga[Tipo],"Treino")-AVERAGEIFS(tblCarga[Sprint (m)],tblCarga[Microciclo (Nr)],$B$4,tblCarga[Tipo],"Treino"))/IFERROR(STDEV(_xlfn._xlws.FILTER(tblCarga[Sprint (m)],(tblCarga[Microciclo (Nr)]=$B$4)*(tblCarga[Tipo]="Treino"))),1),"—"))</f>
        <v/>
      </c>
      <c r="G37" s="546">
        <f t="array" ref="G37">IF(A37="","",IFERROR((AVERAGEIFS(tblCarga[Acc (n)],tblCarga[Jogador],A37,tblCarga[Microciclo (Nr)],$B$4,tblCarga[Tipo],"Treino")-AVERAGEIFS(tblCarga[Acc (n)],tblCarga[Microciclo (Nr)],$B$4,tblCarga[Tipo],"Treino"))/IFERROR(STDEV(_xlfn._xlws.FILTER(tblCarga[Acc (n)],(tblCarga[Microciclo (Nr)]=$B$4)*(tblCarga[Tipo]="Treino"))),1),"—"))</f>
        <v/>
      </c>
      <c r="H37" s="546">
        <f t="array" ref="H37">IF(A37="","",IFERROR((AVERAGEIFS(tblCarga[Dcc (n)],tblCarga[Jogador],A37,tblCarga[Microciclo (Nr)],$B$4,tblCarga[Tipo],"Treino")-AVERAGEIFS(tblCarga[Dcc (n)],tblCarga[Microciclo (Nr)],$B$4,tblCarga[Tipo],"Treino"))/IFERROR(STDEV(_xlfn._xlws.FILTER(tblCarga[Dcc (n)],(tblCarga[Microciclo (Nr)]=$B$4)*(tblCarga[Tipo]="Treino"))),1),"—"))</f>
        <v/>
      </c>
      <c r="I37" s="633">
        <f t="array" ref="I37">IF(A37="","",IFERROR((AVERAGEIFS(tblCarga[PSE Sessão],tblCarga[Jogador],A37,tblCarga[Microciclo (Nr)],$B$4,tblCarga[Tipo],"Treino")-AVERAGEIFS(tblCarga[PSE Sessão],tblCarga[Microciclo (Nr)],$B$4,tblCarga[Tipo],"Treino"))/IFERROR(STDEV(_xlfn._xlws.FILTER(tblCarga[PSE Sessão],(tblCarga[Microciclo (Nr)]=$B$4)*(tblCarga[Tipo]="Treino"))),1),"—"))</f>
        <v/>
      </c>
      <c r="J37" s="633">
        <f t="array" ref="J37">IF(A37="","",IFERROR((AVERAGEIFS(tblCarga[Vel. Máx (km/h)],tblCarga[Jogador],A37,tblCarga[Microciclo (Nr)],$B$4,tblCarga[Tipo],"Treino")-AVERAGEIFS(tblCarga[Vel. Máx (km/h)],tblCarga[Microciclo (Nr)],$B$4,tblCarga[Tipo],"Treino"))/IFERROR(STDEV(_xlfn._xlws.FILTER(tblCarga[Vel. Máx (km/h)],(tblCarga[Microciclo (Nr)]=$B$4)*(tblCarga[Tipo]="Treino"))),1),"—"))</f>
        <v/>
      </c>
      <c r="K37" s="633">
        <f t="array" ref="K37">IF(A37="","",IFERROR((AVERAGEIFS(tblCarga[Nº ≥90% Vmáx],tblCarga[Jogador],A37,tblCarga[Microciclo (Nr)],$B$4,tblCarga[Tipo],"Treino")-AVERAGEIFS(tblCarga[Nº ≥90% Vmáx],tblCarga[Microciclo (Nr)],$B$4,tblCarga[Tipo],"Treino"))/IFERROR(STDEV(_xlfn._xlws.FILTER(tblCarga[Nº ≥90% Vmáx],(tblCarga[Microciclo (Nr)]=$B$4)*(tblCarga[Tipo]="Treino"))),1),"—"))</f>
        <v/>
      </c>
      <c r="L37" s="633">
        <f t="array" ref="L37">IF(A37="","",IFERROR((AVERAGEIFS(tblCarga[Nº ≥95% Vmáx],tblCarga[Jogador],A37,tblCarga[Microciclo (Nr)],$B$4,tblCarga[Tipo],"Treino")-AVERAGEIFS(tblCarga[Nº ≥95% Vmáx],tblCarga[Microciclo (Nr)],$B$4,tblCarga[Tipo],"Treino"))/IFERROR(STDEV(_xlfn._xlws.FILTER(tblCarga[Nº ≥95% Vmáx],(tblCarga[Microciclo (Nr)]=$B$4)*(tblCarga[Tipo]="Treino"))),1),"—"))</f>
        <v/>
      </c>
      <c r="M37" s="633">
        <f>IF(A37="","",IFERROR(AVERAGE(C37:L37),"—"))</f>
        <v/>
      </c>
      <c r="N37" s="603">
        <f>IF(A37="","",IF(M37="—","—",IF(OR(ABS(C37)&gt;2,ABS(D37)&gt;2,ABS(E37)&gt;2,ABS(F37)&gt;2,ABS(G37)&gt;2,ABS(H37)&gt;2,ABS(I37)&gt;2,ABS(J37)&gt;2),"🔴 Atenção","🟢 Normal")))</f>
        <v/>
      </c>
      <c r="O37" s="603">
        <f t="array" ref="O37">IF(A37="","",IFERROR(SUMPRODUCT((ABS(C37:L37)&gt;2)*1),"—"))</f>
        <v/>
      </c>
    </row>
    <row r="38" ht="24" customHeight="1">
      <c r="A38" s="411" t="n"/>
      <c r="B38" s="370" t="n"/>
      <c r="C38" s="370" t="n"/>
      <c r="D38" s="370" t="n"/>
      <c r="E38" s="370" t="n"/>
      <c r="F38" s="370" t="n"/>
      <c r="G38" s="370" t="n"/>
      <c r="H38" s="370" t="n"/>
    </row>
    <row r="39" ht="24" customHeight="1">
      <c r="A39" s="548" t="inlineStr">
        <is>
          <t>B — EVOLUÇÃO Z-SCORES POR MICROCICLO  |  Jogador selecionado</t>
        </is>
      </c>
      <c r="B39" s="364" t="n"/>
      <c r="C39" s="364" t="n"/>
      <c r="D39" s="364" t="n"/>
      <c r="E39" s="364" t="n"/>
      <c r="F39" s="364" t="n"/>
      <c r="G39" s="364" t="n"/>
      <c r="H39" s="364" t="n"/>
    </row>
    <row r="40" ht="24" customHeight="1">
      <c r="A40" s="406" t="inlineStr">
        <is>
          <t>Jogador:</t>
        </is>
      </c>
      <c r="B40" s="549" t="inlineStr">
        <is>
          <t>Paulino</t>
        </is>
      </c>
      <c r="C40" s="366" t="n"/>
      <c r="D40" s="366" t="n"/>
      <c r="E40" s="366" t="n"/>
      <c r="F40" s="366" t="n"/>
      <c r="G40" s="366" t="n"/>
      <c r="H40" s="366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252" t="inlineStr">
        <is>
          <t>MC</t>
        </is>
      </c>
      <c r="B42" s="252" t="inlineStr">
        <is>
          <t>Z Duração</t>
        </is>
      </c>
      <c r="C42" s="252" t="inlineStr">
        <is>
          <t>Z Distância</t>
        </is>
      </c>
      <c r="D42" s="252" t="inlineStr">
        <is>
          <t>Z HSR</t>
        </is>
      </c>
      <c r="E42" s="252" t="inlineStr">
        <is>
          <t>Z Sprint</t>
        </is>
      </c>
      <c r="F42" s="252" t="inlineStr">
        <is>
          <t>Z Acc</t>
        </is>
      </c>
      <c r="G42" s="252" t="inlineStr">
        <is>
          <t>Z Dcc</t>
        </is>
      </c>
      <c r="H42" s="252" t="inlineStr">
        <is>
          <t>Z PSE</t>
        </is>
      </c>
      <c r="I42" s="9" t="n"/>
      <c r="J42" s="9" t="n"/>
      <c r="K42" s="9" t="n"/>
      <c r="L42" s="9" t="n"/>
      <c r="M42" s="9" t="n"/>
      <c r="N42" s="9" t="n"/>
      <c r="O42" s="9" t="n"/>
    </row>
    <row r="43">
      <c r="A43" s="9">
        <f t="array" ref="A43">IFERROR(SMALL(_xlfn.UNIQUE(_xlfn._xlws.FILTER(tblCarga[Microciclo (Nr)],tblCarga[Tipo]="Treino")),ROW()-42),"")</f>
        <v/>
      </c>
      <c r="B43" s="68">
        <f t="array" ref="B43">IF(A43="","",IFERROR((AVERAGEIFS(tblCarga[Duração (min)],tblCarga[Jogador],$B$40,tblCarga[Microciclo (Nr)],A43,tblCarga[Tipo],"Treino")-AVERAGEIFS(tblCarga[Duração (min)],tblCarga[Microciclo (Nr)],A43,tblCarga[Tipo],"Treino"))/IFERROR(STDEV(_xlfn._xlws.FILTER(tblCarga[Duração (min)],(tblCarga[Microciclo (Nr)]=A43)*(tblCarga[Tipo]="Treino"))),1),"—"))</f>
        <v/>
      </c>
      <c r="C43" s="68">
        <f t="array" ref="C43">IF(A43="","",IFERROR((AVERAGEIFS(tblCarga[Distância Total (m)],tblCarga[Jogador],$B$40,tblCarga[Microciclo (Nr)],A43,tblCarga[Tipo],"Treino")-AVERAGEIFS(tblCarga[Distância Total (m)],tblCarga[Microciclo (Nr)],A43,tblCarga[Tipo],"Treino"))/IFERROR(STDEV(_xlfn._xlws.FILTER(tblCarga[Distância Total (m)],(tblCarga[Microciclo (Nr)]=A43)*(tblCarga[Tipo]="Treino"))),1),"—"))</f>
        <v/>
      </c>
      <c r="D43" s="68">
        <f t="array" ref="D43">IF(A43="","",IFERROR((AVERAGEIFS(tblCarga[HSR (m)],tblCarga[Jogador],$B$40,tblCarga[Microciclo (Nr)],A43,tblCarga[Tipo],"Treino")-AVERAGEIFS(tblCarga[HSR (m)],tblCarga[Microciclo (Nr)],A43,tblCarga[Tipo],"Treino"))/IFERROR(STDEV(_xlfn._xlws.FILTER(tblCarga[HSR (m)],(tblCarga[Microciclo (Nr)]=A43)*(tblCarga[Tipo]="Treino"))),1),"—"))</f>
        <v/>
      </c>
      <c r="E43" s="68">
        <f t="array" ref="E43">IF(A43="","",IFERROR((AVERAGEIFS(tblCarga[Sprint (m)],tblCarga[Jogador],$B$40,tblCarga[Microciclo (Nr)],A43,tblCarga[Tipo],"Treino")-AVERAGEIFS(tblCarga[Sprint (m)],tblCarga[Microciclo (Nr)],A43,tblCarga[Tipo],"Treino"))/IFERROR(STDEV(_xlfn._xlws.FILTER(tblCarga[Sprint (m)],(tblCarga[Microciclo (Nr)]=A43)*(tblCarga[Tipo]="Treino"))),1),"—"))</f>
        <v/>
      </c>
      <c r="F43" s="68">
        <f t="array" ref="F43">IF(A43="","",IFERROR((AVERAGEIFS(tblCarga[Acc (n)],tblCarga[Jogador],$B$40,tblCarga[Microciclo (Nr)],A43,tblCarga[Tipo],"Treino")-AVERAGEIFS(tblCarga[Acc (n)],tblCarga[Microciclo (Nr)],A43,tblCarga[Tipo],"Treino"))/IFERROR(STDEV(_xlfn._xlws.FILTER(tblCarga[Acc (n)],(tblCarga[Microciclo (Nr)]=A43)*(tblCarga[Tipo]="Treino"))),1),"—"))</f>
        <v/>
      </c>
      <c r="G43" s="68">
        <f t="array" ref="G43">IF(A43="","",IFERROR((AVERAGEIFS(tblCarga[Dcc (n)],tblCarga[Jogador],$B$40,tblCarga[Microciclo (Nr)],A43,tblCarga[Tipo],"Treino")-AVERAGEIFS(tblCarga[Dcc (n)],tblCarga[Microciclo (Nr)],A43,tblCarga[Tipo],"Treino"))/IFERROR(STDEV(_xlfn._xlws.FILTER(tblCarga[Dcc (n)],(tblCarga[Microciclo (Nr)]=A43)*(tblCarga[Tipo]="Treino"))),1),"—"))</f>
        <v/>
      </c>
      <c r="H43" s="68">
        <f t="array" ref="H43">IF(A43="","",IFERROR((AVERAGEIFS(tblCarga[PSE Sessão],tblCarga[Jogador],$B$40,tblCarga[Microciclo (Nr)],A43,tblCarga[Tipo],"Treino")-AVERAGEIFS(tblCarga[PSE Sessão],tblCarga[Microciclo (Nr)],A43,tblCarga[Tipo],"Treino"))/IFERROR(STDEV(_xlfn._xlws.FILTER(tblCarga[PSE Sessão],(tblCarga[Microciclo (Nr)]=A43)*(tblCarga[Tipo]="Treino"))),1),"—"))</f>
        <v/>
      </c>
      <c r="I43" s="9" t="n"/>
      <c r="J43" s="9" t="n"/>
      <c r="K43" s="9" t="n"/>
      <c r="L43" s="9" t="n"/>
      <c r="M43" s="9" t="n"/>
      <c r="N43" s="9" t="n"/>
      <c r="O43" s="9" t="n"/>
    </row>
    <row r="44">
      <c r="A44" s="9">
        <f t="array" ref="A44">IFERROR(SMALL(_xlfn.UNIQUE(_xlfn._xlws.FILTER(tblCarga[Microciclo (Nr)],tblCarga[Tipo]="Treino")),ROW()-42),"")</f>
        <v/>
      </c>
      <c r="B44" s="68">
        <f t="array" ref="B44">IF(A44="","",IFERROR((AVERAGEIFS(tblCarga[Duração (min)],tblCarga[Jogador],$B$40,tblCarga[Microciclo (Nr)],A44,tblCarga[Tipo],"Treino")-AVERAGEIFS(tblCarga[Duração (min)],tblCarga[Microciclo (Nr)],A44,tblCarga[Tipo],"Treino"))/IFERROR(STDEV(_xlfn._xlws.FILTER(tblCarga[Duração (min)],(tblCarga[Microciclo (Nr)]=A44)*(tblCarga[Tipo]="Treino"))),1),"—"))</f>
        <v/>
      </c>
      <c r="C44" s="68">
        <f t="array" ref="C44">IF(A44="","",IFERROR((AVERAGEIFS(tblCarga[Distância Total (m)],tblCarga[Jogador],$B$40,tblCarga[Microciclo (Nr)],A44,tblCarga[Tipo],"Treino")-AVERAGEIFS(tblCarga[Distância Total (m)],tblCarga[Microciclo (Nr)],A44,tblCarga[Tipo],"Treino"))/IFERROR(STDEV(_xlfn._xlws.FILTER(tblCarga[Distância Total (m)],(tblCarga[Microciclo (Nr)]=A44)*(tblCarga[Tipo]="Treino"))),1),"—"))</f>
        <v/>
      </c>
      <c r="D44" s="68">
        <f t="array" ref="D44">IF(A44="","",IFERROR((AVERAGEIFS(tblCarga[HSR (m)],tblCarga[Jogador],$B$40,tblCarga[Microciclo (Nr)],A44,tblCarga[Tipo],"Treino")-AVERAGEIFS(tblCarga[HSR (m)],tblCarga[Microciclo (Nr)],A44,tblCarga[Tipo],"Treino"))/IFERROR(STDEV(_xlfn._xlws.FILTER(tblCarga[HSR (m)],(tblCarga[Microciclo (Nr)]=A44)*(tblCarga[Tipo]="Treino"))),1),"—"))</f>
        <v/>
      </c>
      <c r="E44" s="68">
        <f t="array" ref="E44">IF(A44="","",IFERROR((AVERAGEIFS(tblCarga[Sprint (m)],tblCarga[Jogador],$B$40,tblCarga[Microciclo (Nr)],A44,tblCarga[Tipo],"Treino")-AVERAGEIFS(tblCarga[Sprint (m)],tblCarga[Microciclo (Nr)],A44,tblCarga[Tipo],"Treino"))/IFERROR(STDEV(_xlfn._xlws.FILTER(tblCarga[Sprint (m)],(tblCarga[Microciclo (Nr)]=A44)*(tblCarga[Tipo]="Treino"))),1),"—"))</f>
        <v/>
      </c>
      <c r="F44" s="68">
        <f t="array" ref="F44">IF(A44="","",IFERROR((AVERAGEIFS(tblCarga[Acc (n)],tblCarga[Jogador],$B$40,tblCarga[Microciclo (Nr)],A44,tblCarga[Tipo],"Treino")-AVERAGEIFS(tblCarga[Acc (n)],tblCarga[Microciclo (Nr)],A44,tblCarga[Tipo],"Treino"))/IFERROR(STDEV(_xlfn._xlws.FILTER(tblCarga[Acc (n)],(tblCarga[Microciclo (Nr)]=A44)*(tblCarga[Tipo]="Treino"))),1),"—"))</f>
        <v/>
      </c>
      <c r="G44" s="68">
        <f t="array" ref="G44">IF(A44="","",IFERROR((AVERAGEIFS(tblCarga[Dcc (n)],tblCarga[Jogador],$B$40,tblCarga[Microciclo (Nr)],A44,tblCarga[Tipo],"Treino")-AVERAGEIFS(tblCarga[Dcc (n)],tblCarga[Microciclo (Nr)],A44,tblCarga[Tipo],"Treino"))/IFERROR(STDEV(_xlfn._xlws.FILTER(tblCarga[Dcc (n)],(tblCarga[Microciclo (Nr)]=A44)*(tblCarga[Tipo]="Treino"))),1),"—"))</f>
        <v/>
      </c>
      <c r="H44" s="68">
        <f t="array" ref="H44">IF(A44="","",IFERROR((AVERAGEIFS(tblCarga[PSE Sessão],tblCarga[Jogador],$B$40,tblCarga[Microciclo (Nr)],A44,tblCarga[Tipo],"Treino")-AVERAGEIFS(tblCarga[PSE Sessão],tblCarga[Microciclo (Nr)],A44,tblCarga[Tipo],"Treino"))/IFERROR(STDEV(_xlfn._xlws.FILTER(tblCarga[PSE Sessão],(tblCarga[Microciclo (Nr)]=A44)*(tblCarga[Tipo]="Treino"))),1),"—"))</f>
        <v/>
      </c>
      <c r="I44" s="9" t="n"/>
      <c r="J44" s="9" t="n"/>
      <c r="K44" s="9" t="n"/>
      <c r="L44" s="9" t="n"/>
      <c r="M44" s="9" t="n"/>
      <c r="N44" s="9" t="n"/>
      <c r="O44" s="9" t="n"/>
    </row>
    <row r="45">
      <c r="A45" s="9">
        <f t="array" ref="A45">IFERROR(SMALL(_xlfn.UNIQUE(_xlfn._xlws.FILTER(tblCarga[Microciclo (Nr)],tblCarga[Tipo]="Treino")),ROW()-42),"")</f>
        <v/>
      </c>
      <c r="B45" s="68">
        <f t="array" ref="B45">IF(A45="","",IFERROR((AVERAGEIFS(tblCarga[Duração (min)],tblCarga[Jogador],$B$40,tblCarga[Microciclo (Nr)],A45,tblCarga[Tipo],"Treino")-AVERAGEIFS(tblCarga[Duração (min)],tblCarga[Microciclo (Nr)],A45,tblCarga[Tipo],"Treino"))/IFERROR(STDEV(_xlfn._xlws.FILTER(tblCarga[Duração (min)],(tblCarga[Microciclo (Nr)]=A45)*(tblCarga[Tipo]="Treino"))),1),"—"))</f>
        <v/>
      </c>
      <c r="C45" s="68">
        <f t="array" ref="C45">IF(A45="","",IFERROR((AVERAGEIFS(tblCarga[Distância Total (m)],tblCarga[Jogador],$B$40,tblCarga[Microciclo (Nr)],A45,tblCarga[Tipo],"Treino")-AVERAGEIFS(tblCarga[Distância Total (m)],tblCarga[Microciclo (Nr)],A45,tblCarga[Tipo],"Treino"))/IFERROR(STDEV(_xlfn._xlws.FILTER(tblCarga[Distância Total (m)],(tblCarga[Microciclo (Nr)]=A45)*(tblCarga[Tipo]="Treino"))),1),"—"))</f>
        <v/>
      </c>
      <c r="D45" s="68">
        <f t="array" ref="D45">IF(A45="","",IFERROR((AVERAGEIFS(tblCarga[HSR (m)],tblCarga[Jogador],$B$40,tblCarga[Microciclo (Nr)],A45,tblCarga[Tipo],"Treino")-AVERAGEIFS(tblCarga[HSR (m)],tblCarga[Microciclo (Nr)],A45,tblCarga[Tipo],"Treino"))/IFERROR(STDEV(_xlfn._xlws.FILTER(tblCarga[HSR (m)],(tblCarga[Microciclo (Nr)]=A45)*(tblCarga[Tipo]="Treino"))),1),"—"))</f>
        <v/>
      </c>
      <c r="E45" s="68">
        <f t="array" ref="E45">IF(A45="","",IFERROR((AVERAGEIFS(tblCarga[Sprint (m)],tblCarga[Jogador],$B$40,tblCarga[Microciclo (Nr)],A45,tblCarga[Tipo],"Treino")-AVERAGEIFS(tblCarga[Sprint (m)],tblCarga[Microciclo (Nr)],A45,tblCarga[Tipo],"Treino"))/IFERROR(STDEV(_xlfn._xlws.FILTER(tblCarga[Sprint (m)],(tblCarga[Microciclo (Nr)]=A45)*(tblCarga[Tipo]="Treino"))),1),"—"))</f>
        <v/>
      </c>
      <c r="F45" s="68">
        <f t="array" ref="F45">IF(A45="","",IFERROR((AVERAGEIFS(tblCarga[Acc (n)],tblCarga[Jogador],$B$40,tblCarga[Microciclo (Nr)],A45,tblCarga[Tipo],"Treino")-AVERAGEIFS(tblCarga[Acc (n)],tblCarga[Microciclo (Nr)],A45,tblCarga[Tipo],"Treino"))/IFERROR(STDEV(_xlfn._xlws.FILTER(tblCarga[Acc (n)],(tblCarga[Microciclo (Nr)]=A45)*(tblCarga[Tipo]="Treino"))),1),"—"))</f>
        <v/>
      </c>
      <c r="G45" s="68">
        <f t="array" ref="G45">IF(A45="","",IFERROR((AVERAGEIFS(tblCarga[Dcc (n)],tblCarga[Jogador],$B$40,tblCarga[Microciclo (Nr)],A45,tblCarga[Tipo],"Treino")-AVERAGEIFS(tblCarga[Dcc (n)],tblCarga[Microciclo (Nr)],A45,tblCarga[Tipo],"Treino"))/IFERROR(STDEV(_xlfn._xlws.FILTER(tblCarga[Dcc (n)],(tblCarga[Microciclo (Nr)]=A45)*(tblCarga[Tipo]="Treino"))),1),"—"))</f>
        <v/>
      </c>
      <c r="H45" s="68">
        <f t="array" ref="H45">IF(A45="","",IFERROR((AVERAGEIFS(tblCarga[PSE Sessão],tblCarga[Jogador],$B$40,tblCarga[Microciclo (Nr)],A45,tblCarga[Tipo],"Treino")-AVERAGEIFS(tblCarga[PSE Sessão],tblCarga[Microciclo (Nr)],A45,tblCarga[Tipo],"Treino"))/IFERROR(STDEV(_xlfn._xlws.FILTER(tblCarga[PSE Sessão],(tblCarga[Microciclo (Nr)]=A45)*(tblCarga[Tipo]="Treino"))),1),"—"))</f>
        <v/>
      </c>
      <c r="I45" s="9" t="n"/>
      <c r="J45" s="9" t="n"/>
      <c r="K45" s="9" t="n"/>
      <c r="L45" s="9" t="n"/>
      <c r="M45" s="9" t="n"/>
      <c r="N45" s="9" t="n"/>
      <c r="O45" s="9" t="n"/>
    </row>
    <row r="46">
      <c r="A46" s="9">
        <f t="array" ref="A46">IFERROR(SMALL(_xlfn.UNIQUE(_xlfn._xlws.FILTER(tblCarga[Microciclo (Nr)],tblCarga[Tipo]="Treino")),ROW()-42),"")</f>
        <v/>
      </c>
      <c r="B46" s="68">
        <f t="array" ref="B46">IF(A46="","",IFERROR((AVERAGEIFS(tblCarga[Duração (min)],tblCarga[Jogador],$B$40,tblCarga[Microciclo (Nr)],A46,tblCarga[Tipo],"Treino")-AVERAGEIFS(tblCarga[Duração (min)],tblCarga[Microciclo (Nr)],A46,tblCarga[Tipo],"Treino"))/IFERROR(STDEV(_xlfn._xlws.FILTER(tblCarga[Duração (min)],(tblCarga[Microciclo (Nr)]=A46)*(tblCarga[Tipo]="Treino"))),1),"—"))</f>
        <v/>
      </c>
      <c r="C46" s="68">
        <f t="array" ref="C46">IF(A46="","",IFERROR((AVERAGEIFS(tblCarga[Distância Total (m)],tblCarga[Jogador],$B$40,tblCarga[Microciclo (Nr)],A46,tblCarga[Tipo],"Treino")-AVERAGEIFS(tblCarga[Distância Total (m)],tblCarga[Microciclo (Nr)],A46,tblCarga[Tipo],"Treino"))/IFERROR(STDEV(_xlfn._xlws.FILTER(tblCarga[Distância Total (m)],(tblCarga[Microciclo (Nr)]=A46)*(tblCarga[Tipo]="Treino"))),1),"—"))</f>
        <v/>
      </c>
      <c r="D46" s="68">
        <f t="array" ref="D46">IF(A46="","",IFERROR((AVERAGEIFS(tblCarga[HSR (m)],tblCarga[Jogador],$B$40,tblCarga[Microciclo (Nr)],A46,tblCarga[Tipo],"Treino")-AVERAGEIFS(tblCarga[HSR (m)],tblCarga[Microciclo (Nr)],A46,tblCarga[Tipo],"Treino"))/IFERROR(STDEV(_xlfn._xlws.FILTER(tblCarga[HSR (m)],(tblCarga[Microciclo (Nr)]=A46)*(tblCarga[Tipo]="Treino"))),1),"—"))</f>
        <v/>
      </c>
      <c r="E46" s="68">
        <f t="array" ref="E46">IF(A46="","",IFERROR((AVERAGEIFS(tblCarga[Sprint (m)],tblCarga[Jogador],$B$40,tblCarga[Microciclo (Nr)],A46,tblCarga[Tipo],"Treino")-AVERAGEIFS(tblCarga[Sprint (m)],tblCarga[Microciclo (Nr)],A46,tblCarga[Tipo],"Treino"))/IFERROR(STDEV(_xlfn._xlws.FILTER(tblCarga[Sprint (m)],(tblCarga[Microciclo (Nr)]=A46)*(tblCarga[Tipo]="Treino"))),1),"—"))</f>
        <v/>
      </c>
      <c r="F46" s="68">
        <f t="array" ref="F46">IF(A46="","",IFERROR((AVERAGEIFS(tblCarga[Acc (n)],tblCarga[Jogador],$B$40,tblCarga[Microciclo (Nr)],A46,tblCarga[Tipo],"Treino")-AVERAGEIFS(tblCarga[Acc (n)],tblCarga[Microciclo (Nr)],A46,tblCarga[Tipo],"Treino"))/IFERROR(STDEV(_xlfn._xlws.FILTER(tblCarga[Acc (n)],(tblCarga[Microciclo (Nr)]=A46)*(tblCarga[Tipo]="Treino"))),1),"—"))</f>
        <v/>
      </c>
      <c r="G46" s="68">
        <f t="array" ref="G46">IF(A46="","",IFERROR((AVERAGEIFS(tblCarga[Dcc (n)],tblCarga[Jogador],$B$40,tblCarga[Microciclo (Nr)],A46,tblCarga[Tipo],"Treino")-AVERAGEIFS(tblCarga[Dcc (n)],tblCarga[Microciclo (Nr)],A46,tblCarga[Tipo],"Treino"))/IFERROR(STDEV(_xlfn._xlws.FILTER(tblCarga[Dcc (n)],(tblCarga[Microciclo (Nr)]=A46)*(tblCarga[Tipo]="Treino"))),1),"—"))</f>
        <v/>
      </c>
      <c r="H46" s="68">
        <f t="array" ref="H46">IF(A46="","",IFERROR((AVERAGEIFS(tblCarga[PSE Sessão],tblCarga[Jogador],$B$40,tblCarga[Microciclo (Nr)],A46,tblCarga[Tipo],"Treino")-AVERAGEIFS(tblCarga[PSE Sessão],tblCarga[Microciclo (Nr)],A46,tblCarga[Tipo],"Treino"))/IFERROR(STDEV(_xlfn._xlws.FILTER(tblCarga[PSE Sessão],(tblCarga[Microciclo (Nr)]=A46)*(tblCarga[Tipo]="Treino"))),1),"—"))</f>
        <v/>
      </c>
      <c r="I46" s="9" t="n"/>
      <c r="J46" s="9" t="n"/>
      <c r="K46" s="9" t="n"/>
      <c r="L46" s="9" t="n"/>
      <c r="M46" s="9" t="n"/>
      <c r="N46" s="9" t="n"/>
      <c r="O46" s="9" t="n"/>
    </row>
    <row r="47">
      <c r="A47" s="9">
        <f t="array" ref="A47">IFERROR(SMALL(_xlfn.UNIQUE(_xlfn._xlws.FILTER(tblCarga[Microciclo (Nr)],tblCarga[Tipo]="Treino")),ROW()-42),"")</f>
        <v/>
      </c>
      <c r="B47" s="68">
        <f t="array" ref="B47">IF(A47="","",IFERROR((AVERAGEIFS(tblCarga[Duração (min)],tblCarga[Jogador],$B$40,tblCarga[Microciclo (Nr)],A47,tblCarga[Tipo],"Treino")-AVERAGEIFS(tblCarga[Duração (min)],tblCarga[Microciclo (Nr)],A47,tblCarga[Tipo],"Treino"))/IFERROR(STDEV(_xlfn._xlws.FILTER(tblCarga[Duração (min)],(tblCarga[Microciclo (Nr)]=A47)*(tblCarga[Tipo]="Treino"))),1),"—"))</f>
        <v/>
      </c>
      <c r="C47" s="68">
        <f t="array" ref="C47">IF(A47="","",IFERROR((AVERAGEIFS(tblCarga[Distância Total (m)],tblCarga[Jogador],$B$40,tblCarga[Microciclo (Nr)],A47,tblCarga[Tipo],"Treino")-AVERAGEIFS(tblCarga[Distância Total (m)],tblCarga[Microciclo (Nr)],A47,tblCarga[Tipo],"Treino"))/IFERROR(STDEV(_xlfn._xlws.FILTER(tblCarga[Distância Total (m)],(tblCarga[Microciclo (Nr)]=A47)*(tblCarga[Tipo]="Treino"))),1),"—"))</f>
        <v/>
      </c>
      <c r="D47" s="68">
        <f t="array" ref="D47">IF(A47="","",IFERROR((AVERAGEIFS(tblCarga[HSR (m)],tblCarga[Jogador],$B$40,tblCarga[Microciclo (Nr)],A47,tblCarga[Tipo],"Treino")-AVERAGEIFS(tblCarga[HSR (m)],tblCarga[Microciclo (Nr)],A47,tblCarga[Tipo],"Treino"))/IFERROR(STDEV(_xlfn._xlws.FILTER(tblCarga[HSR (m)],(tblCarga[Microciclo (Nr)]=A47)*(tblCarga[Tipo]="Treino"))),1),"—"))</f>
        <v/>
      </c>
      <c r="E47" s="68">
        <f t="array" ref="E47">IF(A47="","",IFERROR((AVERAGEIFS(tblCarga[Sprint (m)],tblCarga[Jogador],$B$40,tblCarga[Microciclo (Nr)],A47,tblCarga[Tipo],"Treino")-AVERAGEIFS(tblCarga[Sprint (m)],tblCarga[Microciclo (Nr)],A47,tblCarga[Tipo],"Treino"))/IFERROR(STDEV(_xlfn._xlws.FILTER(tblCarga[Sprint (m)],(tblCarga[Microciclo (Nr)]=A47)*(tblCarga[Tipo]="Treino"))),1),"—"))</f>
        <v/>
      </c>
      <c r="F47" s="68">
        <f t="array" ref="F47">IF(A47="","",IFERROR((AVERAGEIFS(tblCarga[Acc (n)],tblCarga[Jogador],$B$40,tblCarga[Microciclo (Nr)],A47,tblCarga[Tipo],"Treino")-AVERAGEIFS(tblCarga[Acc (n)],tblCarga[Microciclo (Nr)],A47,tblCarga[Tipo],"Treino"))/IFERROR(STDEV(_xlfn._xlws.FILTER(tblCarga[Acc (n)],(tblCarga[Microciclo (Nr)]=A47)*(tblCarga[Tipo]="Treino"))),1),"—"))</f>
        <v/>
      </c>
      <c r="G47" s="68">
        <f t="array" ref="G47">IF(A47="","",IFERROR((AVERAGEIFS(tblCarga[Dcc (n)],tblCarga[Jogador],$B$40,tblCarga[Microciclo (Nr)],A47,tblCarga[Tipo],"Treino")-AVERAGEIFS(tblCarga[Dcc (n)],tblCarga[Microciclo (Nr)],A47,tblCarga[Tipo],"Treino"))/IFERROR(STDEV(_xlfn._xlws.FILTER(tblCarga[Dcc (n)],(tblCarga[Microciclo (Nr)]=A47)*(tblCarga[Tipo]="Treino"))),1),"—"))</f>
        <v/>
      </c>
      <c r="H47" s="68">
        <f t="array" ref="H47">IF(A47="","",IFERROR((AVERAGEIFS(tblCarga[PSE Sessão],tblCarga[Jogador],$B$40,tblCarga[Microciclo (Nr)],A47,tblCarga[Tipo],"Treino")-AVERAGEIFS(tblCarga[PSE Sessão],tblCarga[Microciclo (Nr)],A47,tblCarga[Tipo],"Treino"))/IFERROR(STDEV(_xlfn._xlws.FILTER(tblCarga[PSE Sessão],(tblCarga[Microciclo (Nr)]=A47)*(tblCarga[Tipo]="Treino"))),1),"—"))</f>
        <v/>
      </c>
      <c r="I47" s="9" t="n"/>
      <c r="J47" s="9" t="n"/>
      <c r="K47" s="9" t="n"/>
      <c r="L47" s="9" t="n"/>
      <c r="M47" s="9" t="n"/>
      <c r="N47" s="9" t="n"/>
      <c r="O47" s="9" t="n"/>
    </row>
    <row r="48">
      <c r="A48" s="9">
        <f t="array" ref="A48">IFERROR(SMALL(_xlfn.UNIQUE(_xlfn._xlws.FILTER(tblCarga[Microciclo (Nr)],tblCarga[Tipo]="Treino")),ROW()-42),"")</f>
        <v/>
      </c>
      <c r="B48" s="68">
        <f t="array" ref="B48">IF(A48="","",IFERROR((AVERAGEIFS(tblCarga[Duração (min)],tblCarga[Jogador],$B$40,tblCarga[Microciclo (Nr)],A48,tblCarga[Tipo],"Treino")-AVERAGEIFS(tblCarga[Duração (min)],tblCarga[Microciclo (Nr)],A48,tblCarga[Tipo],"Treino"))/IFERROR(STDEV(_xlfn._xlws.FILTER(tblCarga[Duração (min)],(tblCarga[Microciclo (Nr)]=A48)*(tblCarga[Tipo]="Treino"))),1),"—"))</f>
        <v/>
      </c>
      <c r="C48" s="68">
        <f t="array" ref="C48">IF(A48="","",IFERROR((AVERAGEIFS(tblCarga[Distância Total (m)],tblCarga[Jogador],$B$40,tblCarga[Microciclo (Nr)],A48,tblCarga[Tipo],"Treino")-AVERAGEIFS(tblCarga[Distância Total (m)],tblCarga[Microciclo (Nr)],A48,tblCarga[Tipo],"Treino"))/IFERROR(STDEV(_xlfn._xlws.FILTER(tblCarga[Distância Total (m)],(tblCarga[Microciclo (Nr)]=A48)*(tblCarga[Tipo]="Treino"))),1),"—"))</f>
        <v/>
      </c>
      <c r="D48" s="68">
        <f t="array" ref="D48">IF(A48="","",IFERROR((AVERAGEIFS(tblCarga[HSR (m)],tblCarga[Jogador],$B$40,tblCarga[Microciclo (Nr)],A48,tblCarga[Tipo],"Treino")-AVERAGEIFS(tblCarga[HSR (m)],tblCarga[Microciclo (Nr)],A48,tblCarga[Tipo],"Treino"))/IFERROR(STDEV(_xlfn._xlws.FILTER(tblCarga[HSR (m)],(tblCarga[Microciclo (Nr)]=A48)*(tblCarga[Tipo]="Treino"))),1),"—"))</f>
        <v/>
      </c>
      <c r="E48" s="68">
        <f t="array" ref="E48">IF(A48="","",IFERROR((AVERAGEIFS(tblCarga[Sprint (m)],tblCarga[Jogador],$B$40,tblCarga[Microciclo (Nr)],A48,tblCarga[Tipo],"Treino")-AVERAGEIFS(tblCarga[Sprint (m)],tblCarga[Microciclo (Nr)],A48,tblCarga[Tipo],"Treino"))/IFERROR(STDEV(_xlfn._xlws.FILTER(tblCarga[Sprint (m)],(tblCarga[Microciclo (Nr)]=A48)*(tblCarga[Tipo]="Treino"))),1),"—"))</f>
        <v/>
      </c>
      <c r="F48" s="68">
        <f t="array" ref="F48">IF(A48="","",IFERROR((AVERAGEIFS(tblCarga[Acc (n)],tblCarga[Jogador],$B$40,tblCarga[Microciclo (Nr)],A48,tblCarga[Tipo],"Treino")-AVERAGEIFS(tblCarga[Acc (n)],tblCarga[Microciclo (Nr)],A48,tblCarga[Tipo],"Treino"))/IFERROR(STDEV(_xlfn._xlws.FILTER(tblCarga[Acc (n)],(tblCarga[Microciclo (Nr)]=A48)*(tblCarga[Tipo]="Treino"))),1),"—"))</f>
        <v/>
      </c>
      <c r="G48" s="68">
        <f t="array" ref="G48">IF(A48="","",IFERROR((AVERAGEIFS(tblCarga[Dcc (n)],tblCarga[Jogador],$B$40,tblCarga[Microciclo (Nr)],A48,tblCarga[Tipo],"Treino")-AVERAGEIFS(tblCarga[Dcc (n)],tblCarga[Microciclo (Nr)],A48,tblCarga[Tipo],"Treino"))/IFERROR(STDEV(_xlfn._xlws.FILTER(tblCarga[Dcc (n)],(tblCarga[Microciclo (Nr)]=A48)*(tblCarga[Tipo]="Treino"))),1),"—"))</f>
        <v/>
      </c>
      <c r="H48" s="68">
        <f t="array" ref="H48">IF(A48="","",IFERROR((AVERAGEIFS(tblCarga[PSE Sessão],tblCarga[Jogador],$B$40,tblCarga[Microciclo (Nr)],A48,tblCarga[Tipo],"Treino")-AVERAGEIFS(tblCarga[PSE Sessão],tblCarga[Microciclo (Nr)],A48,tblCarga[Tipo],"Treino"))/IFERROR(STDEV(_xlfn._xlws.FILTER(tblCarga[PSE Sessão],(tblCarga[Microciclo (Nr)]=A48)*(tblCarga[Tipo]="Treino"))),1),"—"))</f>
        <v/>
      </c>
      <c r="I48" s="9" t="n"/>
      <c r="J48" s="9" t="n"/>
      <c r="K48" s="9" t="n"/>
      <c r="L48" s="9" t="n"/>
      <c r="M48" s="9" t="n"/>
      <c r="N48" s="9" t="n"/>
      <c r="O48" s="9" t="n"/>
    </row>
    <row r="49">
      <c r="A49" s="9">
        <f t="array" ref="A49">IFERROR(SMALL(_xlfn.UNIQUE(_xlfn._xlws.FILTER(tblCarga[Microciclo (Nr)],tblCarga[Tipo]="Treino")),ROW()-42),"")</f>
        <v/>
      </c>
      <c r="B49" s="68">
        <f t="array" ref="B49">IF(A49="","",IFERROR((AVERAGEIFS(tblCarga[Duração (min)],tblCarga[Jogador],$B$40,tblCarga[Microciclo (Nr)],A49,tblCarga[Tipo],"Treino")-AVERAGEIFS(tblCarga[Duração (min)],tblCarga[Microciclo (Nr)],A49,tblCarga[Tipo],"Treino"))/IFERROR(STDEV(_xlfn._xlws.FILTER(tblCarga[Duração (min)],(tblCarga[Microciclo (Nr)]=A49)*(tblCarga[Tipo]="Treino"))),1),"—"))</f>
        <v/>
      </c>
      <c r="C49" s="68">
        <f t="array" ref="C49">IF(A49="","",IFERROR((AVERAGEIFS(tblCarga[Distância Total (m)],tblCarga[Jogador],$B$40,tblCarga[Microciclo (Nr)],A49,tblCarga[Tipo],"Treino")-AVERAGEIFS(tblCarga[Distância Total (m)],tblCarga[Microciclo (Nr)],A49,tblCarga[Tipo],"Treino"))/IFERROR(STDEV(_xlfn._xlws.FILTER(tblCarga[Distância Total (m)],(tblCarga[Microciclo (Nr)]=A49)*(tblCarga[Tipo]="Treino"))),1),"—"))</f>
        <v/>
      </c>
      <c r="D49" s="68">
        <f t="array" ref="D49">IF(A49="","",IFERROR((AVERAGEIFS(tblCarga[HSR (m)],tblCarga[Jogador],$B$40,tblCarga[Microciclo (Nr)],A49,tblCarga[Tipo],"Treino")-AVERAGEIFS(tblCarga[HSR (m)],tblCarga[Microciclo (Nr)],A49,tblCarga[Tipo],"Treino"))/IFERROR(STDEV(_xlfn._xlws.FILTER(tblCarga[HSR (m)],(tblCarga[Microciclo (Nr)]=A49)*(tblCarga[Tipo]="Treino"))),1),"—"))</f>
        <v/>
      </c>
      <c r="E49" s="68">
        <f t="array" ref="E49">IF(A49="","",IFERROR((AVERAGEIFS(tblCarga[Sprint (m)],tblCarga[Jogador],$B$40,tblCarga[Microciclo (Nr)],A49,tblCarga[Tipo],"Treino")-AVERAGEIFS(tblCarga[Sprint (m)],tblCarga[Microciclo (Nr)],A49,tblCarga[Tipo],"Treino"))/IFERROR(STDEV(_xlfn._xlws.FILTER(tblCarga[Sprint (m)],(tblCarga[Microciclo (Nr)]=A49)*(tblCarga[Tipo]="Treino"))),1),"—"))</f>
        <v/>
      </c>
      <c r="F49" s="68">
        <f t="array" ref="F49">IF(A49="","",IFERROR((AVERAGEIFS(tblCarga[Acc (n)],tblCarga[Jogador],$B$40,tblCarga[Microciclo (Nr)],A49,tblCarga[Tipo],"Treino")-AVERAGEIFS(tblCarga[Acc (n)],tblCarga[Microciclo (Nr)],A49,tblCarga[Tipo],"Treino"))/IFERROR(STDEV(_xlfn._xlws.FILTER(tblCarga[Acc (n)],(tblCarga[Microciclo (Nr)]=A49)*(tblCarga[Tipo]="Treino"))),1),"—"))</f>
        <v/>
      </c>
      <c r="G49" s="68">
        <f t="array" ref="G49">IF(A49="","",IFERROR((AVERAGEIFS(tblCarga[Dcc (n)],tblCarga[Jogador],$B$40,tblCarga[Microciclo (Nr)],A49,tblCarga[Tipo],"Treino")-AVERAGEIFS(tblCarga[Dcc (n)],tblCarga[Microciclo (Nr)],A49,tblCarga[Tipo],"Treino"))/IFERROR(STDEV(_xlfn._xlws.FILTER(tblCarga[Dcc (n)],(tblCarga[Microciclo (Nr)]=A49)*(tblCarga[Tipo]="Treino"))),1),"—"))</f>
        <v/>
      </c>
      <c r="H49" s="68">
        <f t="array" ref="H49">IF(A49="","",IFERROR((AVERAGEIFS(tblCarga[PSE Sessão],tblCarga[Jogador],$B$40,tblCarga[Microciclo (Nr)],A49,tblCarga[Tipo],"Treino")-AVERAGEIFS(tblCarga[PSE Sessão],tblCarga[Microciclo (Nr)],A49,tblCarga[Tipo],"Treino"))/IFERROR(STDEV(_xlfn._xlws.FILTER(tblCarga[PSE Sessão],(tblCarga[Microciclo (Nr)]=A49)*(tblCarga[Tipo]="Treino"))),1),"—"))</f>
        <v/>
      </c>
      <c r="I49" s="9" t="n"/>
      <c r="J49" s="9" t="n"/>
      <c r="K49" s="9" t="n"/>
      <c r="L49" s="9" t="n"/>
      <c r="M49" s="9" t="n"/>
      <c r="N49" s="9" t="n"/>
      <c r="O49" s="9" t="n"/>
    </row>
    <row r="50">
      <c r="A50" s="9">
        <f t="array" ref="A50">IFERROR(SMALL(_xlfn.UNIQUE(_xlfn._xlws.FILTER(tblCarga[Microciclo (Nr)],tblCarga[Tipo]="Treino")),ROW()-42),"")</f>
        <v/>
      </c>
      <c r="B50" s="68">
        <f t="array" ref="B50">IF(A50="","",IFERROR((AVERAGEIFS(tblCarga[Duração (min)],tblCarga[Jogador],$B$40,tblCarga[Microciclo (Nr)],A50,tblCarga[Tipo],"Treino")-AVERAGEIFS(tblCarga[Duração (min)],tblCarga[Microciclo (Nr)],A50,tblCarga[Tipo],"Treino"))/IFERROR(STDEV(_xlfn._xlws.FILTER(tblCarga[Duração (min)],(tblCarga[Microciclo (Nr)]=A50)*(tblCarga[Tipo]="Treino"))),1),"—"))</f>
        <v/>
      </c>
      <c r="C50" s="68">
        <f t="array" ref="C50">IF(A50="","",IFERROR((AVERAGEIFS(tblCarga[Distância Total (m)],tblCarga[Jogador],$B$40,tblCarga[Microciclo (Nr)],A50,tblCarga[Tipo],"Treino")-AVERAGEIFS(tblCarga[Distância Total (m)],tblCarga[Microciclo (Nr)],A50,tblCarga[Tipo],"Treino"))/IFERROR(STDEV(_xlfn._xlws.FILTER(tblCarga[Distância Total (m)],(tblCarga[Microciclo (Nr)]=A50)*(tblCarga[Tipo]="Treino"))),1),"—"))</f>
        <v/>
      </c>
      <c r="D50" s="68">
        <f t="array" ref="D50">IF(A50="","",IFERROR((AVERAGEIFS(tblCarga[HSR (m)],tblCarga[Jogador],$B$40,tblCarga[Microciclo (Nr)],A50,tblCarga[Tipo],"Treino")-AVERAGEIFS(tblCarga[HSR (m)],tblCarga[Microciclo (Nr)],A50,tblCarga[Tipo],"Treino"))/IFERROR(STDEV(_xlfn._xlws.FILTER(tblCarga[HSR (m)],(tblCarga[Microciclo (Nr)]=A50)*(tblCarga[Tipo]="Treino"))),1),"—"))</f>
        <v/>
      </c>
      <c r="E50" s="68">
        <f t="array" ref="E50">IF(A50="","",IFERROR((AVERAGEIFS(tblCarga[Sprint (m)],tblCarga[Jogador],$B$40,tblCarga[Microciclo (Nr)],A50,tblCarga[Tipo],"Treino")-AVERAGEIFS(tblCarga[Sprint (m)],tblCarga[Microciclo (Nr)],A50,tblCarga[Tipo],"Treino"))/IFERROR(STDEV(_xlfn._xlws.FILTER(tblCarga[Sprint (m)],(tblCarga[Microciclo (Nr)]=A50)*(tblCarga[Tipo]="Treino"))),1),"—"))</f>
        <v/>
      </c>
      <c r="F50" s="68">
        <f t="array" ref="F50">IF(A50="","",IFERROR((AVERAGEIFS(tblCarga[Acc (n)],tblCarga[Jogador],$B$40,tblCarga[Microciclo (Nr)],A50,tblCarga[Tipo],"Treino")-AVERAGEIFS(tblCarga[Acc (n)],tblCarga[Microciclo (Nr)],A50,tblCarga[Tipo],"Treino"))/IFERROR(STDEV(_xlfn._xlws.FILTER(tblCarga[Acc (n)],(tblCarga[Microciclo (Nr)]=A50)*(tblCarga[Tipo]="Treino"))),1),"—"))</f>
        <v/>
      </c>
      <c r="G50" s="68">
        <f t="array" ref="G50">IF(A50="","",IFERROR((AVERAGEIFS(tblCarga[Dcc (n)],tblCarga[Jogador],$B$40,tblCarga[Microciclo (Nr)],A50,tblCarga[Tipo],"Treino")-AVERAGEIFS(tblCarga[Dcc (n)],tblCarga[Microciclo (Nr)],A50,tblCarga[Tipo],"Treino"))/IFERROR(STDEV(_xlfn._xlws.FILTER(tblCarga[Dcc (n)],(tblCarga[Microciclo (Nr)]=A50)*(tblCarga[Tipo]="Treino"))),1),"—"))</f>
        <v/>
      </c>
      <c r="H50" s="68">
        <f t="array" ref="H50">IF(A50="","",IFERROR((AVERAGEIFS(tblCarga[PSE Sessão],tblCarga[Jogador],$B$40,tblCarga[Microciclo (Nr)],A50,tblCarga[Tipo],"Treino")-AVERAGEIFS(tblCarga[PSE Sessão],tblCarga[Microciclo (Nr)],A50,tblCarga[Tipo],"Treino"))/IFERROR(STDEV(_xlfn._xlws.FILTER(tblCarga[PSE Sessão],(tblCarga[Microciclo (Nr)]=A50)*(tblCarga[Tipo]="Treino"))),1),"—"))</f>
        <v/>
      </c>
      <c r="I50" s="9" t="n"/>
      <c r="J50" s="9" t="n"/>
      <c r="K50" s="9" t="n"/>
      <c r="L50" s="9" t="n"/>
      <c r="M50" s="9" t="n"/>
      <c r="N50" s="9" t="n"/>
      <c r="O50" s="9" t="n"/>
    </row>
  </sheetData>
  <mergeCells count="5">
    <mergeCell ref="A2:O2"/>
    <mergeCell ref="A19:O19"/>
    <mergeCell ref="A1:O1"/>
    <mergeCell ref="A28:K28"/>
    <mergeCell ref="A6:O6"/>
  </mergeCells>
  <conditionalFormatting sqref="C8:H28">
    <cfRule type="cellIs" priority="1" operator="greaterThan" dxfId="4">
      <formula>2</formula>
    </cfRule>
    <cfRule type="cellIs" priority="2" operator="lessThan" dxfId="3">
      <formula>-2</formula>
    </cfRule>
    <cfRule type="cellIs" priority="3" operator="between" dxfId="1">
      <formula>1.5</formula>
      <formula>2</formula>
    </cfRule>
    <cfRule type="cellIs" priority="4" operator="between" dxfId="1">
      <formula>-2</formula>
      <formula>-1.5</formula>
    </cfRule>
    <cfRule type="cellIs" priority="5" operator="between" dxfId="0">
      <formula>-1.5</formula>
      <formula>1.5</formula>
    </cfRule>
  </conditionalFormatting>
  <conditionalFormatting sqref="M8:M16">
    <cfRule type="dataBar" priority="6">
      <dataBar>
        <cfvo type="num" val="-2"/>
        <cfvo type="num" val="2"/>
        <color rgb="FF63B3ED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Ulisses Vieira</dc:creator>
  <dcterms:created xmlns:dcterms="http://purl.org/dc/terms/" xmlns:xsi="http://www.w3.org/2001/XMLSchema-instance" xsi:type="dcterms:W3CDTF">2026-04-08T09:53:19Z</dcterms:created>
  <dcterms:modified xmlns:dcterms="http://purl.org/dc/terms/" xmlns:xsi="http://www.w3.org/2001/XMLSchema-instance" xsi:type="dcterms:W3CDTF">2026-04-27T18:38:23Z</dcterms:modified>
  <cp:lastModifiedBy>Ulisses Vieira</cp:lastModifiedBy>
</cp:coreProperties>
</file>